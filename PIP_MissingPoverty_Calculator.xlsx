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WBG\aux_missing_countries\"/>
    </mc:Choice>
  </mc:AlternateContent>
  <xr:revisionPtr revIDLastSave="0" documentId="13_ncr:1_{71468F3F-55D1-46BA-AD75-A28264A21D5E}" xr6:coauthVersionLast="47" xr6:coauthVersionMax="47" xr10:uidLastSave="{00000000-0000-0000-0000-000000000000}"/>
  <bookViews>
    <workbookView xWindow="-98" yWindow="-98" windowWidth="19396" windowHeight="11475" activeTab="2" xr2:uid="{00000000-000D-0000-FFFF-FFFF00000000}"/>
  </bookViews>
  <sheets>
    <sheet name="Read Me" sheetId="7" r:id="rId1"/>
    <sheet name="Dashboard" sheetId="1" r:id="rId2"/>
    <sheet name="Input_Data" sheetId="8" r:id="rId3"/>
    <sheet name="Estimated Coefficients" sheetId="4" state="hidden" r:id="rId4"/>
    <sheet name="Selection List "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 i="1" l="1"/>
  <c r="F32" i="1"/>
  <c r="H32" i="1" s="1"/>
  <c r="G31" i="1"/>
  <c r="H31" i="1" s="1"/>
  <c r="F31" i="1"/>
  <c r="G30" i="1"/>
  <c r="F30" i="1"/>
  <c r="H30" i="1" s="1"/>
  <c r="G29" i="1"/>
  <c r="H29" i="1" s="1"/>
  <c r="K16" i="1" s="1"/>
  <c r="G27" i="1"/>
  <c r="G26" i="1"/>
  <c r="F26" i="1"/>
  <c r="H26" i="1" s="1"/>
  <c r="G25" i="1"/>
  <c r="H25" i="1" s="1"/>
  <c r="F25" i="1"/>
  <c r="G24" i="1"/>
  <c r="F24" i="1"/>
  <c r="H24" i="1" s="1"/>
  <c r="G23" i="1"/>
  <c r="F23" i="1"/>
  <c r="H23" i="1" s="1"/>
  <c r="G22" i="1"/>
  <c r="H22" i="1" s="1"/>
  <c r="F22" i="1"/>
  <c r="G20" i="1"/>
  <c r="H20" i="1" s="1"/>
  <c r="G19" i="1"/>
  <c r="H19" i="1" s="1"/>
  <c r="G18" i="1"/>
  <c r="F18" i="1"/>
  <c r="H18" i="1" s="1"/>
  <c r="G17" i="1"/>
  <c r="F17" i="1"/>
  <c r="H17" i="1" s="1"/>
  <c r="H16" i="1"/>
  <c r="G16" i="1"/>
  <c r="F27" i="1" l="1"/>
  <c r="H27" i="1" s="1"/>
  <c r="K15" i="1" s="1"/>
  <c r="K17" i="1" s="1"/>
</calcChain>
</file>

<file path=xl/sharedStrings.xml><?xml version="1.0" encoding="utf-8"?>
<sst xmlns="http://schemas.openxmlformats.org/spreadsheetml/2006/main" count="86" uniqueCount="53">
  <si>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</si>
  <si>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</si>
  <si>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</si>
  <si>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</si>
  <si>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</si>
  <si>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</si>
  <si>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</si>
  <si>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</si>
  <si>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</si>
  <si>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</si>
  <si>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</si>
  <si>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</si>
  <si>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</si>
  <si>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</si>
  <si>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</si>
  <si>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</si>
  <si>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</si>
  <si>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</si>
  <si>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</si>
  <si>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</si>
  <si>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</si>
  <si>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</si>
  <si>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</si>
  <si>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</si>
  <si>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INPUTS</t>
  </si>
  <si>
    <t>Poverty Rate</t>
  </si>
  <si>
    <t>OUTPUTS</t>
  </si>
  <si>
    <t>Tier Selection</t>
  </si>
  <si>
    <t>Tier 1 (GDP available), 2021 PPPs</t>
  </si>
  <si>
    <t>Tier 2 (GDP unavailable), 2021 PPPs</t>
  </si>
  <si>
    <t>Tier 1 (GDP available), 2017 PPPs</t>
  </si>
  <si>
    <t>Tier 2 (GDP unavailable), 2017 PPPs</t>
  </si>
  <si>
    <t>Poverty Line Selection (2021 PPP per day)</t>
  </si>
  <si>
    <t>SELECTIONS</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</si>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</sst>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164" formatCode="0.000"/>
    <numFmt numFmtId="165" formatCode="0.000000"/>
    <numFmt numFmtId="166" formatCode="0.0%"/>
  </numFmts>
  <fonts count="10" x14ac:knownFonts="1">
    <font>
      <sz val="11"/>
      <color theme="1"/>
      <name val="Calibri"/>
      <family val="2"/>
      <scheme val="minor"/>
    </font>
    <font>
      <b/>
      <sz val="11"/>
      <color theme="1"/>
      <name val="Calibri"/>
      <family val="2"/>
      <scheme val="minor"/>
    </font>
    <font>
      <sz val="11"/>
      <color rgb="FF00B0F0"/>
      <name val="Calibri"/>
      <family val="2"/>
      <scheme val="minor"/>
    </font>
    <font>
      <b/>
      <sz val="11"/>
      <color rgb="FF002060"/>
      <name val="Calibri"/>
      <family val="2"/>
      <scheme val="minor"/>
    </font>
    <font>
      <sz val="11"/>
      <color rgb="FF002060"/>
      <name val="Calibri"/>
      <family val="2"/>
      <scheme val="minor"/>
    </font>
    <font>
      <b/>
      <sz val="11"/>
      <color theme="9" tint="-0.249977111117893"/>
      <name val="Calibri"/>
      <family val="2"/>
      <scheme val="minor"/>
    </font>
    <font>
      <sz val="11"/>
      <color theme="9" tint="-0.249977111117893"/>
      <name val="Calibri"/>
      <family val="2"/>
      <scheme val="minor"/>
    </font>
    <font>
      <b/>
      <sz val="11"/>
      <color rgb="FFC00000"/>
      <name val="Calibri"/>
      <family val="2"/>
      <scheme val="minor"/>
    </font>
    <font>
      <sz val="11"/>
      <color theme="1"/>
      <name val="Calibri"/>
    </font>
    <font>
      <b/>
      <sz val="11"/>
      <color rgb="FF00B0F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2" fillId="2" borderId="0" xfId="0" applyFont="1" applyFill="1"/>
    <xf numFmtId="0" fontId="2" fillId="2" borderId="0" xfId="0" applyFont="1" applyFill="1" applyAlignment="1">
      <alignment horizontal="left"/>
    </xf>
    <xf numFmtId="0" fontId="3" fillId="0" borderId="0" xfId="0" applyFont="1"/>
    <xf numFmtId="0" fontId="4" fillId="0" borderId="0" xfId="0" applyFont="1"/>
    <xf numFmtId="0" fontId="3" fillId="0" borderId="0" xfId="0" applyFont="1" applyAlignment="1">
      <alignment horizontal="left" indent="1"/>
    </xf>
    <xf numFmtId="0" fontId="5" fillId="0" borderId="0" xfId="0" applyFont="1"/>
    <xf numFmtId="0" fontId="6" fillId="0" borderId="0" xfId="0" applyFont="1"/>
    <xf numFmtId="164" fontId="6" fillId="3" borderId="0" xfId="0" applyNumberFormat="1" applyFont="1" applyFill="1"/>
    <xf numFmtId="0" fontId="7" fillId="0" borderId="0" xfId="0" applyFont="1"/>
    <xf numFmtId="10" fontId="7" fillId="3" borderId="0" xfId="0" applyNumberFormat="1" applyFont="1" applyFill="1"/>
    <xf numFmtId="0" fontId="4" fillId="0" borderId="0" xfId="0" applyFont="1" applyAlignment="1">
      <alignment horizontal="left" indent="1"/>
    </xf>
    <xf numFmtId="0" fontId="4" fillId="0" borderId="0" xfId="0" applyFont="1" applyAlignment="1">
      <alignment horizontal="left" indent="2"/>
    </xf>
    <xf numFmtId="165" fontId="4" fillId="2" borderId="0" xfId="0" applyNumberFormat="1" applyFont="1" applyFill="1"/>
    <xf numFmtId="165" fontId="4" fillId="3" borderId="0" xfId="0" applyNumberFormat="1" applyFont="1" applyFill="1"/>
    <xf numFmtId="166" fontId="8" fillId="0" borderId="0" xfId="0" applyNumberFormat="1" applyFont="1"/>
    <xf numFmtId="0" fontId="9" fillId="0" borderId="0" xfId="0" applyFont="1"/>
    <xf numFmtId="0" fontId="2" fillId="0" borderId="0" xfId="0" applyFont="1"/>
    <xf numFmtId="0" fontId="8" fillId="0" borderId="0" xfId="0" applyFont="1" applyAlignment="1">
      <alignment horizontal="left"/>
    </xf>
    <xf numFmtId="0" fontId="1" fillId="0" borderId="0" xfId="0" applyFont="1" applyAlignment="1">
      <alignment horizontal="left" indent="1"/>
    </xf>
    <xf numFmtId="8" fontId="8" fillId="0" borderId="0" xfId="0" applyNumberFormat="1" applyFont="1"/>
    <xf numFmtId="0" fontId="1"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94891</xdr:colOff>
      <xdr:row>8</xdr:row>
      <xdr:rowOff>81035</xdr:rowOff>
    </xdr:from>
    <xdr:ext cx="13263922" cy="29022625"/>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656788" y="1526207"/>
          <a:ext cx="13263922" cy="29022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Missing Poverty Country Calculator</a:t>
          </a: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tool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 dashboard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enter the required country-level indicators in the </a:t>
          </a:r>
          <a:r>
            <a:rPr lang="en-US" sz="2000" b="1"/>
            <a:t>Value</a:t>
          </a:r>
          <a:r>
            <a:rPr lang="en-US" sz="2000"/>
            <a:t> column:</a:t>
          </a:r>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"Estimating poverty in countries without household surveys."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Dashboard Authors and Contact</a:t>
          </a:r>
        </a:p>
        <a:p>
          <a:endParaRPr lang="en-US" sz="2000" b="1" i="1"/>
        </a:p>
        <a:p>
          <a:r>
            <a:rPr lang="en-US" sz="2000"/>
            <a:t>This dashboard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455083</xdr:colOff>
      <xdr:row>5</xdr:row>
      <xdr:rowOff>158751</xdr:rowOff>
    </xdr:from>
    <xdr:to>
      <xdr:col>26</xdr:col>
      <xdr:colOff>84667</xdr:colOff>
      <xdr:row>173</xdr:row>
      <xdr:rowOff>0</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736031" y="1061984"/>
          <a:ext cx="15000964" cy="30189869"/>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596566</xdr:colOff>
      <xdr:row>13</xdr:row>
      <xdr:rowOff>15039</xdr:rowOff>
    </xdr:from>
    <xdr:to>
      <xdr:col>3</xdr:col>
      <xdr:colOff>2502</xdr:colOff>
      <xdr:row>29</xdr:row>
      <xdr:rowOff>154925</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44955" y="1483955"/>
          <a:ext cx="2223270" cy="3077717"/>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13</xdr:row>
      <xdr:rowOff>15039</xdr:rowOff>
    </xdr:from>
    <xdr:to>
      <xdr:col>8</xdr:col>
      <xdr:colOff>75197</xdr:colOff>
      <xdr:row>32</xdr:row>
      <xdr:rowOff>165434</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3139314" y="741688"/>
          <a:ext cx="5066502" cy="3601981"/>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13</xdr:row>
      <xdr:rowOff>15039</xdr:rowOff>
    </xdr:from>
    <xdr:to>
      <xdr:col>11</xdr:col>
      <xdr:colOff>98195</xdr:colOff>
      <xdr:row>17</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8715654" y="741688"/>
          <a:ext cx="2090802" cy="875040"/>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36</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24424</xdr:rowOff>
    </xdr:from>
    <xdr:ext cx="9952404" cy="46801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665529" y="207597"/>
          <a:ext cx="995240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Missing Poverty Country</a:t>
          </a:r>
          <a:r>
            <a:rPr lang="en-US" sz="2400" b="1" baseline="0">
              <a:solidFill>
                <a:srgbClr val="002060"/>
              </a:solidFill>
            </a:rPr>
            <a:t> Calculator </a:t>
          </a:r>
          <a:endParaRPr lang="en-US" sz="2400" b="1">
            <a:solidFill>
              <a:srgbClr val="002060"/>
            </a:solidFill>
          </a:endParaRPr>
        </a:p>
      </xdr:txBody>
    </xdr:sp>
    <xdr:clientData/>
  </xdr:oneCellAnchor>
  <xdr:twoCellAnchor>
    <xdr:from>
      <xdr:col>4</xdr:col>
      <xdr:colOff>79375</xdr:colOff>
      <xdr:row>4</xdr:row>
      <xdr:rowOff>122116</xdr:rowOff>
    </xdr:from>
    <xdr:to>
      <xdr:col>8</xdr:col>
      <xdr:colOff>18317</xdr:colOff>
      <xdr:row>4</xdr:row>
      <xdr:rowOff>140433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3217740" y="671635"/>
          <a:ext cx="4945673" cy="18317"/>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637681</xdr:colOff>
      <xdr:row>32</xdr:row>
      <xdr:rowOff>146537</xdr:rowOff>
    </xdr:from>
    <xdr:to>
      <xdr:col>2</xdr:col>
      <xdr:colOff>2117481</xdr:colOff>
      <xdr:row>34</xdr:row>
      <xdr:rowOff>82061</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2450" y="5092211"/>
          <a:ext cx="2124569" cy="3018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5</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
  <sheetViews>
    <sheetView showGridLines="0" zoomScale="58" zoomScaleNormal="66" workbookViewId="0">
      <selection activeCell="B7" sqref="B7"/>
    </sheetView>
  </sheetViews>
  <sheetFormatPr defaultColWidth="10.6640625" defaultRowHeight="14.25" x14ac:dyDescent="0.45"/>
  <cols>
    <col min="1" max="27" width="9" customWidth="1"/>
  </cols>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C13:K35"/>
  <sheetViews>
    <sheetView showGridLines="0" zoomScale="87" zoomScaleNormal="73" workbookViewId="0">
      <selection activeCell="A5" sqref="A5"/>
    </sheetView>
  </sheetViews>
  <sheetFormatPr defaultColWidth="10.6640625" defaultRowHeight="14.25" x14ac:dyDescent="0.45"/>
  <cols>
    <col min="1" max="2" width="9" customWidth="1"/>
    <col min="3" max="3" width="32.1328125" customWidth="1"/>
    <col min="4" max="4" width="4.3984375" customWidth="1"/>
    <col min="5" max="5" width="26" customWidth="1"/>
    <col min="6" max="8" width="14.73046875" customWidth="1"/>
    <col min="9" max="9" width="8.1328125" customWidth="1"/>
    <col min="10" max="10" width="34.6640625" customWidth="1"/>
    <col min="11" max="13" width="9" customWidth="1"/>
  </cols>
  <sheetData>
    <row r="13" spans="3:11" x14ac:dyDescent="0.45">
      <c r="C13" s="17" t="s">
        <v>33</v>
      </c>
      <c r="E13" s="4" t="s">
        <v>24</v>
      </c>
      <c r="F13" s="1"/>
      <c r="G13" s="1"/>
      <c r="H13" s="1"/>
      <c r="J13" s="7" t="s">
        <v>26</v>
      </c>
      <c r="K13" s="8"/>
    </row>
    <row r="14" spans="3:11" x14ac:dyDescent="0.45">
      <c r="E14" s="4"/>
      <c r="F14" s="4" t="s">
        <v>38</v>
      </c>
      <c r="G14" s="4" t="s">
        <v>39</v>
      </c>
      <c r="H14" s="4" t="s">
        <v>40</v>
      </c>
      <c r="J14" s="7"/>
      <c r="K14" s="8"/>
    </row>
    <row r="15" spans="3:11" x14ac:dyDescent="0.45">
      <c r="C15" s="17" t="s">
        <v>36</v>
      </c>
      <c r="E15" s="4" t="s">
        <v>10</v>
      </c>
      <c r="F15" s="5"/>
      <c r="G15" s="5"/>
      <c r="H15" s="5"/>
      <c r="J15" s="8" t="s">
        <v>51</v>
      </c>
      <c r="K15" s="9">
        <f>SUM(H16:H27)</f>
        <v>2.3501879206170959</v>
      </c>
    </row>
    <row r="16" spans="3:11" x14ac:dyDescent="0.45">
      <c r="C16" s="2" t="s">
        <v>28</v>
      </c>
      <c r="E16" s="12" t="s">
        <v>11</v>
      </c>
      <c r="F16" s="15">
        <v>1</v>
      </c>
      <c r="G16" s="15">
        <f>_xlfn.XLOOKUP($C$16,'Estimated Coefficients'!$B$2:$E$2,'Estimated Coefficients'!$B4:$E4)</f>
        <v>-2.264044572</v>
      </c>
      <c r="H16" s="15">
        <f>F16*G16</f>
        <v>-2.264044572</v>
      </c>
      <c r="J16" s="8" t="s">
        <v>52</v>
      </c>
      <c r="K16" s="9">
        <f>SUM(H29:H32)</f>
        <v>0.34648927299999999</v>
      </c>
    </row>
    <row r="17" spans="3:11" x14ac:dyDescent="0.45">
      <c r="C17" s="18"/>
      <c r="E17" s="12" t="s">
        <v>46</v>
      </c>
      <c r="F17" s="14">
        <f>LN(12276)</f>
        <v>9.4154014157396269</v>
      </c>
      <c r="G17" s="15">
        <f>_xlfn.XLOOKUP($C$16,'Estimated Coefficients'!$B$2:$E$2,'Estimated Coefficients'!$B5:$E5)</f>
        <v>0.43163306800000001</v>
      </c>
      <c r="H17" s="15">
        <f t="shared" ref="H17:H27" si="0">F17*G17</f>
        <v>4.0639985995272383</v>
      </c>
      <c r="J17" s="10" t="s">
        <v>25</v>
      </c>
      <c r="K17" s="11">
        <f>(1+(EXP(K15)/C19)^(1/K16))^-1</f>
        <v>0.33734451881758909</v>
      </c>
    </row>
    <row r="18" spans="3:11" x14ac:dyDescent="0.45">
      <c r="C18" s="17" t="s">
        <v>50</v>
      </c>
      <c r="E18" s="12" t="s">
        <v>47</v>
      </c>
      <c r="F18" s="14">
        <f>LN(14.8)</f>
        <v>2.6946271807700692</v>
      </c>
      <c r="G18" s="15">
        <f>_xlfn.XLOOKUP($C$16,'Estimated Coefficients'!$B$2:$E$2,'Estimated Coefficients'!$B6:$E6)</f>
        <v>-0.15322289</v>
      </c>
      <c r="H18" s="15">
        <f t="shared" si="0"/>
        <v>-0.41287856411014245</v>
      </c>
      <c r="J18" s="8"/>
      <c r="K18" s="8"/>
    </row>
    <row r="19" spans="3:11" x14ac:dyDescent="0.45">
      <c r="C19" s="3">
        <v>8.3000000000000007</v>
      </c>
      <c r="E19" s="12" t="s">
        <v>44</v>
      </c>
      <c r="F19" s="14">
        <v>71.099999999999994</v>
      </c>
      <c r="G19" s="15">
        <f>_xlfn.XLOOKUP($C$16,'Estimated Coefficients'!$B$2:$E$2,'Estimated Coefficients'!$B7:$E7)</f>
        <v>1.4232587E-2</v>
      </c>
      <c r="H19" s="15">
        <f t="shared" si="0"/>
        <v>1.0119369356999999</v>
      </c>
      <c r="J19" s="8"/>
      <c r="K19" s="8"/>
    </row>
    <row r="20" spans="3:11" x14ac:dyDescent="0.45">
      <c r="C20" s="18"/>
      <c r="E20" s="12" t="s">
        <v>45</v>
      </c>
      <c r="F20" s="14">
        <v>18.100000000000001</v>
      </c>
      <c r="G20" s="15">
        <f>_xlfn.XLOOKUP($C$16,'Estimated Coefficients'!$B$2:$E$2,'Estimated Coefficients'!$B8:$E8)</f>
        <v>-2.6974849999999999E-3</v>
      </c>
      <c r="H20" s="15">
        <f t="shared" si="0"/>
        <v>-4.8824478500000004E-2</v>
      </c>
      <c r="J20" s="8"/>
      <c r="K20" s="8"/>
    </row>
    <row r="21" spans="3:11" x14ac:dyDescent="0.45">
      <c r="C21" s="17" t="s">
        <v>34</v>
      </c>
      <c r="E21" s="12" t="s">
        <v>16</v>
      </c>
      <c r="F21" s="15"/>
      <c r="G21" s="15"/>
      <c r="H21" s="15"/>
      <c r="J21" s="8"/>
      <c r="K21" s="8"/>
    </row>
    <row r="22" spans="3:11" x14ac:dyDescent="0.45">
      <c r="C22" s="2" t="s">
        <v>4</v>
      </c>
      <c r="E22" s="13" t="s">
        <v>4</v>
      </c>
      <c r="F22" s="15">
        <f>IF(E22=$C$22,1)</f>
        <v>1</v>
      </c>
      <c r="G22" s="15">
        <f>_xlfn.XLOOKUP($C$16,'Estimated Coefficients'!$B$2:$E$2,'Estimated Coefficients'!$B10:$E10)</f>
        <v>0</v>
      </c>
      <c r="H22" s="15">
        <f>F22*G22</f>
        <v>0</v>
      </c>
      <c r="J22" s="8"/>
      <c r="K22" s="8"/>
    </row>
    <row r="23" spans="3:11" x14ac:dyDescent="0.45">
      <c r="C23" s="18"/>
      <c r="E23" s="13" t="s">
        <v>17</v>
      </c>
      <c r="F23" s="15" t="b">
        <f>IF(E23=$C$22,1)</f>
        <v>0</v>
      </c>
      <c r="G23" s="15">
        <f>_xlfn.XLOOKUP($C$16,'Estimated Coefficients'!$B$2:$E$2,'Estimated Coefficients'!$B11:$E11)</f>
        <v>0</v>
      </c>
      <c r="H23" s="15">
        <f>F23*G23</f>
        <v>0</v>
      </c>
    </row>
    <row r="24" spans="3:11" x14ac:dyDescent="0.45">
      <c r="C24" s="17" t="s">
        <v>35</v>
      </c>
      <c r="E24" s="13" t="s">
        <v>18</v>
      </c>
      <c r="F24" s="15" t="b">
        <f>IF(E24=$C$22,1)</f>
        <v>0</v>
      </c>
      <c r="G24" s="15">
        <f>_xlfn.XLOOKUP($C$16,'Estimated Coefficients'!$B$2:$E$2,'Estimated Coefficients'!$B12:$E12)</f>
        <v>0</v>
      </c>
      <c r="H24" s="15">
        <f>F24*G24</f>
        <v>0</v>
      </c>
    </row>
    <row r="25" spans="3:11" x14ac:dyDescent="0.45">
      <c r="C25" s="2" t="s">
        <v>37</v>
      </c>
      <c r="E25" s="13" t="s">
        <v>2</v>
      </c>
      <c r="F25" s="15" t="b">
        <f>IF(E25=$C$22,1)</f>
        <v>0</v>
      </c>
      <c r="G25" s="15">
        <f>_xlfn.XLOOKUP($C$16,'Estimated Coefficients'!$B$2:$E$2,'Estimated Coefficients'!$B13:$E13)</f>
        <v>0</v>
      </c>
      <c r="H25" s="15">
        <f>F25*G25</f>
        <v>0</v>
      </c>
    </row>
    <row r="26" spans="3:11" x14ac:dyDescent="0.45">
      <c r="C26" s="18"/>
      <c r="E26" s="12" t="s">
        <v>19</v>
      </c>
      <c r="F26" s="15">
        <f>IF(C28="Income", 1,0)</f>
        <v>0</v>
      </c>
      <c r="G26" s="15">
        <f>_xlfn.XLOOKUP($C$16,'Estimated Coefficients'!$B$2:$E$2,'Estimated Coefficients'!$B14:$E14)</f>
        <v>-4.1401950799999998</v>
      </c>
      <c r="H26" s="15">
        <f t="shared" si="0"/>
        <v>0</v>
      </c>
    </row>
    <row r="27" spans="3:11" x14ac:dyDescent="0.45">
      <c r="C27" s="17" t="s">
        <v>41</v>
      </c>
      <c r="E27" s="12" t="s">
        <v>48</v>
      </c>
      <c r="F27" s="15">
        <f>F26*F17</f>
        <v>0</v>
      </c>
      <c r="G27" s="15">
        <f>_xlfn.XLOOKUP($C$16,'Estimated Coefficients'!$B$2:$E$2,'Estimated Coefficients'!$B15:$E15)</f>
        <v>0.432780846</v>
      </c>
      <c r="H27" s="15">
        <f t="shared" si="0"/>
        <v>0</v>
      </c>
    </row>
    <row r="28" spans="3:11" x14ac:dyDescent="0.45">
      <c r="C28" s="2" t="s">
        <v>42</v>
      </c>
      <c r="E28" s="4" t="s">
        <v>21</v>
      </c>
      <c r="F28" s="15"/>
      <c r="G28" s="15"/>
      <c r="H28" s="15"/>
    </row>
    <row r="29" spans="3:11" x14ac:dyDescent="0.45">
      <c r="E29" s="12" t="s">
        <v>11</v>
      </c>
      <c r="F29" s="15">
        <v>1</v>
      </c>
      <c r="G29" s="15">
        <f>_xlfn.XLOOKUP($C$16,'Estimated Coefficients'!$B$2:$E$2,'Estimated Coefficients'!$B17:$E17)</f>
        <v>0.34648927299999999</v>
      </c>
      <c r="H29" s="15">
        <f>F29*G29</f>
        <v>0.34648927299999999</v>
      </c>
    </row>
    <row r="30" spans="3:11" x14ac:dyDescent="0.45">
      <c r="E30" s="12" t="s">
        <v>1</v>
      </c>
      <c r="F30" s="15">
        <f>IF(E30=$C$25,1,0)</f>
        <v>0</v>
      </c>
      <c r="G30" s="15">
        <f>_xlfn.XLOOKUP($C$16,'Estimated Coefficients'!$B$2:$E$2,'Estimated Coefficients'!$B18:$E18)</f>
        <v>-2.6387236000000001E-2</v>
      </c>
      <c r="H30" s="15">
        <f t="shared" ref="H30:H32" si="1">F30*G30</f>
        <v>0</v>
      </c>
    </row>
    <row r="31" spans="3:11" x14ac:dyDescent="0.45">
      <c r="E31" s="12" t="s">
        <v>3</v>
      </c>
      <c r="F31" s="15">
        <f t="shared" ref="F31:F32" si="2">IF(E31=$C$25,1,0)</f>
        <v>0</v>
      </c>
      <c r="G31" s="15">
        <f>_xlfn.XLOOKUP($C$16,'Estimated Coefficients'!$B$2:$E$2,'Estimated Coefficients'!$B19:$E19)</f>
        <v>0.148162564</v>
      </c>
      <c r="H31" s="15">
        <f t="shared" si="1"/>
        <v>0</v>
      </c>
    </row>
    <row r="32" spans="3:11" x14ac:dyDescent="0.45">
      <c r="E32" s="12" t="s">
        <v>7</v>
      </c>
      <c r="F32" s="15">
        <f t="shared" si="2"/>
        <v>0</v>
      </c>
      <c r="G32" s="15">
        <f>_xlfn.XLOOKUP($C$16,'Estimated Coefficients'!$B$2:$E$2,'Estimated Coefficients'!$B20:$E20)</f>
        <v>6.0945452999999997E-2</v>
      </c>
      <c r="H32" s="15">
        <f t="shared" si="1"/>
        <v>0</v>
      </c>
    </row>
    <row r="33" spans="5:9" x14ac:dyDescent="0.45">
      <c r="E33" s="5"/>
      <c r="F33" s="5"/>
      <c r="G33" s="5"/>
      <c r="H33" s="5"/>
    </row>
    <row r="34" spans="5:9" x14ac:dyDescent="0.45">
      <c r="E34" s="6"/>
      <c r="F34" s="5"/>
      <c r="G34" s="5"/>
      <c r="H34" s="5"/>
      <c r="I34" s="16"/>
    </row>
    <row r="35" spans="5:9" x14ac:dyDescent="0.45">
      <c r="E35" s="5"/>
      <c r="F35" s="5"/>
      <c r="G35" s="5"/>
      <c r="H35" s="5"/>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24959C20-5A37-4731-A29D-C7E62026471C}">
          <x14:formula1>
            <xm:f>'Selection List '!$A$2:$A$5</xm:f>
          </x14:formula1>
          <xm:sqref>D14 C16</xm:sqref>
        </x14:dataValidation>
        <x14:dataValidation type="list" allowBlank="1" showInputMessage="1" showErrorMessage="1" xr:uid="{7F66EB7E-80D8-497B-970A-24AF94D0B172}">
          <x14:formula1>
            <xm:f>'Selection List '!$A$8:$A$13</xm:f>
          </x14:formula1>
          <xm:sqref>C19</xm:sqref>
        </x14:dataValidation>
        <x14:dataValidation type="list" allowBlank="1" showInputMessage="1" showErrorMessage="1" xr:uid="{E6C958E9-E304-45DA-A7D1-9E075C478D8C}">
          <x14:formula1>
            <xm:f>'Selection List '!$A$16:$A$19</xm:f>
          </x14:formula1>
          <xm:sqref>C22</xm:sqref>
        </x14:dataValidation>
        <x14:dataValidation type="list" allowBlank="1" showInputMessage="1" showErrorMessage="1" xr:uid="{3E40141E-DA73-4C3B-9D06-2DC45EA7433C}">
          <x14:formula1>
            <xm:f>'Selection List '!$A$22:$A$28</xm:f>
          </x14:formula1>
          <xm:sqref>C25</xm:sqref>
        </x14:dataValidation>
        <x14:dataValidation type="list" allowBlank="1" showInputMessage="1" showErrorMessage="1" xr:uid="{5186C778-82C5-4B4B-9DB0-CEEF7A7542E5}">
          <x14:formula1>
            <xm:f>'Selection List '!$A$31:$A$32</xm:f>
          </x14:formula1>
          <xm:sqref>C28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499984740745262"/>
  </sheetPr>
  <dimension ref="A1"/>
  <sheetViews>
    <sheetView tabSelected="1" workbookViewId="0">
      <selection activeCell="E8" sqref="E8"/>
    </sheetView>
  </sheetViews>
  <sheetFormatPr defaultColWidth="10.6640625" defaultRowHeight="14.25" x14ac:dyDescent="0.45"/>
  <cols>
    <col min="1" max="1" width="4.73046875" bestFit="1" customWidth="1"/>
    <col min="2" max="2" width="10.9296875" bestFit="1" customWidth="1"/>
    <col min="3" max="3" width="18.06640625" bestFit="1" customWidth="1"/>
    <col min="4" max="4" width="21.9296875" bestFit="1" customWidth="1"/>
    <col min="5" max="5" width="15.6640625" bestFit="1" customWidth="1"/>
    <col min="6" max="6" width="17.86328125" bestFit="1" customWidth="1"/>
    <col min="7" max="7" width="17.9296875" bestFit="1" customWidth="1"/>
    <col min="8" max="8" width="10.53125" bestFit="1" customWidth="1"/>
    <col min="9" max="9" width="21" bestFit="1" customWidth="1"/>
    <col min="10" max="11" width="31.53125" bestFit="1" customWidth="1"/>
    <col min="12" max="12" width="21.86328125" bestFit="1" customWidth="1"/>
    <col min="13" max="13" width="18" bestFit="1" customWidth="1"/>
    <col min="14" max="14" width="24.46484375" bestFit="1" customWidth="1"/>
  </cols>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E20"/>
  <sheetViews>
    <sheetView workbookViewId="0">
      <selection activeCell="C20" sqref="C20"/>
    </sheetView>
  </sheetViews>
  <sheetFormatPr defaultColWidth="10.6640625" defaultRowHeight="14.25" x14ac:dyDescent="0.45"/>
  <cols>
    <col min="1" max="1" width="26.59765625" customWidth="1"/>
    <col min="2" max="2" width="27.1328125" customWidth="1"/>
    <col min="3" max="3" width="29.1328125" customWidth="1"/>
    <col min="4" max="4" width="27.1328125" customWidth="1"/>
    <col min="5" max="5" width="29.1328125" customWidth="1"/>
  </cols>
  <sheetData>
    <row r="1" spans="1:5" x14ac:dyDescent="0.45">
      <c r="A1" s="1" t="s">
        <v>22</v>
      </c>
      <c r="B1" t="s">
        <v>8</v>
      </c>
      <c r="C1" t="s">
        <v>8</v>
      </c>
      <c r="D1" t="s">
        <v>9</v>
      </c>
      <c r="E1" t="s">
        <v>9</v>
      </c>
    </row>
    <row r="2" spans="1:5" x14ac:dyDescent="0.45">
      <c r="A2" s="1" t="s">
        <v>23</v>
      </c>
      <c r="B2" t="s">
        <v>28</v>
      </c>
      <c r="C2" t="s">
        <v>29</v>
      </c>
      <c r="D2" t="s">
        <v>30</v>
      </c>
      <c r="E2" t="s">
        <v>31</v>
      </c>
    </row>
    <row r="3" spans="1:5" x14ac:dyDescent="0.45">
      <c r="A3" s="1" t="s">
        <v>10</v>
      </c>
    </row>
    <row r="4" spans="1:5" x14ac:dyDescent="0.45">
      <c r="A4" s="20" t="s">
        <v>11</v>
      </c>
      <c r="B4">
        <v>-2.264044572</v>
      </c>
      <c r="C4">
        <v>1.6046460140000001</v>
      </c>
      <c r="D4">
        <v>-2.5147202489999998</v>
      </c>
      <c r="E4">
        <v>1.4188586409999999</v>
      </c>
    </row>
    <row r="5" spans="1:5" x14ac:dyDescent="0.45">
      <c r="A5" s="20" t="s">
        <v>12</v>
      </c>
      <c r="B5">
        <v>0.43163306800000001</v>
      </c>
      <c r="C5">
        <v>0</v>
      </c>
      <c r="D5">
        <v>0.49154652799999998</v>
      </c>
      <c r="E5">
        <v>0</v>
      </c>
    </row>
    <row r="6" spans="1:5" x14ac:dyDescent="0.45">
      <c r="A6" s="20" t="s">
        <v>13</v>
      </c>
      <c r="B6">
        <v>-0.15322289</v>
      </c>
      <c r="C6">
        <v>-0.25656579800000001</v>
      </c>
      <c r="D6">
        <v>-0.164497536</v>
      </c>
      <c r="E6">
        <v>-0.232322377</v>
      </c>
    </row>
    <row r="7" spans="1:5" x14ac:dyDescent="0.45">
      <c r="A7" s="20" t="s">
        <v>14</v>
      </c>
      <c r="B7">
        <v>1.4232587E-2</v>
      </c>
      <c r="C7">
        <v>1.9700353E-2</v>
      </c>
      <c r="D7">
        <v>9.0144809999999995E-3</v>
      </c>
      <c r="E7">
        <v>1.8963891E-2</v>
      </c>
    </row>
    <row r="8" spans="1:5" x14ac:dyDescent="0.45">
      <c r="A8" s="20" t="s">
        <v>15</v>
      </c>
      <c r="B8">
        <v>-2.6974849999999999E-3</v>
      </c>
      <c r="C8">
        <v>-7.7445989999999996E-3</v>
      </c>
      <c r="D8">
        <v>-1.3078950000000001E-3</v>
      </c>
      <c r="E8">
        <v>-7.7616300000000003E-3</v>
      </c>
    </row>
    <row r="9" spans="1:5" x14ac:dyDescent="0.45">
      <c r="A9" s="20" t="s">
        <v>16</v>
      </c>
      <c r="B9">
        <v>0</v>
      </c>
      <c r="C9">
        <v>0</v>
      </c>
      <c r="D9">
        <v>0</v>
      </c>
      <c r="E9">
        <v>0</v>
      </c>
    </row>
    <row r="10" spans="1:5" x14ac:dyDescent="0.45">
      <c r="A10" s="20" t="s">
        <v>4</v>
      </c>
      <c r="B10">
        <v>0</v>
      </c>
      <c r="C10">
        <v>0</v>
      </c>
      <c r="D10">
        <v>0</v>
      </c>
      <c r="E10">
        <v>0</v>
      </c>
    </row>
    <row r="11" spans="1:5" x14ac:dyDescent="0.45">
      <c r="A11" s="20" t="s">
        <v>17</v>
      </c>
      <c r="B11">
        <v>0</v>
      </c>
      <c r="C11">
        <v>0.221920863</v>
      </c>
      <c r="D11">
        <v>0</v>
      </c>
      <c r="E11">
        <v>0.20903476700000001</v>
      </c>
    </row>
    <row r="12" spans="1:5" x14ac:dyDescent="0.45">
      <c r="A12" s="20" t="s">
        <v>18</v>
      </c>
      <c r="B12">
        <v>0</v>
      </c>
      <c r="C12">
        <v>0.44856046900000002</v>
      </c>
      <c r="D12">
        <v>0</v>
      </c>
      <c r="E12">
        <v>0.55203232099999999</v>
      </c>
    </row>
    <row r="13" spans="1:5" x14ac:dyDescent="0.45">
      <c r="A13" s="20" t="s">
        <v>2</v>
      </c>
      <c r="B13">
        <v>0</v>
      </c>
      <c r="C13">
        <v>1.1388756149999999</v>
      </c>
      <c r="D13">
        <v>0</v>
      </c>
      <c r="E13">
        <v>1.2483051489999999</v>
      </c>
    </row>
    <row r="14" spans="1:5" x14ac:dyDescent="0.45">
      <c r="A14" s="20" t="s">
        <v>19</v>
      </c>
      <c r="B14">
        <v>-4.1401950799999998</v>
      </c>
      <c r="C14">
        <v>0</v>
      </c>
      <c r="D14">
        <v>-4.4971337839999999</v>
      </c>
      <c r="E14">
        <v>0</v>
      </c>
    </row>
    <row r="15" spans="1:5" x14ac:dyDescent="0.45">
      <c r="A15" s="20" t="s">
        <v>20</v>
      </c>
      <c r="B15">
        <v>0.432780846</v>
      </c>
      <c r="C15">
        <v>0</v>
      </c>
      <c r="D15">
        <v>0.47075135299999998</v>
      </c>
      <c r="E15">
        <v>0</v>
      </c>
    </row>
    <row r="16" spans="1:5" x14ac:dyDescent="0.45">
      <c r="A16" s="1" t="s">
        <v>21</v>
      </c>
      <c r="B16">
        <v>0</v>
      </c>
      <c r="C16">
        <v>0</v>
      </c>
      <c r="D16">
        <v>0</v>
      </c>
      <c r="E16">
        <v>0</v>
      </c>
    </row>
    <row r="17" spans="1:5" x14ac:dyDescent="0.45">
      <c r="A17" s="20" t="s">
        <v>49</v>
      </c>
      <c r="B17">
        <v>0.34648927299999999</v>
      </c>
      <c r="C17">
        <v>0.34530131800000002</v>
      </c>
      <c r="D17">
        <v>0.37192546100000001</v>
      </c>
      <c r="E17">
        <v>0.31813518800000001</v>
      </c>
    </row>
    <row r="18" spans="1:5" x14ac:dyDescent="0.45">
      <c r="A18" s="20" t="s">
        <v>1</v>
      </c>
      <c r="B18">
        <v>-2.6387236000000001E-2</v>
      </c>
      <c r="C18">
        <v>-2.2889663000000001E-2</v>
      </c>
      <c r="D18">
        <v>-5.7434161999999997E-2</v>
      </c>
      <c r="E18">
        <v>-3.6976209999999999E-3</v>
      </c>
    </row>
    <row r="19" spans="1:5" x14ac:dyDescent="0.45">
      <c r="A19" s="20" t="s">
        <v>3</v>
      </c>
      <c r="B19">
        <v>0.148162564</v>
      </c>
      <c r="C19">
        <v>0.152610468</v>
      </c>
      <c r="D19">
        <v>0.123211811</v>
      </c>
      <c r="E19">
        <v>0.175236909</v>
      </c>
    </row>
    <row r="20" spans="1:5" x14ac:dyDescent="0.45">
      <c r="A20" s="20" t="s">
        <v>7</v>
      </c>
      <c r="B20">
        <v>6.0945452999999997E-2</v>
      </c>
      <c r="C20">
        <v>6.6503355E-2</v>
      </c>
      <c r="D20">
        <v>2.4563341999999998E-2</v>
      </c>
      <c r="E20">
        <v>6.8309194000000004E-2</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A32"/>
  <sheetViews>
    <sheetView topLeftCell="A13" workbookViewId="0">
      <selection activeCell="A19" sqref="A19"/>
    </sheetView>
  </sheetViews>
  <sheetFormatPr defaultColWidth="10.6640625" defaultRowHeight="14.25" x14ac:dyDescent="0.45"/>
  <cols>
    <col min="1" max="1" width="34.86328125" customWidth="1"/>
  </cols>
  <sheetData>
    <row r="1" spans="1:1" x14ac:dyDescent="0.45">
      <c r="A1" s="1" t="s">
        <v>27</v>
      </c>
    </row>
    <row r="2" spans="1:1" x14ac:dyDescent="0.45">
      <c r="A2" t="s">
        <v>28</v>
      </c>
    </row>
    <row r="3" spans="1:1" x14ac:dyDescent="0.45">
      <c r="A3" t="s">
        <v>29</v>
      </c>
    </row>
    <row r="4" spans="1:1" x14ac:dyDescent="0.45">
      <c r="A4" t="s">
        <v>30</v>
      </c>
    </row>
    <row r="5" spans="1:1" x14ac:dyDescent="0.45">
      <c r="A5" t="s">
        <v>31</v>
      </c>
    </row>
    <row r="7" spans="1:1" x14ac:dyDescent="0.45">
      <c r="A7" s="1" t="s">
        <v>32</v>
      </c>
    </row>
    <row r="8" spans="1:1" x14ac:dyDescent="0.45">
      <c r="A8" s="21">
        <v>3</v>
      </c>
    </row>
    <row r="9" spans="1:1" x14ac:dyDescent="0.45">
      <c r="A9" s="21">
        <v>4.2</v>
      </c>
    </row>
    <row r="10" spans="1:1" x14ac:dyDescent="0.45">
      <c r="A10" s="21">
        <v>8.3000000000000007</v>
      </c>
    </row>
    <row r="11" spans="1:1" x14ac:dyDescent="0.45">
      <c r="A11" s="21">
        <v>2.15</v>
      </c>
    </row>
    <row r="12" spans="1:1" x14ac:dyDescent="0.45">
      <c r="A12" s="21">
        <v>3.65</v>
      </c>
    </row>
    <row r="13" spans="1:1" x14ac:dyDescent="0.45">
      <c r="A13" s="21">
        <v>6.85</v>
      </c>
    </row>
    <row r="15" spans="1:1" x14ac:dyDescent="0.45">
      <c r="A15" s="1" t="s">
        <v>34</v>
      </c>
    </row>
    <row r="16" spans="1:1" x14ac:dyDescent="0.45">
      <c r="A16" s="19" t="s">
        <v>4</v>
      </c>
    </row>
    <row r="17" spans="1:1" x14ac:dyDescent="0.45">
      <c r="A17" s="19" t="s">
        <v>17</v>
      </c>
    </row>
    <row r="18" spans="1:1" x14ac:dyDescent="0.45">
      <c r="A18" s="19" t="s">
        <v>18</v>
      </c>
    </row>
    <row r="19" spans="1:1" x14ac:dyDescent="0.45">
      <c r="A19" s="19" t="s">
        <v>2</v>
      </c>
    </row>
    <row r="21" spans="1:1" x14ac:dyDescent="0.45">
      <c r="A21" s="22" t="s">
        <v>35</v>
      </c>
    </row>
    <row r="22" spans="1:1" x14ac:dyDescent="0.45">
      <c r="A22" s="19" t="s">
        <v>1</v>
      </c>
    </row>
    <row r="23" spans="1:1" x14ac:dyDescent="0.45">
      <c r="A23" s="19" t="s">
        <v>3</v>
      </c>
    </row>
    <row r="24" spans="1:1" x14ac:dyDescent="0.45">
      <c r="A24" s="19" t="s">
        <v>7</v>
      </c>
    </row>
    <row r="25" spans="1:1" x14ac:dyDescent="0.45">
      <c r="A25" s="19" t="s">
        <v>37</v>
      </c>
    </row>
    <row r="26" spans="1:1" x14ac:dyDescent="0.45">
      <c r="A26" s="19" t="s">
        <v>0</v>
      </c>
    </row>
    <row r="27" spans="1:1" x14ac:dyDescent="0.45">
      <c r="A27" s="19" t="s">
        <v>6</v>
      </c>
    </row>
    <row r="28" spans="1:1" x14ac:dyDescent="0.45">
      <c r="A28" s="19" t="s">
        <v>5</v>
      </c>
    </row>
    <row r="30" spans="1:1" x14ac:dyDescent="0.45">
      <c r="A30" s="22" t="s">
        <v>41</v>
      </c>
    </row>
    <row r="31" spans="1:1" x14ac:dyDescent="0.45">
      <c r="A31" s="19" t="s">
        <v>42</v>
      </c>
    </row>
    <row r="32" spans="1:1" x14ac:dyDescent="0.45">
      <c r="A32" s="19" t="s">
        <v>43</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Dashboard</vt:lpstr>
      <vt:lpstr>Input_Data</vt:lpstr>
      <vt:lpstr>Estimated Coefficients</vt:lpstr>
      <vt:lpstr>Selection List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2026-01-15T15:23:43Z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2026-01-15T14:51:39Z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a053de55-ee59-433f-bf01-45aa6a45d487</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