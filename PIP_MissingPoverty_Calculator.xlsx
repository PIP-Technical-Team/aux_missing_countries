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WBG\aux_missing_countries\"/>
    </mc:Choice>
  </mc:AlternateContent>
  <xr:revisionPtr revIDLastSave="0" documentId="13_ncr:1_{30BD64C3-DBE6-4221-8A7C-85EAD72873D1}" xr6:coauthVersionLast="47" xr6:coauthVersionMax="47" xr10:uidLastSave="{00000000-0000-0000-0000-000000000000}"/>
  <bookViews>
    <workbookView xWindow="-98" yWindow="-98" windowWidth="19396" windowHeight="11475" xr2:uid="{00000000-000D-0000-FFFF-FFFF00000000}"/>
  </bookViews>
  <sheets>
    <sheet name="Read Me" sheetId="7" r:id="rId1"/>
    <sheet name="Dashboard" sheetId="1" r:id="rId2"/>
    <sheet name="Input_Data" sheetId="8" r:id="rId3"/>
    <sheet name="Estimated Coefficients" sheetId="4" state="hidden" r:id="rId4"/>
    <sheet name="Selection List "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 r="F32" i="1"/>
  <c r="H32" i="1" s="1"/>
  <c r="G31" i="1"/>
  <c r="H31" i="1" s="1"/>
  <c r="F31" i="1"/>
  <c r="G30" i="1"/>
  <c r="F30" i="1"/>
  <c r="H30" i="1" s="1"/>
  <c r="G29" i="1"/>
  <c r="H29" i="1" s="1"/>
  <c r="K16" i="1" s="1"/>
  <c r="G27" i="1"/>
  <c r="G26" i="1"/>
  <c r="F26" i="1"/>
  <c r="H26" i="1" s="1"/>
  <c r="G25" i="1"/>
  <c r="H25" i="1" s="1"/>
  <c r="F25" i="1"/>
  <c r="G24" i="1"/>
  <c r="F24" i="1"/>
  <c r="H24" i="1" s="1"/>
  <c r="G23" i="1"/>
  <c r="F23" i="1"/>
  <c r="H23" i="1" s="1"/>
  <c r="G22" i="1"/>
  <c r="H22" i="1" s="1"/>
  <c r="F22" i="1"/>
  <c r="G20" i="1"/>
  <c r="H20" i="1" s="1"/>
  <c r="G19" i="1"/>
  <c r="H19" i="1" s="1"/>
  <c r="G18" i="1"/>
  <c r="F18" i="1"/>
  <c r="H18" i="1" s="1"/>
  <c r="G17" i="1"/>
  <c r="F17" i="1"/>
  <c r="H17" i="1" s="1"/>
  <c r="H16" i="1"/>
  <c r="G16" i="1"/>
  <c r="F27" i="1" l="1"/>
  <c r="H27" i="1" s="1"/>
  <c r="K15" i="1" s="1"/>
  <c r="K17" i="1" s="1"/>
</calcChain>
</file>

<file path=xl/sharedStrings.xml><?xml version="1.0" encoding="utf-8"?>
<sst xmlns="http://schemas.openxmlformats.org/spreadsheetml/2006/main" count="9910" uniqueCount="285">
  <si>
    <t>East Asia &amp; Pacific</t>
  </si>
  <si>
    <t>Europe &amp; Central Asia</t>
  </si>
  <si>
    <t>High income</t>
  </si>
  <si>
    <t>Latin America &amp; Caribbean</t>
  </si>
  <si>
    <t>Low income</t>
  </si>
  <si>
    <t>North America</t>
  </si>
  <si>
    <t>South Asia</t>
  </si>
  <si>
    <t>Sub-Saharan Africa</t>
  </si>
  <si>
    <t>2021 PPPs</t>
  </si>
  <si>
    <t>2017 PPPs</t>
  </si>
  <si>
    <t>X</t>
  </si>
  <si>
    <t>Intercept</t>
  </si>
  <si>
    <t>Log GDP per capita</t>
  </si>
  <si>
    <t>Log under-5 mortality</t>
  </si>
  <si>
    <t>Life expectancy</t>
  </si>
  <si>
    <t>Rural population share</t>
  </si>
  <si>
    <t>Income group</t>
  </si>
  <si>
    <t>Lower-middle income</t>
  </si>
  <si>
    <t>Upper-middle income</t>
  </si>
  <si>
    <t>Welfare type (income=1)</t>
  </si>
  <si>
    <t>Welfare type * log GDP pc</t>
  </si>
  <si>
    <t>Z</t>
  </si>
  <si>
    <t>PPP</t>
  </si>
  <si>
    <t>Tier</t>
  </si>
  <si>
    <t>INPUTS</t>
  </si>
  <si>
    <t>Poverty Rate</t>
  </si>
  <si>
    <t>OUTPUTS</t>
  </si>
  <si>
    <t>Tier Selection</t>
  </si>
  <si>
    <t>Tier 1 (GDP available), 2021 PPPs</t>
  </si>
  <si>
    <t>Tier 2 (GDP unavailable), 2021 PPPs</t>
  </si>
  <si>
    <t>Tier 1 (GDP available), 2017 PPPs</t>
  </si>
  <si>
    <t>Tier 2 (GDP unavailable), 2017 PPPs</t>
  </si>
  <si>
    <t>Poverty Line Selection (2021 PPP per day)</t>
  </si>
  <si>
    <t>SELECTIONS</t>
  </si>
  <si>
    <t>Income Group</t>
  </si>
  <si>
    <t>Regional Group</t>
  </si>
  <si>
    <t>GDP Tier and PPP</t>
  </si>
  <si>
    <t>Middle East &amp; North America</t>
  </si>
  <si>
    <t>Value</t>
  </si>
  <si>
    <t>Coefficients</t>
  </si>
  <si>
    <t>Weighted Value</t>
  </si>
  <si>
    <t>Welfare Type</t>
  </si>
  <si>
    <t>Consumption</t>
  </si>
  <si>
    <t>Income</t>
  </si>
  <si>
    <t>Life expectancy (year)</t>
  </si>
  <si>
    <t>Rural population share (%)</t>
  </si>
  <si>
    <t>Natural Log GDP per capita</t>
  </si>
  <si>
    <t>Natural Log under-5 mortality</t>
  </si>
  <si>
    <t>Welfare type * ln GDP pc</t>
  </si>
  <si>
    <t>Z-Intercept</t>
  </si>
  <si>
    <t>Poverty Line (2017/2021 PPP per day)</t>
  </si>
  <si>
    <t>X - the predicted natural log of the median</t>
  </si>
  <si>
    <t>Z - the predicted Gini coefficient</t>
  </si>
  <si>
    <t>year</t>
  </si>
  <si>
    <t>ABW</t>
  </si>
  <si>
    <t>AFG</t>
  </si>
  <si>
    <t>AGO</t>
  </si>
  <si>
    <t>ALB</t>
  </si>
  <si>
    <t>AND</t>
  </si>
  <si>
    <t>ARE</t>
  </si>
  <si>
    <t>ARG</t>
  </si>
  <si>
    <t>ARM</t>
  </si>
  <si>
    <t>ASM</t>
  </si>
  <si>
    <t>ATG</t>
  </si>
  <si>
    <t>AUS</t>
  </si>
  <si>
    <t>AUT</t>
  </si>
  <si>
    <t>AZE</t>
  </si>
  <si>
    <t>BDI</t>
  </si>
  <si>
    <t>BEL</t>
  </si>
  <si>
    <t>BEN</t>
  </si>
  <si>
    <t>BFA</t>
  </si>
  <si>
    <t>BGD</t>
  </si>
  <si>
    <t>BGR</t>
  </si>
  <si>
    <t>BHR</t>
  </si>
  <si>
    <t>BHS</t>
  </si>
  <si>
    <t>BIH</t>
  </si>
  <si>
    <t>BLR</t>
  </si>
  <si>
    <t>BLZ</t>
  </si>
  <si>
    <t>BMU</t>
  </si>
  <si>
    <t>BOL</t>
  </si>
  <si>
    <t>BRA</t>
  </si>
  <si>
    <t>BRB</t>
  </si>
  <si>
    <t>BRN</t>
  </si>
  <si>
    <t>BTN</t>
  </si>
  <si>
    <t>BWA</t>
  </si>
  <si>
    <t>CAF</t>
  </si>
  <si>
    <t>CAN</t>
  </si>
  <si>
    <t>CHE</t>
  </si>
  <si>
    <t>CHI</t>
  </si>
  <si>
    <t>CHL</t>
  </si>
  <si>
    <t>CHN</t>
  </si>
  <si>
    <t>CIV</t>
  </si>
  <si>
    <t>CMR</t>
  </si>
  <si>
    <t>COD</t>
  </si>
  <si>
    <t>COG</t>
  </si>
  <si>
    <t>COL</t>
  </si>
  <si>
    <t>COM</t>
  </si>
  <si>
    <t>CPV</t>
  </si>
  <si>
    <t>CRI</t>
  </si>
  <si>
    <t>CUB</t>
  </si>
  <si>
    <t>CUW</t>
  </si>
  <si>
    <t>CYM</t>
  </si>
  <si>
    <t>CYP</t>
  </si>
  <si>
    <t>CZE</t>
  </si>
  <si>
    <t>DEU</t>
  </si>
  <si>
    <t>DJI</t>
  </si>
  <si>
    <t>DMA</t>
  </si>
  <si>
    <t>DNK</t>
  </si>
  <si>
    <t>DOM</t>
  </si>
  <si>
    <t>DZA</t>
  </si>
  <si>
    <t>ECU</t>
  </si>
  <si>
    <t>EGY</t>
  </si>
  <si>
    <t>ERI</t>
  </si>
  <si>
    <t>ESP</t>
  </si>
  <si>
    <t>EST</t>
  </si>
  <si>
    <t>ETH</t>
  </si>
  <si>
    <t>FIN</t>
  </si>
  <si>
    <t>FJI</t>
  </si>
  <si>
    <t>FRA</t>
  </si>
  <si>
    <t>FRO</t>
  </si>
  <si>
    <t>FSM</t>
  </si>
  <si>
    <t>GAB</t>
  </si>
  <si>
    <t>GBR</t>
  </si>
  <si>
    <t>GEO</t>
  </si>
  <si>
    <t>GHA</t>
  </si>
  <si>
    <t>GIB</t>
  </si>
  <si>
    <t>GIN</t>
  </si>
  <si>
    <t>GMB</t>
  </si>
  <si>
    <t>GNB</t>
  </si>
  <si>
    <t>GNQ</t>
  </si>
  <si>
    <t>GRC</t>
  </si>
  <si>
    <t>GRD</t>
  </si>
  <si>
    <t>GRL</t>
  </si>
  <si>
    <t>GTM</t>
  </si>
  <si>
    <t>GUM</t>
  </si>
  <si>
    <t>GUY</t>
  </si>
  <si>
    <t>HKG</t>
  </si>
  <si>
    <t>HND</t>
  </si>
  <si>
    <t>HRV</t>
  </si>
  <si>
    <t>HTI</t>
  </si>
  <si>
    <t>HUN</t>
  </si>
  <si>
    <t>IDN</t>
  </si>
  <si>
    <t>IMN</t>
  </si>
  <si>
    <t>IND</t>
  </si>
  <si>
    <t>IRL</t>
  </si>
  <si>
    <t>IRN</t>
  </si>
  <si>
    <t>IRQ</t>
  </si>
  <si>
    <t>ISL</t>
  </si>
  <si>
    <t>ISR</t>
  </si>
  <si>
    <t>ITA</t>
  </si>
  <si>
    <t>JAM</t>
  </si>
  <si>
    <t>JOR</t>
  </si>
  <si>
    <t>JPN</t>
  </si>
  <si>
    <t>KAZ</t>
  </si>
  <si>
    <t>KEN</t>
  </si>
  <si>
    <t>KGZ</t>
  </si>
  <si>
    <t>KHM</t>
  </si>
  <si>
    <t>KIR</t>
  </si>
  <si>
    <t>KNA</t>
  </si>
  <si>
    <t>KOR</t>
  </si>
  <si>
    <t>KWT</t>
  </si>
  <si>
    <t>LAO</t>
  </si>
  <si>
    <t>LBN</t>
  </si>
  <si>
    <t>LBR</t>
  </si>
  <si>
    <t>LBY</t>
  </si>
  <si>
    <t>LCA</t>
  </si>
  <si>
    <t>LIE</t>
  </si>
  <si>
    <t>LKA</t>
  </si>
  <si>
    <t>LSO</t>
  </si>
  <si>
    <t>LTU</t>
  </si>
  <si>
    <t>LUX</t>
  </si>
  <si>
    <t>LVA</t>
  </si>
  <si>
    <t>MAC</t>
  </si>
  <si>
    <t>MAF</t>
  </si>
  <si>
    <t>MAR</t>
  </si>
  <si>
    <t>MCO</t>
  </si>
  <si>
    <t>MDA</t>
  </si>
  <si>
    <t>MDG</t>
  </si>
  <si>
    <t>MDV</t>
  </si>
  <si>
    <t>MEX</t>
  </si>
  <si>
    <t>MHL</t>
  </si>
  <si>
    <t>MKD</t>
  </si>
  <si>
    <t>MLI</t>
  </si>
  <si>
    <t>MLT</t>
  </si>
  <si>
    <t>MMR</t>
  </si>
  <si>
    <t>MNE</t>
  </si>
  <si>
    <t>MNG</t>
  </si>
  <si>
    <t>MNP</t>
  </si>
  <si>
    <t>MOZ</t>
  </si>
  <si>
    <t>MRT</t>
  </si>
  <si>
    <t>MUS</t>
  </si>
  <si>
    <t>MWI</t>
  </si>
  <si>
    <t>MYS</t>
  </si>
  <si>
    <t>NAM</t>
  </si>
  <si>
    <t>NCL</t>
  </si>
  <si>
    <t>NER</t>
  </si>
  <si>
    <t>NGA</t>
  </si>
  <si>
    <t>NIC</t>
  </si>
  <si>
    <t>NLD</t>
  </si>
  <si>
    <t>NOR</t>
  </si>
  <si>
    <t>NPL</t>
  </si>
  <si>
    <t>NRU</t>
  </si>
  <si>
    <t>NZL</t>
  </si>
  <si>
    <t>OMN</t>
  </si>
  <si>
    <t>PAK</t>
  </si>
  <si>
    <t>PAN</t>
  </si>
  <si>
    <t>PER</t>
  </si>
  <si>
    <t>PHL</t>
  </si>
  <si>
    <t>PLW</t>
  </si>
  <si>
    <t>PNG</t>
  </si>
  <si>
    <t>POL</t>
  </si>
  <si>
    <t>PRI</t>
  </si>
  <si>
    <t>PRK</t>
  </si>
  <si>
    <t>PRT</t>
  </si>
  <si>
    <t>PRY</t>
  </si>
  <si>
    <t>PSE</t>
  </si>
  <si>
    <t>PYF</t>
  </si>
  <si>
    <t>QAT</t>
  </si>
  <si>
    <t>ROU</t>
  </si>
  <si>
    <t>RUS</t>
  </si>
  <si>
    <t>RWA</t>
  </si>
  <si>
    <t>SAU</t>
  </si>
  <si>
    <t>SDN</t>
  </si>
  <si>
    <t>SEN</t>
  </si>
  <si>
    <t>SGP</t>
  </si>
  <si>
    <t>SLB</t>
  </si>
  <si>
    <t>SLE</t>
  </si>
  <si>
    <t>SLV</t>
  </si>
  <si>
    <t>SMR</t>
  </si>
  <si>
    <t>SOM</t>
  </si>
  <si>
    <t>SRB</t>
  </si>
  <si>
    <t>SSD</t>
  </si>
  <si>
    <t>STP</t>
  </si>
  <si>
    <t>SUR</t>
  </si>
  <si>
    <t>SVK</t>
  </si>
  <si>
    <t>SVN</t>
  </si>
  <si>
    <t>SWE</t>
  </si>
  <si>
    <t>SWZ</t>
  </si>
  <si>
    <t>SXM</t>
  </si>
  <si>
    <t>SYC</t>
  </si>
  <si>
    <t>SYR</t>
  </si>
  <si>
    <t>TCA</t>
  </si>
  <si>
    <t>TCD</t>
  </si>
  <si>
    <t>TGO</t>
  </si>
  <si>
    <t>THA</t>
  </si>
  <si>
    <t>TJK</t>
  </si>
  <si>
    <t>TKM</t>
  </si>
  <si>
    <t>TLS</t>
  </si>
  <si>
    <t>TON</t>
  </si>
  <si>
    <t>TTO</t>
  </si>
  <si>
    <t>TUN</t>
  </si>
  <si>
    <t>TUR</t>
  </si>
  <si>
    <t>TUV</t>
  </si>
  <si>
    <t>TWN</t>
  </si>
  <si>
    <t>TZA</t>
  </si>
  <si>
    <t>UGA</t>
  </si>
  <si>
    <t>UKR</t>
  </si>
  <si>
    <t>URY</t>
  </si>
  <si>
    <t>USA</t>
  </si>
  <si>
    <t>UZB</t>
  </si>
  <si>
    <t>VCT</t>
  </si>
  <si>
    <t>VEN</t>
  </si>
  <si>
    <t>VGB</t>
  </si>
  <si>
    <t>VIR</t>
  </si>
  <si>
    <t>VNM</t>
  </si>
  <si>
    <t>VUT</t>
  </si>
  <si>
    <t>WSM</t>
  </si>
  <si>
    <t>XKX</t>
  </si>
  <si>
    <t>YEM</t>
  </si>
  <si>
    <t>ZAF</t>
  </si>
  <si>
    <t>ZMB</t>
  </si>
  <si>
    <t>ZWE</t>
  </si>
  <si>
    <t>country code</t>
  </si>
  <si>
    <t>Europe &amp; Central Asia</t>
  </si>
  <si>
    <t>Latin America &amp; Caribbean</t>
  </si>
  <si>
    <t>Sub-Saharan Africa</t>
  </si>
  <si>
    <t>Lower-middle income</t>
  </si>
  <si>
    <t>Upper-middle income</t>
  </si>
  <si>
    <t>High income</t>
  </si>
  <si>
    <t>Welfare Type: Income = 1</t>
  </si>
  <si>
    <t>Natural Log GDP per capita (2021 PPP)</t>
  </si>
  <si>
    <t>Natural Log GDP per capita (2017 PPP)</t>
  </si>
  <si>
    <t>Rural population share (%)</t>
  </si>
  <si>
    <t>Life expectancy (year)</t>
  </si>
  <si>
    <t>Natural Log under-5 mortality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</si>
</sst>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8" formatCode="&quot;$&quot;#,##0.00_);[Red]\(&quot;$&quot;#,##0.00\)"/>
    <numFmt numFmtId="164" formatCode="0.000"/>
    <numFmt numFmtId="165" formatCode="0.000000"/>
    <numFmt numFmtId="166" formatCode="0.0%"/>
  </numFmts>
  <fonts count="10" x14ac:knownFonts="1">
    <font>
      <sz val="11"/>
      <color theme="1"/>
      <name val="Calibri"/>
      <family val="2"/>
      <scheme val="minor"/>
    </font>
    <font>
      <b/>
      <sz val="11"/>
      <color theme="1"/>
      <name val="Calibri"/>
      <family val="2"/>
      <scheme val="minor"/>
    </font>
    <font>
      <sz val="11"/>
      <color rgb="FF00B0F0"/>
      <name val="Calibri"/>
      <family val="2"/>
      <scheme val="minor"/>
    </font>
    <font>
      <b/>
      <sz val="11"/>
      <color rgb="FF002060"/>
      <name val="Calibri"/>
      <family val="2"/>
      <scheme val="minor"/>
    </font>
    <font>
      <sz val="11"/>
      <color rgb="FF002060"/>
      <name val="Calibri"/>
      <family val="2"/>
      <scheme val="minor"/>
    </font>
    <font>
      <b/>
      <sz val="11"/>
      <color theme="9" tint="-0.249977111117893"/>
      <name val="Calibri"/>
      <family val="2"/>
      <scheme val="minor"/>
    </font>
    <font>
      <sz val="11"/>
      <color theme="9" tint="-0.249977111117893"/>
      <name val="Calibri"/>
      <family val="2"/>
      <scheme val="minor"/>
    </font>
    <font>
      <b/>
      <sz val="11"/>
      <color rgb="FFC00000"/>
      <name val="Calibri"/>
      <family val="2"/>
      <scheme val="minor"/>
    </font>
    <font>
      <sz val="11"/>
      <color theme="1"/>
      <name val="Calibri"/>
    </font>
    <font>
      <b/>
      <sz val="11"/>
      <color rgb="FF00B0F0"/>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23">
    <xf numFmtId="0" fontId="0" fillId="0" borderId="0" xfId="0"/>
    <xf numFmtId="0" fontId="1" fillId="0" borderId="0" xfId="0" applyFont="1"/>
    <xf numFmtId="0" fontId="2" fillId="2" borderId="0" xfId="0" applyFont="1" applyFill="1"/>
    <xf numFmtId="0" fontId="2" fillId="2" borderId="0" xfId="0" applyFont="1" applyFill="1" applyAlignment="1">
      <alignment horizontal="left"/>
    </xf>
    <xf numFmtId="0" fontId="3" fillId="0" borderId="0" xfId="0" applyFont="1"/>
    <xf numFmtId="0" fontId="4" fillId="0" borderId="0" xfId="0" applyFont="1"/>
    <xf numFmtId="0" fontId="3" fillId="0" borderId="0" xfId="0" applyFont="1" applyAlignment="1">
      <alignment horizontal="left" indent="1"/>
    </xf>
    <xf numFmtId="0" fontId="5" fillId="0" borderId="0" xfId="0" applyFont="1"/>
    <xf numFmtId="0" fontId="6" fillId="0" borderId="0" xfId="0" applyFont="1"/>
    <xf numFmtId="164" fontId="6" fillId="3" borderId="0" xfId="0" applyNumberFormat="1" applyFont="1" applyFill="1"/>
    <xf numFmtId="0" fontId="7" fillId="0" borderId="0" xfId="0" applyFont="1"/>
    <xf numFmtId="10" fontId="7" fillId="3" borderId="0" xfId="0" applyNumberFormat="1" applyFont="1" applyFill="1"/>
    <xf numFmtId="0" fontId="4" fillId="0" borderId="0" xfId="0" applyFont="1" applyAlignment="1">
      <alignment horizontal="left" indent="1"/>
    </xf>
    <xf numFmtId="0" fontId="4" fillId="0" borderId="0" xfId="0" applyFont="1" applyAlignment="1">
      <alignment horizontal="left" indent="2"/>
    </xf>
    <xf numFmtId="165" fontId="4" fillId="2" borderId="0" xfId="0" applyNumberFormat="1" applyFont="1" applyFill="1"/>
    <xf numFmtId="165" fontId="4" fillId="3" borderId="0" xfId="0" applyNumberFormat="1" applyFont="1" applyFill="1"/>
    <xf numFmtId="166" fontId="8" fillId="0" borderId="0" xfId="0" applyNumberFormat="1" applyFont="1"/>
    <xf numFmtId="0" fontId="9" fillId="0" borderId="0" xfId="0" applyFont="1"/>
    <xf numFmtId="0" fontId="2" fillId="0" borderId="0" xfId="0" applyFont="1"/>
    <xf numFmtId="0" fontId="8" fillId="0" borderId="0" xfId="0" applyFont="1" applyAlignment="1">
      <alignment horizontal="left"/>
    </xf>
    <xf numFmtId="0" fontId="1" fillId="0" borderId="0" xfId="0" applyFont="1" applyAlignment="1">
      <alignment horizontal="left" indent="1"/>
    </xf>
    <xf numFmtId="8" fontId="8" fillId="0" borderId="0" xfId="0" applyNumberFormat="1" applyFont="1"/>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94891</xdr:colOff>
      <xdr:row>8</xdr:row>
      <xdr:rowOff>81035</xdr:rowOff>
    </xdr:from>
    <xdr:ext cx="13263922" cy="29022625"/>
    <xdr:sp macro="" textlink="">
      <xdr:nvSpPr>
        <xdr:cNvPr id="4" name="TextBox 3">
          <a:extLst>
            <a:ext uri="{FF2B5EF4-FFF2-40B4-BE49-F238E27FC236}">
              <a16:creationId xmlns:a16="http://schemas.microsoft.com/office/drawing/2014/main" id="{76A5B0A8-A82E-13EE-CF2C-4DC8C739D69C}"/>
            </a:ext>
          </a:extLst>
        </xdr:cNvPr>
        <xdr:cNvSpPr txBox="1"/>
      </xdr:nvSpPr>
      <xdr:spPr>
        <a:xfrm>
          <a:off x="2656788" y="1526207"/>
          <a:ext cx="13263922" cy="2902262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3200" b="1">
              <a:solidFill>
                <a:srgbClr val="002060"/>
              </a:solidFill>
            </a:rPr>
            <a:t>Missing Poverty Country Calculator</a:t>
          </a:r>
        </a:p>
        <a:p>
          <a:pPr algn="ctr"/>
          <a:r>
            <a:rPr lang="en-US" sz="2800" b="1" i="1">
              <a:solidFill>
                <a:srgbClr val="002060"/>
              </a:solidFill>
            </a:rPr>
            <a:t>User Guide</a:t>
          </a:r>
        </a:p>
        <a:p>
          <a:pPr algn="ctr"/>
          <a:endParaRPr lang="en-US" sz="2800"/>
        </a:p>
        <a:p>
          <a:r>
            <a:rPr lang="en-US" sz="2000" b="1" u="sng">
              <a:solidFill>
                <a:srgbClr val="002060"/>
              </a:solidFill>
            </a:rPr>
            <a:t>1. Purpose of this tool</a:t>
          </a:r>
        </a:p>
        <a:p>
          <a:endParaRPr lang="en-US" sz="2000" b="1" u="sng">
            <a:solidFill>
              <a:srgbClr val="002060"/>
            </a:solidFill>
          </a:endParaRPr>
        </a:p>
        <a:p>
          <a:r>
            <a:rPr lang="en-US" sz="2000"/>
            <a:t>This Excel-based calculator is designed to estimate poverty rates for countries and years where </a:t>
          </a:r>
          <a:r>
            <a:rPr lang="en-US" sz="2000" b="1"/>
            <a:t>no household survey–based poverty data are available</a:t>
          </a:r>
          <a:r>
            <a:rPr lang="en-US" sz="2000"/>
            <a:t>. It applies the official World Bank imputation methodology used in the Poverty and Inequality Platform (PIP) to ensure that </a:t>
          </a:r>
          <a:r>
            <a:rPr lang="en-US" sz="2000" b="1"/>
            <a:t>regional and global poverty aggregates remain complete and comparable</a:t>
          </a:r>
          <a:r>
            <a:rPr lang="en-US" sz="2000"/>
            <a:t>.</a:t>
          </a:r>
        </a:p>
        <a:p>
          <a:endParaRPr lang="en-US" sz="2000"/>
        </a:p>
        <a:p>
          <a:r>
            <a:rPr lang="en-US" sz="2000"/>
            <a:t>The results produced by this tool are </a:t>
          </a:r>
          <a:r>
            <a:rPr lang="en-US" sz="2000" b="1"/>
            <a:t>for analytical and aggregation purposes only</a:t>
          </a:r>
          <a:r>
            <a:rPr lang="en-US" sz="2000"/>
            <a:t> and are </a:t>
          </a:r>
          <a:r>
            <a:rPr lang="en-US" sz="2000" b="1"/>
            <a:t>not official country-level poverty estimates</a:t>
          </a:r>
          <a:r>
            <a:rPr lang="en-US" sz="2000"/>
            <a:t>.</a:t>
          </a:r>
          <a:br>
            <a:rPr lang="en-US" sz="2000"/>
          </a:br>
          <a:endParaRPr lang="en-US" sz="2000"/>
        </a:p>
        <a:p>
          <a:r>
            <a:rPr lang="en-US" sz="2000" b="1" u="sng">
              <a:solidFill>
                <a:srgbClr val="002060"/>
              </a:solidFill>
            </a:rPr>
            <a:t>2. How to use this calculator</a:t>
          </a:r>
        </a:p>
        <a:p>
          <a:endParaRPr lang="en-US" sz="2000" b="1" u="sng">
            <a:solidFill>
              <a:srgbClr val="002060"/>
            </a:solidFill>
          </a:endParaRPr>
        </a:p>
        <a:p>
          <a:r>
            <a:rPr lang="en-US" sz="2000"/>
            <a:t>The dashboard is organized into three sections: </a:t>
          </a:r>
          <a:r>
            <a:rPr lang="en-US" sz="2000" b="1"/>
            <a:t>Selections</a:t>
          </a:r>
          <a:r>
            <a:rPr lang="en-US" sz="2000"/>
            <a:t>, </a:t>
          </a:r>
          <a:r>
            <a:rPr lang="en-US" sz="2000" b="1"/>
            <a:t>Inputs</a:t>
          </a:r>
          <a:r>
            <a:rPr lang="en-US" sz="2000"/>
            <a:t>, and </a:t>
          </a:r>
          <a:r>
            <a:rPr lang="en-US" sz="2000" b="1"/>
            <a:t>Outputs</a:t>
          </a:r>
          <a:r>
            <a:rPr lang="en-US" sz="2000"/>
            <a:t>.</a:t>
          </a:r>
        </a:p>
        <a:p>
          <a:endParaRPr lang="en-US" sz="2000"/>
        </a:p>
        <a:p>
          <a:r>
            <a:rPr lang="en-US" sz="2000"/>
            <a:t>You only need to </a:t>
          </a:r>
          <a:r>
            <a:rPr lang="en-US" sz="2000" b="1"/>
            <a:t>fill in </a:t>
          </a:r>
          <a:r>
            <a:rPr lang="en-US" sz="2000" b="1">
              <a:solidFill>
                <a:sysClr val="windowText" lastClr="000000"/>
              </a:solidFill>
            </a:rPr>
            <a:t>the yellow-hi</a:t>
          </a:r>
          <a:r>
            <a:rPr lang="en-US" sz="2000" b="1"/>
            <a:t>ghlighted cells</a:t>
          </a:r>
          <a:r>
            <a:rPr lang="en-US" sz="2000"/>
            <a:t>.</a:t>
          </a:r>
        </a:p>
        <a:p>
          <a:br>
            <a:rPr lang="en-US" sz="2000"/>
          </a:br>
          <a:r>
            <a:rPr lang="en-US" sz="2000"/>
            <a:t>All </a:t>
          </a:r>
          <a:r>
            <a:rPr lang="en-US" sz="2000" b="1">
              <a:solidFill>
                <a:schemeClr val="accent3"/>
              </a:solidFill>
            </a:rPr>
            <a:t>gray</a:t>
          </a:r>
          <a:r>
            <a:rPr lang="en-US" sz="2000" b="1"/>
            <a:t> cells are calculated automatically</a:t>
          </a:r>
          <a:r>
            <a:rPr lang="en-US" sz="2000"/>
            <a:t> and should not be edited.</a:t>
          </a:r>
        </a:p>
        <a:p>
          <a:endParaRPr lang="en-US" sz="2000"/>
        </a:p>
        <a:p>
          <a:r>
            <a:rPr lang="en-US" sz="2000" b="1">
              <a:solidFill>
                <a:srgbClr val="00B0F0"/>
              </a:solidFill>
            </a:rPr>
            <a:t>Step 1. Make selections (yellow cells on the left)</a:t>
          </a:r>
        </a:p>
        <a:p>
          <a:endParaRPr lang="en-US" sz="2000" b="1"/>
        </a:p>
        <a:p>
          <a:r>
            <a:rPr lang="en-US" sz="2000"/>
            <a:t>Please complete the following fields in the </a:t>
          </a:r>
          <a:r>
            <a:rPr lang="en-US" sz="2000" b="1"/>
            <a:t>Selections</a:t>
          </a:r>
          <a:r>
            <a:rPr lang="en-US" sz="2000"/>
            <a:t> panel:</a:t>
          </a:r>
        </a:p>
        <a:p>
          <a:endParaRPr lang="en-US" sz="2000"/>
        </a:p>
        <a:p>
          <a:r>
            <a:rPr lang="en-US" sz="2000" b="1"/>
            <a:t>1) GDP Tier and PPP</a:t>
          </a:r>
          <a:endParaRPr lang="en-US" sz="2000"/>
        </a:p>
        <a:p>
          <a:pPr lvl="1"/>
          <a:r>
            <a:rPr lang="en-US" sz="2000"/>
            <a:t>Choose the appropriate option based on data availability:</a:t>
          </a:r>
        </a:p>
        <a:p>
          <a:pPr lvl="2"/>
          <a:r>
            <a:rPr lang="en-US" sz="2000"/>
            <a:t>- Tier 1 if GDP per capita data are available</a:t>
          </a:r>
        </a:p>
        <a:p>
          <a:pPr lvl="2"/>
          <a:r>
            <a:rPr lang="en-US" sz="2000"/>
            <a:t>- Tier 2 if GDP per capita data are not available</a:t>
          </a:r>
        </a:p>
        <a:p>
          <a:pPr lvl="1"/>
          <a:r>
            <a:rPr lang="en-US" sz="2000"/>
            <a:t>Select whether values are expressed in </a:t>
          </a:r>
          <a:r>
            <a:rPr lang="en-US" sz="2000" b="1"/>
            <a:t>2021 PPPs or 2017 PPPs</a:t>
          </a:r>
          <a:r>
            <a:rPr lang="en-US" sz="2000"/>
            <a:t>.</a:t>
          </a:r>
        </a:p>
        <a:p>
          <a:pPr lvl="1"/>
          <a:endParaRPr lang="en-US" sz="2000"/>
        </a:p>
        <a:p>
          <a:r>
            <a:rPr lang="en-US" sz="2000" b="1"/>
            <a:t>2) Poverty Line</a:t>
          </a:r>
          <a:endParaRPr lang="en-US" sz="2000"/>
        </a:p>
        <a:p>
          <a:pPr lvl="1"/>
          <a:r>
            <a:rPr lang="en-US" sz="2000"/>
            <a:t>Enter the poverty line (in PPP dollars per person per day) at which you want to estimate poverty.</a:t>
          </a:r>
        </a:p>
        <a:p>
          <a:pPr lvl="1"/>
          <a:r>
            <a:rPr lang="en-US" sz="2000"/>
            <a:t>If</a:t>
          </a:r>
          <a:r>
            <a:rPr lang="en-US" sz="2000" baseline="0"/>
            <a:t> you selected 2021 PPPs, choose $3.00, $4.20, and $8.00 poverty line. </a:t>
          </a:r>
        </a:p>
        <a:p>
          <a:pPr lvl="1"/>
          <a:r>
            <a:rPr lang="en-US" sz="2000" baseline="0"/>
            <a:t>If you selected 2017 PPPs, choose $2.15, $3.65, and $6.85 poverty line.</a:t>
          </a:r>
          <a:endParaRPr lang="en-US" sz="2000"/>
        </a:p>
        <a:p>
          <a:pPr lvl="1"/>
          <a:endParaRPr lang="en-US" sz="2000"/>
        </a:p>
        <a:p>
          <a:r>
            <a:rPr lang="en-US" sz="2000" b="1"/>
            <a:t>3) Income Group</a:t>
          </a:r>
          <a:endParaRPr lang="en-US" sz="2000"/>
        </a:p>
        <a:p>
          <a:pPr lvl="1"/>
          <a:r>
            <a:rPr lang="en-US" sz="2000"/>
            <a:t>Select the country’s income classification (low, lower-middle, upper-middle, or high income).</a:t>
          </a:r>
        </a:p>
        <a:p>
          <a:pPr lvl="1"/>
          <a:endParaRPr lang="en-US" sz="2000"/>
        </a:p>
        <a:p>
          <a:r>
            <a:rPr lang="en-US" sz="2000" b="1"/>
            <a:t>4) Regional Group</a:t>
          </a:r>
          <a:endParaRPr lang="en-US" sz="2000"/>
        </a:p>
        <a:p>
          <a:pPr lvl="1"/>
          <a:r>
            <a:rPr lang="en-US" sz="2000"/>
            <a:t>Select the country’s region.</a:t>
          </a:r>
        </a:p>
        <a:p>
          <a:pPr lvl="1"/>
          <a:endParaRPr lang="en-US" sz="2000"/>
        </a:p>
        <a:p>
          <a:r>
            <a:rPr lang="en-US" sz="2000" b="1"/>
            <a:t>5) Welfare Type</a:t>
          </a:r>
          <a:endParaRPr lang="en-US" sz="2000"/>
        </a:p>
        <a:p>
          <a:pPr lvl="1"/>
          <a:r>
            <a:rPr lang="en-US" sz="2000"/>
            <a:t>Choose whether the welfare concept is </a:t>
          </a:r>
          <a:r>
            <a:rPr lang="en-US" sz="2000" b="1"/>
            <a:t>consumption</a:t>
          </a:r>
          <a:r>
            <a:rPr lang="en-US" sz="2000"/>
            <a:t> or </a:t>
          </a:r>
          <a:r>
            <a:rPr lang="en-US" sz="2000" b="1"/>
            <a:t>income</a:t>
          </a:r>
          <a:r>
            <a:rPr lang="en-US" sz="2000"/>
            <a:t>.</a:t>
          </a:r>
        </a:p>
        <a:p>
          <a:endParaRPr lang="en-US" sz="2000"/>
        </a:p>
        <a:p>
          <a:r>
            <a:rPr lang="en-US" sz="2000"/>
            <a:t>The accompanying </a:t>
          </a:r>
          <a:r>
            <a:rPr lang="en-US" sz="2000" i="1"/>
            <a:t>Input_Data </a:t>
          </a:r>
          <a:r>
            <a:rPr lang="en-US" sz="2000"/>
            <a:t>files are provided as references for completing the required inputs. Users may also use their own data sources, provided they are consistent with the definitions used in the calculator.</a:t>
          </a:r>
        </a:p>
        <a:p>
          <a:endParaRPr lang="en-US" sz="2000"/>
        </a:p>
        <a:p>
          <a:r>
            <a:rPr lang="en-US" sz="2000" b="1">
              <a:solidFill>
                <a:srgbClr val="00B0F0"/>
              </a:solidFill>
            </a:rPr>
            <a:t>Step 2. Enter country inputs (yellow cells in the Inputs panel)</a:t>
          </a:r>
        </a:p>
        <a:p>
          <a:endParaRPr lang="en-US" sz="2000" b="1"/>
        </a:p>
        <a:p>
          <a:r>
            <a:rPr lang="en-US" sz="2000"/>
            <a:t>In the </a:t>
          </a:r>
          <a:r>
            <a:rPr lang="en-US" sz="2000" b="1"/>
            <a:t>Inputs</a:t>
          </a:r>
          <a:r>
            <a:rPr lang="en-US" sz="2000"/>
            <a:t> section, enter the required country-level indicators in the </a:t>
          </a:r>
          <a:r>
            <a:rPr lang="en-US" sz="2000" b="1"/>
            <a:t>Value</a:t>
          </a:r>
          <a:r>
            <a:rPr lang="en-US" sz="2000"/>
            <a:t> column:</a:t>
          </a:r>
        </a:p>
        <a:p>
          <a:endParaRPr lang="en-US" sz="2000">
            <a:solidFill>
              <a:sysClr val="windowText" lastClr="000000"/>
            </a:solidFill>
          </a:endParaRPr>
        </a:p>
        <a:p>
          <a:r>
            <a:rPr lang="en-US" sz="2000">
              <a:solidFill>
                <a:sysClr val="windowText" lastClr="000000"/>
              </a:solidFill>
            </a:rPr>
            <a:t>1)</a:t>
          </a:r>
          <a:r>
            <a:rPr lang="en-US" sz="2000" baseline="0">
              <a:solidFill>
                <a:sysClr val="windowText" lastClr="000000"/>
              </a:solidFill>
            </a:rPr>
            <a:t> Natural Log of </a:t>
          </a:r>
          <a:r>
            <a:rPr lang="en-US" sz="2000">
              <a:solidFill>
                <a:sysClr val="windowText" lastClr="000000"/>
              </a:solidFill>
            </a:rPr>
            <a:t>GDP per capita (2021 or 2017 PPPs)</a:t>
          </a:r>
          <a:r>
            <a:rPr lang="en-US" sz="2000" baseline="0">
              <a:solidFill>
                <a:sysClr val="windowText" lastClr="000000"/>
              </a:solidFill>
            </a:rPr>
            <a:t> </a:t>
          </a:r>
          <a:r>
            <a:rPr lang="en-US" sz="2000">
              <a:solidFill>
                <a:sysClr val="windowText" lastClr="000000"/>
              </a:solidFill>
            </a:rPr>
            <a:t>(if applicable)</a:t>
          </a:r>
        </a:p>
        <a:p>
          <a:r>
            <a:rPr lang="en-US" sz="2000">
              <a:solidFill>
                <a:sysClr val="windowText" lastClr="000000"/>
              </a:solidFill>
            </a:rPr>
            <a:t>2) Natural Log of Under-5 mortality rate (per</a:t>
          </a:r>
          <a:r>
            <a:rPr lang="en-US" sz="2000" baseline="0">
              <a:solidFill>
                <a:sysClr val="windowText" lastClr="000000"/>
              </a:solidFill>
            </a:rPr>
            <a:t> 1,000 live births)</a:t>
          </a:r>
          <a:endParaRPr lang="en-US" sz="2000">
            <a:solidFill>
              <a:sysClr val="windowText" lastClr="000000"/>
            </a:solidFill>
          </a:endParaRPr>
        </a:p>
        <a:p>
          <a:r>
            <a:rPr lang="en-US" sz="2000">
              <a:solidFill>
                <a:sysClr val="windowText" lastClr="000000"/>
              </a:solidFill>
            </a:rPr>
            <a:t>3) Life expectancy at birth (in years)</a:t>
          </a:r>
        </a:p>
        <a:p>
          <a:r>
            <a:rPr lang="en-US" sz="2000"/>
            <a:t>4)</a:t>
          </a:r>
          <a:r>
            <a:rPr lang="en-US" sz="2000" baseline="0"/>
            <a:t> </a:t>
          </a:r>
          <a:r>
            <a:rPr lang="en-US" sz="2000"/>
            <a:t>Rural population share (%) </a:t>
          </a:r>
        </a:p>
        <a:p>
          <a:endParaRPr lang="en-US" sz="2000"/>
        </a:p>
        <a:p>
          <a:r>
            <a:rPr lang="en-US" sz="2000"/>
            <a:t>All values should be entered using the units indicated in the table.</a:t>
          </a:r>
          <a:br>
            <a:rPr lang="en-US" sz="2000"/>
          </a:br>
          <a:r>
            <a:rPr lang="en-US" sz="2000"/>
            <a:t>The calculator will automatically apply the correct coefficients and transformations.</a:t>
          </a:r>
        </a:p>
        <a:p>
          <a:endParaRPr lang="en-US" sz="2000"/>
        </a:p>
        <a:p>
          <a:r>
            <a:rPr lang="en-US" sz="2000" b="1">
              <a:solidFill>
                <a:srgbClr val="00B0F0"/>
              </a:solidFill>
            </a:rPr>
            <a:t>Step 3. Review calculated components (gray cells)</a:t>
          </a:r>
        </a:p>
        <a:p>
          <a:endParaRPr lang="en-US" sz="2000" b="1">
            <a:solidFill>
              <a:srgbClr val="00B0F0"/>
            </a:solidFill>
          </a:endParaRPr>
        </a:p>
        <a:p>
          <a:r>
            <a:rPr lang="en-US" sz="2000"/>
            <a:t>The Coefficient-weighted values are calculated automatically</a:t>
          </a:r>
          <a:r>
            <a:rPr lang="en-US" sz="2000" baseline="0"/>
            <a:t> using inputted values from Step 2 and corresponding coefficients estimated by Mahler et al., (2026). </a:t>
          </a:r>
          <a:r>
            <a:rPr lang="en-US" sz="2000"/>
            <a:t>These cells are shown for transparency and documentation only.</a:t>
          </a:r>
        </a:p>
        <a:p>
          <a:br>
            <a:rPr lang="en-US" sz="2000"/>
          </a:br>
          <a:r>
            <a:rPr lang="en-US" sz="2000" b="1"/>
            <a:t>No manual input is required or expected in gray cells.</a:t>
          </a:r>
          <a:endParaRPr lang="en-US" sz="2000"/>
        </a:p>
        <a:p>
          <a:endParaRPr lang="en-US" sz="2000"/>
        </a:p>
        <a:p>
          <a:r>
            <a:rPr lang="en-US" sz="2000" b="1">
              <a:solidFill>
                <a:srgbClr val="00B0F0"/>
              </a:solidFill>
            </a:rPr>
            <a:t>Step 4. Read the results (Outputs panel)</a:t>
          </a:r>
        </a:p>
        <a:p>
          <a:endParaRPr lang="en-US" sz="2000" b="1">
            <a:solidFill>
              <a:srgbClr val="00B0F0"/>
            </a:solidFill>
          </a:endParaRPr>
        </a:p>
        <a:p>
          <a:r>
            <a:rPr lang="en-US" sz="2000"/>
            <a:t>The </a:t>
          </a:r>
          <a:r>
            <a:rPr lang="en-US" sz="2000" b="1"/>
            <a:t>Outputs</a:t>
          </a:r>
          <a:r>
            <a:rPr lang="en-US" sz="2000"/>
            <a:t> panel displays:</a:t>
          </a:r>
        </a:p>
        <a:p>
          <a:endParaRPr lang="en-US" sz="2000">
            <a:solidFill>
              <a:sysClr val="windowText" lastClr="000000"/>
            </a:solidFill>
          </a:endParaRPr>
        </a:p>
        <a:p>
          <a:r>
            <a:rPr lang="en-US" sz="2000" b="1">
              <a:solidFill>
                <a:sysClr val="windowText" lastClr="000000"/>
              </a:solidFill>
            </a:rPr>
            <a:t>1) X – </a:t>
          </a:r>
          <a:r>
            <a:rPr lang="en-US" sz="2000" b="0">
              <a:solidFill>
                <a:sysClr val="windowText" lastClr="000000"/>
              </a:solidFill>
            </a:rPr>
            <a:t>(</a:t>
          </a:r>
          <a:r>
            <a:rPr lang="en-US" sz="2000" b="0" baseline="0">
              <a:solidFill>
                <a:sysClr val="windowText" lastClr="000000"/>
              </a:solidFill>
            </a:rPr>
            <a:t>the predicted natural log of the median</a:t>
          </a:r>
          <a:r>
            <a:rPr lang="en-US" sz="2000" b="0">
              <a:solidFill>
                <a:sysClr val="windowText" lastClr="000000"/>
              </a:solidFill>
            </a:rPr>
            <a:t>)</a:t>
          </a:r>
        </a:p>
        <a:p>
          <a:r>
            <a:rPr lang="en-US" sz="2000" b="1">
              <a:solidFill>
                <a:sysClr val="windowText" lastClr="000000"/>
              </a:solidFill>
            </a:rPr>
            <a:t>2) Z – </a:t>
          </a:r>
          <a:r>
            <a:rPr lang="en-US" sz="2000" b="0">
              <a:solidFill>
                <a:sysClr val="windowText" lastClr="000000"/>
              </a:solidFill>
            </a:rPr>
            <a:t>(the predicted Gini coefficient)</a:t>
          </a:r>
        </a:p>
        <a:p>
          <a:r>
            <a:rPr lang="en-US" sz="2000" b="1">
              <a:solidFill>
                <a:sysClr val="windowText" lastClr="000000"/>
              </a:solidFill>
            </a:rPr>
            <a:t>3) Predicted poverty rate</a:t>
          </a:r>
          <a:r>
            <a:rPr lang="en-US" sz="2000">
              <a:solidFill>
                <a:sysClr val="windowText" lastClr="000000"/>
              </a:solidFill>
            </a:rPr>
            <a:t> at the selected poverty line</a:t>
          </a:r>
        </a:p>
        <a:p>
          <a:endParaRPr lang="en-US" sz="2000"/>
        </a:p>
        <a:p>
          <a:r>
            <a:rPr lang="en-US" sz="2000"/>
            <a:t>The poverty rate is reported as a percentage of the population,</a:t>
          </a:r>
          <a:r>
            <a:rPr lang="en-US" sz="2000" baseline="0"/>
            <a:t> for the selected poverty line. </a:t>
          </a:r>
          <a:endParaRPr lang="en-US" sz="2000"/>
        </a:p>
        <a:p>
          <a:endParaRPr lang="en-US" sz="2000"/>
        </a:p>
        <a:p>
          <a:r>
            <a:rPr lang="en-US" sz="2000" b="1" u="sng">
              <a:solidFill>
                <a:srgbClr val="002060"/>
              </a:solidFill>
            </a:rPr>
            <a:t>3. Primary Methodological Reference</a:t>
          </a:r>
        </a:p>
        <a:p>
          <a:endParaRPr lang="en-US" sz="2000"/>
        </a:p>
        <a:p>
          <a:r>
            <a:rPr lang="en-US" sz="2000"/>
            <a:t>Mahler et al. (2025). "Estimating poverty in countries without household surveys." Journal of Development Economics. https://www.sciencedirect.com/science/article/pii/S0304387825002469 </a:t>
          </a:r>
        </a:p>
        <a:p>
          <a:endParaRPr lang="en-US" sz="2000"/>
        </a:p>
        <a:p>
          <a:r>
            <a:rPr lang="en-US" sz="2000"/>
            <a:t>Poverty and Inequality Platform (PIP) methodology: World Bank. "5.8</a:t>
          </a:r>
          <a:r>
            <a:rPr lang="en-US" sz="2000" baseline="0"/>
            <a:t> T</a:t>
          </a:r>
          <a:r>
            <a:rPr lang="en-US" sz="2000"/>
            <a:t>reatment of Countries Without Data." https://datanalytics.worldbank.org/PIP-Methodology/lineupestimates.html#nodata </a:t>
          </a:r>
        </a:p>
        <a:p>
          <a:endParaRPr lang="en-US" sz="2000"/>
        </a:p>
        <a:p>
          <a:r>
            <a:rPr lang="en-US" sz="2000" b="1" i="1"/>
            <a:t>These estimates are produced solely to ensure completeness of regional and global aggregates and are not published as official country-level poverty rates in PIP. </a:t>
          </a:r>
        </a:p>
        <a:p>
          <a:endParaRPr lang="en-US" sz="2000" b="1" i="1"/>
        </a:p>
        <a:p>
          <a:pPr marL="0" indent="0"/>
          <a:r>
            <a:rPr lang="en-US" sz="2000" b="1" u="sng">
              <a:solidFill>
                <a:srgbClr val="002060"/>
              </a:solidFill>
              <a:latin typeface="+mn-lt"/>
              <a:ea typeface="+mn-ea"/>
              <a:cs typeface="+mn-cs"/>
            </a:rPr>
            <a:t>4. Dashboard Authors and Contact</a:t>
          </a:r>
        </a:p>
        <a:p>
          <a:endParaRPr lang="en-US" sz="2000" b="1" i="1"/>
        </a:p>
        <a:p>
          <a:r>
            <a:rPr lang="en-US" sz="2000"/>
            <a:t>This dashboard was developed by Jing Xie (jxie4@worldbank.org) and Daniel Gerszon Mahler (dmahler@worldbank.org). Please feel free to contact the authors with any questions or feedback.</a:t>
          </a:r>
          <a:endParaRPr lang="en-US" sz="2000" b="0" i="0"/>
        </a:p>
      </xdr:txBody>
    </xdr:sp>
    <xdr:clientData/>
  </xdr:oneCellAnchor>
  <xdr:twoCellAnchor>
    <xdr:from>
      <xdr:col>2</xdr:col>
      <xdr:colOff>455083</xdr:colOff>
      <xdr:row>5</xdr:row>
      <xdr:rowOff>158751</xdr:rowOff>
    </xdr:from>
    <xdr:to>
      <xdr:col>26</xdr:col>
      <xdr:colOff>84667</xdr:colOff>
      <xdr:row>173</xdr:row>
      <xdr:rowOff>0</xdr:rowOff>
    </xdr:to>
    <xdr:sp macro="" textlink="">
      <xdr:nvSpPr>
        <xdr:cNvPr id="5" name="Rectangle: Rounded Corners 4">
          <a:extLst>
            <a:ext uri="{FF2B5EF4-FFF2-40B4-BE49-F238E27FC236}">
              <a16:creationId xmlns:a16="http://schemas.microsoft.com/office/drawing/2014/main" id="{7536F92A-C1F7-449C-9791-AC75559A4D65}"/>
            </a:ext>
          </a:extLst>
        </xdr:cNvPr>
        <xdr:cNvSpPr/>
      </xdr:nvSpPr>
      <xdr:spPr>
        <a:xfrm>
          <a:off x="1736031" y="1061984"/>
          <a:ext cx="15000964" cy="30189869"/>
        </a:xfrm>
        <a:prstGeom prst="roundRect">
          <a:avLst/>
        </a:prstGeom>
        <a:noFill/>
        <a:ln w="76200">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596566</xdr:colOff>
      <xdr:row>13</xdr:row>
      <xdr:rowOff>15039</xdr:rowOff>
    </xdr:from>
    <xdr:to>
      <xdr:col>3</xdr:col>
      <xdr:colOff>2502</xdr:colOff>
      <xdr:row>29</xdr:row>
      <xdr:rowOff>154925</xdr:rowOff>
    </xdr:to>
    <xdr:sp macro="" textlink="">
      <xdr:nvSpPr>
        <xdr:cNvPr id="6" name="Rectangle 5">
          <a:extLst>
            <a:ext uri="{FF2B5EF4-FFF2-40B4-BE49-F238E27FC236}">
              <a16:creationId xmlns:a16="http://schemas.microsoft.com/office/drawing/2014/main" id="{500D4632-2588-DAA7-5BEE-0506332E2586}"/>
            </a:ext>
          </a:extLst>
        </xdr:cNvPr>
        <xdr:cNvSpPr/>
      </xdr:nvSpPr>
      <xdr:spPr>
        <a:xfrm>
          <a:off x="1244955" y="1483955"/>
          <a:ext cx="2223270" cy="3077717"/>
        </a:xfrm>
        <a:prstGeom prst="rect">
          <a:avLst/>
        </a:prstGeom>
        <a:noFill/>
        <a:ln>
          <a:solidFill>
            <a:srgbClr val="00B0F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1955</xdr:colOff>
      <xdr:row>13</xdr:row>
      <xdr:rowOff>15039</xdr:rowOff>
    </xdr:from>
    <xdr:to>
      <xdr:col>8</xdr:col>
      <xdr:colOff>75197</xdr:colOff>
      <xdr:row>32</xdr:row>
      <xdr:rowOff>165434</xdr:rowOff>
    </xdr:to>
    <xdr:sp macro="" textlink="">
      <xdr:nvSpPr>
        <xdr:cNvPr id="7" name="Rectangle 6">
          <a:extLst>
            <a:ext uri="{FF2B5EF4-FFF2-40B4-BE49-F238E27FC236}">
              <a16:creationId xmlns:a16="http://schemas.microsoft.com/office/drawing/2014/main" id="{890A2316-1696-4B23-A7DF-D84E49DB56FC}"/>
            </a:ext>
          </a:extLst>
        </xdr:cNvPr>
        <xdr:cNvSpPr/>
      </xdr:nvSpPr>
      <xdr:spPr>
        <a:xfrm>
          <a:off x="3139314" y="741688"/>
          <a:ext cx="5066502" cy="3601981"/>
        </a:xfrm>
        <a:prstGeom prst="rect">
          <a:avLst/>
        </a:prstGeom>
        <a:noFill/>
        <a:ln>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accent2"/>
            </a:solidFill>
          </a:endParaRPr>
        </a:p>
      </xdr:txBody>
    </xdr:sp>
    <xdr:clientData/>
  </xdr:twoCellAnchor>
  <xdr:twoCellAnchor>
    <xdr:from>
      <xdr:col>9</xdr:col>
      <xdr:colOff>769</xdr:colOff>
      <xdr:row>13</xdr:row>
      <xdr:rowOff>15039</xdr:rowOff>
    </xdr:from>
    <xdr:to>
      <xdr:col>11</xdr:col>
      <xdr:colOff>98195</xdr:colOff>
      <xdr:row>17</xdr:row>
      <xdr:rowOff>163429</xdr:rowOff>
    </xdr:to>
    <xdr:sp macro="" textlink="">
      <xdr:nvSpPr>
        <xdr:cNvPr id="8" name="Rectangle 7">
          <a:extLst>
            <a:ext uri="{FF2B5EF4-FFF2-40B4-BE49-F238E27FC236}">
              <a16:creationId xmlns:a16="http://schemas.microsoft.com/office/drawing/2014/main" id="{3EEEC92E-B0CE-4D64-8D9A-DCA584B14E1C}"/>
            </a:ext>
          </a:extLst>
        </xdr:cNvPr>
        <xdr:cNvSpPr/>
      </xdr:nvSpPr>
      <xdr:spPr>
        <a:xfrm>
          <a:off x="8715654" y="741688"/>
          <a:ext cx="2090802" cy="875040"/>
        </a:xfrm>
        <a:prstGeom prst="rect">
          <a:avLst/>
        </a:prstGeom>
        <a:noFill/>
        <a:ln>
          <a:solidFill>
            <a:schemeClr val="accent6">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171749</xdr:colOff>
      <xdr:row>1</xdr:row>
      <xdr:rowOff>134721</xdr:rowOff>
    </xdr:from>
    <xdr:to>
      <xdr:col>11</xdr:col>
      <xdr:colOff>609001</xdr:colOff>
      <xdr:row>36</xdr:row>
      <xdr:rowOff>28361</xdr:rowOff>
    </xdr:to>
    <xdr:sp macro="" textlink="">
      <xdr:nvSpPr>
        <xdr:cNvPr id="10" name="Rectangle: Rounded Corners 9">
          <a:extLst>
            <a:ext uri="{FF2B5EF4-FFF2-40B4-BE49-F238E27FC236}">
              <a16:creationId xmlns:a16="http://schemas.microsoft.com/office/drawing/2014/main" id="{5CBECD4B-ADCC-F35E-052F-165A2FF62504}"/>
            </a:ext>
          </a:extLst>
        </xdr:cNvPr>
        <xdr:cNvSpPr/>
      </xdr:nvSpPr>
      <xdr:spPr>
        <a:xfrm>
          <a:off x="171749" y="134721"/>
          <a:ext cx="11158983" cy="5388832"/>
        </a:xfrm>
        <a:prstGeom prst="roundRect">
          <a:avLst/>
        </a:prstGeom>
        <a:noFill/>
        <a:ln w="76200">
          <a:solidFill>
            <a:srgbClr val="00206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oneCellAnchor>
    <xdr:from>
      <xdr:col>2</xdr:col>
      <xdr:colOff>18317</xdr:colOff>
      <xdr:row>2</xdr:row>
      <xdr:rowOff>24424</xdr:rowOff>
    </xdr:from>
    <xdr:ext cx="9952404" cy="468013"/>
    <xdr:sp macro="" textlink="">
      <xdr:nvSpPr>
        <xdr:cNvPr id="11" name="TextBox 10">
          <a:extLst>
            <a:ext uri="{FF2B5EF4-FFF2-40B4-BE49-F238E27FC236}">
              <a16:creationId xmlns:a16="http://schemas.microsoft.com/office/drawing/2014/main" id="{982A0853-E04A-1236-3FF6-C8CE9F073C9D}"/>
            </a:ext>
          </a:extLst>
        </xdr:cNvPr>
        <xdr:cNvSpPr txBox="1"/>
      </xdr:nvSpPr>
      <xdr:spPr>
        <a:xfrm>
          <a:off x="665529" y="207597"/>
          <a:ext cx="9952404" cy="468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2400" b="1">
              <a:solidFill>
                <a:srgbClr val="002060"/>
              </a:solidFill>
            </a:rPr>
            <a:t>Missing Poverty Country</a:t>
          </a:r>
          <a:r>
            <a:rPr lang="en-US" sz="2400" b="1" baseline="0">
              <a:solidFill>
                <a:srgbClr val="002060"/>
              </a:solidFill>
            </a:rPr>
            <a:t> Calculator </a:t>
          </a:r>
          <a:endParaRPr lang="en-US" sz="2400" b="1">
            <a:solidFill>
              <a:srgbClr val="002060"/>
            </a:solidFill>
          </a:endParaRPr>
        </a:p>
      </xdr:txBody>
    </xdr:sp>
    <xdr:clientData/>
  </xdr:oneCellAnchor>
  <xdr:twoCellAnchor>
    <xdr:from>
      <xdr:col>4</xdr:col>
      <xdr:colOff>79375</xdr:colOff>
      <xdr:row>4</xdr:row>
      <xdr:rowOff>122116</xdr:rowOff>
    </xdr:from>
    <xdr:to>
      <xdr:col>8</xdr:col>
      <xdr:colOff>18317</xdr:colOff>
      <xdr:row>4</xdr:row>
      <xdr:rowOff>140433</xdr:rowOff>
    </xdr:to>
    <xdr:cxnSp macro="">
      <xdr:nvCxnSpPr>
        <xdr:cNvPr id="13" name="Straight Connector 12">
          <a:extLst>
            <a:ext uri="{FF2B5EF4-FFF2-40B4-BE49-F238E27FC236}">
              <a16:creationId xmlns:a16="http://schemas.microsoft.com/office/drawing/2014/main" id="{7207900C-D91A-27CE-79A5-AA76A12F2593}"/>
            </a:ext>
          </a:extLst>
        </xdr:cNvPr>
        <xdr:cNvCxnSpPr/>
      </xdr:nvCxnSpPr>
      <xdr:spPr>
        <a:xfrm flipV="1">
          <a:off x="3217740" y="671635"/>
          <a:ext cx="4945673" cy="18317"/>
        </a:xfrm>
        <a:prstGeom prst="line">
          <a:avLst/>
        </a:prstGeom>
        <a:ln w="28575">
          <a:solidFill>
            <a:srgbClr val="00206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637681</xdr:colOff>
      <xdr:row>32</xdr:row>
      <xdr:rowOff>146537</xdr:rowOff>
    </xdr:from>
    <xdr:to>
      <xdr:col>2</xdr:col>
      <xdr:colOff>2117481</xdr:colOff>
      <xdr:row>34</xdr:row>
      <xdr:rowOff>82061</xdr:rowOff>
    </xdr:to>
    <xdr:pic>
      <xdr:nvPicPr>
        <xdr:cNvPr id="17" name="x_x_Picture 3">
          <a:extLst>
            <a:ext uri="{FF2B5EF4-FFF2-40B4-BE49-F238E27FC236}">
              <a16:creationId xmlns:a16="http://schemas.microsoft.com/office/drawing/2014/main" id="{CA40A4E9-1543-F32A-4BDF-BAE6616FA22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82450" y="5092211"/>
          <a:ext cx="2124569" cy="3018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1</xdr:col>
      <xdr:colOff>553288</xdr:colOff>
      <xdr:row>5</xdr:row>
      <xdr:rowOff>49026</xdr:rowOff>
    </xdr:from>
    <xdr:ext cx="10582555" cy="1125693"/>
    <xdr:sp macro="" textlink="">
      <xdr:nvSpPr>
        <xdr:cNvPr id="4" name="TextBox 3">
          <a:extLst>
            <a:ext uri="{FF2B5EF4-FFF2-40B4-BE49-F238E27FC236}">
              <a16:creationId xmlns:a16="http://schemas.microsoft.com/office/drawing/2014/main" id="{D4A76981-201C-315C-6D85-1DE918046177}"/>
            </a:ext>
          </a:extLst>
        </xdr:cNvPr>
        <xdr:cNvSpPr txBox="1"/>
      </xdr:nvSpPr>
      <xdr:spPr>
        <a:xfrm>
          <a:off x="1199236" y="952259"/>
          <a:ext cx="10582555" cy="11256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i="0"/>
            <a:t>This calculator allows users to estimate poverty rates for countries and years where official poverty data are missing, </a:t>
          </a:r>
          <a:r>
            <a:rPr lang="en-US" sz="1100" i="0" baseline="0"/>
            <a:t> </a:t>
          </a:r>
          <a:r>
            <a:rPr lang="en-US" sz="1100" i="0"/>
            <a:t>by applying standardized interpolation and extrapolation rules consistent with the World Bank Poverty and Inequality Platform (PIP) methodology. Users only need to provide the required macroeconomic and demographic inputs, while all calculations are performed automatically in the background. </a:t>
          </a:r>
        </a:p>
        <a:p>
          <a:endParaRPr lang="en-US" sz="1100" i="1"/>
        </a:p>
        <a:p>
          <a:r>
            <a:rPr lang="en-US" i="1"/>
            <a:t>The example presented below is consistent with the illustration shown in Chapter 5.8 of the PIP Methodology book (i.e.,</a:t>
          </a:r>
          <a:r>
            <a:rPr lang="en-US" i="1" baseline="0"/>
            <a:t> Poverty Rate at the $8.30 line in Libya in 2024)</a:t>
          </a:r>
          <a:r>
            <a:rPr lang="en-US" i="1"/>
            <a:t>. Users can apply this calculator by following the instructions provided in the </a:t>
          </a:r>
          <a:r>
            <a:rPr lang="en-US" b="1" i="1"/>
            <a:t>“Read Me”</a:t>
          </a:r>
          <a:r>
            <a:rPr lang="en-US" i="1"/>
            <a:t> sheet</a:t>
          </a:r>
          <a:r>
            <a:rPr lang="en-US" i="1" baseline="0"/>
            <a:t> (fill-in</a:t>
          </a:r>
          <a:r>
            <a:rPr lang="en-US" i="1" baseline="0">
              <a:solidFill>
                <a:sysClr val="windowText" lastClr="000000"/>
              </a:solidFill>
            </a:rPr>
            <a:t> Yellow </a:t>
          </a:r>
          <a:r>
            <a:rPr lang="en-US" i="1" baseline="0"/>
            <a:t>highlighted cells)</a:t>
          </a:r>
          <a:endParaRPr lang="en-US" sz="1100" i="1"/>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sheetPr>
  <dimension ref="A1"/>
  <sheetViews>
    <sheetView showGridLines="0" tabSelected="1" zoomScale="58" zoomScaleNormal="66" workbookViewId="0">
      <selection activeCell="B7" sqref="B7"/>
    </sheetView>
  </sheetViews>
  <sheetFormatPr defaultColWidth="10.6640625" defaultRowHeight="14.25" x14ac:dyDescent="0.45"/>
  <cols>
    <col min="1" max="27" width="9" customWidth="1"/>
  </cols>
  <sheetData/>
  <pageMargins left="0.7" right="0.7" top="0.75" bottom="0.75" header="0.3" footer="0.3"/>
  <pageSetup paperSize="9" orientation="portrait" horizontalDpi="300" verticalDpi="300"/>
  <headerFooter scaleWithDoc="0" alignWithMargins="0">
    <oddFooter>&amp;R_x000D_&amp;1#&amp;"Calibri"&amp;10&amp;K000000 Official Use Only</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C13:K35"/>
  <sheetViews>
    <sheetView showGridLines="0" zoomScale="87" zoomScaleNormal="73" workbookViewId="0">
      <selection activeCell="A5" sqref="A5"/>
    </sheetView>
  </sheetViews>
  <sheetFormatPr defaultColWidth="10.6640625" defaultRowHeight="14.25" x14ac:dyDescent="0.45"/>
  <cols>
    <col min="1" max="2" width="9" customWidth="1"/>
    <col min="3" max="3" width="32.1328125" customWidth="1"/>
    <col min="4" max="4" width="4.3984375" customWidth="1"/>
    <col min="5" max="5" width="26" customWidth="1"/>
    <col min="6" max="8" width="14.73046875" customWidth="1"/>
    <col min="9" max="9" width="8.1328125" customWidth="1"/>
    <col min="10" max="10" width="34.6640625" customWidth="1"/>
    <col min="11" max="13" width="9" customWidth="1"/>
  </cols>
  <sheetData>
    <row r="13" spans="3:11" x14ac:dyDescent="0.45">
      <c r="C13" s="17" t="s">
        <v>33</v>
      </c>
      <c r="E13" s="4" t="s">
        <v>24</v>
      </c>
      <c r="F13" s="1"/>
      <c r="G13" s="1"/>
      <c r="H13" s="1"/>
      <c r="J13" s="7" t="s">
        <v>26</v>
      </c>
      <c r="K13" s="8"/>
    </row>
    <row r="14" spans="3:11" x14ac:dyDescent="0.45">
      <c r="E14" s="4"/>
      <c r="F14" s="4" t="s">
        <v>38</v>
      </c>
      <c r="G14" s="4" t="s">
        <v>39</v>
      </c>
      <c r="H14" s="4" t="s">
        <v>40</v>
      </c>
      <c r="J14" s="7"/>
      <c r="K14" s="8"/>
    </row>
    <row r="15" spans="3:11" x14ac:dyDescent="0.45">
      <c r="C15" s="17" t="s">
        <v>36</v>
      </c>
      <c r="E15" s="4" t="s">
        <v>10</v>
      </c>
      <c r="F15" s="5"/>
      <c r="G15" s="5"/>
      <c r="H15" s="5"/>
      <c r="J15" s="8" t="s">
        <v>51</v>
      </c>
      <c r="K15" s="9">
        <f>SUM(H16:H27)</f>
        <v>2.3501879206170959</v>
      </c>
    </row>
    <row r="16" spans="3:11" x14ac:dyDescent="0.45">
      <c r="C16" s="2" t="s">
        <v>28</v>
      </c>
      <c r="E16" s="12" t="s">
        <v>11</v>
      </c>
      <c r="F16" s="15">
        <v>1</v>
      </c>
      <c r="G16" s="15">
        <f>_xlfn.XLOOKUP($C$16,'Estimated Coefficients'!$B$2:$E$2,'Estimated Coefficients'!$B4:$E4)</f>
        <v>-2.264044572</v>
      </c>
      <c r="H16" s="15">
        <f>F16*G16</f>
        <v>-2.264044572</v>
      </c>
      <c r="J16" s="8" t="s">
        <v>52</v>
      </c>
      <c r="K16" s="9">
        <f>SUM(H29:H32)</f>
        <v>0.34648927299999999</v>
      </c>
    </row>
    <row r="17" spans="3:11" x14ac:dyDescent="0.45">
      <c r="C17" s="18"/>
      <c r="E17" s="12" t="s">
        <v>46</v>
      </c>
      <c r="F17" s="14">
        <f>LN(12276)</f>
        <v>9.4154014157396269</v>
      </c>
      <c r="G17" s="15">
        <f>_xlfn.XLOOKUP($C$16,'Estimated Coefficients'!$B$2:$E$2,'Estimated Coefficients'!$B5:$E5)</f>
        <v>0.43163306800000001</v>
      </c>
      <c r="H17" s="15">
        <f t="shared" ref="H17:H27" si="0">F17*G17</f>
        <v>4.0639985995272383</v>
      </c>
      <c r="J17" s="10" t="s">
        <v>25</v>
      </c>
      <c r="K17" s="11">
        <f>(1+(EXP(K15)/C19)^(1/K16))^-1</f>
        <v>0.33734451881758909</v>
      </c>
    </row>
    <row r="18" spans="3:11" x14ac:dyDescent="0.45">
      <c r="C18" s="17" t="s">
        <v>50</v>
      </c>
      <c r="E18" s="12" t="s">
        <v>47</v>
      </c>
      <c r="F18" s="14">
        <f>LN(14.8)</f>
        <v>2.6946271807700692</v>
      </c>
      <c r="G18" s="15">
        <f>_xlfn.XLOOKUP($C$16,'Estimated Coefficients'!$B$2:$E$2,'Estimated Coefficients'!$B6:$E6)</f>
        <v>-0.15322289</v>
      </c>
      <c r="H18" s="15">
        <f t="shared" si="0"/>
        <v>-0.41287856411014245</v>
      </c>
      <c r="J18" s="8"/>
      <c r="K18" s="8"/>
    </row>
    <row r="19" spans="3:11" x14ac:dyDescent="0.45">
      <c r="C19" s="3">
        <v>8.3000000000000007</v>
      </c>
      <c r="E19" s="12" t="s">
        <v>44</v>
      </c>
      <c r="F19" s="14">
        <v>71.099999999999994</v>
      </c>
      <c r="G19" s="15">
        <f>_xlfn.XLOOKUP($C$16,'Estimated Coefficients'!$B$2:$E$2,'Estimated Coefficients'!$B7:$E7)</f>
        <v>1.4232587E-2</v>
      </c>
      <c r="H19" s="15">
        <f t="shared" si="0"/>
        <v>1.0119369356999999</v>
      </c>
      <c r="J19" s="8"/>
      <c r="K19" s="8"/>
    </row>
    <row r="20" spans="3:11" x14ac:dyDescent="0.45">
      <c r="C20" s="18"/>
      <c r="E20" s="12" t="s">
        <v>45</v>
      </c>
      <c r="F20" s="14">
        <v>18.100000000000001</v>
      </c>
      <c r="G20" s="15">
        <f>_xlfn.XLOOKUP($C$16,'Estimated Coefficients'!$B$2:$E$2,'Estimated Coefficients'!$B8:$E8)</f>
        <v>-2.6974849999999999E-3</v>
      </c>
      <c r="H20" s="15">
        <f t="shared" si="0"/>
        <v>-4.8824478500000004E-2</v>
      </c>
      <c r="J20" s="8"/>
      <c r="K20" s="8"/>
    </row>
    <row r="21" spans="3:11" x14ac:dyDescent="0.45">
      <c r="C21" s="17" t="s">
        <v>34</v>
      </c>
      <c r="E21" s="12" t="s">
        <v>16</v>
      </c>
      <c r="F21" s="15"/>
      <c r="G21" s="15"/>
      <c r="H21" s="15"/>
      <c r="J21" s="8"/>
      <c r="K21" s="8"/>
    </row>
    <row r="22" spans="3:11" x14ac:dyDescent="0.45">
      <c r="C22" s="2" t="s">
        <v>4</v>
      </c>
      <c r="E22" s="13" t="s">
        <v>4</v>
      </c>
      <c r="F22" s="15">
        <f>IF(E22=$C$22,1)</f>
        <v>1</v>
      </c>
      <c r="G22" s="15">
        <f>_xlfn.XLOOKUP($C$16,'Estimated Coefficients'!$B$2:$E$2,'Estimated Coefficients'!$B10:$E10)</f>
        <v>0</v>
      </c>
      <c r="H22" s="15">
        <f>F22*G22</f>
        <v>0</v>
      </c>
      <c r="J22" s="8"/>
      <c r="K22" s="8"/>
    </row>
    <row r="23" spans="3:11" x14ac:dyDescent="0.45">
      <c r="C23" s="18"/>
      <c r="E23" s="13" t="s">
        <v>17</v>
      </c>
      <c r="F23" s="15" t="b">
        <f>IF(E23=$C$22,1)</f>
        <v>0</v>
      </c>
      <c r="G23" s="15">
        <f>_xlfn.XLOOKUP($C$16,'Estimated Coefficients'!$B$2:$E$2,'Estimated Coefficients'!$B11:$E11)</f>
        <v>0</v>
      </c>
      <c r="H23" s="15">
        <f>F23*G23</f>
        <v>0</v>
      </c>
    </row>
    <row r="24" spans="3:11" x14ac:dyDescent="0.45">
      <c r="C24" s="17" t="s">
        <v>35</v>
      </c>
      <c r="E24" s="13" t="s">
        <v>18</v>
      </c>
      <c r="F24" s="15" t="b">
        <f>IF(E24=$C$22,1)</f>
        <v>0</v>
      </c>
      <c r="G24" s="15">
        <f>_xlfn.XLOOKUP($C$16,'Estimated Coefficients'!$B$2:$E$2,'Estimated Coefficients'!$B12:$E12)</f>
        <v>0</v>
      </c>
      <c r="H24" s="15">
        <f>F24*G24</f>
        <v>0</v>
      </c>
    </row>
    <row r="25" spans="3:11" x14ac:dyDescent="0.45">
      <c r="C25" s="2" t="s">
        <v>37</v>
      </c>
      <c r="E25" s="13" t="s">
        <v>2</v>
      </c>
      <c r="F25" s="15" t="b">
        <f>IF(E25=$C$22,1)</f>
        <v>0</v>
      </c>
      <c r="G25" s="15">
        <f>_xlfn.XLOOKUP($C$16,'Estimated Coefficients'!$B$2:$E$2,'Estimated Coefficients'!$B13:$E13)</f>
        <v>0</v>
      </c>
      <c r="H25" s="15">
        <f>F25*G25</f>
        <v>0</v>
      </c>
    </row>
    <row r="26" spans="3:11" x14ac:dyDescent="0.45">
      <c r="C26" s="18"/>
      <c r="E26" s="12" t="s">
        <v>19</v>
      </c>
      <c r="F26" s="15">
        <f>IF(C28="Income", 1,0)</f>
        <v>0</v>
      </c>
      <c r="G26" s="15">
        <f>_xlfn.XLOOKUP($C$16,'Estimated Coefficients'!$B$2:$E$2,'Estimated Coefficients'!$B14:$E14)</f>
        <v>-4.1401950799999998</v>
      </c>
      <c r="H26" s="15">
        <f t="shared" si="0"/>
        <v>0</v>
      </c>
    </row>
    <row r="27" spans="3:11" x14ac:dyDescent="0.45">
      <c r="C27" s="17" t="s">
        <v>41</v>
      </c>
      <c r="E27" s="12" t="s">
        <v>48</v>
      </c>
      <c r="F27" s="15">
        <f>F26*F17</f>
        <v>0</v>
      </c>
      <c r="G27" s="15">
        <f>_xlfn.XLOOKUP($C$16,'Estimated Coefficients'!$B$2:$E$2,'Estimated Coefficients'!$B15:$E15)</f>
        <v>0.432780846</v>
      </c>
      <c r="H27" s="15">
        <f t="shared" si="0"/>
        <v>0</v>
      </c>
    </row>
    <row r="28" spans="3:11" x14ac:dyDescent="0.45">
      <c r="C28" s="2" t="s">
        <v>42</v>
      </c>
      <c r="E28" s="4" t="s">
        <v>21</v>
      </c>
      <c r="F28" s="15"/>
      <c r="G28" s="15"/>
      <c r="H28" s="15"/>
    </row>
    <row r="29" spans="3:11" x14ac:dyDescent="0.45">
      <c r="E29" s="12" t="s">
        <v>11</v>
      </c>
      <c r="F29" s="15">
        <v>1</v>
      </c>
      <c r="G29" s="15">
        <f>_xlfn.XLOOKUP($C$16,'Estimated Coefficients'!$B$2:$E$2,'Estimated Coefficients'!$B17:$E17)</f>
        <v>0.34648927299999999</v>
      </c>
      <c r="H29" s="15">
        <f>F29*G29</f>
        <v>0.34648927299999999</v>
      </c>
    </row>
    <row r="30" spans="3:11" x14ac:dyDescent="0.45">
      <c r="E30" s="12" t="s">
        <v>1</v>
      </c>
      <c r="F30" s="15">
        <f>IF(E30=$C$25,1,0)</f>
        <v>0</v>
      </c>
      <c r="G30" s="15">
        <f>_xlfn.XLOOKUP($C$16,'Estimated Coefficients'!$B$2:$E$2,'Estimated Coefficients'!$B18:$E18)</f>
        <v>-2.6387236000000001E-2</v>
      </c>
      <c r="H30" s="15">
        <f t="shared" ref="H30:H32" si="1">F30*G30</f>
        <v>0</v>
      </c>
    </row>
    <row r="31" spans="3:11" x14ac:dyDescent="0.45">
      <c r="E31" s="12" t="s">
        <v>3</v>
      </c>
      <c r="F31" s="15">
        <f t="shared" ref="F31:F32" si="2">IF(E31=$C$25,1,0)</f>
        <v>0</v>
      </c>
      <c r="G31" s="15">
        <f>_xlfn.XLOOKUP($C$16,'Estimated Coefficients'!$B$2:$E$2,'Estimated Coefficients'!$B19:$E19)</f>
        <v>0.148162564</v>
      </c>
      <c r="H31" s="15">
        <f t="shared" si="1"/>
        <v>0</v>
      </c>
    </row>
    <row r="32" spans="3:11" x14ac:dyDescent="0.45">
      <c r="E32" s="12" t="s">
        <v>7</v>
      </c>
      <c r="F32" s="15">
        <f t="shared" si="2"/>
        <v>0</v>
      </c>
      <c r="G32" s="15">
        <f>_xlfn.XLOOKUP($C$16,'Estimated Coefficients'!$B$2:$E$2,'Estimated Coefficients'!$B20:$E20)</f>
        <v>6.0945452999999997E-2</v>
      </c>
      <c r="H32" s="15">
        <f t="shared" si="1"/>
        <v>0</v>
      </c>
    </row>
    <row r="33" spans="5:9" x14ac:dyDescent="0.45">
      <c r="E33" s="5"/>
      <c r="F33" s="5"/>
      <c r="G33" s="5"/>
      <c r="H33" s="5"/>
    </row>
    <row r="34" spans="5:9" x14ac:dyDescent="0.45">
      <c r="E34" s="6"/>
      <c r="F34" s="5"/>
      <c r="G34" s="5"/>
      <c r="H34" s="5"/>
      <c r="I34" s="16"/>
    </row>
    <row r="35" spans="5:9" x14ac:dyDescent="0.45">
      <c r="E35" s="5"/>
      <c r="F35" s="5"/>
      <c r="G35" s="5"/>
      <c r="H35" s="5"/>
    </row>
  </sheetData>
  <pageMargins left="0.7" right="0.7" top="0.75" bottom="0.75" header="0.3" footer="0.3"/>
  <pageSetup paperSize="9" orientation="portrait" horizontalDpi="300" verticalDpi="300"/>
  <headerFooter scaleWithDoc="0" alignWithMargins="0">
    <oddFooter>&amp;R_x000D_&amp;1#&amp;"Calibri"&amp;10&amp;K000000 Official Use Only</oddFooter>
  </headerFooter>
  <drawing r:id="rId1"/>
  <extLst>
    <ext xmlns:x14="http://schemas.microsoft.com/office/spreadsheetml/2009/9/main" uri="{CCE6A557-97BC-4b89-ADB6-D9C93CAAB3DF}">
      <x14:dataValidations xmlns:xm="http://schemas.microsoft.com/office/excel/2006/main" count="5">
        <x14:dataValidation type="list" allowBlank="1" showInputMessage="1" showErrorMessage="1" xr:uid="{24959C20-5A37-4731-A29D-C7E62026471C}">
          <x14:formula1>
            <xm:f>'Selection List '!$A$2:$A$5</xm:f>
          </x14:formula1>
          <xm:sqref>D14 C16</xm:sqref>
        </x14:dataValidation>
        <x14:dataValidation type="list" allowBlank="1" showInputMessage="1" showErrorMessage="1" xr:uid="{7F66EB7E-80D8-497B-970A-24AF94D0B172}">
          <x14:formula1>
            <xm:f>'Selection List '!$A$8:$A$13</xm:f>
          </x14:formula1>
          <xm:sqref>C19</xm:sqref>
        </x14:dataValidation>
        <x14:dataValidation type="list" allowBlank="1" showInputMessage="1" showErrorMessage="1" xr:uid="{E6C958E9-E304-45DA-A7D1-9E075C478D8C}">
          <x14:formula1>
            <xm:f>'Selection List '!$A$16:$A$19</xm:f>
          </x14:formula1>
          <xm:sqref>C22</xm:sqref>
        </x14:dataValidation>
        <x14:dataValidation type="list" allowBlank="1" showInputMessage="1" showErrorMessage="1" xr:uid="{3E40141E-DA73-4C3B-9D06-2DC45EA7433C}">
          <x14:formula1>
            <xm:f>'Selection List '!$A$22:$A$28</xm:f>
          </x14:formula1>
          <xm:sqref>C25</xm:sqref>
        </x14:dataValidation>
        <x14:dataValidation type="list" allowBlank="1" showInputMessage="1" showErrorMessage="1" xr:uid="{5186C778-82C5-4B4B-9DB0-CEEF7A7542E5}">
          <x14:formula1>
            <xm:f>'Selection List '!$A$31:$A$32</xm:f>
          </x14:formula1>
          <xm:sqref>C28</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499984740745262"/>
  </sheetPr>
  <dimension ref="A1:N9811"/>
  <sheetViews>
    <sheetView workbookViewId="0">
      <selection activeCell="E6" sqref="E6"/>
    </sheetView>
  </sheetViews>
  <sheetFormatPr defaultColWidth="10.6640625" defaultRowHeight="14.25" x14ac:dyDescent="0.45"/>
  <cols>
    <col min="1" max="1" width="4.73046875" bestFit="1" customWidth="1"/>
    <col min="2" max="2" width="10.9296875" bestFit="1" customWidth="1"/>
    <col min="3" max="3" width="18.06640625" bestFit="1" customWidth="1"/>
    <col min="4" max="4" width="21.9296875" bestFit="1" customWidth="1"/>
    <col min="5" max="5" width="15.6640625" bestFit="1" customWidth="1"/>
    <col min="6" max="6" width="17.86328125" bestFit="1" customWidth="1"/>
    <col min="7" max="7" width="17.9296875" bestFit="1" customWidth="1"/>
    <col min="8" max="8" width="10.53125" bestFit="1" customWidth="1"/>
    <col min="9" max="9" width="21" bestFit="1" customWidth="1"/>
    <col min="10" max="11" width="31.53125" bestFit="1" customWidth="1"/>
    <col min="12" max="12" width="21.86328125" bestFit="1" customWidth="1"/>
    <col min="13" max="13" width="18" bestFit="1" customWidth="1"/>
    <col min="14" max="14" width="24.46484375" bestFit="1" customWidth="1"/>
  </cols>
  <sheetData>
    <row r="1" spans="1:14" x14ac:dyDescent="0.45">
      <c r="A1" t="s">
        <v>53</v>
      </c>
      <c r="B1" t="s">
        <v>272</v>
      </c>
      <c r="C1" t="s">
        <v>273</v>
      </c>
      <c r="D1" t="s">
        <v>274</v>
      </c>
      <c r="E1" t="s">
        <v>275</v>
      </c>
      <c r="F1" t="s">
        <v>276</v>
      </c>
      <c r="G1" t="s">
        <v>277</v>
      </c>
      <c r="H1" t="s">
        <v>278</v>
      </c>
      <c r="I1" t="s">
        <v>279</v>
      </c>
      <c r="J1" t="s">
        <v>280</v>
      </c>
      <c r="K1" t="s">
        <v>281</v>
      </c>
      <c r="L1" t="s">
        <v>282</v>
      </c>
      <c r="M1" t="s">
        <v>283</v>
      </c>
      <c r="N1" t="s">
        <v>284</v>
      </c>
    </row>
    <row r="2" spans="1:14" x14ac:dyDescent="0.45">
      <c r="A2">
        <v>1981</v>
      </c>
      <c r="B2" t="s">
        <v>54</v>
      </c>
      <c r="C2">
        <v>0</v>
      </c>
      <c r="D2">
        <v>1</v>
      </c>
      <c r="E2">
        <v>0</v>
      </c>
      <c r="F2">
        <v>0</v>
      </c>
      <c r="G2">
        <v>0</v>
      </c>
      <c r="H2">
        <v>1</v>
      </c>
      <c r="I2">
        <v>1</v>
      </c>
      <c r="L2">
        <v>49.543999999999997</v>
      </c>
      <c r="M2">
        <v>71.343999999999994</v>
      </c>
      <c r="N2">
        <v>25.795999999999999</v>
      </c>
    </row>
    <row r="3" spans="1:14" x14ac:dyDescent="0.45">
      <c r="A3">
        <v>1981</v>
      </c>
      <c r="B3" t="s">
        <v>55</v>
      </c>
      <c r="C3">
        <v>0</v>
      </c>
      <c r="D3">
        <v>0</v>
      </c>
      <c r="E3">
        <v>0</v>
      </c>
      <c r="F3">
        <v>0</v>
      </c>
      <c r="G3">
        <v>0</v>
      </c>
      <c r="H3">
        <v>0</v>
      </c>
      <c r="I3">
        <v>0</v>
      </c>
      <c r="L3">
        <v>83.438000000000002</v>
      </c>
      <c r="M3">
        <v>39.405999999999999</v>
      </c>
      <c r="N3">
        <v>257.09800000000001</v>
      </c>
    </row>
    <row r="4" spans="1:14" x14ac:dyDescent="0.45">
      <c r="A4">
        <v>1981</v>
      </c>
      <c r="B4" t="s">
        <v>56</v>
      </c>
      <c r="C4">
        <v>0</v>
      </c>
      <c r="D4">
        <v>0</v>
      </c>
      <c r="E4">
        <v>1</v>
      </c>
      <c r="F4">
        <v>1</v>
      </c>
      <c r="G4">
        <v>0</v>
      </c>
      <c r="H4">
        <v>0</v>
      </c>
      <c r="I4">
        <v>0</v>
      </c>
      <c r="J4">
        <v>8218.2724874286796</v>
      </c>
      <c r="K4">
        <v>6355.6075654762199</v>
      </c>
      <c r="L4">
        <v>74.563000000000002</v>
      </c>
      <c r="M4">
        <v>42.555999999999997</v>
      </c>
      <c r="N4">
        <v>241.03399999999999</v>
      </c>
    </row>
    <row r="5" spans="1:14" x14ac:dyDescent="0.45">
      <c r="A5">
        <v>1981</v>
      </c>
      <c r="B5" t="s">
        <v>57</v>
      </c>
      <c r="C5">
        <v>1</v>
      </c>
      <c r="D5">
        <v>0</v>
      </c>
      <c r="E5">
        <v>0</v>
      </c>
      <c r="F5">
        <v>1</v>
      </c>
      <c r="G5">
        <v>0</v>
      </c>
      <c r="H5">
        <v>0</v>
      </c>
      <c r="I5">
        <v>0</v>
      </c>
      <c r="J5">
        <v>5351.04644935343</v>
      </c>
      <c r="K5">
        <v>4847.8026430405998</v>
      </c>
      <c r="L5">
        <v>65.975999999999999</v>
      </c>
      <c r="M5">
        <v>70.144999999999996</v>
      </c>
      <c r="N5">
        <v>58.19</v>
      </c>
    </row>
    <row r="6" spans="1:14" x14ac:dyDescent="0.45">
      <c r="A6">
        <v>1981</v>
      </c>
      <c r="B6" t="s">
        <v>58</v>
      </c>
      <c r="C6">
        <v>1</v>
      </c>
      <c r="D6">
        <v>0</v>
      </c>
      <c r="E6">
        <v>0</v>
      </c>
      <c r="F6">
        <v>0</v>
      </c>
      <c r="G6">
        <v>0</v>
      </c>
      <c r="H6">
        <v>1</v>
      </c>
      <c r="I6">
        <v>1</v>
      </c>
      <c r="J6">
        <v>52953.373257111198</v>
      </c>
      <c r="K6">
        <v>44450.312988017402</v>
      </c>
      <c r="L6">
        <v>7.2</v>
      </c>
      <c r="M6">
        <v>77.391000000000005</v>
      </c>
      <c r="N6">
        <v>13.086</v>
      </c>
    </row>
    <row r="7" spans="1:14" x14ac:dyDescent="0.45">
      <c r="A7">
        <v>1981</v>
      </c>
      <c r="B7" t="s">
        <v>59</v>
      </c>
      <c r="C7">
        <v>0</v>
      </c>
      <c r="D7">
        <v>0</v>
      </c>
      <c r="E7">
        <v>0</v>
      </c>
      <c r="F7">
        <v>0</v>
      </c>
      <c r="G7">
        <v>0</v>
      </c>
      <c r="H7">
        <v>1</v>
      </c>
      <c r="I7">
        <v>1</v>
      </c>
      <c r="J7">
        <v>212308.21573484299</v>
      </c>
      <c r="K7">
        <v>209753.86982053699</v>
      </c>
      <c r="L7">
        <v>19.317</v>
      </c>
      <c r="M7">
        <v>68.622</v>
      </c>
      <c r="N7">
        <v>32.265000000000001</v>
      </c>
    </row>
    <row r="8" spans="1:14" x14ac:dyDescent="0.45">
      <c r="A8">
        <v>1981</v>
      </c>
      <c r="B8" t="s">
        <v>60</v>
      </c>
      <c r="C8">
        <v>0</v>
      </c>
      <c r="D8">
        <v>1</v>
      </c>
      <c r="E8">
        <v>0</v>
      </c>
      <c r="F8">
        <v>0</v>
      </c>
      <c r="G8">
        <v>1</v>
      </c>
      <c r="H8">
        <v>0</v>
      </c>
      <c r="I8">
        <v>0</v>
      </c>
      <c r="J8">
        <v>20693.303343355201</v>
      </c>
      <c r="K8">
        <v>17078.385856358302</v>
      </c>
      <c r="L8">
        <v>16.687000000000001</v>
      </c>
      <c r="M8">
        <v>68.858000000000004</v>
      </c>
      <c r="N8">
        <v>39.655000000000001</v>
      </c>
    </row>
    <row r="9" spans="1:14" x14ac:dyDescent="0.45">
      <c r="A9">
        <v>1981</v>
      </c>
      <c r="B9" t="s">
        <v>61</v>
      </c>
      <c r="C9">
        <v>1</v>
      </c>
      <c r="D9">
        <v>0</v>
      </c>
      <c r="E9">
        <v>0</v>
      </c>
      <c r="F9">
        <v>1</v>
      </c>
      <c r="G9">
        <v>0</v>
      </c>
      <c r="H9">
        <v>0</v>
      </c>
      <c r="I9">
        <v>0</v>
      </c>
      <c r="L9">
        <v>33.741</v>
      </c>
      <c r="M9">
        <v>65.706999999999994</v>
      </c>
      <c r="N9">
        <v>70.540000000000006</v>
      </c>
    </row>
    <row r="10" spans="1:14" x14ac:dyDescent="0.45">
      <c r="A10">
        <v>1981</v>
      </c>
      <c r="B10" t="s">
        <v>62</v>
      </c>
      <c r="C10">
        <v>0</v>
      </c>
      <c r="D10">
        <v>0</v>
      </c>
      <c r="E10">
        <v>0</v>
      </c>
      <c r="F10">
        <v>0</v>
      </c>
      <c r="G10">
        <v>0</v>
      </c>
      <c r="H10">
        <v>1</v>
      </c>
      <c r="I10">
        <v>1</v>
      </c>
      <c r="L10">
        <v>24.957000000000001</v>
      </c>
      <c r="M10">
        <v>69.730999999999995</v>
      </c>
      <c r="N10">
        <v>20.495000000000001</v>
      </c>
    </row>
    <row r="11" spans="1:14" x14ac:dyDescent="0.45">
      <c r="A11">
        <v>1981</v>
      </c>
      <c r="B11" t="s">
        <v>63</v>
      </c>
      <c r="C11">
        <v>0</v>
      </c>
      <c r="D11">
        <v>1</v>
      </c>
      <c r="E11">
        <v>0</v>
      </c>
      <c r="F11">
        <v>0</v>
      </c>
      <c r="G11">
        <v>1</v>
      </c>
      <c r="H11">
        <v>0</v>
      </c>
      <c r="I11">
        <v>0</v>
      </c>
      <c r="J11">
        <v>12124.146520031099</v>
      </c>
      <c r="K11">
        <v>9548.9393789782407</v>
      </c>
      <c r="L11">
        <v>65.302000000000007</v>
      </c>
      <c r="M11">
        <v>73.319999999999993</v>
      </c>
      <c r="N11">
        <v>15.147</v>
      </c>
    </row>
    <row r="12" spans="1:14" x14ac:dyDescent="0.45">
      <c r="A12">
        <v>1981</v>
      </c>
      <c r="B12" t="s">
        <v>64</v>
      </c>
      <c r="C12">
        <v>0</v>
      </c>
      <c r="D12">
        <v>0</v>
      </c>
      <c r="E12">
        <v>0</v>
      </c>
      <c r="F12">
        <v>0</v>
      </c>
      <c r="G12">
        <v>0</v>
      </c>
      <c r="H12">
        <v>1</v>
      </c>
      <c r="I12">
        <v>1</v>
      </c>
      <c r="J12">
        <v>30186.6297295611</v>
      </c>
      <c r="K12">
        <v>26146.1973654539</v>
      </c>
      <c r="L12">
        <v>14.3</v>
      </c>
      <c r="M12">
        <v>74.783000000000001</v>
      </c>
      <c r="N12">
        <v>12.637</v>
      </c>
    </row>
    <row r="13" spans="1:14" x14ac:dyDescent="0.45">
      <c r="A13">
        <v>1981</v>
      </c>
      <c r="B13" t="s">
        <v>65</v>
      </c>
      <c r="C13">
        <v>1</v>
      </c>
      <c r="D13">
        <v>0</v>
      </c>
      <c r="E13">
        <v>0</v>
      </c>
      <c r="F13">
        <v>0</v>
      </c>
      <c r="G13">
        <v>0</v>
      </c>
      <c r="H13">
        <v>1</v>
      </c>
      <c r="I13">
        <v>1</v>
      </c>
      <c r="J13">
        <v>37303.842872795401</v>
      </c>
      <c r="K13">
        <v>31788.676148543698</v>
      </c>
      <c r="L13">
        <v>34.636000000000003</v>
      </c>
      <c r="M13">
        <v>72.989999999999995</v>
      </c>
      <c r="N13">
        <v>14.98</v>
      </c>
    </row>
    <row r="14" spans="1:14" x14ac:dyDescent="0.45">
      <c r="A14">
        <v>1981</v>
      </c>
      <c r="B14" t="s">
        <v>66</v>
      </c>
      <c r="C14">
        <v>1</v>
      </c>
      <c r="D14">
        <v>0</v>
      </c>
      <c r="E14">
        <v>0</v>
      </c>
      <c r="F14">
        <v>1</v>
      </c>
      <c r="G14">
        <v>0</v>
      </c>
      <c r="H14">
        <v>0</v>
      </c>
      <c r="I14">
        <v>0</v>
      </c>
      <c r="L14">
        <v>47.103000000000002</v>
      </c>
      <c r="M14">
        <v>61.908000000000001</v>
      </c>
      <c r="N14">
        <v>110.79</v>
      </c>
    </row>
    <row r="15" spans="1:14" x14ac:dyDescent="0.45">
      <c r="A15">
        <v>1981</v>
      </c>
      <c r="B15" t="s">
        <v>67</v>
      </c>
      <c r="C15">
        <v>0</v>
      </c>
      <c r="D15">
        <v>0</v>
      </c>
      <c r="E15">
        <v>1</v>
      </c>
      <c r="F15">
        <v>0</v>
      </c>
      <c r="G15">
        <v>0</v>
      </c>
      <c r="H15">
        <v>0</v>
      </c>
      <c r="I15">
        <v>0</v>
      </c>
      <c r="J15">
        <v>1166.1397816343499</v>
      </c>
      <c r="K15">
        <v>1007.66516730034</v>
      </c>
      <c r="L15">
        <v>95.497</v>
      </c>
      <c r="M15">
        <v>46.411999999999999</v>
      </c>
      <c r="N15">
        <v>211.38</v>
      </c>
    </row>
    <row r="16" spans="1:14" x14ac:dyDescent="0.45">
      <c r="A16">
        <v>1981</v>
      </c>
      <c r="B16" t="s">
        <v>68</v>
      </c>
      <c r="C16">
        <v>1</v>
      </c>
      <c r="D16">
        <v>0</v>
      </c>
      <c r="E16">
        <v>0</v>
      </c>
      <c r="F16">
        <v>0</v>
      </c>
      <c r="G16">
        <v>0</v>
      </c>
      <c r="H16">
        <v>1</v>
      </c>
      <c r="I16">
        <v>1</v>
      </c>
      <c r="J16">
        <v>35492.1295778637</v>
      </c>
      <c r="K16">
        <v>29867.217148711799</v>
      </c>
      <c r="L16">
        <v>4.4649999999999999</v>
      </c>
      <c r="M16">
        <v>73.652000000000001</v>
      </c>
      <c r="N16">
        <v>13.741</v>
      </c>
    </row>
    <row r="17" spans="1:14" x14ac:dyDescent="0.45">
      <c r="A17">
        <v>1981</v>
      </c>
      <c r="B17" t="s">
        <v>69</v>
      </c>
      <c r="C17">
        <v>0</v>
      </c>
      <c r="D17">
        <v>0</v>
      </c>
      <c r="E17">
        <v>1</v>
      </c>
      <c r="F17">
        <v>0</v>
      </c>
      <c r="G17">
        <v>0</v>
      </c>
      <c r="H17">
        <v>0</v>
      </c>
      <c r="I17">
        <v>0</v>
      </c>
      <c r="J17">
        <v>2282.6972719391401</v>
      </c>
      <c r="K17">
        <v>2165.7133385623501</v>
      </c>
      <c r="L17">
        <v>71.989999999999995</v>
      </c>
      <c r="M17">
        <v>48.122</v>
      </c>
      <c r="N17">
        <v>208.054</v>
      </c>
    </row>
    <row r="18" spans="1:14" x14ac:dyDescent="0.45">
      <c r="A18">
        <v>1981</v>
      </c>
      <c r="B18" t="s">
        <v>70</v>
      </c>
      <c r="C18">
        <v>0</v>
      </c>
      <c r="D18">
        <v>0</v>
      </c>
      <c r="E18">
        <v>1</v>
      </c>
      <c r="F18">
        <v>0</v>
      </c>
      <c r="G18">
        <v>0</v>
      </c>
      <c r="H18">
        <v>0</v>
      </c>
      <c r="I18">
        <v>0</v>
      </c>
      <c r="J18">
        <v>1000.37825429827</v>
      </c>
      <c r="K18">
        <v>915.28316570509605</v>
      </c>
      <c r="L18">
        <v>90.572000000000003</v>
      </c>
      <c r="M18">
        <v>46.866</v>
      </c>
      <c r="N18">
        <v>235.97300000000001</v>
      </c>
    </row>
    <row r="19" spans="1:14" x14ac:dyDescent="0.45">
      <c r="A19">
        <v>1981</v>
      </c>
      <c r="B19" t="s">
        <v>71</v>
      </c>
      <c r="C19">
        <v>0</v>
      </c>
      <c r="D19">
        <v>0</v>
      </c>
      <c r="E19">
        <v>0</v>
      </c>
      <c r="F19">
        <v>0</v>
      </c>
      <c r="G19">
        <v>0</v>
      </c>
      <c r="H19">
        <v>0</v>
      </c>
      <c r="I19">
        <v>0</v>
      </c>
      <c r="J19">
        <v>1864.1241135086</v>
      </c>
      <c r="K19">
        <v>1515.52277262334</v>
      </c>
      <c r="L19">
        <v>84.198999999999998</v>
      </c>
      <c r="M19">
        <v>52.637999999999998</v>
      </c>
      <c r="N19">
        <v>199.59700000000001</v>
      </c>
    </row>
    <row r="20" spans="1:14" x14ac:dyDescent="0.45">
      <c r="A20">
        <v>1981</v>
      </c>
      <c r="B20" t="s">
        <v>72</v>
      </c>
      <c r="C20">
        <v>1</v>
      </c>
      <c r="D20">
        <v>0</v>
      </c>
      <c r="E20">
        <v>0</v>
      </c>
      <c r="F20">
        <v>1</v>
      </c>
      <c r="G20">
        <v>0</v>
      </c>
      <c r="H20">
        <v>0</v>
      </c>
      <c r="I20">
        <v>0</v>
      </c>
      <c r="J20">
        <v>10716.6791454466</v>
      </c>
      <c r="K20">
        <v>8892.6947043901491</v>
      </c>
      <c r="L20">
        <v>37.396999999999998</v>
      </c>
      <c r="M20">
        <v>71.477999999999994</v>
      </c>
      <c r="N20">
        <v>22.856999999999999</v>
      </c>
    </row>
    <row r="21" spans="1:14" x14ac:dyDescent="0.45">
      <c r="A21">
        <v>1981</v>
      </c>
      <c r="B21" t="s">
        <v>73</v>
      </c>
      <c r="C21">
        <v>0</v>
      </c>
      <c r="D21">
        <v>0</v>
      </c>
      <c r="E21">
        <v>0</v>
      </c>
      <c r="F21">
        <v>0</v>
      </c>
      <c r="G21">
        <v>0</v>
      </c>
      <c r="H21">
        <v>1</v>
      </c>
      <c r="I21">
        <v>1</v>
      </c>
      <c r="J21">
        <v>51912.870196666197</v>
      </c>
      <c r="K21">
        <v>48370.452641097501</v>
      </c>
      <c r="L21">
        <v>13.683</v>
      </c>
      <c r="M21">
        <v>71.037000000000006</v>
      </c>
      <c r="N21">
        <v>30.977</v>
      </c>
    </row>
    <row r="22" spans="1:14" x14ac:dyDescent="0.45">
      <c r="A22">
        <v>1981</v>
      </c>
      <c r="B22" t="s">
        <v>74</v>
      </c>
      <c r="C22">
        <v>0</v>
      </c>
      <c r="D22">
        <v>1</v>
      </c>
      <c r="E22">
        <v>0</v>
      </c>
      <c r="F22">
        <v>0</v>
      </c>
      <c r="G22">
        <v>0</v>
      </c>
      <c r="H22">
        <v>1</v>
      </c>
      <c r="I22">
        <v>1</v>
      </c>
      <c r="J22">
        <v>29490.689135008801</v>
      </c>
      <c r="K22">
        <v>30590.2785233061</v>
      </c>
      <c r="L22">
        <v>26.157</v>
      </c>
      <c r="M22">
        <v>69.367999999999995</v>
      </c>
      <c r="N22">
        <v>32.015000000000001</v>
      </c>
    </row>
    <row r="23" spans="1:14" x14ac:dyDescent="0.45">
      <c r="A23">
        <v>1981</v>
      </c>
      <c r="B23" t="s">
        <v>75</v>
      </c>
      <c r="C23">
        <v>1</v>
      </c>
      <c r="D23">
        <v>0</v>
      </c>
      <c r="E23">
        <v>0</v>
      </c>
      <c r="F23">
        <v>0</v>
      </c>
      <c r="G23">
        <v>1</v>
      </c>
      <c r="H23">
        <v>0</v>
      </c>
      <c r="I23">
        <v>0</v>
      </c>
      <c r="L23">
        <v>63.718000000000004</v>
      </c>
      <c r="M23">
        <v>70.055000000000007</v>
      </c>
      <c r="N23">
        <v>31.85</v>
      </c>
    </row>
    <row r="24" spans="1:14" x14ac:dyDescent="0.45">
      <c r="A24">
        <v>1981</v>
      </c>
      <c r="B24" t="s">
        <v>76</v>
      </c>
      <c r="C24">
        <v>1</v>
      </c>
      <c r="D24">
        <v>0</v>
      </c>
      <c r="E24">
        <v>0</v>
      </c>
      <c r="F24">
        <v>0</v>
      </c>
      <c r="G24">
        <v>1</v>
      </c>
      <c r="H24">
        <v>0</v>
      </c>
      <c r="I24">
        <v>0</v>
      </c>
      <c r="L24">
        <v>42.415999999999997</v>
      </c>
      <c r="M24">
        <v>70.754000000000005</v>
      </c>
      <c r="N24">
        <v>19.774999999999999</v>
      </c>
    </row>
    <row r="25" spans="1:14" x14ac:dyDescent="0.45">
      <c r="A25">
        <v>1981</v>
      </c>
      <c r="B25" t="s">
        <v>77</v>
      </c>
      <c r="C25">
        <v>0</v>
      </c>
      <c r="D25">
        <v>1</v>
      </c>
      <c r="E25">
        <v>0</v>
      </c>
      <c r="F25">
        <v>1</v>
      </c>
      <c r="G25">
        <v>0</v>
      </c>
      <c r="H25">
        <v>0</v>
      </c>
      <c r="I25">
        <v>0</v>
      </c>
      <c r="J25">
        <v>6959.6741230362404</v>
      </c>
      <c r="K25">
        <v>5484.8716924440996</v>
      </c>
      <c r="L25">
        <v>50.817</v>
      </c>
      <c r="M25">
        <v>67.094999999999999</v>
      </c>
      <c r="N25">
        <v>62.228000000000002</v>
      </c>
    </row>
    <row r="26" spans="1:14" x14ac:dyDescent="0.45">
      <c r="A26">
        <v>1981</v>
      </c>
      <c r="B26" t="s">
        <v>78</v>
      </c>
      <c r="C26">
        <v>0</v>
      </c>
      <c r="D26">
        <v>0</v>
      </c>
      <c r="E26">
        <v>0</v>
      </c>
      <c r="F26">
        <v>0</v>
      </c>
      <c r="G26">
        <v>0</v>
      </c>
      <c r="H26">
        <v>1</v>
      </c>
      <c r="I26">
        <v>1</v>
      </c>
      <c r="J26">
        <v>77235.6075932612</v>
      </c>
      <c r="K26">
        <v>68621.050550620406</v>
      </c>
      <c r="L26">
        <v>0</v>
      </c>
      <c r="M26">
        <v>72.891999999999996</v>
      </c>
      <c r="N26">
        <v>17.204999999999998</v>
      </c>
    </row>
    <row r="27" spans="1:14" x14ac:dyDescent="0.45">
      <c r="A27">
        <v>1981</v>
      </c>
      <c r="B27" t="s">
        <v>79</v>
      </c>
      <c r="C27">
        <v>0</v>
      </c>
      <c r="D27">
        <v>1</v>
      </c>
      <c r="E27">
        <v>0</v>
      </c>
      <c r="F27">
        <v>1</v>
      </c>
      <c r="G27">
        <v>0</v>
      </c>
      <c r="H27">
        <v>0</v>
      </c>
      <c r="I27">
        <v>0</v>
      </c>
      <c r="J27">
        <v>6424.07510910376</v>
      </c>
      <c r="K27">
        <v>5669.56885400393</v>
      </c>
      <c r="L27">
        <v>53.540999999999997</v>
      </c>
      <c r="M27">
        <v>52.259</v>
      </c>
      <c r="N27">
        <v>201.04</v>
      </c>
    </row>
    <row r="28" spans="1:14" x14ac:dyDescent="0.45">
      <c r="A28">
        <v>1981</v>
      </c>
      <c r="B28" t="s">
        <v>80</v>
      </c>
      <c r="C28">
        <v>0</v>
      </c>
      <c r="D28">
        <v>1</v>
      </c>
      <c r="E28">
        <v>0</v>
      </c>
      <c r="F28">
        <v>0</v>
      </c>
      <c r="G28">
        <v>1</v>
      </c>
      <c r="H28">
        <v>0</v>
      </c>
      <c r="I28">
        <v>0</v>
      </c>
      <c r="J28">
        <v>12620.969881806899</v>
      </c>
      <c r="K28">
        <v>10366.980034025501</v>
      </c>
      <c r="L28">
        <v>33.630000000000003</v>
      </c>
      <c r="M28">
        <v>62.267000000000003</v>
      </c>
      <c r="N28">
        <v>91.491</v>
      </c>
    </row>
    <row r="29" spans="1:14" x14ac:dyDescent="0.45">
      <c r="A29">
        <v>1981</v>
      </c>
      <c r="B29" t="s">
        <v>81</v>
      </c>
      <c r="C29">
        <v>0</v>
      </c>
      <c r="D29">
        <v>1</v>
      </c>
      <c r="E29">
        <v>0</v>
      </c>
      <c r="F29">
        <v>0</v>
      </c>
      <c r="G29">
        <v>1</v>
      </c>
      <c r="H29">
        <v>0</v>
      </c>
      <c r="I29">
        <v>0</v>
      </c>
      <c r="J29">
        <v>15342.7811646808</v>
      </c>
      <c r="K29">
        <v>14653.883684214101</v>
      </c>
      <c r="L29">
        <v>60.171999999999997</v>
      </c>
      <c r="M29">
        <v>72.63</v>
      </c>
      <c r="N29">
        <v>25.817</v>
      </c>
    </row>
    <row r="30" spans="1:14" x14ac:dyDescent="0.45">
      <c r="A30">
        <v>1981</v>
      </c>
      <c r="B30" t="s">
        <v>82</v>
      </c>
      <c r="C30">
        <v>0</v>
      </c>
      <c r="D30">
        <v>0</v>
      </c>
      <c r="E30">
        <v>0</v>
      </c>
      <c r="F30">
        <v>0</v>
      </c>
      <c r="G30">
        <v>0</v>
      </c>
      <c r="H30">
        <v>1</v>
      </c>
      <c r="I30">
        <v>1</v>
      </c>
      <c r="J30">
        <v>210011.30540334401</v>
      </c>
      <c r="K30">
        <v>163977.76679828999</v>
      </c>
      <c r="L30">
        <v>34.901000000000003</v>
      </c>
      <c r="M30">
        <v>69.343999999999994</v>
      </c>
      <c r="N30">
        <v>20.113</v>
      </c>
    </row>
    <row r="31" spans="1:14" x14ac:dyDescent="0.45">
      <c r="A31">
        <v>1981</v>
      </c>
      <c r="B31" t="s">
        <v>83</v>
      </c>
      <c r="C31">
        <v>0</v>
      </c>
      <c r="D31">
        <v>0</v>
      </c>
      <c r="E31">
        <v>0</v>
      </c>
      <c r="F31">
        <v>0</v>
      </c>
      <c r="G31">
        <v>0</v>
      </c>
      <c r="H31">
        <v>0</v>
      </c>
      <c r="I31">
        <v>0</v>
      </c>
      <c r="J31">
        <v>1952.16248111193</v>
      </c>
      <c r="K31">
        <v>1690.8195810468901</v>
      </c>
      <c r="L31">
        <v>89.353999999999999</v>
      </c>
      <c r="M31">
        <v>48.975000000000001</v>
      </c>
      <c r="N31">
        <v>187.47499999999999</v>
      </c>
    </row>
    <row r="32" spans="1:14" x14ac:dyDescent="0.45">
      <c r="A32">
        <v>1981</v>
      </c>
      <c r="B32" t="s">
        <v>84</v>
      </c>
      <c r="C32">
        <v>0</v>
      </c>
      <c r="D32">
        <v>0</v>
      </c>
      <c r="E32">
        <v>1</v>
      </c>
      <c r="F32">
        <v>1</v>
      </c>
      <c r="G32">
        <v>0</v>
      </c>
      <c r="H32">
        <v>0</v>
      </c>
      <c r="I32">
        <v>0</v>
      </c>
      <c r="J32">
        <v>5419.0836872961099</v>
      </c>
      <c r="K32">
        <v>4903.1134102240003</v>
      </c>
      <c r="L32">
        <v>82.447999999999993</v>
      </c>
      <c r="M32">
        <v>63.027000000000001</v>
      </c>
      <c r="N32">
        <v>68.665999999999997</v>
      </c>
    </row>
    <row r="33" spans="1:14" x14ac:dyDescent="0.45">
      <c r="A33">
        <v>1981</v>
      </c>
      <c r="B33" t="s">
        <v>85</v>
      </c>
      <c r="C33">
        <v>0</v>
      </c>
      <c r="D33">
        <v>0</v>
      </c>
      <c r="E33">
        <v>1</v>
      </c>
      <c r="F33">
        <v>0</v>
      </c>
      <c r="G33">
        <v>0</v>
      </c>
      <c r="H33">
        <v>0</v>
      </c>
      <c r="I33">
        <v>0</v>
      </c>
      <c r="J33">
        <v>1486.3275247842801</v>
      </c>
      <c r="K33">
        <v>1190.02861392311</v>
      </c>
      <c r="L33">
        <v>65.798000000000002</v>
      </c>
      <c r="M33">
        <v>50.027999999999999</v>
      </c>
      <c r="N33">
        <v>186.18100000000001</v>
      </c>
    </row>
    <row r="34" spans="1:14" x14ac:dyDescent="0.45">
      <c r="A34">
        <v>1981</v>
      </c>
      <c r="B34" t="s">
        <v>86</v>
      </c>
      <c r="C34">
        <v>0</v>
      </c>
      <c r="D34">
        <v>0</v>
      </c>
      <c r="E34">
        <v>0</v>
      </c>
      <c r="F34">
        <v>0</v>
      </c>
      <c r="G34">
        <v>0</v>
      </c>
      <c r="H34">
        <v>1</v>
      </c>
      <c r="I34">
        <v>1</v>
      </c>
      <c r="J34">
        <v>34781.288077675301</v>
      </c>
      <c r="K34">
        <v>30107.259478726901</v>
      </c>
      <c r="L34">
        <v>24.288</v>
      </c>
      <c r="M34">
        <v>75.481999999999999</v>
      </c>
      <c r="N34">
        <v>11.683999999999999</v>
      </c>
    </row>
    <row r="35" spans="1:14" x14ac:dyDescent="0.45">
      <c r="A35">
        <v>1981</v>
      </c>
      <c r="B35" t="s">
        <v>87</v>
      </c>
      <c r="C35">
        <v>1</v>
      </c>
      <c r="D35">
        <v>0</v>
      </c>
      <c r="E35">
        <v>0</v>
      </c>
      <c r="F35">
        <v>0</v>
      </c>
      <c r="G35">
        <v>0</v>
      </c>
      <c r="H35">
        <v>1</v>
      </c>
      <c r="I35">
        <v>1</v>
      </c>
      <c r="J35">
        <v>55982.1873936431</v>
      </c>
      <c r="K35">
        <v>48702.650108744499</v>
      </c>
      <c r="L35">
        <v>25.533999999999999</v>
      </c>
      <c r="M35">
        <v>75.817999999999998</v>
      </c>
      <c r="N35">
        <v>9.7309999999999999</v>
      </c>
    </row>
    <row r="36" spans="1:14" x14ac:dyDescent="0.45">
      <c r="A36">
        <v>1981</v>
      </c>
      <c r="B36" t="s">
        <v>88</v>
      </c>
      <c r="C36">
        <v>1</v>
      </c>
      <c r="D36">
        <v>0</v>
      </c>
      <c r="E36">
        <v>0</v>
      </c>
      <c r="F36">
        <v>0</v>
      </c>
      <c r="G36">
        <v>0</v>
      </c>
      <c r="H36">
        <v>1</v>
      </c>
      <c r="I36">
        <v>1</v>
      </c>
      <c r="L36">
        <v>68.090999999999994</v>
      </c>
      <c r="M36">
        <v>73.781650223531003</v>
      </c>
      <c r="N36">
        <v>22.811601939303301</v>
      </c>
    </row>
    <row r="37" spans="1:14" x14ac:dyDescent="0.45">
      <c r="A37">
        <v>1981</v>
      </c>
      <c r="B37" t="s">
        <v>89</v>
      </c>
      <c r="C37">
        <v>0</v>
      </c>
      <c r="D37">
        <v>1</v>
      </c>
      <c r="E37">
        <v>0</v>
      </c>
      <c r="F37">
        <v>1</v>
      </c>
      <c r="G37">
        <v>0</v>
      </c>
      <c r="H37">
        <v>0</v>
      </c>
      <c r="I37">
        <v>0</v>
      </c>
      <c r="J37">
        <v>9745.3782733066892</v>
      </c>
      <c r="K37">
        <v>8489.0230805952706</v>
      </c>
      <c r="L37">
        <v>18.222000000000001</v>
      </c>
      <c r="M37">
        <v>69.822000000000003</v>
      </c>
      <c r="N37">
        <v>31.888999999999999</v>
      </c>
    </row>
    <row r="38" spans="1:14" x14ac:dyDescent="0.45">
      <c r="A38">
        <v>1981</v>
      </c>
      <c r="B38" t="s">
        <v>90</v>
      </c>
      <c r="C38">
        <v>0</v>
      </c>
      <c r="D38">
        <v>0</v>
      </c>
      <c r="E38">
        <v>0</v>
      </c>
      <c r="F38">
        <v>0</v>
      </c>
      <c r="G38">
        <v>0</v>
      </c>
      <c r="H38">
        <v>0</v>
      </c>
      <c r="I38">
        <v>0</v>
      </c>
      <c r="J38">
        <v>812.66599838170396</v>
      </c>
      <c r="K38">
        <v>728.502447744086</v>
      </c>
      <c r="L38">
        <v>79.882000000000005</v>
      </c>
      <c r="M38">
        <v>64.778000000000006</v>
      </c>
      <c r="N38">
        <v>61.63</v>
      </c>
    </row>
    <row r="39" spans="1:14" x14ac:dyDescent="0.45">
      <c r="A39">
        <v>1981</v>
      </c>
      <c r="B39" t="s">
        <v>91</v>
      </c>
      <c r="C39">
        <v>0</v>
      </c>
      <c r="D39">
        <v>0</v>
      </c>
      <c r="E39">
        <v>1</v>
      </c>
      <c r="F39">
        <v>1</v>
      </c>
      <c r="G39">
        <v>0</v>
      </c>
      <c r="H39">
        <v>0</v>
      </c>
      <c r="I39">
        <v>0</v>
      </c>
      <c r="J39">
        <v>6901.1721805995003</v>
      </c>
      <c r="K39">
        <v>5825.6056718755699</v>
      </c>
      <c r="L39">
        <v>62.956000000000003</v>
      </c>
      <c r="M39">
        <v>51.790999999999997</v>
      </c>
      <c r="N39">
        <v>165.81399999999999</v>
      </c>
    </row>
    <row r="40" spans="1:14" x14ac:dyDescent="0.45">
      <c r="A40">
        <v>1981</v>
      </c>
      <c r="B40" t="s">
        <v>92</v>
      </c>
      <c r="C40">
        <v>0</v>
      </c>
      <c r="D40">
        <v>0</v>
      </c>
      <c r="E40">
        <v>1</v>
      </c>
      <c r="F40">
        <v>1</v>
      </c>
      <c r="G40">
        <v>0</v>
      </c>
      <c r="H40">
        <v>0</v>
      </c>
      <c r="I40">
        <v>0</v>
      </c>
      <c r="J40">
        <v>3980.2050160493</v>
      </c>
      <c r="K40">
        <v>3125.3069894270998</v>
      </c>
      <c r="L40">
        <v>67.239000000000004</v>
      </c>
      <c r="M40">
        <v>51.226999999999997</v>
      </c>
      <c r="N40">
        <v>171.85</v>
      </c>
    </row>
    <row r="41" spans="1:14" x14ac:dyDescent="0.45">
      <c r="A41">
        <v>1981</v>
      </c>
      <c r="B41" t="s">
        <v>93</v>
      </c>
      <c r="C41">
        <v>0</v>
      </c>
      <c r="D41">
        <v>0</v>
      </c>
      <c r="E41">
        <v>1</v>
      </c>
      <c r="F41">
        <v>0</v>
      </c>
      <c r="G41">
        <v>0</v>
      </c>
      <c r="H41">
        <v>0</v>
      </c>
      <c r="I41">
        <v>0</v>
      </c>
      <c r="J41">
        <v>2469.5135490584098</v>
      </c>
      <c r="K41">
        <v>1977.0049179175301</v>
      </c>
      <c r="L41">
        <v>72.673000000000002</v>
      </c>
      <c r="M41">
        <v>45.725999999999999</v>
      </c>
      <c r="N41">
        <v>209.19900000000001</v>
      </c>
    </row>
    <row r="42" spans="1:14" x14ac:dyDescent="0.45">
      <c r="A42">
        <v>1981</v>
      </c>
      <c r="B42" t="s">
        <v>94</v>
      </c>
      <c r="C42">
        <v>0</v>
      </c>
      <c r="D42">
        <v>0</v>
      </c>
      <c r="E42">
        <v>1</v>
      </c>
      <c r="F42">
        <v>1</v>
      </c>
      <c r="G42">
        <v>0</v>
      </c>
      <c r="H42">
        <v>0</v>
      </c>
      <c r="I42">
        <v>0</v>
      </c>
      <c r="J42">
        <v>6959.0348783007103</v>
      </c>
      <c r="K42">
        <v>4195.2208542011103</v>
      </c>
      <c r="L42">
        <v>51.219000000000001</v>
      </c>
      <c r="M42">
        <v>57.064999999999998</v>
      </c>
      <c r="N42">
        <v>103.77800000000001</v>
      </c>
    </row>
    <row r="43" spans="1:14" x14ac:dyDescent="0.45">
      <c r="A43">
        <v>1981</v>
      </c>
      <c r="B43" t="s">
        <v>95</v>
      </c>
      <c r="C43">
        <v>0</v>
      </c>
      <c r="D43">
        <v>1</v>
      </c>
      <c r="E43">
        <v>0</v>
      </c>
      <c r="F43">
        <v>1</v>
      </c>
      <c r="G43">
        <v>0</v>
      </c>
      <c r="H43">
        <v>0</v>
      </c>
      <c r="I43">
        <v>0</v>
      </c>
      <c r="J43">
        <v>9076.0469863860399</v>
      </c>
      <c r="K43">
        <v>7556.8028046994204</v>
      </c>
      <c r="L43">
        <v>35.591999999999999</v>
      </c>
      <c r="M43">
        <v>67.188999999999993</v>
      </c>
      <c r="N43">
        <v>55.204000000000001</v>
      </c>
    </row>
    <row r="44" spans="1:14" x14ac:dyDescent="0.45">
      <c r="A44">
        <v>1981</v>
      </c>
      <c r="B44" t="s">
        <v>96</v>
      </c>
      <c r="C44">
        <v>0</v>
      </c>
      <c r="D44">
        <v>0</v>
      </c>
      <c r="E44">
        <v>1</v>
      </c>
      <c r="F44">
        <v>0</v>
      </c>
      <c r="G44">
        <v>0</v>
      </c>
      <c r="H44">
        <v>0</v>
      </c>
      <c r="I44">
        <v>0</v>
      </c>
      <c r="J44">
        <v>2405.1390782099302</v>
      </c>
      <c r="K44">
        <v>2487.2207538592102</v>
      </c>
      <c r="L44">
        <v>76.350999999999999</v>
      </c>
      <c r="M44">
        <v>51.210999999999999</v>
      </c>
      <c r="N44">
        <v>169.84100000000001</v>
      </c>
    </row>
    <row r="45" spans="1:14" x14ac:dyDescent="0.45">
      <c r="A45">
        <v>1981</v>
      </c>
      <c r="B45" t="s">
        <v>97</v>
      </c>
      <c r="C45">
        <v>0</v>
      </c>
      <c r="D45">
        <v>0</v>
      </c>
      <c r="E45">
        <v>1</v>
      </c>
      <c r="F45">
        <v>1</v>
      </c>
      <c r="G45">
        <v>0</v>
      </c>
      <c r="H45">
        <v>0</v>
      </c>
      <c r="I45">
        <v>0</v>
      </c>
      <c r="J45">
        <v>1260.76014016261</v>
      </c>
      <c r="K45">
        <v>1215.0123319408899</v>
      </c>
      <c r="L45">
        <v>75.004999999999995</v>
      </c>
      <c r="M45">
        <v>61.298999999999999</v>
      </c>
      <c r="N45">
        <v>79.867000000000004</v>
      </c>
    </row>
    <row r="46" spans="1:14" x14ac:dyDescent="0.45">
      <c r="A46">
        <v>1981</v>
      </c>
      <c r="B46" t="s">
        <v>98</v>
      </c>
      <c r="C46">
        <v>0</v>
      </c>
      <c r="D46">
        <v>1</v>
      </c>
      <c r="E46">
        <v>0</v>
      </c>
      <c r="F46">
        <v>1</v>
      </c>
      <c r="G46">
        <v>0</v>
      </c>
      <c r="H46">
        <v>0</v>
      </c>
      <c r="I46">
        <v>0</v>
      </c>
      <c r="J46">
        <v>11306.116024201499</v>
      </c>
      <c r="K46">
        <v>10122.981204207599</v>
      </c>
      <c r="L46">
        <v>56.55</v>
      </c>
      <c r="M46">
        <v>73.441000000000003</v>
      </c>
      <c r="N46">
        <v>24.4</v>
      </c>
    </row>
    <row r="47" spans="1:14" x14ac:dyDescent="0.45">
      <c r="A47">
        <v>1981</v>
      </c>
      <c r="B47" t="s">
        <v>99</v>
      </c>
      <c r="C47">
        <v>0</v>
      </c>
      <c r="D47">
        <v>1</v>
      </c>
      <c r="E47">
        <v>0</v>
      </c>
      <c r="F47">
        <v>1</v>
      </c>
      <c r="G47">
        <v>0</v>
      </c>
      <c r="H47">
        <v>0</v>
      </c>
      <c r="I47">
        <v>0</v>
      </c>
      <c r="L47">
        <v>31.146999999999998</v>
      </c>
      <c r="M47">
        <v>72.995999999999995</v>
      </c>
      <c r="N47">
        <v>22.146000000000001</v>
      </c>
    </row>
    <row r="48" spans="1:14" x14ac:dyDescent="0.45">
      <c r="A48">
        <v>1981</v>
      </c>
      <c r="B48" t="s">
        <v>100</v>
      </c>
      <c r="C48">
        <v>0</v>
      </c>
      <c r="D48">
        <v>1</v>
      </c>
      <c r="E48">
        <v>0</v>
      </c>
      <c r="F48">
        <v>0</v>
      </c>
      <c r="G48">
        <v>0</v>
      </c>
      <c r="H48">
        <v>1</v>
      </c>
      <c r="I48">
        <v>1</v>
      </c>
      <c r="L48">
        <v>17.922000000000001</v>
      </c>
      <c r="M48">
        <v>71.174999999999997</v>
      </c>
      <c r="N48">
        <v>22.838999999999999</v>
      </c>
    </row>
    <row r="49" spans="1:14" x14ac:dyDescent="0.45">
      <c r="A49">
        <v>1981</v>
      </c>
      <c r="B49" t="s">
        <v>101</v>
      </c>
      <c r="C49">
        <v>0</v>
      </c>
      <c r="D49">
        <v>1</v>
      </c>
      <c r="E49">
        <v>0</v>
      </c>
      <c r="F49">
        <v>0</v>
      </c>
      <c r="G49">
        <v>0</v>
      </c>
      <c r="H49">
        <v>1</v>
      </c>
      <c r="I49">
        <v>1</v>
      </c>
      <c r="L49">
        <v>0</v>
      </c>
      <c r="M49">
        <v>69.950999999999993</v>
      </c>
      <c r="N49">
        <v>18.934999999999999</v>
      </c>
    </row>
    <row r="50" spans="1:14" x14ac:dyDescent="0.45">
      <c r="A50">
        <v>1981</v>
      </c>
      <c r="B50" t="s">
        <v>102</v>
      </c>
      <c r="C50">
        <v>1</v>
      </c>
      <c r="D50">
        <v>0</v>
      </c>
      <c r="E50">
        <v>0</v>
      </c>
      <c r="F50">
        <v>0</v>
      </c>
      <c r="G50">
        <v>1</v>
      </c>
      <c r="H50">
        <v>0</v>
      </c>
      <c r="I50">
        <v>0</v>
      </c>
      <c r="J50">
        <v>18432.256398414698</v>
      </c>
      <c r="K50">
        <v>16420.230960934601</v>
      </c>
      <c r="L50">
        <v>39.191000000000003</v>
      </c>
      <c r="M50">
        <v>73.052999999999997</v>
      </c>
      <c r="N50">
        <v>19.584</v>
      </c>
    </row>
    <row r="51" spans="1:14" x14ac:dyDescent="0.45">
      <c r="A51">
        <v>1981</v>
      </c>
      <c r="B51" t="s">
        <v>103</v>
      </c>
      <c r="C51">
        <v>1</v>
      </c>
      <c r="D51">
        <v>0</v>
      </c>
      <c r="E51">
        <v>0</v>
      </c>
      <c r="F51">
        <v>0</v>
      </c>
      <c r="G51">
        <v>1</v>
      </c>
      <c r="H51">
        <v>0</v>
      </c>
      <c r="I51">
        <v>0</v>
      </c>
      <c r="L51">
        <v>24.518999999999998</v>
      </c>
      <c r="M51">
        <v>70.772000000000006</v>
      </c>
      <c r="N51">
        <v>17.155000000000001</v>
      </c>
    </row>
    <row r="52" spans="1:14" x14ac:dyDescent="0.45">
      <c r="A52">
        <v>1981</v>
      </c>
      <c r="B52" t="s">
        <v>104</v>
      </c>
      <c r="C52">
        <v>1</v>
      </c>
      <c r="D52">
        <v>0</v>
      </c>
      <c r="E52">
        <v>0</v>
      </c>
      <c r="F52">
        <v>0</v>
      </c>
      <c r="G52">
        <v>0</v>
      </c>
      <c r="H52">
        <v>1</v>
      </c>
      <c r="I52">
        <v>1</v>
      </c>
      <c r="J52">
        <v>35899.158382514303</v>
      </c>
      <c r="K52">
        <v>31126.441850406802</v>
      </c>
      <c r="L52">
        <v>27.010999999999999</v>
      </c>
      <c r="M52">
        <v>73.331000000000003</v>
      </c>
      <c r="N52">
        <v>14.054</v>
      </c>
    </row>
    <row r="53" spans="1:14" x14ac:dyDescent="0.45">
      <c r="A53">
        <v>1981</v>
      </c>
      <c r="B53" t="s">
        <v>105</v>
      </c>
      <c r="C53">
        <v>0</v>
      </c>
      <c r="D53">
        <v>0</v>
      </c>
      <c r="E53">
        <v>0</v>
      </c>
      <c r="F53">
        <v>1</v>
      </c>
      <c r="G53">
        <v>0</v>
      </c>
      <c r="H53">
        <v>0</v>
      </c>
      <c r="I53">
        <v>0</v>
      </c>
      <c r="L53">
        <v>26.972000000000001</v>
      </c>
      <c r="M53">
        <v>52.354999999999997</v>
      </c>
      <c r="N53">
        <v>150.08000000000001</v>
      </c>
    </row>
    <row r="54" spans="1:14" x14ac:dyDescent="0.45">
      <c r="A54">
        <v>1981</v>
      </c>
      <c r="B54" t="s">
        <v>106</v>
      </c>
      <c r="C54">
        <v>0</v>
      </c>
      <c r="D54">
        <v>1</v>
      </c>
      <c r="E54">
        <v>0</v>
      </c>
      <c r="F54">
        <v>1</v>
      </c>
      <c r="G54">
        <v>0</v>
      </c>
      <c r="H54">
        <v>0</v>
      </c>
      <c r="I54">
        <v>0</v>
      </c>
      <c r="J54">
        <v>6804.45093935556</v>
      </c>
      <c r="K54">
        <v>5295.4164936531897</v>
      </c>
      <c r="L54">
        <v>52.207000000000001</v>
      </c>
      <c r="M54">
        <v>71.459999999999994</v>
      </c>
      <c r="N54">
        <v>23.873999999999999</v>
      </c>
    </row>
    <row r="55" spans="1:14" x14ac:dyDescent="0.45">
      <c r="A55">
        <v>1981</v>
      </c>
      <c r="B55" t="s">
        <v>107</v>
      </c>
      <c r="C55">
        <v>1</v>
      </c>
      <c r="D55">
        <v>0</v>
      </c>
      <c r="E55">
        <v>0</v>
      </c>
      <c r="F55">
        <v>0</v>
      </c>
      <c r="G55">
        <v>0</v>
      </c>
      <c r="H55">
        <v>1</v>
      </c>
      <c r="I55">
        <v>1</v>
      </c>
      <c r="J55">
        <v>37562.635905253701</v>
      </c>
      <c r="K55">
        <v>31745.952373942499</v>
      </c>
      <c r="L55">
        <v>16.085000000000001</v>
      </c>
      <c r="M55">
        <v>74.251000000000005</v>
      </c>
      <c r="N55">
        <v>9.52</v>
      </c>
    </row>
    <row r="56" spans="1:14" x14ac:dyDescent="0.45">
      <c r="A56">
        <v>1981</v>
      </c>
      <c r="B56" t="s">
        <v>108</v>
      </c>
      <c r="C56">
        <v>0</v>
      </c>
      <c r="D56">
        <v>1</v>
      </c>
      <c r="E56">
        <v>0</v>
      </c>
      <c r="F56">
        <v>1</v>
      </c>
      <c r="G56">
        <v>0</v>
      </c>
      <c r="H56">
        <v>0</v>
      </c>
      <c r="I56">
        <v>0</v>
      </c>
      <c r="J56">
        <v>6768.1222371228396</v>
      </c>
      <c r="K56">
        <v>5846.4731703649304</v>
      </c>
      <c r="L56">
        <v>47.598999999999997</v>
      </c>
      <c r="M56">
        <v>63.776000000000003</v>
      </c>
      <c r="N56">
        <v>91.498999999999995</v>
      </c>
    </row>
    <row r="57" spans="1:14" x14ac:dyDescent="0.45">
      <c r="A57">
        <v>1981</v>
      </c>
      <c r="B57" t="s">
        <v>109</v>
      </c>
      <c r="C57">
        <v>0</v>
      </c>
      <c r="D57">
        <v>0</v>
      </c>
      <c r="E57">
        <v>0</v>
      </c>
      <c r="F57">
        <v>0</v>
      </c>
      <c r="G57">
        <v>1</v>
      </c>
      <c r="H57">
        <v>0</v>
      </c>
      <c r="I57">
        <v>0</v>
      </c>
      <c r="J57">
        <v>11971.1760474971</v>
      </c>
      <c r="K57">
        <v>10470.3990611025</v>
      </c>
      <c r="L57">
        <v>55.58</v>
      </c>
      <c r="M57">
        <v>57.421999999999997</v>
      </c>
      <c r="N57">
        <v>132.20500000000001</v>
      </c>
    </row>
    <row r="58" spans="1:14" x14ac:dyDescent="0.45">
      <c r="A58">
        <v>1981</v>
      </c>
      <c r="B58" t="s">
        <v>110</v>
      </c>
      <c r="C58">
        <v>0</v>
      </c>
      <c r="D58">
        <v>1</v>
      </c>
      <c r="E58">
        <v>0</v>
      </c>
      <c r="F58">
        <v>1</v>
      </c>
      <c r="G58">
        <v>0</v>
      </c>
      <c r="H58">
        <v>0</v>
      </c>
      <c r="I58">
        <v>0</v>
      </c>
      <c r="J58">
        <v>9159.0036594363792</v>
      </c>
      <c r="K58">
        <v>7617.9809258777204</v>
      </c>
      <c r="L58">
        <v>52.112000000000002</v>
      </c>
      <c r="M58">
        <v>63.808999999999997</v>
      </c>
      <c r="N58">
        <v>86.18</v>
      </c>
    </row>
    <row r="59" spans="1:14" x14ac:dyDescent="0.45">
      <c r="A59">
        <v>1981</v>
      </c>
      <c r="B59" t="s">
        <v>111</v>
      </c>
      <c r="C59">
        <v>0</v>
      </c>
      <c r="D59">
        <v>0</v>
      </c>
      <c r="E59">
        <v>0</v>
      </c>
      <c r="F59">
        <v>1</v>
      </c>
      <c r="G59">
        <v>0</v>
      </c>
      <c r="H59">
        <v>0</v>
      </c>
      <c r="I59">
        <v>0</v>
      </c>
      <c r="J59">
        <v>6213.4254464137002</v>
      </c>
      <c r="K59">
        <v>4930.8697465882797</v>
      </c>
      <c r="L59">
        <v>56.125999999999998</v>
      </c>
      <c r="M59">
        <v>56.454000000000001</v>
      </c>
      <c r="N59">
        <v>157.39599999999999</v>
      </c>
    </row>
    <row r="60" spans="1:14" x14ac:dyDescent="0.45">
      <c r="A60">
        <v>1981</v>
      </c>
      <c r="B60" t="s">
        <v>112</v>
      </c>
      <c r="C60">
        <v>0</v>
      </c>
      <c r="D60">
        <v>0</v>
      </c>
      <c r="E60">
        <v>1</v>
      </c>
      <c r="F60">
        <v>0</v>
      </c>
      <c r="G60">
        <v>0</v>
      </c>
      <c r="H60">
        <v>0</v>
      </c>
      <c r="I60">
        <v>0</v>
      </c>
      <c r="L60">
        <v>85.427999999999997</v>
      </c>
      <c r="M60">
        <v>44.973999999999997</v>
      </c>
      <c r="N60">
        <v>191.04499999999999</v>
      </c>
    </row>
    <row r="61" spans="1:14" x14ac:dyDescent="0.45">
      <c r="A61">
        <v>1981</v>
      </c>
      <c r="B61" t="s">
        <v>113</v>
      </c>
      <c r="C61">
        <v>1</v>
      </c>
      <c r="D61">
        <v>0</v>
      </c>
      <c r="E61">
        <v>0</v>
      </c>
      <c r="F61">
        <v>0</v>
      </c>
      <c r="G61">
        <v>0</v>
      </c>
      <c r="H61">
        <v>1</v>
      </c>
      <c r="I61">
        <v>1</v>
      </c>
      <c r="J61">
        <v>25515.185601012101</v>
      </c>
      <c r="K61">
        <v>22454.041933578199</v>
      </c>
      <c r="L61">
        <v>26.721</v>
      </c>
      <c r="M61">
        <v>75.706000000000003</v>
      </c>
      <c r="N61">
        <v>14.211</v>
      </c>
    </row>
    <row r="62" spans="1:14" x14ac:dyDescent="0.45">
      <c r="A62">
        <v>1981</v>
      </c>
      <c r="B62" t="s">
        <v>114</v>
      </c>
      <c r="C62">
        <v>1</v>
      </c>
      <c r="D62">
        <v>0</v>
      </c>
      <c r="E62">
        <v>0</v>
      </c>
      <c r="F62">
        <v>0</v>
      </c>
      <c r="G62">
        <v>1</v>
      </c>
      <c r="H62">
        <v>0</v>
      </c>
      <c r="I62">
        <v>0</v>
      </c>
      <c r="L62">
        <v>30.076000000000001</v>
      </c>
      <c r="M62">
        <v>69.335999999999999</v>
      </c>
      <c r="N62">
        <v>22.338999999999999</v>
      </c>
    </row>
    <row r="63" spans="1:14" x14ac:dyDescent="0.45">
      <c r="A63">
        <v>1981</v>
      </c>
      <c r="B63" t="s">
        <v>115</v>
      </c>
      <c r="C63">
        <v>0</v>
      </c>
      <c r="D63">
        <v>0</v>
      </c>
      <c r="E63">
        <v>1</v>
      </c>
      <c r="F63">
        <v>0</v>
      </c>
      <c r="G63">
        <v>0</v>
      </c>
      <c r="H63">
        <v>0</v>
      </c>
      <c r="I63">
        <v>0</v>
      </c>
      <c r="J63">
        <v>978.21800514935103</v>
      </c>
      <c r="K63">
        <v>882.24543077357396</v>
      </c>
      <c r="L63">
        <v>89.39</v>
      </c>
      <c r="M63">
        <v>43.084000000000003</v>
      </c>
      <c r="N63">
        <v>238.17099999999999</v>
      </c>
    </row>
    <row r="64" spans="1:14" x14ac:dyDescent="0.45">
      <c r="A64">
        <v>1981</v>
      </c>
      <c r="B64" t="s">
        <v>116</v>
      </c>
      <c r="C64">
        <v>1</v>
      </c>
      <c r="D64">
        <v>0</v>
      </c>
      <c r="E64">
        <v>0</v>
      </c>
      <c r="F64">
        <v>0</v>
      </c>
      <c r="G64">
        <v>0</v>
      </c>
      <c r="H64">
        <v>1</v>
      </c>
      <c r="I64">
        <v>1</v>
      </c>
      <c r="J64">
        <v>29781.069022296699</v>
      </c>
      <c r="K64">
        <v>25036.432845805699</v>
      </c>
      <c r="L64">
        <v>27.472000000000001</v>
      </c>
      <c r="M64">
        <v>73.965000000000003</v>
      </c>
      <c r="N64">
        <v>7.88</v>
      </c>
    </row>
    <row r="65" spans="1:14" x14ac:dyDescent="0.45">
      <c r="A65">
        <v>1981</v>
      </c>
      <c r="B65" t="s">
        <v>117</v>
      </c>
      <c r="C65">
        <v>0</v>
      </c>
      <c r="D65">
        <v>0</v>
      </c>
      <c r="E65">
        <v>0</v>
      </c>
      <c r="F65">
        <v>1</v>
      </c>
      <c r="G65">
        <v>0</v>
      </c>
      <c r="H65">
        <v>0</v>
      </c>
      <c r="I65">
        <v>0</v>
      </c>
      <c r="J65">
        <v>8991.8832322114504</v>
      </c>
      <c r="K65">
        <v>8805.7755078357604</v>
      </c>
      <c r="L65">
        <v>62.081000000000003</v>
      </c>
      <c r="M65">
        <v>62.255000000000003</v>
      </c>
      <c r="N65">
        <v>42.484999999999999</v>
      </c>
    </row>
    <row r="66" spans="1:14" x14ac:dyDescent="0.45">
      <c r="A66">
        <v>1981</v>
      </c>
      <c r="B66" t="s">
        <v>118</v>
      </c>
      <c r="C66">
        <v>1</v>
      </c>
      <c r="D66">
        <v>0</v>
      </c>
      <c r="E66">
        <v>0</v>
      </c>
      <c r="F66">
        <v>0</v>
      </c>
      <c r="G66">
        <v>0</v>
      </c>
      <c r="H66">
        <v>1</v>
      </c>
      <c r="I66">
        <v>1</v>
      </c>
      <c r="J66">
        <v>32518.2130686321</v>
      </c>
      <c r="K66">
        <v>27149.416672503801</v>
      </c>
      <c r="L66">
        <v>26.648</v>
      </c>
      <c r="M66">
        <v>74.397000000000006</v>
      </c>
      <c r="N66">
        <v>12.204000000000001</v>
      </c>
    </row>
    <row r="67" spans="1:14" x14ac:dyDescent="0.45">
      <c r="A67">
        <v>1981</v>
      </c>
      <c r="B67" t="s">
        <v>119</v>
      </c>
      <c r="C67">
        <v>1</v>
      </c>
      <c r="D67">
        <v>0</v>
      </c>
      <c r="E67">
        <v>0</v>
      </c>
      <c r="F67">
        <v>0</v>
      </c>
      <c r="G67">
        <v>0</v>
      </c>
      <c r="H67">
        <v>1</v>
      </c>
      <c r="I67">
        <v>1</v>
      </c>
      <c r="L67">
        <v>68.899000000000001</v>
      </c>
      <c r="M67">
        <v>75.831000000000003</v>
      </c>
      <c r="N67">
        <v>13.513999999999999</v>
      </c>
    </row>
    <row r="68" spans="1:14" x14ac:dyDescent="0.45">
      <c r="A68">
        <v>1981</v>
      </c>
      <c r="B68" t="s">
        <v>120</v>
      </c>
      <c r="C68">
        <v>0</v>
      </c>
      <c r="D68">
        <v>0</v>
      </c>
      <c r="E68">
        <v>0</v>
      </c>
      <c r="F68">
        <v>1</v>
      </c>
      <c r="G68">
        <v>0</v>
      </c>
      <c r="H68">
        <v>0</v>
      </c>
      <c r="I68">
        <v>0</v>
      </c>
      <c r="J68">
        <v>3144.5450060175699</v>
      </c>
      <c r="K68">
        <v>2846.2471481899702</v>
      </c>
      <c r="L68">
        <v>73.582999999999998</v>
      </c>
      <c r="M68">
        <v>62.667999999999999</v>
      </c>
      <c r="N68">
        <v>59.143000000000001</v>
      </c>
    </row>
    <row r="69" spans="1:14" x14ac:dyDescent="0.45">
      <c r="A69">
        <v>1981</v>
      </c>
      <c r="B69" t="s">
        <v>121</v>
      </c>
      <c r="C69">
        <v>0</v>
      </c>
      <c r="D69">
        <v>0</v>
      </c>
      <c r="E69">
        <v>1</v>
      </c>
      <c r="F69">
        <v>0</v>
      </c>
      <c r="G69">
        <v>1</v>
      </c>
      <c r="H69">
        <v>0</v>
      </c>
      <c r="I69">
        <v>0</v>
      </c>
      <c r="J69">
        <v>26869.302370323901</v>
      </c>
      <c r="K69">
        <v>20330.386742165101</v>
      </c>
      <c r="L69">
        <v>43</v>
      </c>
      <c r="M69">
        <v>58.332000000000001</v>
      </c>
      <c r="N69">
        <v>115.625</v>
      </c>
    </row>
    <row r="70" spans="1:14" x14ac:dyDescent="0.45">
      <c r="A70">
        <v>1981</v>
      </c>
      <c r="B70" t="s">
        <v>122</v>
      </c>
      <c r="C70">
        <v>1</v>
      </c>
      <c r="D70">
        <v>0</v>
      </c>
      <c r="E70">
        <v>0</v>
      </c>
      <c r="F70">
        <v>0</v>
      </c>
      <c r="G70">
        <v>0</v>
      </c>
      <c r="H70">
        <v>1</v>
      </c>
      <c r="I70">
        <v>1</v>
      </c>
      <c r="J70">
        <v>26414.9791885696</v>
      </c>
      <c r="K70">
        <v>22757.301163902499</v>
      </c>
      <c r="L70">
        <v>21.411999999999999</v>
      </c>
      <c r="M70">
        <v>73.915999999999997</v>
      </c>
      <c r="N70">
        <v>13.061999999999999</v>
      </c>
    </row>
    <row r="71" spans="1:14" x14ac:dyDescent="0.45">
      <c r="A71">
        <v>1981</v>
      </c>
      <c r="B71" t="s">
        <v>123</v>
      </c>
      <c r="C71">
        <v>1</v>
      </c>
      <c r="D71">
        <v>0</v>
      </c>
      <c r="E71">
        <v>0</v>
      </c>
      <c r="F71">
        <v>1</v>
      </c>
      <c r="G71">
        <v>0</v>
      </c>
      <c r="H71">
        <v>0</v>
      </c>
      <c r="I71">
        <v>0</v>
      </c>
      <c r="J71">
        <v>12302.148469701</v>
      </c>
      <c r="K71">
        <v>10393.9090726089</v>
      </c>
      <c r="L71">
        <v>47.164000000000001</v>
      </c>
      <c r="M71">
        <v>68.741</v>
      </c>
      <c r="N71">
        <v>56.956000000000003</v>
      </c>
    </row>
    <row r="72" spans="1:14" x14ac:dyDescent="0.45">
      <c r="A72">
        <v>1981</v>
      </c>
      <c r="B72" t="s">
        <v>124</v>
      </c>
      <c r="C72">
        <v>0</v>
      </c>
      <c r="D72">
        <v>0</v>
      </c>
      <c r="E72">
        <v>1</v>
      </c>
      <c r="F72">
        <v>0</v>
      </c>
      <c r="G72">
        <v>0</v>
      </c>
      <c r="H72">
        <v>0</v>
      </c>
      <c r="I72">
        <v>0</v>
      </c>
      <c r="J72">
        <v>2922.77104043288</v>
      </c>
      <c r="K72">
        <v>2521.5994563863701</v>
      </c>
      <c r="L72">
        <v>68.611999999999995</v>
      </c>
      <c r="M72">
        <v>51.313000000000002</v>
      </c>
      <c r="N72">
        <v>165.953</v>
      </c>
    </row>
    <row r="73" spans="1:14" x14ac:dyDescent="0.45">
      <c r="A73">
        <v>1981</v>
      </c>
      <c r="B73" t="s">
        <v>125</v>
      </c>
      <c r="C73">
        <v>1</v>
      </c>
      <c r="D73">
        <v>0</v>
      </c>
      <c r="E73">
        <v>0</v>
      </c>
      <c r="F73">
        <v>0</v>
      </c>
      <c r="G73">
        <v>1</v>
      </c>
      <c r="H73">
        <v>0</v>
      </c>
      <c r="I73">
        <v>0</v>
      </c>
      <c r="L73">
        <v>0</v>
      </c>
      <c r="M73">
        <v>73.998999999999995</v>
      </c>
      <c r="N73">
        <v>27.274999999999999</v>
      </c>
    </row>
    <row r="74" spans="1:14" x14ac:dyDescent="0.45">
      <c r="A74">
        <v>1981</v>
      </c>
      <c r="B74" t="s">
        <v>126</v>
      </c>
      <c r="C74">
        <v>0</v>
      </c>
      <c r="D74">
        <v>0</v>
      </c>
      <c r="E74">
        <v>1</v>
      </c>
      <c r="F74">
        <v>0</v>
      </c>
      <c r="G74">
        <v>0</v>
      </c>
      <c r="H74">
        <v>0</v>
      </c>
      <c r="I74">
        <v>0</v>
      </c>
      <c r="J74">
        <v>1997.38875080054</v>
      </c>
      <c r="K74">
        <v>1610.4262618760599</v>
      </c>
      <c r="L74">
        <v>75.497</v>
      </c>
      <c r="M74">
        <v>43.33</v>
      </c>
      <c r="N74">
        <v>276.70800000000003</v>
      </c>
    </row>
    <row r="75" spans="1:14" x14ac:dyDescent="0.45">
      <c r="A75">
        <v>1981</v>
      </c>
      <c r="B75" t="s">
        <v>127</v>
      </c>
      <c r="C75">
        <v>0</v>
      </c>
      <c r="D75">
        <v>0</v>
      </c>
      <c r="E75">
        <v>1</v>
      </c>
      <c r="F75">
        <v>0</v>
      </c>
      <c r="G75">
        <v>0</v>
      </c>
      <c r="H75">
        <v>0</v>
      </c>
      <c r="I75">
        <v>0</v>
      </c>
      <c r="J75">
        <v>2758.1713714461498</v>
      </c>
      <c r="K75">
        <v>2220.0437663995299</v>
      </c>
      <c r="L75">
        <v>70.744</v>
      </c>
      <c r="M75">
        <v>44.488999999999997</v>
      </c>
      <c r="N75">
        <v>223.398</v>
      </c>
    </row>
    <row r="76" spans="1:14" x14ac:dyDescent="0.45">
      <c r="A76">
        <v>1981</v>
      </c>
      <c r="B76" t="s">
        <v>128</v>
      </c>
      <c r="C76">
        <v>0</v>
      </c>
      <c r="D76">
        <v>0</v>
      </c>
      <c r="E76">
        <v>1</v>
      </c>
      <c r="F76">
        <v>0</v>
      </c>
      <c r="G76">
        <v>0</v>
      </c>
      <c r="H76">
        <v>0</v>
      </c>
      <c r="I76">
        <v>0</v>
      </c>
      <c r="J76">
        <v>1857.1330749717099</v>
      </c>
      <c r="K76">
        <v>1670.6740332776101</v>
      </c>
      <c r="L76">
        <v>81.117000000000004</v>
      </c>
      <c r="M76">
        <v>43.926000000000002</v>
      </c>
      <c r="N76">
        <v>255.96199999999999</v>
      </c>
    </row>
    <row r="77" spans="1:14" x14ac:dyDescent="0.45">
      <c r="A77">
        <v>1981</v>
      </c>
      <c r="B77" t="s">
        <v>129</v>
      </c>
      <c r="C77">
        <v>0</v>
      </c>
      <c r="D77">
        <v>0</v>
      </c>
      <c r="E77">
        <v>1</v>
      </c>
      <c r="F77">
        <v>0</v>
      </c>
      <c r="G77">
        <v>0</v>
      </c>
      <c r="H77">
        <v>0</v>
      </c>
      <c r="I77">
        <v>0</v>
      </c>
      <c r="J77">
        <v>1327.2378325509701</v>
      </c>
      <c r="K77">
        <v>1099.6334778292301</v>
      </c>
      <c r="L77">
        <v>72.034999999999997</v>
      </c>
      <c r="M77">
        <v>49.106999999999999</v>
      </c>
      <c r="N77">
        <v>207.453</v>
      </c>
    </row>
    <row r="78" spans="1:14" x14ac:dyDescent="0.45">
      <c r="A78">
        <v>1981</v>
      </c>
      <c r="B78" t="s">
        <v>130</v>
      </c>
      <c r="C78">
        <v>1</v>
      </c>
      <c r="D78">
        <v>0</v>
      </c>
      <c r="E78">
        <v>0</v>
      </c>
      <c r="F78">
        <v>0</v>
      </c>
      <c r="G78">
        <v>1</v>
      </c>
      <c r="H78">
        <v>0</v>
      </c>
      <c r="I78">
        <v>0</v>
      </c>
      <c r="J78">
        <v>26302.6141853429</v>
      </c>
      <c r="K78">
        <v>23545.9453544395</v>
      </c>
      <c r="L78">
        <v>30.254000000000001</v>
      </c>
      <c r="M78">
        <v>74.909000000000006</v>
      </c>
      <c r="N78">
        <v>18.449000000000002</v>
      </c>
    </row>
    <row r="79" spans="1:14" x14ac:dyDescent="0.45">
      <c r="A79">
        <v>1981</v>
      </c>
      <c r="B79" t="s">
        <v>131</v>
      </c>
      <c r="C79">
        <v>0</v>
      </c>
      <c r="D79">
        <v>1</v>
      </c>
      <c r="E79">
        <v>0</v>
      </c>
      <c r="F79">
        <v>1</v>
      </c>
      <c r="G79">
        <v>0</v>
      </c>
      <c r="H79">
        <v>0</v>
      </c>
      <c r="I79">
        <v>0</v>
      </c>
      <c r="J79">
        <v>6202.5876515290302</v>
      </c>
      <c r="K79">
        <v>5723.1590870366999</v>
      </c>
      <c r="L79">
        <v>67.022000000000006</v>
      </c>
      <c r="M79">
        <v>68.347999999999999</v>
      </c>
      <c r="N79">
        <v>34.710999999999999</v>
      </c>
    </row>
    <row r="80" spans="1:14" x14ac:dyDescent="0.45">
      <c r="A80">
        <v>1981</v>
      </c>
      <c r="B80" t="s">
        <v>132</v>
      </c>
      <c r="C80">
        <v>1</v>
      </c>
      <c r="D80">
        <v>0</v>
      </c>
      <c r="E80">
        <v>0</v>
      </c>
      <c r="F80">
        <v>0</v>
      </c>
      <c r="G80">
        <v>0</v>
      </c>
      <c r="H80">
        <v>1</v>
      </c>
      <c r="I80">
        <v>1</v>
      </c>
      <c r="J80">
        <v>38070.707852066698</v>
      </c>
      <c r="K80">
        <v>34460.392963583901</v>
      </c>
      <c r="L80">
        <v>23.503</v>
      </c>
      <c r="M80">
        <v>62.331000000000003</v>
      </c>
      <c r="N80">
        <v>44.23</v>
      </c>
    </row>
    <row r="81" spans="1:14" x14ac:dyDescent="0.45">
      <c r="A81">
        <v>1981</v>
      </c>
      <c r="B81" t="s">
        <v>133</v>
      </c>
      <c r="C81">
        <v>0</v>
      </c>
      <c r="D81">
        <v>1</v>
      </c>
      <c r="E81">
        <v>0</v>
      </c>
      <c r="F81">
        <v>1</v>
      </c>
      <c r="G81">
        <v>0</v>
      </c>
      <c r="H81">
        <v>0</v>
      </c>
      <c r="I81">
        <v>0</v>
      </c>
      <c r="J81">
        <v>9129.1051137105605</v>
      </c>
      <c r="K81">
        <v>7930.2314073817697</v>
      </c>
      <c r="L81">
        <v>60.953000000000003</v>
      </c>
      <c r="M81">
        <v>54.709000000000003</v>
      </c>
      <c r="N81">
        <v>117.301</v>
      </c>
    </row>
    <row r="82" spans="1:14" x14ac:dyDescent="0.45">
      <c r="A82">
        <v>1981</v>
      </c>
      <c r="B82" t="s">
        <v>134</v>
      </c>
      <c r="C82">
        <v>0</v>
      </c>
      <c r="D82">
        <v>0</v>
      </c>
      <c r="E82">
        <v>0</v>
      </c>
      <c r="F82">
        <v>0</v>
      </c>
      <c r="G82">
        <v>0</v>
      </c>
      <c r="H82">
        <v>1</v>
      </c>
      <c r="I82">
        <v>1</v>
      </c>
      <c r="L82">
        <v>6.5090000000000003</v>
      </c>
      <c r="M82">
        <v>71.180000000000007</v>
      </c>
      <c r="N82">
        <v>16.440000000000001</v>
      </c>
    </row>
    <row r="83" spans="1:14" x14ac:dyDescent="0.45">
      <c r="A83">
        <v>1981</v>
      </c>
      <c r="B83" t="s">
        <v>135</v>
      </c>
      <c r="C83">
        <v>0</v>
      </c>
      <c r="D83">
        <v>1</v>
      </c>
      <c r="E83">
        <v>0</v>
      </c>
      <c r="F83">
        <v>0</v>
      </c>
      <c r="G83">
        <v>0</v>
      </c>
      <c r="H83">
        <v>0</v>
      </c>
      <c r="I83">
        <v>0</v>
      </c>
      <c r="J83">
        <v>6766.3782524508897</v>
      </c>
      <c r="K83">
        <v>6471.2230025501103</v>
      </c>
      <c r="L83">
        <v>69.603999999999999</v>
      </c>
      <c r="M83">
        <v>60.91</v>
      </c>
      <c r="N83">
        <v>69.697000000000003</v>
      </c>
    </row>
    <row r="84" spans="1:14" x14ac:dyDescent="0.45">
      <c r="A84">
        <v>1981</v>
      </c>
      <c r="B84" t="s">
        <v>136</v>
      </c>
      <c r="C84">
        <v>0</v>
      </c>
      <c r="D84">
        <v>0</v>
      </c>
      <c r="E84">
        <v>0</v>
      </c>
      <c r="F84">
        <v>0</v>
      </c>
      <c r="G84">
        <v>0</v>
      </c>
      <c r="H84">
        <v>1</v>
      </c>
      <c r="I84">
        <v>1</v>
      </c>
      <c r="J84">
        <v>19234.729187891298</v>
      </c>
      <c r="K84">
        <v>17359.409411260101</v>
      </c>
      <c r="L84">
        <v>8.2059999999999995</v>
      </c>
      <c r="M84">
        <v>74.597999999999999</v>
      </c>
      <c r="N84">
        <v>13.510999999999999</v>
      </c>
    </row>
    <row r="85" spans="1:14" x14ac:dyDescent="0.45">
      <c r="A85">
        <v>1981</v>
      </c>
      <c r="B85" t="s">
        <v>137</v>
      </c>
      <c r="C85">
        <v>0</v>
      </c>
      <c r="D85">
        <v>1</v>
      </c>
      <c r="E85">
        <v>0</v>
      </c>
      <c r="F85">
        <v>1</v>
      </c>
      <c r="G85">
        <v>0</v>
      </c>
      <c r="H85">
        <v>0</v>
      </c>
      <c r="I85">
        <v>0</v>
      </c>
      <c r="J85">
        <v>4507.3207800776599</v>
      </c>
      <c r="K85">
        <v>4153.3970837933603</v>
      </c>
      <c r="L85">
        <v>64.564999999999998</v>
      </c>
      <c r="M85">
        <v>61.033000000000001</v>
      </c>
      <c r="N85">
        <v>90.245999999999995</v>
      </c>
    </row>
    <row r="86" spans="1:14" x14ac:dyDescent="0.45">
      <c r="A86">
        <v>1981</v>
      </c>
      <c r="B86" t="s">
        <v>138</v>
      </c>
      <c r="C86">
        <v>1</v>
      </c>
      <c r="D86">
        <v>0</v>
      </c>
      <c r="E86">
        <v>0</v>
      </c>
      <c r="F86">
        <v>0</v>
      </c>
      <c r="G86">
        <v>1</v>
      </c>
      <c r="H86">
        <v>0</v>
      </c>
      <c r="I86">
        <v>0</v>
      </c>
      <c r="L86">
        <v>52.113</v>
      </c>
      <c r="M86">
        <v>70.876000000000005</v>
      </c>
      <c r="N86">
        <v>21.65</v>
      </c>
    </row>
    <row r="87" spans="1:14" x14ac:dyDescent="0.45">
      <c r="A87">
        <v>1981</v>
      </c>
      <c r="B87" t="s">
        <v>139</v>
      </c>
      <c r="C87">
        <v>0</v>
      </c>
      <c r="D87">
        <v>1</v>
      </c>
      <c r="E87">
        <v>0</v>
      </c>
      <c r="F87">
        <v>0</v>
      </c>
      <c r="G87">
        <v>0</v>
      </c>
      <c r="H87">
        <v>0</v>
      </c>
      <c r="I87">
        <v>0</v>
      </c>
      <c r="J87">
        <v>4889.5131621017799</v>
      </c>
      <c r="K87">
        <v>4699.5837387752699</v>
      </c>
      <c r="L87">
        <v>79.432000000000002</v>
      </c>
      <c r="M87">
        <v>50.31</v>
      </c>
      <c r="N87">
        <v>185.46700000000001</v>
      </c>
    </row>
    <row r="88" spans="1:14" x14ac:dyDescent="0.45">
      <c r="A88">
        <v>1981</v>
      </c>
      <c r="B88" t="s">
        <v>140</v>
      </c>
      <c r="C88">
        <v>1</v>
      </c>
      <c r="D88">
        <v>0</v>
      </c>
      <c r="E88">
        <v>0</v>
      </c>
      <c r="F88">
        <v>0</v>
      </c>
      <c r="G88">
        <v>1</v>
      </c>
      <c r="H88">
        <v>0</v>
      </c>
      <c r="I88">
        <v>0</v>
      </c>
      <c r="J88">
        <v>17959.2213526384</v>
      </c>
      <c r="K88">
        <v>15649.979412074101</v>
      </c>
      <c r="L88">
        <v>35.628</v>
      </c>
      <c r="M88">
        <v>69.150999999999996</v>
      </c>
      <c r="N88">
        <v>22.45</v>
      </c>
    </row>
    <row r="89" spans="1:14" x14ac:dyDescent="0.45">
      <c r="A89">
        <v>1981</v>
      </c>
      <c r="B89" t="s">
        <v>141</v>
      </c>
      <c r="C89">
        <v>0</v>
      </c>
      <c r="D89">
        <v>0</v>
      </c>
      <c r="E89">
        <v>0</v>
      </c>
      <c r="F89">
        <v>0</v>
      </c>
      <c r="G89">
        <v>0</v>
      </c>
      <c r="H89">
        <v>0</v>
      </c>
      <c r="I89">
        <v>0</v>
      </c>
      <c r="J89">
        <v>3700.94383865906</v>
      </c>
      <c r="K89">
        <v>3359.8736875118798</v>
      </c>
      <c r="L89">
        <v>77.185000000000002</v>
      </c>
      <c r="M89">
        <v>59.095999999999997</v>
      </c>
      <c r="N89">
        <v>117.122</v>
      </c>
    </row>
    <row r="90" spans="1:14" x14ac:dyDescent="0.45">
      <c r="A90">
        <v>1981</v>
      </c>
      <c r="B90" t="s">
        <v>142</v>
      </c>
      <c r="C90">
        <v>1</v>
      </c>
      <c r="D90">
        <v>0</v>
      </c>
      <c r="E90">
        <v>0</v>
      </c>
      <c r="F90">
        <v>0</v>
      </c>
      <c r="G90">
        <v>0</v>
      </c>
      <c r="H90">
        <v>1</v>
      </c>
      <c r="I90">
        <v>1</v>
      </c>
      <c r="L90">
        <v>48.22</v>
      </c>
      <c r="M90">
        <v>68.811000000000007</v>
      </c>
      <c r="N90">
        <v>50.472000000000001</v>
      </c>
    </row>
    <row r="91" spans="1:14" x14ac:dyDescent="0.45">
      <c r="A91">
        <v>1981</v>
      </c>
      <c r="B91" t="s">
        <v>143</v>
      </c>
      <c r="C91">
        <v>0</v>
      </c>
      <c r="D91">
        <v>0</v>
      </c>
      <c r="E91">
        <v>0</v>
      </c>
      <c r="F91">
        <v>0</v>
      </c>
      <c r="G91">
        <v>0</v>
      </c>
      <c r="H91">
        <v>0</v>
      </c>
      <c r="I91">
        <v>0</v>
      </c>
      <c r="J91">
        <v>1640.72556221027</v>
      </c>
      <c r="K91">
        <v>1376.0524875157701</v>
      </c>
      <c r="L91">
        <v>76.582999999999998</v>
      </c>
      <c r="M91">
        <v>54.173000000000002</v>
      </c>
      <c r="N91">
        <v>164.39099999999999</v>
      </c>
    </row>
    <row r="92" spans="1:14" x14ac:dyDescent="0.45">
      <c r="A92">
        <v>1981</v>
      </c>
      <c r="B92" t="s">
        <v>144</v>
      </c>
      <c r="C92">
        <v>1</v>
      </c>
      <c r="D92">
        <v>0</v>
      </c>
      <c r="E92">
        <v>0</v>
      </c>
      <c r="F92">
        <v>0</v>
      </c>
      <c r="G92">
        <v>0</v>
      </c>
      <c r="H92">
        <v>1</v>
      </c>
      <c r="I92">
        <v>1</v>
      </c>
      <c r="J92">
        <v>24745.190131737501</v>
      </c>
      <c r="K92">
        <v>22751.911311130301</v>
      </c>
      <c r="L92">
        <v>44.366</v>
      </c>
      <c r="M92">
        <v>72.888000000000005</v>
      </c>
      <c r="N92">
        <v>12.529</v>
      </c>
    </row>
    <row r="93" spans="1:14" x14ac:dyDescent="0.45">
      <c r="A93">
        <v>1981</v>
      </c>
      <c r="B93" t="s">
        <v>145</v>
      </c>
      <c r="C93">
        <v>0</v>
      </c>
      <c r="D93">
        <v>0</v>
      </c>
      <c r="E93">
        <v>0</v>
      </c>
      <c r="F93">
        <v>0</v>
      </c>
      <c r="G93">
        <v>1</v>
      </c>
      <c r="H93">
        <v>0</v>
      </c>
      <c r="I93">
        <v>0</v>
      </c>
      <c r="J93">
        <v>12371.2872499767</v>
      </c>
      <c r="K93">
        <v>12340.2931165433</v>
      </c>
      <c r="L93">
        <v>49.566000000000003</v>
      </c>
      <c r="M93">
        <v>56.625</v>
      </c>
      <c r="N93">
        <v>101.354</v>
      </c>
    </row>
    <row r="94" spans="1:14" x14ac:dyDescent="0.45">
      <c r="A94">
        <v>1981</v>
      </c>
      <c r="B94" t="s">
        <v>146</v>
      </c>
      <c r="C94">
        <v>0</v>
      </c>
      <c r="D94">
        <v>0</v>
      </c>
      <c r="E94">
        <v>0</v>
      </c>
      <c r="F94">
        <v>0</v>
      </c>
      <c r="G94">
        <v>1</v>
      </c>
      <c r="H94">
        <v>0</v>
      </c>
      <c r="I94">
        <v>0</v>
      </c>
      <c r="J94">
        <v>8575.4662554766001</v>
      </c>
      <c r="K94">
        <v>6061.9007689109003</v>
      </c>
      <c r="L94">
        <v>33.817</v>
      </c>
      <c r="M94">
        <v>58.652000000000001</v>
      </c>
      <c r="N94">
        <v>69.820999999999998</v>
      </c>
    </row>
    <row r="95" spans="1:14" x14ac:dyDescent="0.45">
      <c r="A95">
        <v>1981</v>
      </c>
      <c r="B95" t="s">
        <v>147</v>
      </c>
      <c r="C95">
        <v>1</v>
      </c>
      <c r="D95">
        <v>0</v>
      </c>
      <c r="E95">
        <v>0</v>
      </c>
      <c r="F95">
        <v>0</v>
      </c>
      <c r="G95">
        <v>0</v>
      </c>
      <c r="H95">
        <v>1</v>
      </c>
      <c r="I95">
        <v>1</v>
      </c>
      <c r="J95">
        <v>34327.503994337698</v>
      </c>
      <c r="K95">
        <v>29703.2076833625</v>
      </c>
      <c r="L95">
        <v>11.467000000000001</v>
      </c>
      <c r="M95">
        <v>76.191999999999993</v>
      </c>
      <c r="N95">
        <v>7.7190000000000003</v>
      </c>
    </row>
    <row r="96" spans="1:14" x14ac:dyDescent="0.45">
      <c r="A96">
        <v>1981</v>
      </c>
      <c r="B96" t="s">
        <v>148</v>
      </c>
      <c r="C96">
        <v>0</v>
      </c>
      <c r="D96">
        <v>0</v>
      </c>
      <c r="E96">
        <v>0</v>
      </c>
      <c r="F96">
        <v>0</v>
      </c>
      <c r="G96">
        <v>0</v>
      </c>
      <c r="H96">
        <v>1</v>
      </c>
      <c r="I96">
        <v>1</v>
      </c>
      <c r="J96">
        <v>21703.630896143201</v>
      </c>
      <c r="K96">
        <v>19908.2452259702</v>
      </c>
      <c r="L96">
        <v>11.06</v>
      </c>
      <c r="M96">
        <v>74.194999999999993</v>
      </c>
      <c r="N96">
        <v>18.135999999999999</v>
      </c>
    </row>
    <row r="97" spans="1:14" x14ac:dyDescent="0.45">
      <c r="A97">
        <v>1981</v>
      </c>
      <c r="B97" t="s">
        <v>149</v>
      </c>
      <c r="C97">
        <v>1</v>
      </c>
      <c r="D97">
        <v>0</v>
      </c>
      <c r="E97">
        <v>0</v>
      </c>
      <c r="F97">
        <v>0</v>
      </c>
      <c r="G97">
        <v>0</v>
      </c>
      <c r="H97">
        <v>1</v>
      </c>
      <c r="I97">
        <v>1</v>
      </c>
      <c r="J97">
        <v>35186.9630742234</v>
      </c>
      <c r="K97">
        <v>29971.0980602618</v>
      </c>
      <c r="L97">
        <v>33.162999999999997</v>
      </c>
      <c r="M97">
        <v>74.438999999999993</v>
      </c>
      <c r="N97">
        <v>15.815</v>
      </c>
    </row>
    <row r="98" spans="1:14" x14ac:dyDescent="0.45">
      <c r="A98">
        <v>1981</v>
      </c>
      <c r="B98" t="s">
        <v>150</v>
      </c>
      <c r="C98">
        <v>0</v>
      </c>
      <c r="D98">
        <v>1</v>
      </c>
      <c r="E98">
        <v>0</v>
      </c>
      <c r="F98">
        <v>1</v>
      </c>
      <c r="G98">
        <v>0</v>
      </c>
      <c r="H98">
        <v>0</v>
      </c>
      <c r="I98">
        <v>0</v>
      </c>
      <c r="J98">
        <v>7703.5910120973103</v>
      </c>
      <c r="K98">
        <v>7592.1212636813598</v>
      </c>
      <c r="L98">
        <v>52.713999999999999</v>
      </c>
      <c r="M98">
        <v>69.12</v>
      </c>
      <c r="N98">
        <v>36.566000000000003</v>
      </c>
    </row>
    <row r="99" spans="1:14" x14ac:dyDescent="0.45">
      <c r="A99">
        <v>1981</v>
      </c>
      <c r="B99" t="s">
        <v>151</v>
      </c>
      <c r="C99">
        <v>0</v>
      </c>
      <c r="D99">
        <v>0</v>
      </c>
      <c r="E99">
        <v>0</v>
      </c>
      <c r="F99">
        <v>1</v>
      </c>
      <c r="G99">
        <v>0</v>
      </c>
      <c r="H99">
        <v>0</v>
      </c>
      <c r="I99">
        <v>0</v>
      </c>
      <c r="J99">
        <v>9316.6110289714197</v>
      </c>
      <c r="K99">
        <v>9242.5001005831109</v>
      </c>
      <c r="L99">
        <v>38.536000000000001</v>
      </c>
      <c r="M99">
        <v>66.92</v>
      </c>
      <c r="N99">
        <v>52.844000000000001</v>
      </c>
    </row>
    <row r="100" spans="1:14" x14ac:dyDescent="0.45">
      <c r="A100">
        <v>1981</v>
      </c>
      <c r="B100" t="s">
        <v>152</v>
      </c>
      <c r="C100">
        <v>0</v>
      </c>
      <c r="D100">
        <v>0</v>
      </c>
      <c r="E100">
        <v>0</v>
      </c>
      <c r="F100">
        <v>0</v>
      </c>
      <c r="G100">
        <v>0</v>
      </c>
      <c r="H100">
        <v>1</v>
      </c>
      <c r="I100">
        <v>1</v>
      </c>
      <c r="J100">
        <v>25072.485901450102</v>
      </c>
      <c r="K100">
        <v>23225.454117605601</v>
      </c>
      <c r="L100">
        <v>23.727</v>
      </c>
      <c r="M100">
        <v>76.563000000000002</v>
      </c>
      <c r="N100">
        <v>9.4540000000000006</v>
      </c>
    </row>
    <row r="101" spans="1:14" x14ac:dyDescent="0.45">
      <c r="A101">
        <v>1981</v>
      </c>
      <c r="B101" t="s">
        <v>153</v>
      </c>
      <c r="C101">
        <v>1</v>
      </c>
      <c r="D101">
        <v>0</v>
      </c>
      <c r="E101">
        <v>0</v>
      </c>
      <c r="F101">
        <v>1</v>
      </c>
      <c r="G101">
        <v>0</v>
      </c>
      <c r="H101">
        <v>0</v>
      </c>
      <c r="I101">
        <v>0</v>
      </c>
      <c r="L101">
        <v>45.417999999999999</v>
      </c>
      <c r="M101">
        <v>62.996000000000002</v>
      </c>
      <c r="N101">
        <v>67.846999999999994</v>
      </c>
    </row>
    <row r="102" spans="1:14" x14ac:dyDescent="0.45">
      <c r="A102">
        <v>1981</v>
      </c>
      <c r="B102" t="s">
        <v>154</v>
      </c>
      <c r="C102">
        <v>0</v>
      </c>
      <c r="D102">
        <v>0</v>
      </c>
      <c r="E102">
        <v>1</v>
      </c>
      <c r="F102">
        <v>0</v>
      </c>
      <c r="G102">
        <v>0</v>
      </c>
      <c r="H102">
        <v>0</v>
      </c>
      <c r="I102">
        <v>0</v>
      </c>
      <c r="J102">
        <v>4034.4145933781101</v>
      </c>
      <c r="K102">
        <v>3477.0450446742998</v>
      </c>
      <c r="L102">
        <v>84.319000000000003</v>
      </c>
      <c r="M102">
        <v>59.561999999999998</v>
      </c>
      <c r="N102">
        <v>106.08199999999999</v>
      </c>
    </row>
    <row r="103" spans="1:14" x14ac:dyDescent="0.45">
      <c r="A103">
        <v>1981</v>
      </c>
      <c r="B103" t="s">
        <v>155</v>
      </c>
      <c r="C103">
        <v>1</v>
      </c>
      <c r="D103">
        <v>0</v>
      </c>
      <c r="E103">
        <v>0</v>
      </c>
      <c r="F103">
        <v>1</v>
      </c>
      <c r="G103">
        <v>0</v>
      </c>
      <c r="H103">
        <v>0</v>
      </c>
      <c r="I103">
        <v>0</v>
      </c>
      <c r="L103">
        <v>61.423000000000002</v>
      </c>
      <c r="M103">
        <v>61.85</v>
      </c>
      <c r="N103">
        <v>95.268000000000001</v>
      </c>
    </row>
    <row r="104" spans="1:14" x14ac:dyDescent="0.45">
      <c r="A104">
        <v>1981</v>
      </c>
      <c r="B104" t="s">
        <v>156</v>
      </c>
      <c r="C104">
        <v>0</v>
      </c>
      <c r="D104">
        <v>0</v>
      </c>
      <c r="E104">
        <v>0</v>
      </c>
      <c r="F104">
        <v>0</v>
      </c>
      <c r="G104">
        <v>0</v>
      </c>
      <c r="H104">
        <v>0</v>
      </c>
      <c r="I104">
        <v>0</v>
      </c>
      <c r="J104">
        <v>2145.9758097077902</v>
      </c>
      <c r="K104">
        <v>1924.22845352833</v>
      </c>
      <c r="L104">
        <v>87.257999999999996</v>
      </c>
      <c r="M104">
        <v>48.034999999999997</v>
      </c>
      <c r="N104">
        <v>156.45500000000001</v>
      </c>
    </row>
    <row r="105" spans="1:14" x14ac:dyDescent="0.45">
      <c r="A105">
        <v>1981</v>
      </c>
      <c r="B105" t="s">
        <v>157</v>
      </c>
      <c r="C105">
        <v>0</v>
      </c>
      <c r="D105">
        <v>0</v>
      </c>
      <c r="E105">
        <v>0</v>
      </c>
      <c r="F105">
        <v>1</v>
      </c>
      <c r="G105">
        <v>0</v>
      </c>
      <c r="H105">
        <v>0</v>
      </c>
      <c r="I105">
        <v>0</v>
      </c>
      <c r="J105">
        <v>2578.8249696367898</v>
      </c>
      <c r="K105">
        <v>2332.80325559838</v>
      </c>
      <c r="L105">
        <v>67.468000000000004</v>
      </c>
      <c r="M105">
        <v>57.524999999999999</v>
      </c>
      <c r="N105">
        <v>116.41</v>
      </c>
    </row>
    <row r="106" spans="1:14" x14ac:dyDescent="0.45">
      <c r="A106">
        <v>1981</v>
      </c>
      <c r="B106" t="s">
        <v>158</v>
      </c>
      <c r="C106">
        <v>0</v>
      </c>
      <c r="D106">
        <v>1</v>
      </c>
      <c r="E106">
        <v>0</v>
      </c>
      <c r="F106">
        <v>0</v>
      </c>
      <c r="G106">
        <v>1</v>
      </c>
      <c r="H106">
        <v>0</v>
      </c>
      <c r="I106">
        <v>0</v>
      </c>
      <c r="J106">
        <v>8201.5005589836492</v>
      </c>
      <c r="K106">
        <v>8100.0973555212804</v>
      </c>
      <c r="L106">
        <v>64.245999999999995</v>
      </c>
      <c r="M106">
        <v>64.62</v>
      </c>
      <c r="N106">
        <v>47.192</v>
      </c>
    </row>
    <row r="107" spans="1:14" x14ac:dyDescent="0.45">
      <c r="A107">
        <v>1981</v>
      </c>
      <c r="B107" t="s">
        <v>159</v>
      </c>
      <c r="C107">
        <v>0</v>
      </c>
      <c r="D107">
        <v>0</v>
      </c>
      <c r="E107">
        <v>0</v>
      </c>
      <c r="F107">
        <v>0</v>
      </c>
      <c r="G107">
        <v>1</v>
      </c>
      <c r="H107">
        <v>0</v>
      </c>
      <c r="I107">
        <v>0</v>
      </c>
      <c r="J107">
        <v>6521.0250317916098</v>
      </c>
      <c r="K107">
        <v>5944.7131194451204</v>
      </c>
      <c r="L107">
        <v>41.593000000000004</v>
      </c>
      <c r="M107">
        <v>67.141000000000005</v>
      </c>
      <c r="N107">
        <v>33.658000000000001</v>
      </c>
    </row>
    <row r="108" spans="1:14" x14ac:dyDescent="0.45">
      <c r="A108">
        <v>1981</v>
      </c>
      <c r="B108" t="s">
        <v>160</v>
      </c>
      <c r="C108">
        <v>0</v>
      </c>
      <c r="D108">
        <v>0</v>
      </c>
      <c r="E108">
        <v>0</v>
      </c>
      <c r="F108">
        <v>0</v>
      </c>
      <c r="G108">
        <v>0</v>
      </c>
      <c r="H108">
        <v>1</v>
      </c>
      <c r="I108">
        <v>1</v>
      </c>
      <c r="J108">
        <v>55455.269873390098</v>
      </c>
      <c r="K108">
        <v>49388.470293034698</v>
      </c>
      <c r="L108">
        <v>4.33</v>
      </c>
      <c r="M108">
        <v>71.522000000000006</v>
      </c>
      <c r="N108">
        <v>32.54</v>
      </c>
    </row>
    <row r="109" spans="1:14" x14ac:dyDescent="0.45">
      <c r="A109">
        <v>1981</v>
      </c>
      <c r="B109" t="s">
        <v>161</v>
      </c>
      <c r="C109">
        <v>0</v>
      </c>
      <c r="D109">
        <v>0</v>
      </c>
      <c r="E109">
        <v>0</v>
      </c>
      <c r="F109">
        <v>0</v>
      </c>
      <c r="G109">
        <v>0</v>
      </c>
      <c r="H109">
        <v>0</v>
      </c>
      <c r="I109">
        <v>0</v>
      </c>
      <c r="L109">
        <v>87.35</v>
      </c>
      <c r="M109">
        <v>49.237000000000002</v>
      </c>
      <c r="N109">
        <v>198.94300000000001</v>
      </c>
    </row>
    <row r="110" spans="1:14" x14ac:dyDescent="0.45">
      <c r="A110">
        <v>1981</v>
      </c>
      <c r="B110" t="s">
        <v>162</v>
      </c>
      <c r="C110">
        <v>0</v>
      </c>
      <c r="D110">
        <v>0</v>
      </c>
      <c r="E110">
        <v>0</v>
      </c>
      <c r="F110">
        <v>1</v>
      </c>
      <c r="G110">
        <v>0</v>
      </c>
      <c r="H110">
        <v>0</v>
      </c>
      <c r="I110">
        <v>0</v>
      </c>
      <c r="L110">
        <v>25.100999999999999</v>
      </c>
      <c r="M110">
        <v>60.279000000000003</v>
      </c>
      <c r="N110">
        <v>72.05</v>
      </c>
    </row>
    <row r="111" spans="1:14" x14ac:dyDescent="0.45">
      <c r="A111">
        <v>1981</v>
      </c>
      <c r="B111" t="s">
        <v>163</v>
      </c>
      <c r="C111">
        <v>0</v>
      </c>
      <c r="D111">
        <v>0</v>
      </c>
      <c r="E111">
        <v>1</v>
      </c>
      <c r="F111">
        <v>0</v>
      </c>
      <c r="G111">
        <v>0</v>
      </c>
      <c r="H111">
        <v>0</v>
      </c>
      <c r="I111">
        <v>0</v>
      </c>
      <c r="J111">
        <v>3831.4441957017002</v>
      </c>
      <c r="K111">
        <v>5660.74978649077</v>
      </c>
      <c r="L111">
        <v>63.837000000000003</v>
      </c>
      <c r="M111">
        <v>44.344000000000001</v>
      </c>
      <c r="N111">
        <v>243.69399999999999</v>
      </c>
    </row>
    <row r="112" spans="1:14" x14ac:dyDescent="0.45">
      <c r="A112">
        <v>1981</v>
      </c>
      <c r="B112" t="s">
        <v>164</v>
      </c>
      <c r="C112">
        <v>0</v>
      </c>
      <c r="D112">
        <v>0</v>
      </c>
      <c r="E112">
        <v>0</v>
      </c>
      <c r="F112">
        <v>0</v>
      </c>
      <c r="G112">
        <v>1</v>
      </c>
      <c r="H112">
        <v>0</v>
      </c>
      <c r="I112">
        <v>0</v>
      </c>
      <c r="J112">
        <v>40598.278731474602</v>
      </c>
      <c r="K112">
        <v>47447.011221415698</v>
      </c>
      <c r="L112">
        <v>28.548999999999999</v>
      </c>
      <c r="M112">
        <v>65.254999999999995</v>
      </c>
      <c r="N112">
        <v>67.283000000000001</v>
      </c>
    </row>
    <row r="113" spans="1:14" x14ac:dyDescent="0.45">
      <c r="A113">
        <v>1981</v>
      </c>
      <c r="B113" t="s">
        <v>165</v>
      </c>
      <c r="C113">
        <v>0</v>
      </c>
      <c r="D113">
        <v>1</v>
      </c>
      <c r="E113">
        <v>0</v>
      </c>
      <c r="F113">
        <v>1</v>
      </c>
      <c r="G113">
        <v>0</v>
      </c>
      <c r="H113">
        <v>0</v>
      </c>
      <c r="I113">
        <v>0</v>
      </c>
      <c r="J113">
        <v>10088.0559600777</v>
      </c>
      <c r="K113">
        <v>7257.4181481839896</v>
      </c>
      <c r="L113">
        <v>73.188000000000002</v>
      </c>
      <c r="M113">
        <v>68.688000000000002</v>
      </c>
      <c r="N113">
        <v>30.096</v>
      </c>
    </row>
    <row r="114" spans="1:14" x14ac:dyDescent="0.45">
      <c r="A114">
        <v>1981</v>
      </c>
      <c r="B114" t="s">
        <v>166</v>
      </c>
      <c r="C114">
        <v>1</v>
      </c>
      <c r="D114">
        <v>0</v>
      </c>
      <c r="E114">
        <v>0</v>
      </c>
      <c r="F114">
        <v>0</v>
      </c>
      <c r="G114">
        <v>0</v>
      </c>
      <c r="H114">
        <v>1</v>
      </c>
      <c r="I114">
        <v>1</v>
      </c>
      <c r="L114">
        <v>81.813000000000002</v>
      </c>
      <c r="M114">
        <v>74.947999999999993</v>
      </c>
      <c r="N114">
        <v>18.704000000000001</v>
      </c>
    </row>
    <row r="115" spans="1:14" x14ac:dyDescent="0.45">
      <c r="A115">
        <v>1981</v>
      </c>
      <c r="B115" t="s">
        <v>167</v>
      </c>
      <c r="C115">
        <v>0</v>
      </c>
      <c r="D115">
        <v>0</v>
      </c>
      <c r="E115">
        <v>0</v>
      </c>
      <c r="F115">
        <v>0</v>
      </c>
      <c r="G115">
        <v>0</v>
      </c>
      <c r="H115">
        <v>0</v>
      </c>
      <c r="I115">
        <v>0</v>
      </c>
      <c r="J115">
        <v>3523.1735427201402</v>
      </c>
      <c r="K115">
        <v>3290.5884047887298</v>
      </c>
      <c r="L115">
        <v>81.323999999999998</v>
      </c>
      <c r="M115">
        <v>68.38</v>
      </c>
      <c r="N115">
        <v>42.823</v>
      </c>
    </row>
    <row r="116" spans="1:14" x14ac:dyDescent="0.45">
      <c r="A116">
        <v>1981</v>
      </c>
      <c r="B116" t="s">
        <v>168</v>
      </c>
      <c r="C116">
        <v>0</v>
      </c>
      <c r="D116">
        <v>0</v>
      </c>
      <c r="E116">
        <v>1</v>
      </c>
      <c r="F116">
        <v>0</v>
      </c>
      <c r="G116">
        <v>0</v>
      </c>
      <c r="H116">
        <v>0</v>
      </c>
      <c r="I116">
        <v>0</v>
      </c>
      <c r="J116">
        <v>1234.1324993742001</v>
      </c>
      <c r="K116">
        <v>1105.06716416922</v>
      </c>
      <c r="L116">
        <v>88.49</v>
      </c>
      <c r="M116">
        <v>57.307000000000002</v>
      </c>
      <c r="N116">
        <v>117.60299999999999</v>
      </c>
    </row>
    <row r="117" spans="1:14" x14ac:dyDescent="0.45">
      <c r="A117">
        <v>1981</v>
      </c>
      <c r="B117" t="s">
        <v>169</v>
      </c>
      <c r="C117">
        <v>1</v>
      </c>
      <c r="D117">
        <v>0</v>
      </c>
      <c r="E117">
        <v>0</v>
      </c>
      <c r="F117">
        <v>0</v>
      </c>
      <c r="G117">
        <v>1</v>
      </c>
      <c r="H117">
        <v>0</v>
      </c>
      <c r="I117">
        <v>0</v>
      </c>
      <c r="L117">
        <v>38.054000000000002</v>
      </c>
      <c r="M117">
        <v>70.686999999999998</v>
      </c>
      <c r="N117">
        <v>20.933</v>
      </c>
    </row>
    <row r="118" spans="1:14" x14ac:dyDescent="0.45">
      <c r="A118">
        <v>1981</v>
      </c>
      <c r="B118" t="s">
        <v>170</v>
      </c>
      <c r="C118">
        <v>1</v>
      </c>
      <c r="D118">
        <v>0</v>
      </c>
      <c r="E118">
        <v>0</v>
      </c>
      <c r="F118">
        <v>0</v>
      </c>
      <c r="G118">
        <v>0</v>
      </c>
      <c r="H118">
        <v>1</v>
      </c>
      <c r="I118">
        <v>1</v>
      </c>
      <c r="J118">
        <v>53983.5054854681</v>
      </c>
      <c r="K118">
        <v>46132.2153378605</v>
      </c>
      <c r="L118">
        <v>19.556000000000001</v>
      </c>
      <c r="M118">
        <v>72.076999999999998</v>
      </c>
      <c r="N118">
        <v>16.812999999999999</v>
      </c>
    </row>
    <row r="119" spans="1:14" x14ac:dyDescent="0.45">
      <c r="A119">
        <v>1981</v>
      </c>
      <c r="B119" t="s">
        <v>171</v>
      </c>
      <c r="C119">
        <v>1</v>
      </c>
      <c r="D119">
        <v>0</v>
      </c>
      <c r="E119">
        <v>0</v>
      </c>
      <c r="F119">
        <v>0</v>
      </c>
      <c r="G119">
        <v>1</v>
      </c>
      <c r="H119">
        <v>0</v>
      </c>
      <c r="I119">
        <v>0</v>
      </c>
      <c r="L119">
        <v>32.56</v>
      </c>
      <c r="M119">
        <v>69.078999999999994</v>
      </c>
      <c r="N119">
        <v>20.378</v>
      </c>
    </row>
    <row r="120" spans="1:14" x14ac:dyDescent="0.45">
      <c r="A120">
        <v>1981</v>
      </c>
      <c r="B120" t="s">
        <v>172</v>
      </c>
      <c r="C120">
        <v>0</v>
      </c>
      <c r="D120">
        <v>0</v>
      </c>
      <c r="E120">
        <v>0</v>
      </c>
      <c r="F120">
        <v>0</v>
      </c>
      <c r="G120">
        <v>1</v>
      </c>
      <c r="H120">
        <v>0</v>
      </c>
      <c r="I120">
        <v>0</v>
      </c>
      <c r="L120">
        <v>1.345</v>
      </c>
      <c r="M120">
        <v>73.367000000000004</v>
      </c>
      <c r="N120">
        <v>21.603000000000002</v>
      </c>
    </row>
    <row r="121" spans="1:14" x14ac:dyDescent="0.45">
      <c r="A121">
        <v>1981</v>
      </c>
      <c r="B121" t="s">
        <v>173</v>
      </c>
      <c r="C121">
        <v>0</v>
      </c>
      <c r="D121">
        <v>1</v>
      </c>
      <c r="E121">
        <v>0</v>
      </c>
      <c r="F121">
        <v>0</v>
      </c>
      <c r="G121">
        <v>0</v>
      </c>
      <c r="H121">
        <v>1</v>
      </c>
      <c r="I121">
        <v>1</v>
      </c>
      <c r="L121">
        <v>0</v>
      </c>
      <c r="M121">
        <v>72.384</v>
      </c>
      <c r="N121">
        <v>27.693000000000001</v>
      </c>
    </row>
    <row r="122" spans="1:14" x14ac:dyDescent="0.45">
      <c r="A122">
        <v>1981</v>
      </c>
      <c r="B122" t="s">
        <v>174</v>
      </c>
      <c r="C122">
        <v>0</v>
      </c>
      <c r="D122">
        <v>0</v>
      </c>
      <c r="E122">
        <v>0</v>
      </c>
      <c r="F122">
        <v>1</v>
      </c>
      <c r="G122">
        <v>0</v>
      </c>
      <c r="H122">
        <v>0</v>
      </c>
      <c r="I122">
        <v>0</v>
      </c>
      <c r="J122">
        <v>3602.0730487583101</v>
      </c>
      <c r="K122">
        <v>3459.3172734838299</v>
      </c>
      <c r="L122">
        <v>58.08</v>
      </c>
      <c r="M122">
        <v>56.023000000000003</v>
      </c>
      <c r="N122">
        <v>127.491</v>
      </c>
    </row>
    <row r="123" spans="1:14" x14ac:dyDescent="0.45">
      <c r="A123">
        <v>1981</v>
      </c>
      <c r="B123" t="s">
        <v>175</v>
      </c>
      <c r="C123">
        <v>1</v>
      </c>
      <c r="D123">
        <v>0</v>
      </c>
      <c r="E123">
        <v>0</v>
      </c>
      <c r="F123">
        <v>0</v>
      </c>
      <c r="G123">
        <v>0</v>
      </c>
      <c r="H123">
        <v>1</v>
      </c>
      <c r="I123">
        <v>1</v>
      </c>
      <c r="L123">
        <v>0</v>
      </c>
      <c r="M123">
        <v>74.953000000000003</v>
      </c>
      <c r="N123">
        <v>18.928999999999998</v>
      </c>
    </row>
    <row r="124" spans="1:14" x14ac:dyDescent="0.45">
      <c r="A124">
        <v>1981</v>
      </c>
      <c r="B124" t="s">
        <v>176</v>
      </c>
      <c r="C124">
        <v>1</v>
      </c>
      <c r="D124">
        <v>0</v>
      </c>
      <c r="E124">
        <v>0</v>
      </c>
      <c r="F124">
        <v>1</v>
      </c>
      <c r="G124">
        <v>0</v>
      </c>
      <c r="H124">
        <v>0</v>
      </c>
      <c r="I124">
        <v>0</v>
      </c>
      <c r="L124">
        <v>58.863999999999997</v>
      </c>
      <c r="M124">
        <v>65.594999999999999</v>
      </c>
      <c r="N124">
        <v>47.459000000000003</v>
      </c>
    </row>
    <row r="125" spans="1:14" x14ac:dyDescent="0.45">
      <c r="A125">
        <v>1981</v>
      </c>
      <c r="B125" t="s">
        <v>177</v>
      </c>
      <c r="C125">
        <v>0</v>
      </c>
      <c r="D125">
        <v>0</v>
      </c>
      <c r="E125">
        <v>1</v>
      </c>
      <c r="F125">
        <v>0</v>
      </c>
      <c r="G125">
        <v>0</v>
      </c>
      <c r="H125">
        <v>0</v>
      </c>
      <c r="I125">
        <v>0</v>
      </c>
      <c r="J125">
        <v>2507.1836103348501</v>
      </c>
      <c r="K125">
        <v>2322.72144811618</v>
      </c>
      <c r="L125">
        <v>81.012</v>
      </c>
      <c r="M125">
        <v>49.805999999999997</v>
      </c>
      <c r="N125">
        <v>173.339</v>
      </c>
    </row>
    <row r="126" spans="1:14" x14ac:dyDescent="0.45">
      <c r="A126">
        <v>1981</v>
      </c>
      <c r="B126" t="s">
        <v>178</v>
      </c>
      <c r="C126">
        <v>0</v>
      </c>
      <c r="D126">
        <v>0</v>
      </c>
      <c r="E126">
        <v>0</v>
      </c>
      <c r="F126">
        <v>0</v>
      </c>
      <c r="G126">
        <v>0</v>
      </c>
      <c r="H126">
        <v>0</v>
      </c>
      <c r="I126">
        <v>0</v>
      </c>
      <c r="J126">
        <v>5201.8665577239599</v>
      </c>
      <c r="K126">
        <v>5132.0746668824004</v>
      </c>
      <c r="L126">
        <v>77.094999999999999</v>
      </c>
      <c r="M126">
        <v>55.728999999999999</v>
      </c>
      <c r="N126">
        <v>142.51900000000001</v>
      </c>
    </row>
    <row r="127" spans="1:14" x14ac:dyDescent="0.45">
      <c r="A127">
        <v>1981</v>
      </c>
      <c r="B127" t="s">
        <v>179</v>
      </c>
      <c r="C127">
        <v>0</v>
      </c>
      <c r="D127">
        <v>1</v>
      </c>
      <c r="E127">
        <v>0</v>
      </c>
      <c r="F127">
        <v>1</v>
      </c>
      <c r="G127">
        <v>0</v>
      </c>
      <c r="H127">
        <v>0</v>
      </c>
      <c r="I127">
        <v>0</v>
      </c>
      <c r="J127">
        <v>18286.801066017699</v>
      </c>
      <c r="K127">
        <v>17000.785281077198</v>
      </c>
      <c r="L127">
        <v>33.130000000000003</v>
      </c>
      <c r="M127">
        <v>64.721999999999994</v>
      </c>
      <c r="N127">
        <v>68.292000000000002</v>
      </c>
    </row>
    <row r="128" spans="1:14" x14ac:dyDescent="0.45">
      <c r="A128">
        <v>1981</v>
      </c>
      <c r="B128" t="s">
        <v>180</v>
      </c>
      <c r="C128">
        <v>0</v>
      </c>
      <c r="D128">
        <v>0</v>
      </c>
      <c r="E128">
        <v>0</v>
      </c>
      <c r="F128">
        <v>1</v>
      </c>
      <c r="G128">
        <v>0</v>
      </c>
      <c r="H128">
        <v>0</v>
      </c>
      <c r="I128">
        <v>0</v>
      </c>
      <c r="J128">
        <v>3115.8945822005899</v>
      </c>
      <c r="K128">
        <v>2818.2795588836502</v>
      </c>
      <c r="L128">
        <v>41.173999999999999</v>
      </c>
      <c r="M128">
        <v>61.139000000000003</v>
      </c>
      <c r="N128">
        <v>62.286999999999999</v>
      </c>
    </row>
    <row r="129" spans="1:14" x14ac:dyDescent="0.45">
      <c r="A129">
        <v>1981</v>
      </c>
      <c r="B129" t="s">
        <v>181</v>
      </c>
      <c r="C129">
        <v>1</v>
      </c>
      <c r="D129">
        <v>0</v>
      </c>
      <c r="E129">
        <v>0</v>
      </c>
      <c r="F129">
        <v>0</v>
      </c>
      <c r="G129">
        <v>1</v>
      </c>
      <c r="H129">
        <v>0</v>
      </c>
      <c r="I129">
        <v>0</v>
      </c>
      <c r="L129">
        <v>45.993000000000002</v>
      </c>
      <c r="M129">
        <v>69.433000000000007</v>
      </c>
      <c r="N129">
        <v>53.121000000000002</v>
      </c>
    </row>
    <row r="130" spans="1:14" x14ac:dyDescent="0.45">
      <c r="A130">
        <v>1981</v>
      </c>
      <c r="B130" t="s">
        <v>182</v>
      </c>
      <c r="C130">
        <v>0</v>
      </c>
      <c r="D130">
        <v>0</v>
      </c>
      <c r="E130">
        <v>1</v>
      </c>
      <c r="F130">
        <v>0</v>
      </c>
      <c r="G130">
        <v>0</v>
      </c>
      <c r="H130">
        <v>0</v>
      </c>
      <c r="I130">
        <v>0</v>
      </c>
      <c r="J130">
        <v>1466.0273082527999</v>
      </c>
      <c r="K130">
        <v>1356.9692169032601</v>
      </c>
      <c r="L130">
        <v>81.03</v>
      </c>
      <c r="M130">
        <v>40.984000000000002</v>
      </c>
      <c r="N130">
        <v>295.46300000000002</v>
      </c>
    </row>
    <row r="131" spans="1:14" x14ac:dyDescent="0.45">
      <c r="A131">
        <v>1981</v>
      </c>
      <c r="B131" t="s">
        <v>183</v>
      </c>
      <c r="C131">
        <v>0</v>
      </c>
      <c r="D131">
        <v>0</v>
      </c>
      <c r="E131">
        <v>0</v>
      </c>
      <c r="F131">
        <v>0</v>
      </c>
      <c r="G131">
        <v>1</v>
      </c>
      <c r="H131">
        <v>0</v>
      </c>
      <c r="I131">
        <v>0</v>
      </c>
      <c r="J131">
        <v>14745.727893118899</v>
      </c>
      <c r="K131">
        <v>12755.7763684726</v>
      </c>
      <c r="L131">
        <v>10.206</v>
      </c>
      <c r="M131">
        <v>72.367000000000004</v>
      </c>
      <c r="N131">
        <v>16.388000000000002</v>
      </c>
    </row>
    <row r="132" spans="1:14" x14ac:dyDescent="0.45">
      <c r="A132">
        <v>1981</v>
      </c>
      <c r="B132" t="s">
        <v>184</v>
      </c>
      <c r="C132">
        <v>0</v>
      </c>
      <c r="D132">
        <v>0</v>
      </c>
      <c r="E132">
        <v>0</v>
      </c>
      <c r="F132">
        <v>0</v>
      </c>
      <c r="G132">
        <v>0</v>
      </c>
      <c r="H132">
        <v>0</v>
      </c>
      <c r="I132">
        <v>0</v>
      </c>
      <c r="J132">
        <v>818.17941633678402</v>
      </c>
      <c r="K132">
        <v>655.11882127994704</v>
      </c>
      <c r="L132">
        <v>76.018000000000001</v>
      </c>
      <c r="M132">
        <v>54.698999999999998</v>
      </c>
      <c r="N132">
        <v>137.46899999999999</v>
      </c>
    </row>
    <row r="133" spans="1:14" x14ac:dyDescent="0.45">
      <c r="A133">
        <v>1981</v>
      </c>
      <c r="B133" t="s">
        <v>185</v>
      </c>
      <c r="C133">
        <v>1</v>
      </c>
      <c r="D133">
        <v>0</v>
      </c>
      <c r="E133">
        <v>0</v>
      </c>
      <c r="F133">
        <v>0</v>
      </c>
      <c r="G133">
        <v>1</v>
      </c>
      <c r="H133">
        <v>0</v>
      </c>
      <c r="I133">
        <v>0</v>
      </c>
      <c r="L133">
        <v>62.107999999999997</v>
      </c>
      <c r="M133">
        <v>72.126000000000005</v>
      </c>
      <c r="N133">
        <v>25.867999999999999</v>
      </c>
    </row>
    <row r="134" spans="1:14" x14ac:dyDescent="0.45">
      <c r="A134">
        <v>1981</v>
      </c>
      <c r="B134" t="s">
        <v>186</v>
      </c>
      <c r="C134">
        <v>0</v>
      </c>
      <c r="D134">
        <v>0</v>
      </c>
      <c r="E134">
        <v>0</v>
      </c>
      <c r="F134">
        <v>1</v>
      </c>
      <c r="G134">
        <v>0</v>
      </c>
      <c r="H134">
        <v>0</v>
      </c>
      <c r="I134">
        <v>0</v>
      </c>
      <c r="J134">
        <v>4806.3240090498002</v>
      </c>
      <c r="K134">
        <v>3703.1568240091901</v>
      </c>
      <c r="L134">
        <v>47.323999999999998</v>
      </c>
      <c r="M134">
        <v>55.405000000000001</v>
      </c>
      <c r="N134">
        <v>147.49199999999999</v>
      </c>
    </row>
    <row r="135" spans="1:14" x14ac:dyDescent="0.45">
      <c r="A135">
        <v>1981</v>
      </c>
      <c r="B135" t="s">
        <v>187</v>
      </c>
      <c r="C135">
        <v>0</v>
      </c>
      <c r="D135">
        <v>0</v>
      </c>
      <c r="E135">
        <v>0</v>
      </c>
      <c r="F135">
        <v>1</v>
      </c>
      <c r="G135">
        <v>0</v>
      </c>
      <c r="H135">
        <v>0</v>
      </c>
      <c r="I135">
        <v>0</v>
      </c>
      <c r="L135">
        <v>12.882999999999999</v>
      </c>
      <c r="M135">
        <v>68.478999999999999</v>
      </c>
      <c r="N135">
        <v>15.706</v>
      </c>
    </row>
    <row r="136" spans="1:14" x14ac:dyDescent="0.45">
      <c r="A136">
        <v>1981</v>
      </c>
      <c r="B136" t="s">
        <v>188</v>
      </c>
      <c r="C136">
        <v>0</v>
      </c>
      <c r="D136">
        <v>0</v>
      </c>
      <c r="E136">
        <v>1</v>
      </c>
      <c r="F136">
        <v>0</v>
      </c>
      <c r="G136">
        <v>0</v>
      </c>
      <c r="H136">
        <v>0</v>
      </c>
      <c r="I136">
        <v>0</v>
      </c>
      <c r="J136">
        <v>633.96314274218105</v>
      </c>
      <c r="K136">
        <v>530.817279518742</v>
      </c>
      <c r="L136">
        <v>85.948999999999998</v>
      </c>
      <c r="M136">
        <v>41.643000000000001</v>
      </c>
      <c r="N136">
        <v>284.90600000000001</v>
      </c>
    </row>
    <row r="137" spans="1:14" x14ac:dyDescent="0.45">
      <c r="A137">
        <v>1981</v>
      </c>
      <c r="B137" t="s">
        <v>189</v>
      </c>
      <c r="C137">
        <v>0</v>
      </c>
      <c r="D137">
        <v>0</v>
      </c>
      <c r="E137">
        <v>1</v>
      </c>
      <c r="F137">
        <v>0</v>
      </c>
      <c r="G137">
        <v>0</v>
      </c>
      <c r="H137">
        <v>0</v>
      </c>
      <c r="I137">
        <v>0</v>
      </c>
      <c r="J137">
        <v>5941.8204192524099</v>
      </c>
      <c r="K137">
        <v>5256.8079711563096</v>
      </c>
      <c r="L137">
        <v>71.19</v>
      </c>
      <c r="M137">
        <v>53.683999999999997</v>
      </c>
      <c r="N137">
        <v>160.82300000000001</v>
      </c>
    </row>
    <row r="138" spans="1:14" x14ac:dyDescent="0.45">
      <c r="A138">
        <v>1981</v>
      </c>
      <c r="B138" t="s">
        <v>190</v>
      </c>
      <c r="C138">
        <v>0</v>
      </c>
      <c r="D138">
        <v>0</v>
      </c>
      <c r="E138">
        <v>1</v>
      </c>
      <c r="F138">
        <v>1</v>
      </c>
      <c r="G138">
        <v>0</v>
      </c>
      <c r="H138">
        <v>0</v>
      </c>
      <c r="I138">
        <v>0</v>
      </c>
      <c r="J138">
        <v>5819.2121222364503</v>
      </c>
      <c r="K138">
        <v>5462.0561352982504</v>
      </c>
      <c r="L138">
        <v>57.866</v>
      </c>
      <c r="M138">
        <v>67.215999999999994</v>
      </c>
      <c r="N138">
        <v>39.070999999999998</v>
      </c>
    </row>
    <row r="139" spans="1:14" x14ac:dyDescent="0.45">
      <c r="A139">
        <v>1981</v>
      </c>
      <c r="B139" t="s">
        <v>191</v>
      </c>
      <c r="C139">
        <v>0</v>
      </c>
      <c r="D139">
        <v>0</v>
      </c>
      <c r="E139">
        <v>1</v>
      </c>
      <c r="F139">
        <v>0</v>
      </c>
      <c r="G139">
        <v>0</v>
      </c>
      <c r="H139">
        <v>0</v>
      </c>
      <c r="I139">
        <v>0</v>
      </c>
      <c r="J139">
        <v>1304.1075555304999</v>
      </c>
      <c r="K139">
        <v>1115.87445591038</v>
      </c>
      <c r="L139">
        <v>90.736999999999995</v>
      </c>
      <c r="M139">
        <v>44.72</v>
      </c>
      <c r="N139">
        <v>254.73699999999999</v>
      </c>
    </row>
    <row r="140" spans="1:14" x14ac:dyDescent="0.45">
      <c r="A140">
        <v>1981</v>
      </c>
      <c r="B140" t="s">
        <v>192</v>
      </c>
      <c r="C140">
        <v>0</v>
      </c>
      <c r="D140">
        <v>0</v>
      </c>
      <c r="E140">
        <v>0</v>
      </c>
      <c r="F140">
        <v>1</v>
      </c>
      <c r="G140">
        <v>0</v>
      </c>
      <c r="H140">
        <v>0</v>
      </c>
      <c r="I140">
        <v>0</v>
      </c>
      <c r="J140">
        <v>9772.5968497194208</v>
      </c>
      <c r="K140">
        <v>8735.54850192708</v>
      </c>
      <c r="L140">
        <v>57.192999999999998</v>
      </c>
      <c r="M140">
        <v>68.460999999999999</v>
      </c>
      <c r="N140">
        <v>28.34</v>
      </c>
    </row>
    <row r="141" spans="1:14" x14ac:dyDescent="0.45">
      <c r="A141">
        <v>1981</v>
      </c>
      <c r="B141" t="s">
        <v>193</v>
      </c>
      <c r="C141">
        <v>0</v>
      </c>
      <c r="D141">
        <v>0</v>
      </c>
      <c r="E141">
        <v>1</v>
      </c>
      <c r="F141">
        <v>1</v>
      </c>
      <c r="G141">
        <v>0</v>
      </c>
      <c r="H141">
        <v>0</v>
      </c>
      <c r="I141">
        <v>0</v>
      </c>
      <c r="J141">
        <v>8674.6008643424502</v>
      </c>
      <c r="K141">
        <v>7518.2748724381199</v>
      </c>
      <c r="L141">
        <v>74.644999999999996</v>
      </c>
      <c r="M141">
        <v>56.911999999999999</v>
      </c>
      <c r="N141">
        <v>103.07599999999999</v>
      </c>
    </row>
    <row r="142" spans="1:14" x14ac:dyDescent="0.45">
      <c r="A142">
        <v>1981</v>
      </c>
      <c r="B142" t="s">
        <v>194</v>
      </c>
      <c r="C142">
        <v>0</v>
      </c>
      <c r="D142">
        <v>0</v>
      </c>
      <c r="E142">
        <v>0</v>
      </c>
      <c r="F142">
        <v>0</v>
      </c>
      <c r="G142">
        <v>1</v>
      </c>
      <c r="H142">
        <v>0</v>
      </c>
      <c r="I142">
        <v>0</v>
      </c>
      <c r="L142">
        <v>42.188000000000002</v>
      </c>
      <c r="M142">
        <v>65.986999999999995</v>
      </c>
      <c r="N142">
        <v>48.076999999999998</v>
      </c>
    </row>
    <row r="143" spans="1:14" x14ac:dyDescent="0.45">
      <c r="A143">
        <v>1981</v>
      </c>
      <c r="B143" t="s">
        <v>195</v>
      </c>
      <c r="C143">
        <v>0</v>
      </c>
      <c r="D143">
        <v>0</v>
      </c>
      <c r="E143">
        <v>1</v>
      </c>
      <c r="F143">
        <v>0</v>
      </c>
      <c r="G143">
        <v>0</v>
      </c>
      <c r="H143">
        <v>0</v>
      </c>
      <c r="I143">
        <v>0</v>
      </c>
      <c r="J143">
        <v>1832.2552768779401</v>
      </c>
      <c r="K143">
        <v>1456.33546324902</v>
      </c>
      <c r="L143">
        <v>86.343999999999994</v>
      </c>
      <c r="M143">
        <v>39.637</v>
      </c>
      <c r="N143">
        <v>331.08199999999999</v>
      </c>
    </row>
    <row r="144" spans="1:14" x14ac:dyDescent="0.45">
      <c r="A144">
        <v>1981</v>
      </c>
      <c r="B144" t="s">
        <v>196</v>
      </c>
      <c r="C144">
        <v>0</v>
      </c>
      <c r="D144">
        <v>0</v>
      </c>
      <c r="E144">
        <v>1</v>
      </c>
      <c r="F144">
        <v>0</v>
      </c>
      <c r="G144">
        <v>0</v>
      </c>
      <c r="H144">
        <v>0</v>
      </c>
      <c r="I144">
        <v>0</v>
      </c>
      <c r="J144">
        <v>5533.4987131920798</v>
      </c>
      <c r="K144">
        <v>4892.3586562961</v>
      </c>
      <c r="L144">
        <v>77.328999999999994</v>
      </c>
      <c r="M144">
        <v>46.308999999999997</v>
      </c>
      <c r="N144">
        <v>212.34899999999999</v>
      </c>
    </row>
    <row r="145" spans="1:14" x14ac:dyDescent="0.45">
      <c r="A145">
        <v>1981</v>
      </c>
      <c r="B145" t="s">
        <v>197</v>
      </c>
      <c r="C145">
        <v>0</v>
      </c>
      <c r="D145">
        <v>1</v>
      </c>
      <c r="E145">
        <v>0</v>
      </c>
      <c r="F145">
        <v>1</v>
      </c>
      <c r="G145">
        <v>0</v>
      </c>
      <c r="H145">
        <v>0</v>
      </c>
      <c r="I145">
        <v>0</v>
      </c>
      <c r="J145">
        <v>6042.21834850289</v>
      </c>
      <c r="K145">
        <v>5089.1499527940096</v>
      </c>
      <c r="L145">
        <v>49.43</v>
      </c>
      <c r="M145">
        <v>58.277999999999999</v>
      </c>
      <c r="N145">
        <v>123.202</v>
      </c>
    </row>
    <row r="146" spans="1:14" x14ac:dyDescent="0.45">
      <c r="A146">
        <v>1981</v>
      </c>
      <c r="B146" t="s">
        <v>198</v>
      </c>
      <c r="C146">
        <v>1</v>
      </c>
      <c r="D146">
        <v>0</v>
      </c>
      <c r="E146">
        <v>0</v>
      </c>
      <c r="F146">
        <v>0</v>
      </c>
      <c r="G146">
        <v>0</v>
      </c>
      <c r="H146">
        <v>1</v>
      </c>
      <c r="I146">
        <v>1</v>
      </c>
      <c r="J146">
        <v>37275.778095485701</v>
      </c>
      <c r="K146">
        <v>31466.088079961901</v>
      </c>
      <c r="L146">
        <v>34.896000000000001</v>
      </c>
      <c r="M146">
        <v>75.991</v>
      </c>
      <c r="N146">
        <v>10.388999999999999</v>
      </c>
    </row>
    <row r="147" spans="1:14" x14ac:dyDescent="0.45">
      <c r="A147">
        <v>1981</v>
      </c>
      <c r="B147" t="s">
        <v>199</v>
      </c>
      <c r="C147">
        <v>1</v>
      </c>
      <c r="D147">
        <v>0</v>
      </c>
      <c r="E147">
        <v>0</v>
      </c>
      <c r="F147">
        <v>0</v>
      </c>
      <c r="G147">
        <v>0</v>
      </c>
      <c r="H147">
        <v>1</v>
      </c>
      <c r="I147">
        <v>1</v>
      </c>
      <c r="J147">
        <v>46719.367951769498</v>
      </c>
      <c r="K147">
        <v>34520.362000073197</v>
      </c>
      <c r="L147">
        <v>29.213000000000001</v>
      </c>
      <c r="M147">
        <v>75.882000000000005</v>
      </c>
      <c r="N147">
        <v>9.3650000000000002</v>
      </c>
    </row>
    <row r="148" spans="1:14" x14ac:dyDescent="0.45">
      <c r="A148">
        <v>1981</v>
      </c>
      <c r="B148" t="s">
        <v>200</v>
      </c>
      <c r="C148">
        <v>0</v>
      </c>
      <c r="D148">
        <v>0</v>
      </c>
      <c r="E148">
        <v>0</v>
      </c>
      <c r="F148">
        <v>0</v>
      </c>
      <c r="G148">
        <v>0</v>
      </c>
      <c r="H148">
        <v>0</v>
      </c>
      <c r="I148">
        <v>0</v>
      </c>
      <c r="J148">
        <v>1453.40633512367</v>
      </c>
      <c r="K148">
        <v>1286.7106899467899</v>
      </c>
      <c r="L148">
        <v>93.623999999999995</v>
      </c>
      <c r="M148">
        <v>48.661999999999999</v>
      </c>
      <c r="N148">
        <v>201.38</v>
      </c>
    </row>
    <row r="149" spans="1:14" x14ac:dyDescent="0.45">
      <c r="A149">
        <v>1981</v>
      </c>
      <c r="B149" t="s">
        <v>201</v>
      </c>
      <c r="C149">
        <v>0</v>
      </c>
      <c r="D149">
        <v>0</v>
      </c>
      <c r="E149">
        <v>0</v>
      </c>
      <c r="F149">
        <v>0</v>
      </c>
      <c r="G149">
        <v>0</v>
      </c>
      <c r="H149">
        <v>1</v>
      </c>
      <c r="I149">
        <v>1</v>
      </c>
      <c r="J149">
        <v>48488.674336008698</v>
      </c>
      <c r="K149">
        <v>43868.696205975401</v>
      </c>
      <c r="L149">
        <v>0</v>
      </c>
      <c r="M149">
        <v>58.555</v>
      </c>
      <c r="N149">
        <v>64.364999999999995</v>
      </c>
    </row>
    <row r="150" spans="1:14" x14ac:dyDescent="0.45">
      <c r="A150">
        <v>1981</v>
      </c>
      <c r="B150" t="s">
        <v>202</v>
      </c>
      <c r="C150">
        <v>0</v>
      </c>
      <c r="D150">
        <v>0</v>
      </c>
      <c r="E150">
        <v>0</v>
      </c>
      <c r="F150">
        <v>0</v>
      </c>
      <c r="G150">
        <v>0</v>
      </c>
      <c r="H150">
        <v>1</v>
      </c>
      <c r="I150">
        <v>1</v>
      </c>
      <c r="J150">
        <v>26997.172817097198</v>
      </c>
      <c r="K150">
        <v>24555.3325312136</v>
      </c>
      <c r="L150">
        <v>16.489000000000001</v>
      </c>
      <c r="M150">
        <v>73.632000000000005</v>
      </c>
      <c r="N150">
        <v>14.59</v>
      </c>
    </row>
    <row r="151" spans="1:14" x14ac:dyDescent="0.45">
      <c r="A151">
        <v>1981</v>
      </c>
      <c r="B151" t="s">
        <v>203</v>
      </c>
      <c r="C151">
        <v>0</v>
      </c>
      <c r="D151">
        <v>0</v>
      </c>
      <c r="E151">
        <v>0</v>
      </c>
      <c r="F151">
        <v>0</v>
      </c>
      <c r="G151">
        <v>1</v>
      </c>
      <c r="H151">
        <v>0</v>
      </c>
      <c r="I151">
        <v>0</v>
      </c>
      <c r="J151">
        <v>24923.963233799001</v>
      </c>
      <c r="K151">
        <v>21656.9447468248</v>
      </c>
      <c r="L151">
        <v>50.529000000000003</v>
      </c>
      <c r="M151">
        <v>60.802</v>
      </c>
      <c r="N151">
        <v>99.367999999999995</v>
      </c>
    </row>
    <row r="152" spans="1:14" x14ac:dyDescent="0.45">
      <c r="A152">
        <v>1981</v>
      </c>
      <c r="B152" t="s">
        <v>204</v>
      </c>
      <c r="C152">
        <v>0</v>
      </c>
      <c r="D152">
        <v>0</v>
      </c>
      <c r="E152">
        <v>0</v>
      </c>
      <c r="F152">
        <v>0</v>
      </c>
      <c r="G152">
        <v>0</v>
      </c>
      <c r="H152">
        <v>0</v>
      </c>
      <c r="I152">
        <v>0</v>
      </c>
      <c r="J152">
        <v>2514.5164593992799</v>
      </c>
      <c r="K152">
        <v>2393.5651503487602</v>
      </c>
      <c r="L152">
        <v>71.62</v>
      </c>
      <c r="M152">
        <v>57.764000000000003</v>
      </c>
      <c r="N152">
        <v>162.767</v>
      </c>
    </row>
    <row r="153" spans="1:14" x14ac:dyDescent="0.45">
      <c r="A153">
        <v>1981</v>
      </c>
      <c r="B153" t="s">
        <v>205</v>
      </c>
      <c r="C153">
        <v>0</v>
      </c>
      <c r="D153">
        <v>1</v>
      </c>
      <c r="E153">
        <v>0</v>
      </c>
      <c r="F153">
        <v>0</v>
      </c>
      <c r="G153">
        <v>1</v>
      </c>
      <c r="H153">
        <v>0</v>
      </c>
      <c r="I153">
        <v>0</v>
      </c>
      <c r="J153">
        <v>13342.999542993701</v>
      </c>
      <c r="K153">
        <v>13991.176196698099</v>
      </c>
      <c r="L153">
        <v>49.213999999999999</v>
      </c>
      <c r="M153">
        <v>69.790000000000006</v>
      </c>
      <c r="N153">
        <v>41.853000000000002</v>
      </c>
    </row>
    <row r="154" spans="1:14" x14ac:dyDescent="0.45">
      <c r="A154">
        <v>1981</v>
      </c>
      <c r="B154" t="s">
        <v>206</v>
      </c>
      <c r="C154">
        <v>0</v>
      </c>
      <c r="D154">
        <v>1</v>
      </c>
      <c r="E154">
        <v>0</v>
      </c>
      <c r="F154">
        <v>1</v>
      </c>
      <c r="G154">
        <v>0</v>
      </c>
      <c r="H154">
        <v>0</v>
      </c>
      <c r="I154">
        <v>0</v>
      </c>
      <c r="J154">
        <v>8235.9998840663502</v>
      </c>
      <c r="K154">
        <v>6881.8715685659899</v>
      </c>
      <c r="L154">
        <v>34.817999999999998</v>
      </c>
      <c r="M154">
        <v>60.325000000000003</v>
      </c>
      <c r="N154">
        <v>121.66800000000001</v>
      </c>
    </row>
    <row r="155" spans="1:14" x14ac:dyDescent="0.45">
      <c r="A155">
        <v>1981</v>
      </c>
      <c r="B155" t="s">
        <v>207</v>
      </c>
      <c r="C155">
        <v>0</v>
      </c>
      <c r="D155">
        <v>0</v>
      </c>
      <c r="E155">
        <v>0</v>
      </c>
      <c r="F155">
        <v>1</v>
      </c>
      <c r="G155">
        <v>0</v>
      </c>
      <c r="H155">
        <v>0</v>
      </c>
      <c r="I155">
        <v>0</v>
      </c>
      <c r="J155">
        <v>4960.1302074478099</v>
      </c>
      <c r="K155">
        <v>4491.89676202582</v>
      </c>
      <c r="L155">
        <v>61.606000000000002</v>
      </c>
      <c r="M155">
        <v>61.942</v>
      </c>
      <c r="N155">
        <v>78.950999999999993</v>
      </c>
    </row>
    <row r="156" spans="1:14" x14ac:dyDescent="0.45">
      <c r="A156">
        <v>1981</v>
      </c>
      <c r="B156" t="s">
        <v>208</v>
      </c>
      <c r="C156">
        <v>0</v>
      </c>
      <c r="D156">
        <v>0</v>
      </c>
      <c r="E156">
        <v>0</v>
      </c>
      <c r="F156">
        <v>0</v>
      </c>
      <c r="G156">
        <v>1</v>
      </c>
      <c r="H156">
        <v>0</v>
      </c>
      <c r="I156">
        <v>0</v>
      </c>
      <c r="J156">
        <v>15727.6918704249</v>
      </c>
      <c r="K156">
        <v>14229.1647716277</v>
      </c>
      <c r="L156">
        <v>36.591000000000001</v>
      </c>
      <c r="M156">
        <v>62.142000000000003</v>
      </c>
      <c r="N156">
        <v>44.838000000000001</v>
      </c>
    </row>
    <row r="157" spans="1:14" x14ac:dyDescent="0.45">
      <c r="A157">
        <v>1981</v>
      </c>
      <c r="B157" t="s">
        <v>209</v>
      </c>
      <c r="C157">
        <v>0</v>
      </c>
      <c r="D157">
        <v>0</v>
      </c>
      <c r="E157">
        <v>0</v>
      </c>
      <c r="F157">
        <v>1</v>
      </c>
      <c r="G157">
        <v>0</v>
      </c>
      <c r="H157">
        <v>0</v>
      </c>
      <c r="I157">
        <v>0</v>
      </c>
      <c r="J157">
        <v>3282.4920603230298</v>
      </c>
      <c r="K157">
        <v>2969.3467357141499</v>
      </c>
      <c r="L157">
        <v>86.757999999999996</v>
      </c>
      <c r="M157">
        <v>57.76</v>
      </c>
      <c r="N157">
        <v>102.822</v>
      </c>
    </row>
    <row r="158" spans="1:14" x14ac:dyDescent="0.45">
      <c r="A158">
        <v>1981</v>
      </c>
      <c r="B158" t="s">
        <v>210</v>
      </c>
      <c r="C158">
        <v>1</v>
      </c>
      <c r="D158">
        <v>0</v>
      </c>
      <c r="E158">
        <v>0</v>
      </c>
      <c r="F158">
        <v>1</v>
      </c>
      <c r="G158">
        <v>0</v>
      </c>
      <c r="H158">
        <v>0</v>
      </c>
      <c r="I158">
        <v>0</v>
      </c>
      <c r="L158">
        <v>41.540999999999997</v>
      </c>
      <c r="M158">
        <v>70.608999999999995</v>
      </c>
      <c r="N158">
        <v>27.773</v>
      </c>
    </row>
    <row r="159" spans="1:14" x14ac:dyDescent="0.45">
      <c r="A159">
        <v>1981</v>
      </c>
      <c r="B159" t="s">
        <v>211</v>
      </c>
      <c r="C159">
        <v>0</v>
      </c>
      <c r="D159">
        <v>1</v>
      </c>
      <c r="E159">
        <v>0</v>
      </c>
      <c r="F159">
        <v>0</v>
      </c>
      <c r="G159">
        <v>1</v>
      </c>
      <c r="H159">
        <v>0</v>
      </c>
      <c r="I159">
        <v>0</v>
      </c>
      <c r="J159">
        <v>21315.999261709101</v>
      </c>
      <c r="K159">
        <v>16375.818869398599</v>
      </c>
      <c r="L159">
        <v>28.228000000000002</v>
      </c>
      <c r="M159">
        <v>72.980999999999995</v>
      </c>
      <c r="N159">
        <v>26.805</v>
      </c>
    </row>
    <row r="160" spans="1:14" x14ac:dyDescent="0.45">
      <c r="A160">
        <v>1981</v>
      </c>
      <c r="B160" t="s">
        <v>212</v>
      </c>
      <c r="C160">
        <v>0</v>
      </c>
      <c r="D160">
        <v>0</v>
      </c>
      <c r="E160">
        <v>0</v>
      </c>
      <c r="F160">
        <v>1</v>
      </c>
      <c r="G160">
        <v>0</v>
      </c>
      <c r="H160">
        <v>0</v>
      </c>
      <c r="I160">
        <v>0</v>
      </c>
      <c r="L160">
        <v>42.951000000000001</v>
      </c>
      <c r="M160">
        <v>67.656999999999996</v>
      </c>
      <c r="N160">
        <v>40.661000000000001</v>
      </c>
    </row>
    <row r="161" spans="1:14" x14ac:dyDescent="0.45">
      <c r="A161">
        <v>1981</v>
      </c>
      <c r="B161" t="s">
        <v>213</v>
      </c>
      <c r="C161">
        <v>1</v>
      </c>
      <c r="D161">
        <v>0</v>
      </c>
      <c r="E161">
        <v>0</v>
      </c>
      <c r="F161">
        <v>0</v>
      </c>
      <c r="G161">
        <v>1</v>
      </c>
      <c r="H161">
        <v>0</v>
      </c>
      <c r="I161">
        <v>0</v>
      </c>
      <c r="J161">
        <v>20758.691024298801</v>
      </c>
      <c r="K161">
        <v>17943.4615720494</v>
      </c>
      <c r="L161">
        <v>56.779000000000003</v>
      </c>
      <c r="M161">
        <v>71.89</v>
      </c>
      <c r="N161">
        <v>26.122</v>
      </c>
    </row>
    <row r="162" spans="1:14" x14ac:dyDescent="0.45">
      <c r="A162">
        <v>1981</v>
      </c>
      <c r="B162" t="s">
        <v>214</v>
      </c>
      <c r="C162">
        <v>0</v>
      </c>
      <c r="D162">
        <v>1</v>
      </c>
      <c r="E162">
        <v>0</v>
      </c>
      <c r="F162">
        <v>1</v>
      </c>
      <c r="G162">
        <v>0</v>
      </c>
      <c r="H162">
        <v>0</v>
      </c>
      <c r="I162">
        <v>0</v>
      </c>
      <c r="J162">
        <v>8916.4194455979796</v>
      </c>
      <c r="K162">
        <v>8134.79751170699</v>
      </c>
      <c r="L162">
        <v>57.765000000000001</v>
      </c>
      <c r="M162">
        <v>64.811000000000007</v>
      </c>
      <c r="N162">
        <v>62.38</v>
      </c>
    </row>
    <row r="163" spans="1:14" x14ac:dyDescent="0.45">
      <c r="A163">
        <v>1981</v>
      </c>
      <c r="B163" t="s">
        <v>215</v>
      </c>
      <c r="C163">
        <v>0</v>
      </c>
      <c r="D163">
        <v>0</v>
      </c>
      <c r="E163">
        <v>0</v>
      </c>
      <c r="F163">
        <v>1</v>
      </c>
      <c r="G163">
        <v>0</v>
      </c>
      <c r="H163">
        <v>0</v>
      </c>
      <c r="I163">
        <v>0</v>
      </c>
      <c r="L163">
        <v>37.064</v>
      </c>
      <c r="M163">
        <v>62.835999999999999</v>
      </c>
      <c r="N163">
        <v>74.343999999999994</v>
      </c>
    </row>
    <row r="164" spans="1:14" x14ac:dyDescent="0.45">
      <c r="A164">
        <v>1981</v>
      </c>
      <c r="B164" t="s">
        <v>216</v>
      </c>
      <c r="C164">
        <v>0</v>
      </c>
      <c r="D164">
        <v>0</v>
      </c>
      <c r="E164">
        <v>0</v>
      </c>
      <c r="F164">
        <v>0</v>
      </c>
      <c r="G164">
        <v>0</v>
      </c>
      <c r="H164">
        <v>1</v>
      </c>
      <c r="I164">
        <v>1</v>
      </c>
      <c r="L164">
        <v>41.052</v>
      </c>
      <c r="M164">
        <v>68.156999999999996</v>
      </c>
      <c r="N164">
        <v>43.777000000000001</v>
      </c>
    </row>
    <row r="165" spans="1:14" x14ac:dyDescent="0.45">
      <c r="A165">
        <v>1981</v>
      </c>
      <c r="B165" t="s">
        <v>217</v>
      </c>
      <c r="C165">
        <v>0</v>
      </c>
      <c r="D165">
        <v>0</v>
      </c>
      <c r="E165">
        <v>0</v>
      </c>
      <c r="F165">
        <v>0</v>
      </c>
      <c r="G165">
        <v>0</v>
      </c>
      <c r="H165">
        <v>1</v>
      </c>
      <c r="I165">
        <v>1</v>
      </c>
      <c r="J165">
        <v>98574.835048455498</v>
      </c>
      <c r="K165">
        <v>85119.159306191897</v>
      </c>
      <c r="L165">
        <v>10.486000000000001</v>
      </c>
      <c r="M165">
        <v>70.313000000000002</v>
      </c>
      <c r="N165">
        <v>34.462000000000003</v>
      </c>
    </row>
    <row r="166" spans="1:14" x14ac:dyDescent="0.45">
      <c r="A166">
        <v>1981</v>
      </c>
      <c r="B166" t="s">
        <v>218</v>
      </c>
      <c r="C166">
        <v>1</v>
      </c>
      <c r="D166">
        <v>0</v>
      </c>
      <c r="E166">
        <v>0</v>
      </c>
      <c r="F166">
        <v>0</v>
      </c>
      <c r="G166">
        <v>1</v>
      </c>
      <c r="H166">
        <v>0</v>
      </c>
      <c r="I166">
        <v>0</v>
      </c>
      <c r="L166">
        <v>53.219000000000001</v>
      </c>
      <c r="M166">
        <v>69.506</v>
      </c>
      <c r="N166">
        <v>35.256</v>
      </c>
    </row>
    <row r="167" spans="1:14" x14ac:dyDescent="0.45">
      <c r="A167">
        <v>1981</v>
      </c>
      <c r="B167" t="s">
        <v>219</v>
      </c>
      <c r="C167">
        <v>1</v>
      </c>
      <c r="D167">
        <v>0</v>
      </c>
      <c r="E167">
        <v>0</v>
      </c>
      <c r="F167">
        <v>0</v>
      </c>
      <c r="G167">
        <v>1</v>
      </c>
      <c r="H167">
        <v>0</v>
      </c>
      <c r="I167">
        <v>0</v>
      </c>
      <c r="L167">
        <v>29.806999999999999</v>
      </c>
      <c r="M167">
        <v>67.616</v>
      </c>
      <c r="N167">
        <v>27.18</v>
      </c>
    </row>
    <row r="168" spans="1:14" x14ac:dyDescent="0.45">
      <c r="A168">
        <v>1981</v>
      </c>
      <c r="B168" t="s">
        <v>220</v>
      </c>
      <c r="C168">
        <v>0</v>
      </c>
      <c r="D168">
        <v>0</v>
      </c>
      <c r="E168">
        <v>1</v>
      </c>
      <c r="F168">
        <v>0</v>
      </c>
      <c r="G168">
        <v>0</v>
      </c>
      <c r="H168">
        <v>0</v>
      </c>
      <c r="I168">
        <v>0</v>
      </c>
      <c r="J168">
        <v>1323.3062802895399</v>
      </c>
      <c r="K168">
        <v>1107.41396475842</v>
      </c>
      <c r="L168">
        <v>95.213999999999999</v>
      </c>
      <c r="M168">
        <v>49.216000000000001</v>
      </c>
      <c r="N168">
        <v>202.096</v>
      </c>
    </row>
    <row r="169" spans="1:14" x14ac:dyDescent="0.45">
      <c r="A169">
        <v>1981</v>
      </c>
      <c r="B169" t="s">
        <v>221</v>
      </c>
      <c r="C169">
        <v>0</v>
      </c>
      <c r="D169">
        <v>0</v>
      </c>
      <c r="E169">
        <v>0</v>
      </c>
      <c r="F169">
        <v>0</v>
      </c>
      <c r="G169">
        <v>0</v>
      </c>
      <c r="H169">
        <v>1</v>
      </c>
      <c r="I169">
        <v>1</v>
      </c>
      <c r="J169">
        <v>152206.99976082001</v>
      </c>
      <c r="K169">
        <v>139540.03502362999</v>
      </c>
      <c r="L169">
        <v>32.719000000000001</v>
      </c>
      <c r="M169">
        <v>63.252000000000002</v>
      </c>
      <c r="N169">
        <v>86.710999999999999</v>
      </c>
    </row>
    <row r="170" spans="1:14" x14ac:dyDescent="0.45">
      <c r="A170">
        <v>1981</v>
      </c>
      <c r="B170" t="s">
        <v>222</v>
      </c>
      <c r="C170">
        <v>0</v>
      </c>
      <c r="D170">
        <v>0</v>
      </c>
      <c r="E170">
        <v>1</v>
      </c>
      <c r="F170">
        <v>0</v>
      </c>
      <c r="G170">
        <v>0</v>
      </c>
      <c r="H170">
        <v>0</v>
      </c>
      <c r="I170">
        <v>0</v>
      </c>
      <c r="J170">
        <v>2260.8806032929101</v>
      </c>
      <c r="K170">
        <v>2367.4401435904401</v>
      </c>
      <c r="L170">
        <v>79.834000000000003</v>
      </c>
      <c r="M170">
        <v>54.369</v>
      </c>
      <c r="N170">
        <v>146.03700000000001</v>
      </c>
    </row>
    <row r="171" spans="1:14" x14ac:dyDescent="0.45">
      <c r="A171">
        <v>1981</v>
      </c>
      <c r="B171" t="s">
        <v>223</v>
      </c>
      <c r="C171">
        <v>0</v>
      </c>
      <c r="D171">
        <v>0</v>
      </c>
      <c r="E171">
        <v>1</v>
      </c>
      <c r="F171">
        <v>1</v>
      </c>
      <c r="G171">
        <v>0</v>
      </c>
      <c r="H171">
        <v>0</v>
      </c>
      <c r="I171">
        <v>0</v>
      </c>
      <c r="J171">
        <v>2886.4925674420701</v>
      </c>
      <c r="K171">
        <v>2411.48848976214</v>
      </c>
      <c r="L171">
        <v>63.878</v>
      </c>
      <c r="M171">
        <v>49.082999999999998</v>
      </c>
      <c r="N171">
        <v>199.916</v>
      </c>
    </row>
    <row r="172" spans="1:14" x14ac:dyDescent="0.45">
      <c r="A172">
        <v>1981</v>
      </c>
      <c r="B172" t="s">
        <v>224</v>
      </c>
      <c r="C172">
        <v>0</v>
      </c>
      <c r="D172">
        <v>0</v>
      </c>
      <c r="E172">
        <v>0</v>
      </c>
      <c r="F172">
        <v>0</v>
      </c>
      <c r="G172">
        <v>0</v>
      </c>
      <c r="H172">
        <v>1</v>
      </c>
      <c r="I172">
        <v>1</v>
      </c>
      <c r="J172">
        <v>28860.336475925698</v>
      </c>
      <c r="K172">
        <v>23724.273453670699</v>
      </c>
      <c r="L172">
        <v>0</v>
      </c>
      <c r="M172">
        <v>71.748000000000005</v>
      </c>
      <c r="N172">
        <v>13.724</v>
      </c>
    </row>
    <row r="173" spans="1:14" x14ac:dyDescent="0.45">
      <c r="A173">
        <v>1981</v>
      </c>
      <c r="B173" t="s">
        <v>225</v>
      </c>
      <c r="C173">
        <v>0</v>
      </c>
      <c r="D173">
        <v>0</v>
      </c>
      <c r="E173">
        <v>0</v>
      </c>
      <c r="F173">
        <v>0</v>
      </c>
      <c r="G173">
        <v>0</v>
      </c>
      <c r="H173">
        <v>0</v>
      </c>
      <c r="I173">
        <v>0</v>
      </c>
      <c r="J173">
        <v>2854.30910655958</v>
      </c>
      <c r="K173">
        <v>2581.9308370767999</v>
      </c>
      <c r="L173">
        <v>89.072999999999993</v>
      </c>
      <c r="M173">
        <v>64.076999999999998</v>
      </c>
      <c r="N173">
        <v>50.777999999999999</v>
      </c>
    </row>
    <row r="174" spans="1:14" x14ac:dyDescent="0.45">
      <c r="A174">
        <v>1981</v>
      </c>
      <c r="B174" t="s">
        <v>226</v>
      </c>
      <c r="C174">
        <v>0</v>
      </c>
      <c r="D174">
        <v>0</v>
      </c>
      <c r="E174">
        <v>1</v>
      </c>
      <c r="F174">
        <v>0</v>
      </c>
      <c r="G174">
        <v>0</v>
      </c>
      <c r="H174">
        <v>0</v>
      </c>
      <c r="I174">
        <v>0</v>
      </c>
      <c r="J174">
        <v>3155.6071772671498</v>
      </c>
      <c r="K174">
        <v>2864.2517986632902</v>
      </c>
      <c r="L174">
        <v>69.751999999999995</v>
      </c>
      <c r="M174">
        <v>43.085999999999999</v>
      </c>
      <c r="N174">
        <v>284.89800000000002</v>
      </c>
    </row>
    <row r="175" spans="1:14" x14ac:dyDescent="0.45">
      <c r="A175">
        <v>1981</v>
      </c>
      <c r="B175" t="s">
        <v>227</v>
      </c>
      <c r="C175">
        <v>0</v>
      </c>
      <c r="D175">
        <v>1</v>
      </c>
      <c r="E175">
        <v>0</v>
      </c>
      <c r="F175">
        <v>1</v>
      </c>
      <c r="G175">
        <v>0</v>
      </c>
      <c r="H175">
        <v>0</v>
      </c>
      <c r="I175">
        <v>0</v>
      </c>
      <c r="J175">
        <v>7219.2471707050099</v>
      </c>
      <c r="K175">
        <v>6430.5472716697304</v>
      </c>
      <c r="L175">
        <v>55.387999999999998</v>
      </c>
      <c r="M175">
        <v>50.889000000000003</v>
      </c>
      <c r="N175">
        <v>131.09299999999999</v>
      </c>
    </row>
    <row r="176" spans="1:14" x14ac:dyDescent="0.45">
      <c r="A176">
        <v>1981</v>
      </c>
      <c r="B176" t="s">
        <v>228</v>
      </c>
      <c r="C176">
        <v>1</v>
      </c>
      <c r="D176">
        <v>0</v>
      </c>
      <c r="E176">
        <v>0</v>
      </c>
      <c r="F176">
        <v>0</v>
      </c>
      <c r="G176">
        <v>0</v>
      </c>
      <c r="H176">
        <v>1</v>
      </c>
      <c r="I176">
        <v>1</v>
      </c>
      <c r="L176">
        <v>17.135999999999999</v>
      </c>
      <c r="M176">
        <v>76.584000000000003</v>
      </c>
      <c r="N176">
        <v>12.084</v>
      </c>
    </row>
    <row r="177" spans="1:14" x14ac:dyDescent="0.45">
      <c r="A177">
        <v>1981</v>
      </c>
      <c r="B177" t="s">
        <v>229</v>
      </c>
      <c r="C177">
        <v>0</v>
      </c>
      <c r="D177">
        <v>0</v>
      </c>
      <c r="E177">
        <v>1</v>
      </c>
      <c r="F177">
        <v>0</v>
      </c>
      <c r="G177">
        <v>0</v>
      </c>
      <c r="H177">
        <v>0</v>
      </c>
      <c r="I177">
        <v>0</v>
      </c>
      <c r="J177">
        <v>761.24808204435101</v>
      </c>
      <c r="K177">
        <v>706.08369417402901</v>
      </c>
      <c r="L177">
        <v>72.978999999999999</v>
      </c>
      <c r="M177">
        <v>47.817</v>
      </c>
      <c r="N177">
        <v>198.57900000000001</v>
      </c>
    </row>
    <row r="178" spans="1:14" x14ac:dyDescent="0.45">
      <c r="A178">
        <v>1981</v>
      </c>
      <c r="B178" t="s">
        <v>230</v>
      </c>
      <c r="C178">
        <v>1</v>
      </c>
      <c r="D178">
        <v>0</v>
      </c>
      <c r="E178">
        <v>0</v>
      </c>
      <c r="F178">
        <v>0</v>
      </c>
      <c r="G178">
        <v>1</v>
      </c>
      <c r="H178">
        <v>0</v>
      </c>
      <c r="I178">
        <v>0</v>
      </c>
      <c r="L178">
        <v>53.296999999999997</v>
      </c>
      <c r="M178">
        <v>71.111000000000004</v>
      </c>
      <c r="N178">
        <v>24.837</v>
      </c>
    </row>
    <row r="179" spans="1:14" x14ac:dyDescent="0.45">
      <c r="A179">
        <v>1981</v>
      </c>
      <c r="B179" t="s">
        <v>231</v>
      </c>
      <c r="C179">
        <v>0</v>
      </c>
      <c r="D179">
        <v>0</v>
      </c>
      <c r="E179">
        <v>1</v>
      </c>
      <c r="F179">
        <v>1</v>
      </c>
      <c r="G179">
        <v>0</v>
      </c>
      <c r="H179">
        <v>0</v>
      </c>
      <c r="I179">
        <v>0</v>
      </c>
      <c r="L179">
        <v>91.492000000000004</v>
      </c>
      <c r="M179">
        <v>38.313000000000002</v>
      </c>
      <c r="N179">
        <v>288.245</v>
      </c>
    </row>
    <row r="180" spans="1:14" x14ac:dyDescent="0.45">
      <c r="A180">
        <v>1981</v>
      </c>
      <c r="B180" t="s">
        <v>232</v>
      </c>
      <c r="C180">
        <v>0</v>
      </c>
      <c r="D180">
        <v>0</v>
      </c>
      <c r="E180">
        <v>1</v>
      </c>
      <c r="F180">
        <v>0</v>
      </c>
      <c r="G180">
        <v>0</v>
      </c>
      <c r="H180">
        <v>0</v>
      </c>
      <c r="I180">
        <v>0</v>
      </c>
      <c r="J180">
        <v>5557.1398459587999</v>
      </c>
      <c r="K180">
        <v>3458.6764912066901</v>
      </c>
      <c r="L180">
        <v>66.143000000000001</v>
      </c>
      <c r="M180">
        <v>59.432000000000002</v>
      </c>
      <c r="N180">
        <v>121.94199999999999</v>
      </c>
    </row>
    <row r="181" spans="1:14" x14ac:dyDescent="0.45">
      <c r="A181">
        <v>1981</v>
      </c>
      <c r="B181" t="s">
        <v>233</v>
      </c>
      <c r="C181">
        <v>0</v>
      </c>
      <c r="D181">
        <v>1</v>
      </c>
      <c r="E181">
        <v>0</v>
      </c>
      <c r="F181">
        <v>0</v>
      </c>
      <c r="G181">
        <v>1</v>
      </c>
      <c r="H181">
        <v>0</v>
      </c>
      <c r="I181">
        <v>0</v>
      </c>
      <c r="J181">
        <v>17794.3258189751</v>
      </c>
      <c r="K181">
        <v>14163.920816932199</v>
      </c>
      <c r="L181">
        <v>34.965000000000003</v>
      </c>
      <c r="M181">
        <v>60.795000000000002</v>
      </c>
      <c r="N181">
        <v>59.104999999999997</v>
      </c>
    </row>
    <row r="182" spans="1:14" x14ac:dyDescent="0.45">
      <c r="A182">
        <v>1981</v>
      </c>
      <c r="B182" t="s">
        <v>234</v>
      </c>
      <c r="C182">
        <v>1</v>
      </c>
      <c r="D182">
        <v>0</v>
      </c>
      <c r="E182">
        <v>0</v>
      </c>
      <c r="F182">
        <v>0</v>
      </c>
      <c r="G182">
        <v>1</v>
      </c>
      <c r="H182">
        <v>0</v>
      </c>
      <c r="I182">
        <v>0</v>
      </c>
      <c r="L182">
        <v>47.69</v>
      </c>
      <c r="M182">
        <v>70.623000000000005</v>
      </c>
      <c r="N182">
        <v>21.681999999999999</v>
      </c>
    </row>
    <row r="183" spans="1:14" x14ac:dyDescent="0.45">
      <c r="A183">
        <v>1981</v>
      </c>
      <c r="B183" t="s">
        <v>235</v>
      </c>
      <c r="C183">
        <v>1</v>
      </c>
      <c r="D183">
        <v>0</v>
      </c>
      <c r="E183">
        <v>0</v>
      </c>
      <c r="F183">
        <v>0</v>
      </c>
      <c r="G183">
        <v>1</v>
      </c>
      <c r="H183">
        <v>0</v>
      </c>
      <c r="I183">
        <v>0</v>
      </c>
      <c r="L183">
        <v>51.058999999999997</v>
      </c>
      <c r="M183">
        <v>71.647000000000006</v>
      </c>
      <c r="N183">
        <v>16.082999999999998</v>
      </c>
    </row>
    <row r="184" spans="1:14" x14ac:dyDescent="0.45">
      <c r="A184">
        <v>1981</v>
      </c>
      <c r="B184" t="s">
        <v>236</v>
      </c>
      <c r="C184">
        <v>1</v>
      </c>
      <c r="D184">
        <v>0</v>
      </c>
      <c r="E184">
        <v>0</v>
      </c>
      <c r="F184">
        <v>0</v>
      </c>
      <c r="G184">
        <v>0</v>
      </c>
      <c r="H184">
        <v>1</v>
      </c>
      <c r="I184">
        <v>1</v>
      </c>
      <c r="J184">
        <v>31789.650251898001</v>
      </c>
      <c r="K184">
        <v>27155.305823302198</v>
      </c>
      <c r="L184">
        <v>16.899999999999999</v>
      </c>
      <c r="M184">
        <v>76.040000000000006</v>
      </c>
      <c r="N184">
        <v>7.8680000000000003</v>
      </c>
    </row>
    <row r="185" spans="1:14" x14ac:dyDescent="0.45">
      <c r="A185">
        <v>1981</v>
      </c>
      <c r="B185" t="s">
        <v>237</v>
      </c>
      <c r="C185">
        <v>0</v>
      </c>
      <c r="D185">
        <v>0</v>
      </c>
      <c r="E185">
        <v>1</v>
      </c>
      <c r="F185">
        <v>1</v>
      </c>
      <c r="G185">
        <v>0</v>
      </c>
      <c r="H185">
        <v>0</v>
      </c>
      <c r="I185">
        <v>0</v>
      </c>
      <c r="J185">
        <v>3872.5156946247698</v>
      </c>
      <c r="K185">
        <v>3429.1133570316902</v>
      </c>
      <c r="L185">
        <v>83.176000000000002</v>
      </c>
      <c r="M185">
        <v>58.787999999999997</v>
      </c>
      <c r="N185">
        <v>107.508</v>
      </c>
    </row>
    <row r="186" spans="1:14" x14ac:dyDescent="0.45">
      <c r="A186">
        <v>1981</v>
      </c>
      <c r="B186" t="s">
        <v>238</v>
      </c>
      <c r="C186">
        <v>0</v>
      </c>
      <c r="D186">
        <v>1</v>
      </c>
      <c r="E186">
        <v>0</v>
      </c>
      <c r="F186">
        <v>0</v>
      </c>
      <c r="G186">
        <v>0</v>
      </c>
      <c r="H186">
        <v>1</v>
      </c>
      <c r="I186">
        <v>1</v>
      </c>
      <c r="L186">
        <v>0</v>
      </c>
      <c r="M186">
        <v>71.864000000000004</v>
      </c>
      <c r="N186">
        <v>27.521999999999998</v>
      </c>
    </row>
    <row r="187" spans="1:14" x14ac:dyDescent="0.45">
      <c r="A187">
        <v>1981</v>
      </c>
      <c r="B187" t="s">
        <v>239</v>
      </c>
      <c r="C187">
        <v>0</v>
      </c>
      <c r="D187">
        <v>0</v>
      </c>
      <c r="E187">
        <v>1</v>
      </c>
      <c r="F187">
        <v>0</v>
      </c>
      <c r="G187">
        <v>1</v>
      </c>
      <c r="H187">
        <v>0</v>
      </c>
      <c r="I187">
        <v>0</v>
      </c>
      <c r="J187">
        <v>12810.4743503183</v>
      </c>
      <c r="K187">
        <v>12437.047485315899</v>
      </c>
      <c r="L187">
        <v>50.648000000000003</v>
      </c>
      <c r="M187">
        <v>68.730999999999995</v>
      </c>
      <c r="N187">
        <v>27.779</v>
      </c>
    </row>
    <row r="188" spans="1:14" x14ac:dyDescent="0.45">
      <c r="A188">
        <v>1981</v>
      </c>
      <c r="B188" t="s">
        <v>240</v>
      </c>
      <c r="C188">
        <v>0</v>
      </c>
      <c r="D188">
        <v>0</v>
      </c>
      <c r="E188">
        <v>0</v>
      </c>
      <c r="F188">
        <v>1</v>
      </c>
      <c r="G188">
        <v>0</v>
      </c>
      <c r="H188">
        <v>0</v>
      </c>
      <c r="I188">
        <v>0</v>
      </c>
      <c r="J188">
        <v>7256.4254475757398</v>
      </c>
      <c r="K188">
        <v>4759.6884837123098</v>
      </c>
      <c r="L188">
        <v>52.962000000000003</v>
      </c>
      <c r="M188">
        <v>64.597999999999999</v>
      </c>
      <c r="N188">
        <v>63.475999999999999</v>
      </c>
    </row>
    <row r="189" spans="1:14" x14ac:dyDescent="0.45">
      <c r="A189">
        <v>1981</v>
      </c>
      <c r="B189" t="s">
        <v>241</v>
      </c>
      <c r="C189">
        <v>0</v>
      </c>
      <c r="D189">
        <v>1</v>
      </c>
      <c r="E189">
        <v>0</v>
      </c>
      <c r="F189">
        <v>0</v>
      </c>
      <c r="G189">
        <v>0</v>
      </c>
      <c r="H189">
        <v>1</v>
      </c>
      <c r="I189">
        <v>1</v>
      </c>
      <c r="L189">
        <v>42.642000000000003</v>
      </c>
      <c r="M189">
        <v>67.438999999999993</v>
      </c>
      <c r="N189">
        <v>33.195999999999998</v>
      </c>
    </row>
    <row r="190" spans="1:14" x14ac:dyDescent="0.45">
      <c r="A190">
        <v>1981</v>
      </c>
      <c r="B190" t="s">
        <v>242</v>
      </c>
      <c r="C190">
        <v>0</v>
      </c>
      <c r="D190">
        <v>0</v>
      </c>
      <c r="E190">
        <v>1</v>
      </c>
      <c r="F190">
        <v>0</v>
      </c>
      <c r="G190">
        <v>0</v>
      </c>
      <c r="H190">
        <v>0</v>
      </c>
      <c r="I190">
        <v>0</v>
      </c>
      <c r="J190">
        <v>1266.15534646939</v>
      </c>
      <c r="K190">
        <v>1063.6162987888499</v>
      </c>
      <c r="L190">
        <v>81.018000000000001</v>
      </c>
      <c r="M190">
        <v>43.497</v>
      </c>
      <c r="N190">
        <v>239.35499999999999</v>
      </c>
    </row>
    <row r="191" spans="1:14" x14ac:dyDescent="0.45">
      <c r="A191">
        <v>1981</v>
      </c>
      <c r="B191" t="s">
        <v>243</v>
      </c>
      <c r="C191">
        <v>0</v>
      </c>
      <c r="D191">
        <v>0</v>
      </c>
      <c r="E191">
        <v>1</v>
      </c>
      <c r="F191">
        <v>0</v>
      </c>
      <c r="G191">
        <v>0</v>
      </c>
      <c r="H191">
        <v>0</v>
      </c>
      <c r="I191">
        <v>0</v>
      </c>
      <c r="J191">
        <v>2603.2633213501699</v>
      </c>
      <c r="K191">
        <v>2163.41007527386</v>
      </c>
      <c r="L191">
        <v>74.98</v>
      </c>
      <c r="M191">
        <v>52.780999999999999</v>
      </c>
      <c r="N191">
        <v>175.88900000000001</v>
      </c>
    </row>
    <row r="192" spans="1:14" x14ac:dyDescent="0.45">
      <c r="A192">
        <v>1981</v>
      </c>
      <c r="B192" t="s">
        <v>244</v>
      </c>
      <c r="C192">
        <v>0</v>
      </c>
      <c r="D192">
        <v>0</v>
      </c>
      <c r="E192">
        <v>0</v>
      </c>
      <c r="F192">
        <v>1</v>
      </c>
      <c r="G192">
        <v>0</v>
      </c>
      <c r="H192">
        <v>0</v>
      </c>
      <c r="I192">
        <v>0</v>
      </c>
      <c r="J192">
        <v>5396.6815954737904</v>
      </c>
      <c r="K192">
        <v>4719.5441701893396</v>
      </c>
      <c r="L192">
        <v>72.950999999999993</v>
      </c>
      <c r="M192">
        <v>62.856000000000002</v>
      </c>
      <c r="N192">
        <v>58.302999999999997</v>
      </c>
    </row>
    <row r="193" spans="1:14" x14ac:dyDescent="0.45">
      <c r="A193">
        <v>1981</v>
      </c>
      <c r="B193" t="s">
        <v>245</v>
      </c>
      <c r="C193">
        <v>1</v>
      </c>
      <c r="D193">
        <v>0</v>
      </c>
      <c r="E193">
        <v>0</v>
      </c>
      <c r="F193">
        <v>1</v>
      </c>
      <c r="G193">
        <v>0</v>
      </c>
      <c r="H193">
        <v>0</v>
      </c>
      <c r="I193">
        <v>0</v>
      </c>
      <c r="L193">
        <v>65.921999999999997</v>
      </c>
      <c r="M193">
        <v>58.758000000000003</v>
      </c>
      <c r="N193">
        <v>129.5</v>
      </c>
    </row>
    <row r="194" spans="1:14" x14ac:dyDescent="0.45">
      <c r="A194">
        <v>1981</v>
      </c>
      <c r="B194" t="s">
        <v>246</v>
      </c>
      <c r="C194">
        <v>1</v>
      </c>
      <c r="D194">
        <v>0</v>
      </c>
      <c r="E194">
        <v>0</v>
      </c>
      <c r="F194">
        <v>1</v>
      </c>
      <c r="G194">
        <v>0</v>
      </c>
      <c r="H194">
        <v>0</v>
      </c>
      <c r="I194">
        <v>0</v>
      </c>
      <c r="L194">
        <v>53.142000000000003</v>
      </c>
      <c r="M194">
        <v>60.982999999999997</v>
      </c>
      <c r="N194">
        <v>107.111</v>
      </c>
    </row>
    <row r="195" spans="1:14" x14ac:dyDescent="0.45">
      <c r="A195">
        <v>1981</v>
      </c>
      <c r="B195" t="s">
        <v>247</v>
      </c>
      <c r="C195">
        <v>0</v>
      </c>
      <c r="D195">
        <v>0</v>
      </c>
      <c r="E195">
        <v>0</v>
      </c>
      <c r="F195">
        <v>0</v>
      </c>
      <c r="G195">
        <v>0</v>
      </c>
      <c r="H195">
        <v>0</v>
      </c>
      <c r="I195">
        <v>0</v>
      </c>
      <c r="L195">
        <v>83.117000000000004</v>
      </c>
      <c r="M195">
        <v>31.247</v>
      </c>
      <c r="N195">
        <v>292.16500000000002</v>
      </c>
    </row>
    <row r="196" spans="1:14" x14ac:dyDescent="0.45">
      <c r="A196">
        <v>1981</v>
      </c>
      <c r="B196" t="s">
        <v>248</v>
      </c>
      <c r="C196">
        <v>0</v>
      </c>
      <c r="D196">
        <v>0</v>
      </c>
      <c r="E196">
        <v>0</v>
      </c>
      <c r="F196">
        <v>1</v>
      </c>
      <c r="G196">
        <v>0</v>
      </c>
      <c r="H196">
        <v>0</v>
      </c>
      <c r="I196">
        <v>0</v>
      </c>
      <c r="J196">
        <v>3464.54955815213</v>
      </c>
      <c r="K196">
        <v>3136.2185981448001</v>
      </c>
      <c r="L196">
        <v>78.626999999999995</v>
      </c>
      <c r="M196">
        <v>66.356999999999999</v>
      </c>
      <c r="N196">
        <v>29.08</v>
      </c>
    </row>
    <row r="197" spans="1:14" x14ac:dyDescent="0.45">
      <c r="A197">
        <v>1981</v>
      </c>
      <c r="B197" t="s">
        <v>249</v>
      </c>
      <c r="C197">
        <v>0</v>
      </c>
      <c r="D197">
        <v>1</v>
      </c>
      <c r="E197">
        <v>0</v>
      </c>
      <c r="F197">
        <v>0</v>
      </c>
      <c r="G197">
        <v>1</v>
      </c>
      <c r="H197">
        <v>0</v>
      </c>
      <c r="I197">
        <v>0</v>
      </c>
      <c r="J197">
        <v>16997.723939128598</v>
      </c>
      <c r="K197">
        <v>14186.181842287901</v>
      </c>
      <c r="L197">
        <v>47.531999999999996</v>
      </c>
      <c r="M197">
        <v>66.459000000000003</v>
      </c>
      <c r="N197">
        <v>38.136000000000003</v>
      </c>
    </row>
    <row r="198" spans="1:14" x14ac:dyDescent="0.45">
      <c r="A198">
        <v>1981</v>
      </c>
      <c r="B198" t="s">
        <v>250</v>
      </c>
      <c r="C198">
        <v>0</v>
      </c>
      <c r="D198">
        <v>0</v>
      </c>
      <c r="E198">
        <v>0</v>
      </c>
      <c r="F198">
        <v>1</v>
      </c>
      <c r="G198">
        <v>0</v>
      </c>
      <c r="H198">
        <v>0</v>
      </c>
      <c r="I198">
        <v>0</v>
      </c>
      <c r="J198">
        <v>6312.3973010537502</v>
      </c>
      <c r="K198">
        <v>5501.1488033814103</v>
      </c>
      <c r="L198">
        <v>48.835999999999999</v>
      </c>
      <c r="M198">
        <v>64.373999999999995</v>
      </c>
      <c r="N198">
        <v>89.739000000000004</v>
      </c>
    </row>
    <row r="199" spans="1:14" x14ac:dyDescent="0.45">
      <c r="A199">
        <v>1981</v>
      </c>
      <c r="B199" t="s">
        <v>251</v>
      </c>
      <c r="C199">
        <v>1</v>
      </c>
      <c r="D199">
        <v>0</v>
      </c>
      <c r="E199">
        <v>0</v>
      </c>
      <c r="F199">
        <v>1</v>
      </c>
      <c r="G199">
        <v>0</v>
      </c>
      <c r="H199">
        <v>0</v>
      </c>
      <c r="I199">
        <v>0</v>
      </c>
      <c r="J199">
        <v>9537.9368510082604</v>
      </c>
      <c r="K199">
        <v>9563.4523629185205</v>
      </c>
      <c r="L199">
        <v>54.811</v>
      </c>
      <c r="M199">
        <v>63.194000000000003</v>
      </c>
      <c r="N199">
        <v>121.166</v>
      </c>
    </row>
    <row r="200" spans="1:14" x14ac:dyDescent="0.45">
      <c r="A200">
        <v>1981</v>
      </c>
      <c r="B200" t="s">
        <v>252</v>
      </c>
      <c r="C200">
        <v>0</v>
      </c>
      <c r="D200">
        <v>0</v>
      </c>
      <c r="E200">
        <v>0</v>
      </c>
      <c r="F200">
        <v>1</v>
      </c>
      <c r="G200">
        <v>0</v>
      </c>
      <c r="H200">
        <v>0</v>
      </c>
      <c r="I200">
        <v>0</v>
      </c>
      <c r="J200">
        <v>1945.3985454096901</v>
      </c>
      <c r="K200">
        <v>1759.9133847780099</v>
      </c>
      <c r="L200">
        <v>69.325000000000003</v>
      </c>
      <c r="M200">
        <v>60.488999999999997</v>
      </c>
      <c r="N200">
        <v>63.014000000000003</v>
      </c>
    </row>
    <row r="201" spans="1:14" x14ac:dyDescent="0.45">
      <c r="A201">
        <v>1981</v>
      </c>
      <c r="B201" t="s">
        <v>253</v>
      </c>
      <c r="C201">
        <v>0</v>
      </c>
      <c r="D201">
        <v>0</v>
      </c>
      <c r="E201">
        <v>0</v>
      </c>
      <c r="F201">
        <v>0</v>
      </c>
      <c r="G201">
        <v>0</v>
      </c>
      <c r="H201">
        <v>1</v>
      </c>
      <c r="I201">
        <v>1</v>
      </c>
      <c r="L201">
        <v>79.882000000000005</v>
      </c>
      <c r="M201">
        <v>72.018000000000001</v>
      </c>
      <c r="N201">
        <v>14.243</v>
      </c>
    </row>
    <row r="202" spans="1:14" x14ac:dyDescent="0.45">
      <c r="A202">
        <v>1981</v>
      </c>
      <c r="B202" t="s">
        <v>254</v>
      </c>
      <c r="C202">
        <v>0</v>
      </c>
      <c r="D202">
        <v>0</v>
      </c>
      <c r="E202">
        <v>1</v>
      </c>
      <c r="F202">
        <v>0</v>
      </c>
      <c r="G202">
        <v>0</v>
      </c>
      <c r="H202">
        <v>0</v>
      </c>
      <c r="I202">
        <v>0</v>
      </c>
      <c r="J202">
        <v>1723.96849508889</v>
      </c>
      <c r="K202">
        <v>1284.1267873797201</v>
      </c>
      <c r="L202">
        <v>85.024000000000001</v>
      </c>
      <c r="M202">
        <v>51.703000000000003</v>
      </c>
      <c r="N202">
        <v>179.17400000000001</v>
      </c>
    </row>
    <row r="203" spans="1:14" x14ac:dyDescent="0.45">
      <c r="A203">
        <v>1981</v>
      </c>
      <c r="B203" t="s">
        <v>255</v>
      </c>
      <c r="C203">
        <v>0</v>
      </c>
      <c r="D203">
        <v>0</v>
      </c>
      <c r="E203">
        <v>1</v>
      </c>
      <c r="F203">
        <v>0</v>
      </c>
      <c r="G203">
        <v>0</v>
      </c>
      <c r="H203">
        <v>0</v>
      </c>
      <c r="I203">
        <v>0</v>
      </c>
      <c r="L203">
        <v>92.165999999999997</v>
      </c>
      <c r="M203">
        <v>43.456000000000003</v>
      </c>
      <c r="N203">
        <v>227.57400000000001</v>
      </c>
    </row>
    <row r="204" spans="1:14" x14ac:dyDescent="0.45">
      <c r="A204">
        <v>1981</v>
      </c>
      <c r="B204" t="s">
        <v>256</v>
      </c>
      <c r="C204">
        <v>1</v>
      </c>
      <c r="D204">
        <v>0</v>
      </c>
      <c r="E204">
        <v>0</v>
      </c>
      <c r="F204">
        <v>1</v>
      </c>
      <c r="G204">
        <v>0</v>
      </c>
      <c r="H204">
        <v>0</v>
      </c>
      <c r="I204">
        <v>0</v>
      </c>
      <c r="L204">
        <v>37.700000000000003</v>
      </c>
      <c r="M204">
        <v>69.816000000000003</v>
      </c>
      <c r="N204">
        <v>21.626999999999999</v>
      </c>
    </row>
    <row r="205" spans="1:14" x14ac:dyDescent="0.45">
      <c r="A205">
        <v>1981</v>
      </c>
      <c r="B205" t="s">
        <v>257</v>
      </c>
      <c r="C205">
        <v>0</v>
      </c>
      <c r="D205">
        <v>1</v>
      </c>
      <c r="E205">
        <v>0</v>
      </c>
      <c r="F205">
        <v>0</v>
      </c>
      <c r="G205">
        <v>1</v>
      </c>
      <c r="H205">
        <v>0</v>
      </c>
      <c r="I205">
        <v>0</v>
      </c>
      <c r="J205">
        <v>14782.190031080199</v>
      </c>
      <c r="K205">
        <v>11724.768661960699</v>
      </c>
      <c r="L205">
        <v>14.231</v>
      </c>
      <c r="M205">
        <v>70.951999999999998</v>
      </c>
      <c r="N205">
        <v>37.409999999999997</v>
      </c>
    </row>
    <row r="206" spans="1:14" x14ac:dyDescent="0.45">
      <c r="A206">
        <v>1981</v>
      </c>
      <c r="B206" t="s">
        <v>258</v>
      </c>
      <c r="C206">
        <v>0</v>
      </c>
      <c r="D206">
        <v>0</v>
      </c>
      <c r="E206">
        <v>0</v>
      </c>
      <c r="F206">
        <v>0</v>
      </c>
      <c r="G206">
        <v>0</v>
      </c>
      <c r="H206">
        <v>1</v>
      </c>
      <c r="I206">
        <v>1</v>
      </c>
      <c r="J206">
        <v>35448.571849049396</v>
      </c>
      <c r="K206">
        <v>32175.768532647198</v>
      </c>
      <c r="L206">
        <v>26.11</v>
      </c>
      <c r="M206">
        <v>74.117000000000004</v>
      </c>
      <c r="N206">
        <v>14.247</v>
      </c>
    </row>
    <row r="207" spans="1:14" x14ac:dyDescent="0.45">
      <c r="A207">
        <v>1981</v>
      </c>
      <c r="B207" t="s">
        <v>259</v>
      </c>
      <c r="C207">
        <v>1</v>
      </c>
      <c r="D207">
        <v>0</v>
      </c>
      <c r="E207">
        <v>0</v>
      </c>
      <c r="F207">
        <v>1</v>
      </c>
      <c r="G207">
        <v>0</v>
      </c>
      <c r="H207">
        <v>0</v>
      </c>
      <c r="I207">
        <v>0</v>
      </c>
      <c r="L207">
        <v>59.23</v>
      </c>
      <c r="M207">
        <v>63.222999999999999</v>
      </c>
      <c r="N207">
        <v>94.418000000000006</v>
      </c>
    </row>
    <row r="208" spans="1:14" x14ac:dyDescent="0.45">
      <c r="A208">
        <v>1981</v>
      </c>
      <c r="B208" t="s">
        <v>260</v>
      </c>
      <c r="C208">
        <v>0</v>
      </c>
      <c r="D208">
        <v>1</v>
      </c>
      <c r="E208">
        <v>0</v>
      </c>
      <c r="F208">
        <v>1</v>
      </c>
      <c r="G208">
        <v>0</v>
      </c>
      <c r="H208">
        <v>0</v>
      </c>
      <c r="I208">
        <v>0</v>
      </c>
      <c r="J208">
        <v>5142.2294617388798</v>
      </c>
      <c r="K208">
        <v>4494.1089201525801</v>
      </c>
      <c r="L208">
        <v>63.591000000000001</v>
      </c>
      <c r="M208">
        <v>68.292000000000002</v>
      </c>
      <c r="N208">
        <v>50.198999999999998</v>
      </c>
    </row>
    <row r="209" spans="1:14" x14ac:dyDescent="0.45">
      <c r="A209">
        <v>1981</v>
      </c>
      <c r="B209" t="s">
        <v>261</v>
      </c>
      <c r="C209">
        <v>0</v>
      </c>
      <c r="D209">
        <v>1</v>
      </c>
      <c r="E209">
        <v>0</v>
      </c>
      <c r="F209">
        <v>0</v>
      </c>
      <c r="G209">
        <v>1</v>
      </c>
      <c r="H209">
        <v>0</v>
      </c>
      <c r="I209">
        <v>0</v>
      </c>
      <c r="L209">
        <v>20.18</v>
      </c>
      <c r="M209">
        <v>68.697000000000003</v>
      </c>
      <c r="N209">
        <v>42.673000000000002</v>
      </c>
    </row>
    <row r="210" spans="1:14" x14ac:dyDescent="0.45">
      <c r="A210">
        <v>1981</v>
      </c>
      <c r="B210" t="s">
        <v>262</v>
      </c>
      <c r="C210">
        <v>0</v>
      </c>
      <c r="D210">
        <v>1</v>
      </c>
      <c r="E210">
        <v>0</v>
      </c>
      <c r="F210">
        <v>0</v>
      </c>
      <c r="G210">
        <v>0</v>
      </c>
      <c r="H210">
        <v>1</v>
      </c>
      <c r="I210">
        <v>1</v>
      </c>
      <c r="L210">
        <v>75.960999999999999</v>
      </c>
      <c r="M210">
        <v>69.906000000000006</v>
      </c>
      <c r="N210">
        <v>33.145000000000003</v>
      </c>
    </row>
    <row r="211" spans="1:14" x14ac:dyDescent="0.45">
      <c r="A211">
        <v>1981</v>
      </c>
      <c r="B211" t="s">
        <v>263</v>
      </c>
      <c r="C211">
        <v>0</v>
      </c>
      <c r="D211">
        <v>1</v>
      </c>
      <c r="E211">
        <v>0</v>
      </c>
      <c r="F211">
        <v>0</v>
      </c>
      <c r="G211">
        <v>0</v>
      </c>
      <c r="H211">
        <v>1</v>
      </c>
      <c r="I211">
        <v>1</v>
      </c>
      <c r="L211">
        <v>18.966000000000001</v>
      </c>
      <c r="M211">
        <v>68.92</v>
      </c>
      <c r="N211">
        <v>26.262</v>
      </c>
    </row>
    <row r="212" spans="1:14" x14ac:dyDescent="0.45">
      <c r="A212">
        <v>1981</v>
      </c>
      <c r="B212" t="s">
        <v>264</v>
      </c>
      <c r="C212">
        <v>0</v>
      </c>
      <c r="D212">
        <v>0</v>
      </c>
      <c r="E212">
        <v>0</v>
      </c>
      <c r="F212">
        <v>0</v>
      </c>
      <c r="G212">
        <v>0</v>
      </c>
      <c r="H212">
        <v>0</v>
      </c>
      <c r="I212">
        <v>0</v>
      </c>
      <c r="L212">
        <v>80.691000000000003</v>
      </c>
      <c r="M212">
        <v>65.778999999999996</v>
      </c>
      <c r="N212">
        <v>68.033000000000001</v>
      </c>
    </row>
    <row r="213" spans="1:14" x14ac:dyDescent="0.45">
      <c r="A213">
        <v>1981</v>
      </c>
      <c r="B213" t="s">
        <v>265</v>
      </c>
      <c r="C213">
        <v>0</v>
      </c>
      <c r="D213">
        <v>0</v>
      </c>
      <c r="E213">
        <v>0</v>
      </c>
      <c r="F213">
        <v>1</v>
      </c>
      <c r="G213">
        <v>0</v>
      </c>
      <c r="H213">
        <v>0</v>
      </c>
      <c r="I213">
        <v>0</v>
      </c>
      <c r="J213">
        <v>3297.1398359590999</v>
      </c>
      <c r="K213">
        <v>2982.5971332691602</v>
      </c>
      <c r="L213">
        <v>84.88</v>
      </c>
      <c r="M213">
        <v>61.95</v>
      </c>
      <c r="N213">
        <v>62.521000000000001</v>
      </c>
    </row>
    <row r="214" spans="1:14" x14ac:dyDescent="0.45">
      <c r="A214">
        <v>1981</v>
      </c>
      <c r="B214" t="s">
        <v>266</v>
      </c>
      <c r="C214">
        <v>0</v>
      </c>
      <c r="D214">
        <v>0</v>
      </c>
      <c r="E214">
        <v>0</v>
      </c>
      <c r="F214">
        <v>1</v>
      </c>
      <c r="G214">
        <v>0</v>
      </c>
      <c r="H214">
        <v>0</v>
      </c>
      <c r="I214">
        <v>0</v>
      </c>
      <c r="J214">
        <v>3670.47630543172</v>
      </c>
      <c r="K214">
        <v>3320.3178060321802</v>
      </c>
      <c r="L214">
        <v>78.807000000000002</v>
      </c>
      <c r="M214">
        <v>65.296000000000006</v>
      </c>
      <c r="N214">
        <v>41.91</v>
      </c>
    </row>
    <row r="215" spans="1:14" x14ac:dyDescent="0.45">
      <c r="A215">
        <v>1981</v>
      </c>
      <c r="B215" t="s">
        <v>267</v>
      </c>
      <c r="C215">
        <v>1</v>
      </c>
      <c r="D215">
        <v>0</v>
      </c>
      <c r="E215">
        <v>0</v>
      </c>
      <c r="F215">
        <v>0</v>
      </c>
      <c r="G215">
        <v>1</v>
      </c>
      <c r="H215">
        <v>0</v>
      </c>
      <c r="I215">
        <v>0</v>
      </c>
      <c r="L215">
        <v>53.296999999999997</v>
      </c>
      <c r="M215">
        <v>60.372</v>
      </c>
      <c r="N215">
        <v>169.00399999999999</v>
      </c>
    </row>
    <row r="216" spans="1:14" x14ac:dyDescent="0.45">
      <c r="A216">
        <v>1981</v>
      </c>
      <c r="B216" t="s">
        <v>268</v>
      </c>
      <c r="C216">
        <v>0</v>
      </c>
      <c r="D216">
        <v>0</v>
      </c>
      <c r="E216">
        <v>0</v>
      </c>
      <c r="F216">
        <v>1</v>
      </c>
      <c r="G216">
        <v>0</v>
      </c>
      <c r="H216">
        <v>0</v>
      </c>
      <c r="I216">
        <v>0</v>
      </c>
      <c r="L216">
        <v>83.111000000000004</v>
      </c>
      <c r="M216">
        <v>51.679000000000002</v>
      </c>
      <c r="N216">
        <v>196.333</v>
      </c>
    </row>
    <row r="217" spans="1:14" x14ac:dyDescent="0.45">
      <c r="A217">
        <v>1981</v>
      </c>
      <c r="B217" t="s">
        <v>269</v>
      </c>
      <c r="C217">
        <v>0</v>
      </c>
      <c r="D217">
        <v>0</v>
      </c>
      <c r="E217">
        <v>1</v>
      </c>
      <c r="F217">
        <v>1</v>
      </c>
      <c r="G217">
        <v>0</v>
      </c>
      <c r="H217">
        <v>0</v>
      </c>
      <c r="I217">
        <v>0</v>
      </c>
      <c r="J217">
        <v>12469.1850533008</v>
      </c>
      <c r="K217">
        <v>11740.250625246599</v>
      </c>
      <c r="L217">
        <v>51.408999999999999</v>
      </c>
      <c r="M217">
        <v>60.445</v>
      </c>
      <c r="N217">
        <v>90.016000000000005</v>
      </c>
    </row>
    <row r="218" spans="1:14" x14ac:dyDescent="0.45">
      <c r="A218">
        <v>1981</v>
      </c>
      <c r="B218" t="s">
        <v>270</v>
      </c>
      <c r="C218">
        <v>0</v>
      </c>
      <c r="D218">
        <v>0</v>
      </c>
      <c r="E218">
        <v>1</v>
      </c>
      <c r="F218">
        <v>0</v>
      </c>
      <c r="G218">
        <v>0</v>
      </c>
      <c r="H218">
        <v>0</v>
      </c>
      <c r="I218">
        <v>0</v>
      </c>
      <c r="J218">
        <v>2845.9787518120402</v>
      </c>
      <c r="K218">
        <v>2671.9678328463301</v>
      </c>
      <c r="L218">
        <v>60.146000000000001</v>
      </c>
      <c r="M218">
        <v>54.985999999999997</v>
      </c>
      <c r="N218">
        <v>158.53399999999999</v>
      </c>
    </row>
    <row r="219" spans="1:14" x14ac:dyDescent="0.45">
      <c r="A219">
        <v>1981</v>
      </c>
      <c r="B219" t="s">
        <v>271</v>
      </c>
      <c r="C219">
        <v>0</v>
      </c>
      <c r="D219">
        <v>0</v>
      </c>
      <c r="E219">
        <v>1</v>
      </c>
      <c r="F219">
        <v>1</v>
      </c>
      <c r="G219">
        <v>0</v>
      </c>
      <c r="H219">
        <v>0</v>
      </c>
      <c r="I219">
        <v>0</v>
      </c>
      <c r="J219">
        <v>3967.8922507574598</v>
      </c>
      <c r="K219">
        <v>2641.9650575668202</v>
      </c>
      <c r="L219">
        <v>77.105000000000004</v>
      </c>
      <c r="M219">
        <v>59.445999999999998</v>
      </c>
      <c r="N219">
        <v>103.733</v>
      </c>
    </row>
    <row r="220" spans="1:14" x14ac:dyDescent="0.45">
      <c r="A220">
        <v>1982</v>
      </c>
      <c r="B220" t="s">
        <v>54</v>
      </c>
      <c r="C220">
        <v>0</v>
      </c>
      <c r="D220">
        <v>1</v>
      </c>
      <c r="E220">
        <v>0</v>
      </c>
      <c r="F220">
        <v>0</v>
      </c>
      <c r="G220">
        <v>0</v>
      </c>
      <c r="H220">
        <v>1</v>
      </c>
      <c r="I220">
        <v>1</v>
      </c>
      <c r="L220">
        <v>49.558999999999997</v>
      </c>
      <c r="M220">
        <v>71.484999999999999</v>
      </c>
      <c r="N220">
        <v>25.061</v>
      </c>
    </row>
    <row r="221" spans="1:14" x14ac:dyDescent="0.45">
      <c r="A221">
        <v>1982</v>
      </c>
      <c r="B221" t="s">
        <v>55</v>
      </c>
      <c r="C221">
        <v>0</v>
      </c>
      <c r="D221">
        <v>0</v>
      </c>
      <c r="E221">
        <v>0</v>
      </c>
      <c r="F221">
        <v>0</v>
      </c>
      <c r="G221">
        <v>0</v>
      </c>
      <c r="H221">
        <v>0</v>
      </c>
      <c r="I221">
        <v>0</v>
      </c>
      <c r="L221">
        <v>82.852999999999994</v>
      </c>
      <c r="M221">
        <v>36.058</v>
      </c>
      <c r="N221">
        <v>271.35300000000001</v>
      </c>
    </row>
    <row r="222" spans="1:14" x14ac:dyDescent="0.45">
      <c r="A222">
        <v>1982</v>
      </c>
      <c r="B222" t="s">
        <v>56</v>
      </c>
      <c r="C222">
        <v>0</v>
      </c>
      <c r="D222">
        <v>0</v>
      </c>
      <c r="E222">
        <v>1</v>
      </c>
      <c r="F222">
        <v>1</v>
      </c>
      <c r="G222">
        <v>0</v>
      </c>
      <c r="H222">
        <v>0</v>
      </c>
      <c r="I222">
        <v>0</v>
      </c>
      <c r="J222">
        <v>7575.6397886203404</v>
      </c>
      <c r="K222">
        <v>5858.62705666291</v>
      </c>
      <c r="L222">
        <v>73.388000000000005</v>
      </c>
      <c r="M222">
        <v>42.856999999999999</v>
      </c>
      <c r="N222">
        <v>238.398</v>
      </c>
    </row>
    <row r="223" spans="1:14" x14ac:dyDescent="0.45">
      <c r="A223">
        <v>1982</v>
      </c>
      <c r="B223" t="s">
        <v>57</v>
      </c>
      <c r="C223">
        <v>1</v>
      </c>
      <c r="D223">
        <v>0</v>
      </c>
      <c r="E223">
        <v>0</v>
      </c>
      <c r="F223">
        <v>1</v>
      </c>
      <c r="G223">
        <v>0</v>
      </c>
      <c r="H223">
        <v>0</v>
      </c>
      <c r="I223">
        <v>0</v>
      </c>
      <c r="J223">
        <v>5546.2872397453202</v>
      </c>
      <c r="K223">
        <v>5024.6818438940199</v>
      </c>
      <c r="L223">
        <v>65.712999999999994</v>
      </c>
      <c r="M223">
        <v>70.424999999999997</v>
      </c>
      <c r="N223">
        <v>56.494999999999997</v>
      </c>
    </row>
    <row r="224" spans="1:14" x14ac:dyDescent="0.45">
      <c r="A224">
        <v>1982</v>
      </c>
      <c r="B224" t="s">
        <v>58</v>
      </c>
      <c r="C224">
        <v>1</v>
      </c>
      <c r="D224">
        <v>0</v>
      </c>
      <c r="E224">
        <v>0</v>
      </c>
      <c r="F224">
        <v>0</v>
      </c>
      <c r="G224">
        <v>0</v>
      </c>
      <c r="H224">
        <v>1</v>
      </c>
      <c r="I224">
        <v>1</v>
      </c>
      <c r="J224">
        <v>51407.416081947304</v>
      </c>
      <c r="K224">
        <v>43152.599998734302</v>
      </c>
      <c r="L224">
        <v>6.5259999999999998</v>
      </c>
      <c r="M224">
        <v>77.617000000000004</v>
      </c>
      <c r="N224">
        <v>12.688000000000001</v>
      </c>
    </row>
    <row r="225" spans="1:14" x14ac:dyDescent="0.45">
      <c r="A225">
        <v>1982</v>
      </c>
      <c r="B225" t="s">
        <v>59</v>
      </c>
      <c r="C225">
        <v>0</v>
      </c>
      <c r="D225">
        <v>0</v>
      </c>
      <c r="E225">
        <v>0</v>
      </c>
      <c r="F225">
        <v>0</v>
      </c>
      <c r="G225">
        <v>0</v>
      </c>
      <c r="H225">
        <v>1</v>
      </c>
      <c r="I225">
        <v>1</v>
      </c>
      <c r="J225">
        <v>205198.516972663</v>
      </c>
      <c r="K225">
        <v>202729.710046672</v>
      </c>
      <c r="L225">
        <v>19.533999999999999</v>
      </c>
      <c r="M225">
        <v>69.055999999999997</v>
      </c>
      <c r="N225">
        <v>29.378</v>
      </c>
    </row>
    <row r="226" spans="1:14" x14ac:dyDescent="0.45">
      <c r="A226">
        <v>1982</v>
      </c>
      <c r="B226" t="s">
        <v>60</v>
      </c>
      <c r="C226">
        <v>0</v>
      </c>
      <c r="D226">
        <v>1</v>
      </c>
      <c r="E226">
        <v>0</v>
      </c>
      <c r="F226">
        <v>0</v>
      </c>
      <c r="G226">
        <v>1</v>
      </c>
      <c r="H226">
        <v>0</v>
      </c>
      <c r="I226">
        <v>0</v>
      </c>
      <c r="J226">
        <v>19307.563827598799</v>
      </c>
      <c r="K226">
        <v>15934.721466299001</v>
      </c>
      <c r="L226">
        <v>16.241</v>
      </c>
      <c r="M226">
        <v>68.972999999999999</v>
      </c>
      <c r="N226">
        <v>37.896000000000001</v>
      </c>
    </row>
    <row r="227" spans="1:14" x14ac:dyDescent="0.45">
      <c r="A227">
        <v>1982</v>
      </c>
      <c r="B227" t="s">
        <v>61</v>
      </c>
      <c r="C227">
        <v>1</v>
      </c>
      <c r="D227">
        <v>0</v>
      </c>
      <c r="E227">
        <v>0</v>
      </c>
      <c r="F227">
        <v>1</v>
      </c>
      <c r="G227">
        <v>0</v>
      </c>
      <c r="H227">
        <v>0</v>
      </c>
      <c r="I227">
        <v>0</v>
      </c>
      <c r="L227">
        <v>33.533000000000001</v>
      </c>
      <c r="M227">
        <v>66.075999999999993</v>
      </c>
      <c r="N227">
        <v>67.725999999999999</v>
      </c>
    </row>
    <row r="228" spans="1:14" x14ac:dyDescent="0.45">
      <c r="A228">
        <v>1982</v>
      </c>
      <c r="B228" t="s">
        <v>62</v>
      </c>
      <c r="C228">
        <v>0</v>
      </c>
      <c r="D228">
        <v>0</v>
      </c>
      <c r="E228">
        <v>0</v>
      </c>
      <c r="F228">
        <v>0</v>
      </c>
      <c r="G228">
        <v>0</v>
      </c>
      <c r="H228">
        <v>1</v>
      </c>
      <c r="I228">
        <v>1</v>
      </c>
      <c r="L228">
        <v>24.257000000000001</v>
      </c>
      <c r="M228">
        <v>69.974999999999994</v>
      </c>
      <c r="N228">
        <v>19.442</v>
      </c>
    </row>
    <row r="229" spans="1:14" x14ac:dyDescent="0.45">
      <c r="A229">
        <v>1982</v>
      </c>
      <c r="B229" t="s">
        <v>63</v>
      </c>
      <c r="C229">
        <v>0</v>
      </c>
      <c r="D229">
        <v>1</v>
      </c>
      <c r="E229">
        <v>0</v>
      </c>
      <c r="F229">
        <v>0</v>
      </c>
      <c r="G229">
        <v>1</v>
      </c>
      <c r="H229">
        <v>0</v>
      </c>
      <c r="I229">
        <v>0</v>
      </c>
      <c r="J229">
        <v>12556.9766594293</v>
      </c>
      <c r="K229">
        <v>9889.8350251732209</v>
      </c>
      <c r="L229">
        <v>65.221000000000004</v>
      </c>
      <c r="M229">
        <v>73.525000000000006</v>
      </c>
      <c r="N229">
        <v>14.397</v>
      </c>
    </row>
    <row r="230" spans="1:14" x14ac:dyDescent="0.45">
      <c r="A230">
        <v>1982</v>
      </c>
      <c r="B230" t="s">
        <v>64</v>
      </c>
      <c r="C230">
        <v>0</v>
      </c>
      <c r="D230">
        <v>0</v>
      </c>
      <c r="E230">
        <v>0</v>
      </c>
      <c r="F230">
        <v>0</v>
      </c>
      <c r="G230">
        <v>0</v>
      </c>
      <c r="H230">
        <v>1</v>
      </c>
      <c r="I230">
        <v>1</v>
      </c>
      <c r="J230">
        <v>30936.2456722592</v>
      </c>
      <c r="K230">
        <v>26795.478406817801</v>
      </c>
      <c r="L230">
        <v>14.33</v>
      </c>
      <c r="M230">
        <v>74.718999999999994</v>
      </c>
      <c r="N230">
        <v>12.379</v>
      </c>
    </row>
    <row r="231" spans="1:14" x14ac:dyDescent="0.45">
      <c r="A231">
        <v>1982</v>
      </c>
      <c r="B231" t="s">
        <v>65</v>
      </c>
      <c r="C231">
        <v>1</v>
      </c>
      <c r="D231">
        <v>0</v>
      </c>
      <c r="E231">
        <v>0</v>
      </c>
      <c r="F231">
        <v>0</v>
      </c>
      <c r="G231">
        <v>0</v>
      </c>
      <c r="H231">
        <v>1</v>
      </c>
      <c r="I231">
        <v>1</v>
      </c>
      <c r="J231">
        <v>37171.823054602202</v>
      </c>
      <c r="K231">
        <v>31676.174729854902</v>
      </c>
      <c r="L231">
        <v>34.9</v>
      </c>
      <c r="M231">
        <v>73.143000000000001</v>
      </c>
      <c r="N231">
        <v>14.865</v>
      </c>
    </row>
    <row r="232" spans="1:14" x14ac:dyDescent="0.45">
      <c r="A232">
        <v>1982</v>
      </c>
      <c r="B232" t="s">
        <v>66</v>
      </c>
      <c r="C232">
        <v>1</v>
      </c>
      <c r="D232">
        <v>0</v>
      </c>
      <c r="E232">
        <v>0</v>
      </c>
      <c r="F232">
        <v>1</v>
      </c>
      <c r="G232">
        <v>0</v>
      </c>
      <c r="H232">
        <v>0</v>
      </c>
      <c r="I232">
        <v>0</v>
      </c>
      <c r="J232">
        <v>10030.948851007501</v>
      </c>
      <c r="K232">
        <v>7304.6608879043397</v>
      </c>
      <c r="L232">
        <v>46.981999999999999</v>
      </c>
      <c r="M232">
        <v>62.23</v>
      </c>
      <c r="N232">
        <v>109.521</v>
      </c>
    </row>
    <row r="233" spans="1:14" x14ac:dyDescent="0.45">
      <c r="A233">
        <v>1982</v>
      </c>
      <c r="B233" t="s">
        <v>67</v>
      </c>
      <c r="C233">
        <v>0</v>
      </c>
      <c r="D233">
        <v>0</v>
      </c>
      <c r="E233">
        <v>1</v>
      </c>
      <c r="F233">
        <v>0</v>
      </c>
      <c r="G233">
        <v>0</v>
      </c>
      <c r="H233">
        <v>0</v>
      </c>
      <c r="I233">
        <v>0</v>
      </c>
      <c r="J233">
        <v>1255.7565253492801</v>
      </c>
      <c r="K233">
        <v>1085.10328618679</v>
      </c>
      <c r="L233">
        <v>95.325999999999993</v>
      </c>
      <c r="M233">
        <v>47.012</v>
      </c>
      <c r="N233">
        <v>203.256</v>
      </c>
    </row>
    <row r="234" spans="1:14" x14ac:dyDescent="0.45">
      <c r="A234">
        <v>1982</v>
      </c>
      <c r="B234" t="s">
        <v>68</v>
      </c>
      <c r="C234">
        <v>1</v>
      </c>
      <c r="D234">
        <v>0</v>
      </c>
      <c r="E234">
        <v>0</v>
      </c>
      <c r="F234">
        <v>0</v>
      </c>
      <c r="G234">
        <v>0</v>
      </c>
      <c r="H234">
        <v>1</v>
      </c>
      <c r="I234">
        <v>1</v>
      </c>
      <c r="J234">
        <v>35393.939256234902</v>
      </c>
      <c r="K234">
        <v>29784.588360502301</v>
      </c>
      <c r="L234">
        <v>4.3630000000000004</v>
      </c>
      <c r="M234">
        <v>73.879000000000005</v>
      </c>
      <c r="N234">
        <v>13.071999999999999</v>
      </c>
    </row>
    <row r="235" spans="1:14" x14ac:dyDescent="0.45">
      <c r="A235">
        <v>1982</v>
      </c>
      <c r="B235" t="s">
        <v>69</v>
      </c>
      <c r="C235">
        <v>0</v>
      </c>
      <c r="D235">
        <v>0</v>
      </c>
      <c r="E235">
        <v>1</v>
      </c>
      <c r="F235">
        <v>0</v>
      </c>
      <c r="G235">
        <v>0</v>
      </c>
      <c r="H235">
        <v>0</v>
      </c>
      <c r="I235">
        <v>0</v>
      </c>
      <c r="J235">
        <v>2439.65475339252</v>
      </c>
      <c r="K235">
        <v>2314.6270448822202</v>
      </c>
      <c r="L235">
        <v>71.308000000000007</v>
      </c>
      <c r="M235">
        <v>48.493000000000002</v>
      </c>
      <c r="N235">
        <v>203.87700000000001</v>
      </c>
    </row>
    <row r="236" spans="1:14" x14ac:dyDescent="0.45">
      <c r="A236">
        <v>1982</v>
      </c>
      <c r="B236" t="s">
        <v>70</v>
      </c>
      <c r="C236">
        <v>0</v>
      </c>
      <c r="D236">
        <v>0</v>
      </c>
      <c r="E236">
        <v>1</v>
      </c>
      <c r="F236">
        <v>0</v>
      </c>
      <c r="G236">
        <v>0</v>
      </c>
      <c r="H236">
        <v>0</v>
      </c>
      <c r="I236">
        <v>0</v>
      </c>
      <c r="J236">
        <v>1014.84865371946</v>
      </c>
      <c r="K236">
        <v>928.52267079663204</v>
      </c>
      <c r="L236">
        <v>89.909000000000006</v>
      </c>
      <c r="M236">
        <v>47.633000000000003</v>
      </c>
      <c r="N236">
        <v>229.29599999999999</v>
      </c>
    </row>
    <row r="237" spans="1:14" x14ac:dyDescent="0.45">
      <c r="A237">
        <v>1982</v>
      </c>
      <c r="B237" t="s">
        <v>71</v>
      </c>
      <c r="C237">
        <v>0</v>
      </c>
      <c r="D237">
        <v>0</v>
      </c>
      <c r="E237">
        <v>0</v>
      </c>
      <c r="F237">
        <v>0</v>
      </c>
      <c r="G237">
        <v>0</v>
      </c>
      <c r="H237">
        <v>0</v>
      </c>
      <c r="I237">
        <v>0</v>
      </c>
      <c r="J237">
        <v>1884.6391722025901</v>
      </c>
      <c r="K237">
        <v>1532.2014038406101</v>
      </c>
      <c r="L237">
        <v>83.787999999999997</v>
      </c>
      <c r="M237">
        <v>53.012</v>
      </c>
      <c r="N237">
        <v>194.321</v>
      </c>
    </row>
    <row r="238" spans="1:14" x14ac:dyDescent="0.45">
      <c r="A238">
        <v>1982</v>
      </c>
      <c r="B238" t="s">
        <v>72</v>
      </c>
      <c r="C238">
        <v>1</v>
      </c>
      <c r="D238">
        <v>0</v>
      </c>
      <c r="E238">
        <v>0</v>
      </c>
      <c r="F238">
        <v>1</v>
      </c>
      <c r="G238">
        <v>0</v>
      </c>
      <c r="H238">
        <v>0</v>
      </c>
      <c r="I238">
        <v>0</v>
      </c>
      <c r="J238">
        <v>11204.410163123201</v>
      </c>
      <c r="K238">
        <v>9297.4136456960496</v>
      </c>
      <c r="L238">
        <v>36.896000000000001</v>
      </c>
      <c r="M238">
        <v>71.078000000000003</v>
      </c>
      <c r="N238">
        <v>22.513999999999999</v>
      </c>
    </row>
    <row r="239" spans="1:14" x14ac:dyDescent="0.45">
      <c r="A239">
        <v>1982</v>
      </c>
      <c r="B239" t="s">
        <v>73</v>
      </c>
      <c r="C239">
        <v>0</v>
      </c>
      <c r="D239">
        <v>0</v>
      </c>
      <c r="E239">
        <v>0</v>
      </c>
      <c r="F239">
        <v>0</v>
      </c>
      <c r="G239">
        <v>0</v>
      </c>
      <c r="H239">
        <v>1</v>
      </c>
      <c r="I239">
        <v>1</v>
      </c>
      <c r="J239">
        <v>47238.698905511497</v>
      </c>
      <c r="K239">
        <v>44015.236290727102</v>
      </c>
      <c r="L239">
        <v>13.468999999999999</v>
      </c>
      <c r="M239">
        <v>71.353999999999999</v>
      </c>
      <c r="N239">
        <v>29.277000000000001</v>
      </c>
    </row>
    <row r="240" spans="1:14" x14ac:dyDescent="0.45">
      <c r="A240">
        <v>1982</v>
      </c>
      <c r="B240" t="s">
        <v>74</v>
      </c>
      <c r="C240">
        <v>0</v>
      </c>
      <c r="D240">
        <v>1</v>
      </c>
      <c r="E240">
        <v>0</v>
      </c>
      <c r="F240">
        <v>0</v>
      </c>
      <c r="G240">
        <v>0</v>
      </c>
      <c r="H240">
        <v>1</v>
      </c>
      <c r="I240">
        <v>1</v>
      </c>
      <c r="J240">
        <v>28140.7226413881</v>
      </c>
      <c r="K240">
        <v>29189.9771994566</v>
      </c>
      <c r="L240">
        <v>25.428999999999998</v>
      </c>
      <c r="M240">
        <v>69.682000000000002</v>
      </c>
      <c r="N240">
        <v>30.975000000000001</v>
      </c>
    </row>
    <row r="241" spans="1:14" x14ac:dyDescent="0.45">
      <c r="A241">
        <v>1982</v>
      </c>
      <c r="B241" t="s">
        <v>75</v>
      </c>
      <c r="C241">
        <v>1</v>
      </c>
      <c r="D241">
        <v>0</v>
      </c>
      <c r="E241">
        <v>0</v>
      </c>
      <c r="F241">
        <v>0</v>
      </c>
      <c r="G241">
        <v>1</v>
      </c>
      <c r="H241">
        <v>0</v>
      </c>
      <c r="I241">
        <v>0</v>
      </c>
      <c r="L241">
        <v>63.393000000000001</v>
      </c>
      <c r="M241">
        <v>70.075999999999993</v>
      </c>
      <c r="N241">
        <v>29.815000000000001</v>
      </c>
    </row>
    <row r="242" spans="1:14" x14ac:dyDescent="0.45">
      <c r="A242">
        <v>1982</v>
      </c>
      <c r="B242" t="s">
        <v>76</v>
      </c>
      <c r="C242">
        <v>1</v>
      </c>
      <c r="D242">
        <v>0</v>
      </c>
      <c r="E242">
        <v>0</v>
      </c>
      <c r="F242">
        <v>0</v>
      </c>
      <c r="G242">
        <v>1</v>
      </c>
      <c r="H242">
        <v>0</v>
      </c>
      <c r="I242">
        <v>0</v>
      </c>
      <c r="L242">
        <v>41.335999999999999</v>
      </c>
      <c r="M242">
        <v>70.784000000000006</v>
      </c>
      <c r="N242">
        <v>19.253</v>
      </c>
    </row>
    <row r="243" spans="1:14" x14ac:dyDescent="0.45">
      <c r="A243">
        <v>1982</v>
      </c>
      <c r="B243" t="s">
        <v>77</v>
      </c>
      <c r="C243">
        <v>0</v>
      </c>
      <c r="D243">
        <v>1</v>
      </c>
      <c r="E243">
        <v>0</v>
      </c>
      <c r="F243">
        <v>1</v>
      </c>
      <c r="G243">
        <v>0</v>
      </c>
      <c r="H243">
        <v>0</v>
      </c>
      <c r="I243">
        <v>0</v>
      </c>
      <c r="J243">
        <v>6862.37890882796</v>
      </c>
      <c r="K243">
        <v>5408.1939979447498</v>
      </c>
      <c r="L243">
        <v>51.008000000000003</v>
      </c>
      <c r="M243">
        <v>67.338999999999999</v>
      </c>
      <c r="N243">
        <v>59.648000000000003</v>
      </c>
    </row>
    <row r="244" spans="1:14" x14ac:dyDescent="0.45">
      <c r="A244">
        <v>1982</v>
      </c>
      <c r="B244" t="s">
        <v>78</v>
      </c>
      <c r="C244">
        <v>0</v>
      </c>
      <c r="D244">
        <v>0</v>
      </c>
      <c r="E244">
        <v>0</v>
      </c>
      <c r="F244">
        <v>0</v>
      </c>
      <c r="G244">
        <v>0</v>
      </c>
      <c r="H244">
        <v>1</v>
      </c>
      <c r="I244">
        <v>1</v>
      </c>
      <c r="J244">
        <v>72628.816720755596</v>
      </c>
      <c r="K244">
        <v>64528.083081482197</v>
      </c>
      <c r="L244">
        <v>0</v>
      </c>
      <c r="M244">
        <v>73.040999999999997</v>
      </c>
      <c r="N244">
        <v>16.167999999999999</v>
      </c>
    </row>
    <row r="245" spans="1:14" x14ac:dyDescent="0.45">
      <c r="A245">
        <v>1982</v>
      </c>
      <c r="B245" t="s">
        <v>79</v>
      </c>
      <c r="C245">
        <v>0</v>
      </c>
      <c r="D245">
        <v>1</v>
      </c>
      <c r="E245">
        <v>0</v>
      </c>
      <c r="F245">
        <v>1</v>
      </c>
      <c r="G245">
        <v>0</v>
      </c>
      <c r="H245">
        <v>0</v>
      </c>
      <c r="I245">
        <v>0</v>
      </c>
      <c r="J245">
        <v>6300.4212993661704</v>
      </c>
      <c r="K245">
        <v>5560.4381579176397</v>
      </c>
      <c r="L245">
        <v>52.527999999999999</v>
      </c>
      <c r="M245">
        <v>52.511000000000003</v>
      </c>
      <c r="N245">
        <v>196.416</v>
      </c>
    </row>
    <row r="246" spans="1:14" x14ac:dyDescent="0.45">
      <c r="A246">
        <v>1982</v>
      </c>
      <c r="B246" t="s">
        <v>80</v>
      </c>
      <c r="C246">
        <v>0</v>
      </c>
      <c r="D246">
        <v>1</v>
      </c>
      <c r="E246">
        <v>0</v>
      </c>
      <c r="F246">
        <v>0</v>
      </c>
      <c r="G246">
        <v>1</v>
      </c>
      <c r="H246">
        <v>0</v>
      </c>
      <c r="I246">
        <v>0</v>
      </c>
      <c r="J246">
        <v>11788.0560169582</v>
      </c>
      <c r="K246">
        <v>9682.8169714548803</v>
      </c>
      <c r="L246">
        <v>32.738</v>
      </c>
      <c r="M246">
        <v>62.707999999999998</v>
      </c>
      <c r="N246">
        <v>87.519000000000005</v>
      </c>
    </row>
    <row r="247" spans="1:14" x14ac:dyDescent="0.45">
      <c r="A247">
        <v>1982</v>
      </c>
      <c r="B247" t="s">
        <v>81</v>
      </c>
      <c r="C247">
        <v>0</v>
      </c>
      <c r="D247">
        <v>1</v>
      </c>
      <c r="E247">
        <v>0</v>
      </c>
      <c r="F247">
        <v>0</v>
      </c>
      <c r="G247">
        <v>1</v>
      </c>
      <c r="H247">
        <v>0</v>
      </c>
      <c r="I247">
        <v>0</v>
      </c>
      <c r="J247">
        <v>15006.797486145</v>
      </c>
      <c r="K247">
        <v>14332.9858175097</v>
      </c>
      <c r="L247">
        <v>60.445999999999998</v>
      </c>
      <c r="M247">
        <v>72.903000000000006</v>
      </c>
      <c r="N247">
        <v>24.637</v>
      </c>
    </row>
    <row r="248" spans="1:14" x14ac:dyDescent="0.45">
      <c r="A248">
        <v>1982</v>
      </c>
      <c r="B248" t="s">
        <v>82</v>
      </c>
      <c r="C248">
        <v>0</v>
      </c>
      <c r="D248">
        <v>0</v>
      </c>
      <c r="E248">
        <v>0</v>
      </c>
      <c r="F248">
        <v>0</v>
      </c>
      <c r="G248">
        <v>0</v>
      </c>
      <c r="H248">
        <v>1</v>
      </c>
      <c r="I248">
        <v>1</v>
      </c>
      <c r="J248">
        <v>158020.10019427899</v>
      </c>
      <c r="K248">
        <v>123382.801175081</v>
      </c>
      <c r="L248">
        <v>34.750999999999998</v>
      </c>
      <c r="M248">
        <v>69.668999999999997</v>
      </c>
      <c r="N248">
        <v>18.599</v>
      </c>
    </row>
    <row r="249" spans="1:14" x14ac:dyDescent="0.45">
      <c r="A249">
        <v>1982</v>
      </c>
      <c r="B249" t="s">
        <v>83</v>
      </c>
      <c r="C249">
        <v>0</v>
      </c>
      <c r="D249">
        <v>0</v>
      </c>
      <c r="E249">
        <v>0</v>
      </c>
      <c r="F249">
        <v>0</v>
      </c>
      <c r="G249">
        <v>0</v>
      </c>
      <c r="H249">
        <v>0</v>
      </c>
      <c r="I249">
        <v>0</v>
      </c>
      <c r="J249">
        <v>2174.95115019284</v>
      </c>
      <c r="K249">
        <v>1883.78274254707</v>
      </c>
      <c r="L249">
        <v>88.816000000000003</v>
      </c>
      <c r="M249">
        <v>49.776000000000003</v>
      </c>
      <c r="N249">
        <v>180.108</v>
      </c>
    </row>
    <row r="250" spans="1:14" x14ac:dyDescent="0.45">
      <c r="A250">
        <v>1982</v>
      </c>
      <c r="B250" t="s">
        <v>84</v>
      </c>
      <c r="C250">
        <v>0</v>
      </c>
      <c r="D250">
        <v>0</v>
      </c>
      <c r="E250">
        <v>1</v>
      </c>
      <c r="F250">
        <v>1</v>
      </c>
      <c r="G250">
        <v>0</v>
      </c>
      <c r="H250">
        <v>0</v>
      </c>
      <c r="I250">
        <v>0</v>
      </c>
      <c r="J250">
        <v>5712.22389290723</v>
      </c>
      <c r="K250">
        <v>5168.3426918047799</v>
      </c>
      <c r="L250">
        <v>80.510999999999996</v>
      </c>
      <c r="M250">
        <v>63.381999999999998</v>
      </c>
      <c r="N250">
        <v>64.855000000000004</v>
      </c>
    </row>
    <row r="251" spans="1:14" x14ac:dyDescent="0.45">
      <c r="A251">
        <v>1982</v>
      </c>
      <c r="B251" t="s">
        <v>85</v>
      </c>
      <c r="C251">
        <v>0</v>
      </c>
      <c r="D251">
        <v>0</v>
      </c>
      <c r="E251">
        <v>1</v>
      </c>
      <c r="F251">
        <v>0</v>
      </c>
      <c r="G251">
        <v>0</v>
      </c>
      <c r="H251">
        <v>0</v>
      </c>
      <c r="I251">
        <v>0</v>
      </c>
      <c r="J251">
        <v>1446.9176619391901</v>
      </c>
      <c r="K251">
        <v>1158.4750944770799</v>
      </c>
      <c r="L251">
        <v>65.468000000000004</v>
      </c>
      <c r="M251">
        <v>50.213000000000001</v>
      </c>
      <c r="N251">
        <v>184.28299999999999</v>
      </c>
    </row>
    <row r="252" spans="1:14" x14ac:dyDescent="0.45">
      <c r="A252">
        <v>1982</v>
      </c>
      <c r="B252" t="s">
        <v>86</v>
      </c>
      <c r="C252">
        <v>0</v>
      </c>
      <c r="D252">
        <v>0</v>
      </c>
      <c r="E252">
        <v>0</v>
      </c>
      <c r="F252">
        <v>0</v>
      </c>
      <c r="G252">
        <v>0</v>
      </c>
      <c r="H252">
        <v>1</v>
      </c>
      <c r="I252">
        <v>1</v>
      </c>
      <c r="J252">
        <v>35558.411544825402</v>
      </c>
      <c r="K252">
        <v>30779.950433134502</v>
      </c>
      <c r="L252">
        <v>24.126000000000001</v>
      </c>
      <c r="M252">
        <v>75.691999999999993</v>
      </c>
      <c r="N252">
        <v>11.106</v>
      </c>
    </row>
    <row r="253" spans="1:14" x14ac:dyDescent="0.45">
      <c r="A253">
        <v>1982</v>
      </c>
      <c r="B253" t="s">
        <v>87</v>
      </c>
      <c r="C253">
        <v>1</v>
      </c>
      <c r="D253">
        <v>0</v>
      </c>
      <c r="E253">
        <v>0</v>
      </c>
      <c r="F253">
        <v>0</v>
      </c>
      <c r="G253">
        <v>0</v>
      </c>
      <c r="H253">
        <v>1</v>
      </c>
      <c r="I253">
        <v>1</v>
      </c>
      <c r="J253">
        <v>56585.0028597294</v>
      </c>
      <c r="K253">
        <v>49227.079611980997</v>
      </c>
      <c r="L253">
        <v>25.594000000000001</v>
      </c>
      <c r="M253">
        <v>76.162000000000006</v>
      </c>
      <c r="N253">
        <v>9.5589999999999993</v>
      </c>
    </row>
    <row r="254" spans="1:14" x14ac:dyDescent="0.45">
      <c r="A254">
        <v>1982</v>
      </c>
      <c r="B254" t="s">
        <v>88</v>
      </c>
      <c r="C254">
        <v>1</v>
      </c>
      <c r="D254">
        <v>0</v>
      </c>
      <c r="E254">
        <v>0</v>
      </c>
      <c r="F254">
        <v>0</v>
      </c>
      <c r="G254">
        <v>0</v>
      </c>
      <c r="H254">
        <v>1</v>
      </c>
      <c r="I254">
        <v>1</v>
      </c>
      <c r="L254">
        <v>68.11</v>
      </c>
      <c r="M254">
        <v>73.107449384135805</v>
      </c>
      <c r="N254">
        <v>24.1992809672245</v>
      </c>
    </row>
    <row r="255" spans="1:14" x14ac:dyDescent="0.45">
      <c r="A255">
        <v>1982</v>
      </c>
      <c r="B255" t="s">
        <v>89</v>
      </c>
      <c r="C255">
        <v>0</v>
      </c>
      <c r="D255">
        <v>1</v>
      </c>
      <c r="E255">
        <v>0</v>
      </c>
      <c r="F255">
        <v>1</v>
      </c>
      <c r="G255">
        <v>0</v>
      </c>
      <c r="H255">
        <v>0</v>
      </c>
      <c r="I255">
        <v>0</v>
      </c>
      <c r="J255">
        <v>10230.037959393099</v>
      </c>
      <c r="K255">
        <v>8911.2013835854304</v>
      </c>
      <c r="L255">
        <v>17.774000000000001</v>
      </c>
      <c r="M255">
        <v>70.290999999999997</v>
      </c>
      <c r="N255">
        <v>28.754000000000001</v>
      </c>
    </row>
    <row r="256" spans="1:14" x14ac:dyDescent="0.45">
      <c r="A256">
        <v>1982</v>
      </c>
      <c r="B256" t="s">
        <v>90</v>
      </c>
      <c r="C256">
        <v>0</v>
      </c>
      <c r="D256">
        <v>0</v>
      </c>
      <c r="E256">
        <v>0</v>
      </c>
      <c r="F256">
        <v>0</v>
      </c>
      <c r="G256">
        <v>0</v>
      </c>
      <c r="H256">
        <v>0</v>
      </c>
      <c r="I256">
        <v>0</v>
      </c>
      <c r="J256">
        <v>843.34372942428399</v>
      </c>
      <c r="K256">
        <v>756.00304725268904</v>
      </c>
      <c r="L256">
        <v>79.097999999999999</v>
      </c>
      <c r="M256">
        <v>65.248999999999995</v>
      </c>
      <c r="N256">
        <v>59.433999999999997</v>
      </c>
    </row>
    <row r="257" spans="1:14" x14ac:dyDescent="0.45">
      <c r="A257">
        <v>1982</v>
      </c>
      <c r="B257" t="s">
        <v>91</v>
      </c>
      <c r="C257">
        <v>0</v>
      </c>
      <c r="D257">
        <v>0</v>
      </c>
      <c r="E257">
        <v>1</v>
      </c>
      <c r="F257">
        <v>1</v>
      </c>
      <c r="G257">
        <v>0</v>
      </c>
      <c r="H257">
        <v>0</v>
      </c>
      <c r="I257">
        <v>0</v>
      </c>
      <c r="J257">
        <v>6862.3653746207001</v>
      </c>
      <c r="K257">
        <v>5792.8470124621599</v>
      </c>
      <c r="L257">
        <v>62.74</v>
      </c>
      <c r="M257">
        <v>52.09</v>
      </c>
      <c r="N257">
        <v>162.24299999999999</v>
      </c>
    </row>
    <row r="258" spans="1:14" x14ac:dyDescent="0.45">
      <c r="A258">
        <v>1982</v>
      </c>
      <c r="B258" t="s">
        <v>92</v>
      </c>
      <c r="C258">
        <v>0</v>
      </c>
      <c r="D258">
        <v>0</v>
      </c>
      <c r="E258">
        <v>1</v>
      </c>
      <c r="F258">
        <v>1</v>
      </c>
      <c r="G258">
        <v>0</v>
      </c>
      <c r="H258">
        <v>0</v>
      </c>
      <c r="I258">
        <v>0</v>
      </c>
      <c r="J258">
        <v>4496.9555905116804</v>
      </c>
      <c r="K258">
        <v>3531.0660334074</v>
      </c>
      <c r="L258">
        <v>66.387</v>
      </c>
      <c r="M258">
        <v>51.801000000000002</v>
      </c>
      <c r="N258">
        <v>166.45500000000001</v>
      </c>
    </row>
    <row r="259" spans="1:14" x14ac:dyDescent="0.45">
      <c r="A259">
        <v>1982</v>
      </c>
      <c r="B259" t="s">
        <v>93</v>
      </c>
      <c r="C259">
        <v>0</v>
      </c>
      <c r="D259">
        <v>0</v>
      </c>
      <c r="E259">
        <v>1</v>
      </c>
      <c r="F259">
        <v>0</v>
      </c>
      <c r="G259">
        <v>0</v>
      </c>
      <c r="H259">
        <v>0</v>
      </c>
      <c r="I259">
        <v>0</v>
      </c>
      <c r="J259">
        <v>2455.0051574516001</v>
      </c>
      <c r="K259">
        <v>1965.39001442016</v>
      </c>
      <c r="L259">
        <v>72.417000000000002</v>
      </c>
      <c r="M259">
        <v>45.945999999999998</v>
      </c>
      <c r="N259">
        <v>206.417</v>
      </c>
    </row>
    <row r="260" spans="1:14" x14ac:dyDescent="0.45">
      <c r="A260">
        <v>1982</v>
      </c>
      <c r="B260" t="s">
        <v>94</v>
      </c>
      <c r="C260">
        <v>0</v>
      </c>
      <c r="D260">
        <v>0</v>
      </c>
      <c r="E260">
        <v>1</v>
      </c>
      <c r="F260">
        <v>1</v>
      </c>
      <c r="G260">
        <v>0</v>
      </c>
      <c r="H260">
        <v>0</v>
      </c>
      <c r="I260">
        <v>0</v>
      </c>
      <c r="J260">
        <v>8004.5453860819698</v>
      </c>
      <c r="K260">
        <v>4825.5018575636605</v>
      </c>
      <c r="L260">
        <v>50.292999999999999</v>
      </c>
      <c r="M260">
        <v>57.235999999999997</v>
      </c>
      <c r="N260">
        <v>101.274</v>
      </c>
    </row>
    <row r="261" spans="1:14" x14ac:dyDescent="0.45">
      <c r="A261">
        <v>1982</v>
      </c>
      <c r="B261" t="s">
        <v>95</v>
      </c>
      <c r="C261">
        <v>0</v>
      </c>
      <c r="D261">
        <v>1</v>
      </c>
      <c r="E261">
        <v>0</v>
      </c>
      <c r="F261">
        <v>1</v>
      </c>
      <c r="G261">
        <v>0</v>
      </c>
      <c r="H261">
        <v>0</v>
      </c>
      <c r="I261">
        <v>0</v>
      </c>
      <c r="J261">
        <v>9071.1535254701193</v>
      </c>
      <c r="K261">
        <v>7552.7284627276804</v>
      </c>
      <c r="L261">
        <v>34.927</v>
      </c>
      <c r="M261">
        <v>67.861000000000004</v>
      </c>
      <c r="N261">
        <v>52.113999999999997</v>
      </c>
    </row>
    <row r="262" spans="1:14" x14ac:dyDescent="0.45">
      <c r="A262">
        <v>1982</v>
      </c>
      <c r="B262" t="s">
        <v>96</v>
      </c>
      <c r="C262">
        <v>0</v>
      </c>
      <c r="D262">
        <v>0</v>
      </c>
      <c r="E262">
        <v>1</v>
      </c>
      <c r="F262">
        <v>0</v>
      </c>
      <c r="G262">
        <v>0</v>
      </c>
      <c r="H262">
        <v>0</v>
      </c>
      <c r="I262">
        <v>0</v>
      </c>
      <c r="J262">
        <v>2428.6215723063301</v>
      </c>
      <c r="K262">
        <v>2511.50464962145</v>
      </c>
      <c r="L262">
        <v>75.905000000000001</v>
      </c>
      <c r="M262">
        <v>51.75</v>
      </c>
      <c r="N262">
        <v>164.291</v>
      </c>
    </row>
    <row r="263" spans="1:14" x14ac:dyDescent="0.45">
      <c r="A263">
        <v>1982</v>
      </c>
      <c r="B263" t="s">
        <v>97</v>
      </c>
      <c r="C263">
        <v>0</v>
      </c>
      <c r="D263">
        <v>0</v>
      </c>
      <c r="E263">
        <v>1</v>
      </c>
      <c r="F263">
        <v>1</v>
      </c>
      <c r="G263">
        <v>0</v>
      </c>
      <c r="H263">
        <v>0</v>
      </c>
      <c r="I263">
        <v>0</v>
      </c>
      <c r="J263">
        <v>1348.60948185297</v>
      </c>
      <c r="K263">
        <v>1299.6739817713701</v>
      </c>
      <c r="L263">
        <v>73.465000000000003</v>
      </c>
      <c r="M263">
        <v>61.518999999999998</v>
      </c>
      <c r="N263">
        <v>78.347999999999999</v>
      </c>
    </row>
    <row r="264" spans="1:14" x14ac:dyDescent="0.45">
      <c r="A264">
        <v>1982</v>
      </c>
      <c r="B264" t="s">
        <v>98</v>
      </c>
      <c r="C264">
        <v>0</v>
      </c>
      <c r="D264">
        <v>1</v>
      </c>
      <c r="E264">
        <v>0</v>
      </c>
      <c r="F264">
        <v>1</v>
      </c>
      <c r="G264">
        <v>0</v>
      </c>
      <c r="H264">
        <v>0</v>
      </c>
      <c r="I264">
        <v>0</v>
      </c>
      <c r="J264">
        <v>10753.515199526801</v>
      </c>
      <c r="K264">
        <v>9628.20760117393</v>
      </c>
      <c r="L264">
        <v>56.197000000000003</v>
      </c>
      <c r="M264">
        <v>73.864999999999995</v>
      </c>
      <c r="N264">
        <v>23.422000000000001</v>
      </c>
    </row>
    <row r="265" spans="1:14" x14ac:dyDescent="0.45">
      <c r="A265">
        <v>1982</v>
      </c>
      <c r="B265" t="s">
        <v>99</v>
      </c>
      <c r="C265">
        <v>0</v>
      </c>
      <c r="D265">
        <v>1</v>
      </c>
      <c r="E265">
        <v>0</v>
      </c>
      <c r="F265">
        <v>1</v>
      </c>
      <c r="G265">
        <v>0</v>
      </c>
      <c r="H265">
        <v>0</v>
      </c>
      <c r="I265">
        <v>0</v>
      </c>
      <c r="L265">
        <v>30.585999999999999</v>
      </c>
      <c r="M265">
        <v>73.438999999999993</v>
      </c>
      <c r="N265">
        <v>20.832000000000001</v>
      </c>
    </row>
    <row r="266" spans="1:14" x14ac:dyDescent="0.45">
      <c r="A266">
        <v>1982</v>
      </c>
      <c r="B266" t="s">
        <v>100</v>
      </c>
      <c r="C266">
        <v>0</v>
      </c>
      <c r="D266">
        <v>1</v>
      </c>
      <c r="E266">
        <v>0</v>
      </c>
      <c r="F266">
        <v>0</v>
      </c>
      <c r="G266">
        <v>0</v>
      </c>
      <c r="H266">
        <v>1</v>
      </c>
      <c r="I266">
        <v>1</v>
      </c>
      <c r="L266">
        <v>17.617000000000001</v>
      </c>
      <c r="M266">
        <v>71.376999999999995</v>
      </c>
      <c r="N266">
        <v>22.094999999999999</v>
      </c>
    </row>
    <row r="267" spans="1:14" x14ac:dyDescent="0.45">
      <c r="A267">
        <v>1982</v>
      </c>
      <c r="B267" t="s">
        <v>101</v>
      </c>
      <c r="C267">
        <v>0</v>
      </c>
      <c r="D267">
        <v>1</v>
      </c>
      <c r="E267">
        <v>0</v>
      </c>
      <c r="F267">
        <v>0</v>
      </c>
      <c r="G267">
        <v>0</v>
      </c>
      <c r="H267">
        <v>1</v>
      </c>
      <c r="I267">
        <v>1</v>
      </c>
      <c r="L267">
        <v>0</v>
      </c>
      <c r="M267">
        <v>70.406999999999996</v>
      </c>
      <c r="N267">
        <v>17.126999999999999</v>
      </c>
    </row>
    <row r="268" spans="1:14" x14ac:dyDescent="0.45">
      <c r="A268">
        <v>1982</v>
      </c>
      <c r="B268" t="s">
        <v>102</v>
      </c>
      <c r="C268">
        <v>1</v>
      </c>
      <c r="D268">
        <v>0</v>
      </c>
      <c r="E268">
        <v>0</v>
      </c>
      <c r="F268">
        <v>0</v>
      </c>
      <c r="G268">
        <v>1</v>
      </c>
      <c r="H268">
        <v>0</v>
      </c>
      <c r="I268">
        <v>0</v>
      </c>
      <c r="J268">
        <v>18834.239985395299</v>
      </c>
      <c r="K268">
        <v>16778.334884732802</v>
      </c>
      <c r="L268">
        <v>37.036000000000001</v>
      </c>
      <c r="M268">
        <v>73.518000000000001</v>
      </c>
      <c r="N268">
        <v>17.898</v>
      </c>
    </row>
    <row r="269" spans="1:14" x14ac:dyDescent="0.45">
      <c r="A269">
        <v>1982</v>
      </c>
      <c r="B269" t="s">
        <v>103</v>
      </c>
      <c r="C269">
        <v>1</v>
      </c>
      <c r="D269">
        <v>0</v>
      </c>
      <c r="E269">
        <v>0</v>
      </c>
      <c r="F269">
        <v>0</v>
      </c>
      <c r="G269">
        <v>1</v>
      </c>
      <c r="H269">
        <v>0</v>
      </c>
      <c r="I269">
        <v>0</v>
      </c>
      <c r="L269">
        <v>24.547999999999998</v>
      </c>
      <c r="M269">
        <v>70.876999999999995</v>
      </c>
      <c r="N269">
        <v>16.826000000000001</v>
      </c>
    </row>
    <row r="270" spans="1:14" x14ac:dyDescent="0.45">
      <c r="A270">
        <v>1982</v>
      </c>
      <c r="B270" t="s">
        <v>104</v>
      </c>
      <c r="C270">
        <v>1</v>
      </c>
      <c r="D270">
        <v>0</v>
      </c>
      <c r="E270">
        <v>0</v>
      </c>
      <c r="F270">
        <v>0</v>
      </c>
      <c r="G270">
        <v>0</v>
      </c>
      <c r="H270">
        <v>1</v>
      </c>
      <c r="I270">
        <v>1</v>
      </c>
      <c r="J270">
        <v>35884.055816592903</v>
      </c>
      <c r="K270">
        <v>31113.347138410001</v>
      </c>
      <c r="L270">
        <v>26.893000000000001</v>
      </c>
      <c r="M270">
        <v>73.628</v>
      </c>
      <c r="N270">
        <v>13.314</v>
      </c>
    </row>
    <row r="271" spans="1:14" x14ac:dyDescent="0.45">
      <c r="A271">
        <v>1982</v>
      </c>
      <c r="B271" t="s">
        <v>105</v>
      </c>
      <c r="C271">
        <v>0</v>
      </c>
      <c r="D271">
        <v>0</v>
      </c>
      <c r="E271">
        <v>0</v>
      </c>
      <c r="F271">
        <v>1</v>
      </c>
      <c r="G271">
        <v>0</v>
      </c>
      <c r="H271">
        <v>0</v>
      </c>
      <c r="I271">
        <v>0</v>
      </c>
      <c r="L271">
        <v>26.058</v>
      </c>
      <c r="M271">
        <v>52.893000000000001</v>
      </c>
      <c r="N271">
        <v>144.69800000000001</v>
      </c>
    </row>
    <row r="272" spans="1:14" x14ac:dyDescent="0.45">
      <c r="A272">
        <v>1982</v>
      </c>
      <c r="B272" t="s">
        <v>106</v>
      </c>
      <c r="C272">
        <v>0</v>
      </c>
      <c r="D272">
        <v>1</v>
      </c>
      <c r="E272">
        <v>0</v>
      </c>
      <c r="F272">
        <v>1</v>
      </c>
      <c r="G272">
        <v>0</v>
      </c>
      <c r="H272">
        <v>0</v>
      </c>
      <c r="I272">
        <v>0</v>
      </c>
      <c r="J272">
        <v>7636.8616052769903</v>
      </c>
      <c r="K272">
        <v>5943.2220563795599</v>
      </c>
      <c r="L272">
        <v>50.475999999999999</v>
      </c>
      <c r="M272">
        <v>71.748999999999995</v>
      </c>
      <c r="N272">
        <v>22.619</v>
      </c>
    </row>
    <row r="273" spans="1:14" x14ac:dyDescent="0.45">
      <c r="A273">
        <v>1982</v>
      </c>
      <c r="B273" t="s">
        <v>107</v>
      </c>
      <c r="C273">
        <v>1</v>
      </c>
      <c r="D273">
        <v>0</v>
      </c>
      <c r="E273">
        <v>0</v>
      </c>
      <c r="F273">
        <v>0</v>
      </c>
      <c r="G273">
        <v>0</v>
      </c>
      <c r="H273">
        <v>1</v>
      </c>
      <c r="I273">
        <v>1</v>
      </c>
      <c r="J273">
        <v>37294.769626737601</v>
      </c>
      <c r="K273">
        <v>31519.5659685313</v>
      </c>
      <c r="L273">
        <v>15.975</v>
      </c>
      <c r="M273">
        <v>74.596999999999994</v>
      </c>
      <c r="N273">
        <v>9.7479999999999993</v>
      </c>
    </row>
    <row r="274" spans="1:14" x14ac:dyDescent="0.45">
      <c r="A274">
        <v>1982</v>
      </c>
      <c r="B274" t="s">
        <v>108</v>
      </c>
      <c r="C274">
        <v>0</v>
      </c>
      <c r="D274">
        <v>1</v>
      </c>
      <c r="E274">
        <v>0</v>
      </c>
      <c r="F274">
        <v>1</v>
      </c>
      <c r="G274">
        <v>0</v>
      </c>
      <c r="H274">
        <v>0</v>
      </c>
      <c r="I274">
        <v>0</v>
      </c>
      <c r="J274">
        <v>6899.8160821197598</v>
      </c>
      <c r="K274">
        <v>5960.2336056084896</v>
      </c>
      <c r="L274">
        <v>46.95</v>
      </c>
      <c r="M274">
        <v>64.197999999999993</v>
      </c>
      <c r="N274">
        <v>88.111000000000004</v>
      </c>
    </row>
    <row r="275" spans="1:14" x14ac:dyDescent="0.45">
      <c r="A275">
        <v>1982</v>
      </c>
      <c r="B275" t="s">
        <v>109</v>
      </c>
      <c r="C275">
        <v>0</v>
      </c>
      <c r="D275">
        <v>0</v>
      </c>
      <c r="E275">
        <v>0</v>
      </c>
      <c r="F275">
        <v>0</v>
      </c>
      <c r="G275">
        <v>1</v>
      </c>
      <c r="H275">
        <v>0</v>
      </c>
      <c r="I275">
        <v>0</v>
      </c>
      <c r="J275">
        <v>11936.725733457701</v>
      </c>
      <c r="K275">
        <v>10440.267640902701</v>
      </c>
      <c r="L275">
        <v>54.697000000000003</v>
      </c>
      <c r="M275">
        <v>59.594000000000001</v>
      </c>
      <c r="N275">
        <v>116.79</v>
      </c>
    </row>
    <row r="276" spans="1:14" x14ac:dyDescent="0.45">
      <c r="A276">
        <v>1982</v>
      </c>
      <c r="B276" t="s">
        <v>110</v>
      </c>
      <c r="C276">
        <v>0</v>
      </c>
      <c r="D276">
        <v>1</v>
      </c>
      <c r="E276">
        <v>0</v>
      </c>
      <c r="F276">
        <v>1</v>
      </c>
      <c r="G276">
        <v>0</v>
      </c>
      <c r="H276">
        <v>0</v>
      </c>
      <c r="I276">
        <v>0</v>
      </c>
      <c r="J276">
        <v>9418.1571001219108</v>
      </c>
      <c r="K276">
        <v>7833.5312238606102</v>
      </c>
      <c r="L276">
        <v>51.182000000000002</v>
      </c>
      <c r="M276">
        <v>64.271000000000001</v>
      </c>
      <c r="N276">
        <v>81.891000000000005</v>
      </c>
    </row>
    <row r="277" spans="1:14" x14ac:dyDescent="0.45">
      <c r="A277">
        <v>1982</v>
      </c>
      <c r="B277" t="s">
        <v>111</v>
      </c>
      <c r="C277">
        <v>0</v>
      </c>
      <c r="D277">
        <v>0</v>
      </c>
      <c r="E277">
        <v>0</v>
      </c>
      <c r="F277">
        <v>1</v>
      </c>
      <c r="G277">
        <v>0</v>
      </c>
      <c r="H277">
        <v>0</v>
      </c>
      <c r="I277">
        <v>0</v>
      </c>
      <c r="J277">
        <v>6174.5855936108301</v>
      </c>
      <c r="K277">
        <v>4900.0470938021099</v>
      </c>
      <c r="L277">
        <v>56.11</v>
      </c>
      <c r="M277">
        <v>57.219000000000001</v>
      </c>
      <c r="N277">
        <v>147.542</v>
      </c>
    </row>
    <row r="278" spans="1:14" x14ac:dyDescent="0.45">
      <c r="A278">
        <v>1982</v>
      </c>
      <c r="B278" t="s">
        <v>112</v>
      </c>
      <c r="C278">
        <v>0</v>
      </c>
      <c r="D278">
        <v>0</v>
      </c>
      <c r="E278">
        <v>1</v>
      </c>
      <c r="F278">
        <v>0</v>
      </c>
      <c r="G278">
        <v>0</v>
      </c>
      <c r="H278">
        <v>0</v>
      </c>
      <c r="I278">
        <v>0</v>
      </c>
      <c r="L278">
        <v>85.245000000000005</v>
      </c>
      <c r="M278">
        <v>44.890999999999998</v>
      </c>
      <c r="N278">
        <v>188.00399999999999</v>
      </c>
    </row>
    <row r="279" spans="1:14" x14ac:dyDescent="0.45">
      <c r="A279">
        <v>1982</v>
      </c>
      <c r="B279" t="s">
        <v>113</v>
      </c>
      <c r="C279">
        <v>1</v>
      </c>
      <c r="D279">
        <v>0</v>
      </c>
      <c r="E279">
        <v>0</v>
      </c>
      <c r="F279">
        <v>0</v>
      </c>
      <c r="G279">
        <v>0</v>
      </c>
      <c r="H279">
        <v>1</v>
      </c>
      <c r="I279">
        <v>1</v>
      </c>
      <c r="J279">
        <v>25231.1183292223</v>
      </c>
      <c r="K279">
        <v>22204.055179318701</v>
      </c>
      <c r="L279">
        <v>26.484999999999999</v>
      </c>
      <c r="M279">
        <v>76.319000000000003</v>
      </c>
      <c r="N279">
        <v>13.097</v>
      </c>
    </row>
    <row r="280" spans="1:14" x14ac:dyDescent="0.45">
      <c r="A280">
        <v>1982</v>
      </c>
      <c r="B280" t="s">
        <v>114</v>
      </c>
      <c r="C280">
        <v>1</v>
      </c>
      <c r="D280">
        <v>0</v>
      </c>
      <c r="E280">
        <v>0</v>
      </c>
      <c r="F280">
        <v>0</v>
      </c>
      <c r="G280">
        <v>1</v>
      </c>
      <c r="H280">
        <v>0</v>
      </c>
      <c r="I280">
        <v>0</v>
      </c>
      <c r="L280">
        <v>29.864000000000001</v>
      </c>
      <c r="M280">
        <v>69.863</v>
      </c>
      <c r="N280">
        <v>20.93</v>
      </c>
    </row>
    <row r="281" spans="1:14" x14ac:dyDescent="0.45">
      <c r="A281">
        <v>1982</v>
      </c>
      <c r="B281" t="s">
        <v>115</v>
      </c>
      <c r="C281">
        <v>0</v>
      </c>
      <c r="D281">
        <v>0</v>
      </c>
      <c r="E281">
        <v>1</v>
      </c>
      <c r="F281">
        <v>0</v>
      </c>
      <c r="G281">
        <v>0</v>
      </c>
      <c r="H281">
        <v>0</v>
      </c>
      <c r="I281">
        <v>0</v>
      </c>
      <c r="J281">
        <v>955.18079113597105</v>
      </c>
      <c r="K281">
        <v>861.46838854569705</v>
      </c>
      <c r="L281">
        <v>89.186999999999998</v>
      </c>
      <c r="M281">
        <v>43.433999999999997</v>
      </c>
      <c r="N281">
        <v>235.64599999999999</v>
      </c>
    </row>
    <row r="282" spans="1:14" x14ac:dyDescent="0.45">
      <c r="A282">
        <v>1982</v>
      </c>
      <c r="B282" t="s">
        <v>116</v>
      </c>
      <c r="C282">
        <v>1</v>
      </c>
      <c r="D282">
        <v>0</v>
      </c>
      <c r="E282">
        <v>0</v>
      </c>
      <c r="F282">
        <v>0</v>
      </c>
      <c r="G282">
        <v>0</v>
      </c>
      <c r="H282">
        <v>1</v>
      </c>
      <c r="I282">
        <v>1</v>
      </c>
      <c r="J282">
        <v>30037.9625755987</v>
      </c>
      <c r="K282">
        <v>25252.398840543901</v>
      </c>
      <c r="L282">
        <v>26.626999999999999</v>
      </c>
      <c r="M282">
        <v>74.53</v>
      </c>
      <c r="N282">
        <v>7.2969999999999997</v>
      </c>
    </row>
    <row r="283" spans="1:14" x14ac:dyDescent="0.45">
      <c r="A283">
        <v>1982</v>
      </c>
      <c r="B283" t="s">
        <v>117</v>
      </c>
      <c r="C283">
        <v>0</v>
      </c>
      <c r="D283">
        <v>0</v>
      </c>
      <c r="E283">
        <v>0</v>
      </c>
      <c r="F283">
        <v>1</v>
      </c>
      <c r="G283">
        <v>0</v>
      </c>
      <c r="H283">
        <v>0</v>
      </c>
      <c r="I283">
        <v>0</v>
      </c>
      <c r="J283">
        <v>9328.8135029451896</v>
      </c>
      <c r="K283">
        <v>9135.7322309443607</v>
      </c>
      <c r="L283">
        <v>61.93</v>
      </c>
      <c r="M283">
        <v>62.195</v>
      </c>
      <c r="N283">
        <v>40.536000000000001</v>
      </c>
    </row>
    <row r="284" spans="1:14" x14ac:dyDescent="0.45">
      <c r="A284">
        <v>1982</v>
      </c>
      <c r="B284" t="s">
        <v>118</v>
      </c>
      <c r="C284">
        <v>1</v>
      </c>
      <c r="D284">
        <v>0</v>
      </c>
      <c r="E284">
        <v>0</v>
      </c>
      <c r="F284">
        <v>0</v>
      </c>
      <c r="G284">
        <v>0</v>
      </c>
      <c r="H284">
        <v>1</v>
      </c>
      <c r="I284">
        <v>1</v>
      </c>
      <c r="J284">
        <v>32709.213755370001</v>
      </c>
      <c r="K284">
        <v>27308.882914330799</v>
      </c>
      <c r="L284">
        <v>26.574999999999999</v>
      </c>
      <c r="M284">
        <v>74.766000000000005</v>
      </c>
      <c r="N284">
        <v>11.573</v>
      </c>
    </row>
    <row r="285" spans="1:14" x14ac:dyDescent="0.45">
      <c r="A285">
        <v>1982</v>
      </c>
      <c r="B285" t="s">
        <v>119</v>
      </c>
      <c r="C285">
        <v>1</v>
      </c>
      <c r="D285">
        <v>0</v>
      </c>
      <c r="E285">
        <v>0</v>
      </c>
      <c r="F285">
        <v>0</v>
      </c>
      <c r="G285">
        <v>0</v>
      </c>
      <c r="H285">
        <v>1</v>
      </c>
      <c r="I285">
        <v>1</v>
      </c>
      <c r="L285">
        <v>68.983000000000004</v>
      </c>
      <c r="M285">
        <v>75.884</v>
      </c>
      <c r="N285">
        <v>13.345000000000001</v>
      </c>
    </row>
    <row r="286" spans="1:14" x14ac:dyDescent="0.45">
      <c r="A286">
        <v>1982</v>
      </c>
      <c r="B286" t="s">
        <v>120</v>
      </c>
      <c r="C286">
        <v>0</v>
      </c>
      <c r="D286">
        <v>0</v>
      </c>
      <c r="E286">
        <v>0</v>
      </c>
      <c r="F286">
        <v>1</v>
      </c>
      <c r="G286">
        <v>0</v>
      </c>
      <c r="H286">
        <v>0</v>
      </c>
      <c r="I286">
        <v>0</v>
      </c>
      <c r="J286">
        <v>2971.80894400749</v>
      </c>
      <c r="K286">
        <v>2689.8971761129501</v>
      </c>
      <c r="L286">
        <v>73.650000000000006</v>
      </c>
      <c r="M286">
        <v>62.747</v>
      </c>
      <c r="N286">
        <v>58.222000000000001</v>
      </c>
    </row>
    <row r="287" spans="1:14" x14ac:dyDescent="0.45">
      <c r="A287">
        <v>1982</v>
      </c>
      <c r="B287" t="s">
        <v>121</v>
      </c>
      <c r="C287">
        <v>0</v>
      </c>
      <c r="D287">
        <v>0</v>
      </c>
      <c r="E287">
        <v>1</v>
      </c>
      <c r="F287">
        <v>0</v>
      </c>
      <c r="G287">
        <v>1</v>
      </c>
      <c r="H287">
        <v>0</v>
      </c>
      <c r="I287">
        <v>0</v>
      </c>
      <c r="J287">
        <v>27503.5249804335</v>
      </c>
      <c r="K287">
        <v>20810.2648858713</v>
      </c>
      <c r="L287">
        <v>41.628</v>
      </c>
      <c r="M287">
        <v>58.643999999999998</v>
      </c>
      <c r="N287">
        <v>112.148</v>
      </c>
    </row>
    <row r="288" spans="1:14" x14ac:dyDescent="0.45">
      <c r="A288">
        <v>1982</v>
      </c>
      <c r="B288" t="s">
        <v>122</v>
      </c>
      <c r="C288">
        <v>1</v>
      </c>
      <c r="D288">
        <v>0</v>
      </c>
      <c r="E288">
        <v>0</v>
      </c>
      <c r="F288">
        <v>0</v>
      </c>
      <c r="G288">
        <v>0</v>
      </c>
      <c r="H288">
        <v>1</v>
      </c>
      <c r="I288">
        <v>1</v>
      </c>
      <c r="J288">
        <v>26224.222003158</v>
      </c>
      <c r="K288">
        <v>22592.958096031802</v>
      </c>
      <c r="L288">
        <v>21.460999999999999</v>
      </c>
      <c r="M288">
        <v>74.039000000000001</v>
      </c>
      <c r="N288">
        <v>12.755000000000001</v>
      </c>
    </row>
    <row r="289" spans="1:14" x14ac:dyDescent="0.45">
      <c r="A289">
        <v>1982</v>
      </c>
      <c r="B289" t="s">
        <v>123</v>
      </c>
      <c r="C289">
        <v>1</v>
      </c>
      <c r="D289">
        <v>0</v>
      </c>
      <c r="E289">
        <v>0</v>
      </c>
      <c r="F289">
        <v>1</v>
      </c>
      <c r="G289">
        <v>0</v>
      </c>
      <c r="H289">
        <v>0</v>
      </c>
      <c r="I289">
        <v>0</v>
      </c>
      <c r="J289">
        <v>12844.2566541655</v>
      </c>
      <c r="K289">
        <v>10851.928514555901</v>
      </c>
      <c r="L289">
        <v>46.823999999999998</v>
      </c>
      <c r="M289">
        <v>69.108999999999995</v>
      </c>
      <c r="N289">
        <v>55.078000000000003</v>
      </c>
    </row>
    <row r="290" spans="1:14" x14ac:dyDescent="0.45">
      <c r="A290">
        <v>1982</v>
      </c>
      <c r="B290" t="s">
        <v>124</v>
      </c>
      <c r="C290">
        <v>0</v>
      </c>
      <c r="D290">
        <v>0</v>
      </c>
      <c r="E290">
        <v>1</v>
      </c>
      <c r="F290">
        <v>0</v>
      </c>
      <c r="G290">
        <v>0</v>
      </c>
      <c r="H290">
        <v>0</v>
      </c>
      <c r="I290">
        <v>0</v>
      </c>
      <c r="J290">
        <v>2742.4187410514501</v>
      </c>
      <c r="K290">
        <v>2366.0018218857599</v>
      </c>
      <c r="L290">
        <v>68.385999999999996</v>
      </c>
      <c r="M290">
        <v>51.424999999999997</v>
      </c>
      <c r="N290">
        <v>164.25399999999999</v>
      </c>
    </row>
    <row r="291" spans="1:14" x14ac:dyDescent="0.45">
      <c r="A291">
        <v>1982</v>
      </c>
      <c r="B291" t="s">
        <v>125</v>
      </c>
      <c r="C291">
        <v>1</v>
      </c>
      <c r="D291">
        <v>0</v>
      </c>
      <c r="E291">
        <v>0</v>
      </c>
      <c r="F291">
        <v>0</v>
      </c>
      <c r="G291">
        <v>1</v>
      </c>
      <c r="H291">
        <v>0</v>
      </c>
      <c r="I291">
        <v>0</v>
      </c>
      <c r="L291">
        <v>0</v>
      </c>
      <c r="M291">
        <v>74.325000000000003</v>
      </c>
      <c r="N291">
        <v>26.286000000000001</v>
      </c>
    </row>
    <row r="292" spans="1:14" x14ac:dyDescent="0.45">
      <c r="A292">
        <v>1982</v>
      </c>
      <c r="B292" t="s">
        <v>126</v>
      </c>
      <c r="C292">
        <v>0</v>
      </c>
      <c r="D292">
        <v>0</v>
      </c>
      <c r="E292">
        <v>1</v>
      </c>
      <c r="F292">
        <v>0</v>
      </c>
      <c r="G292">
        <v>0</v>
      </c>
      <c r="H292">
        <v>0</v>
      </c>
      <c r="I292">
        <v>0</v>
      </c>
      <c r="J292">
        <v>1971.9660087516299</v>
      </c>
      <c r="K292">
        <v>1589.92877412959</v>
      </c>
      <c r="L292">
        <v>74.585999999999999</v>
      </c>
      <c r="M292">
        <v>43.863</v>
      </c>
      <c r="N292">
        <v>271.85899999999998</v>
      </c>
    </row>
    <row r="293" spans="1:14" x14ac:dyDescent="0.45">
      <c r="A293">
        <v>1982</v>
      </c>
      <c r="B293" t="s">
        <v>127</v>
      </c>
      <c r="C293">
        <v>0</v>
      </c>
      <c r="D293">
        <v>0</v>
      </c>
      <c r="E293">
        <v>1</v>
      </c>
      <c r="F293">
        <v>0</v>
      </c>
      <c r="G293">
        <v>0</v>
      </c>
      <c r="H293">
        <v>0</v>
      </c>
      <c r="I293">
        <v>0</v>
      </c>
      <c r="J293">
        <v>2743.79906751609</v>
      </c>
      <c r="K293">
        <v>2208.47554258319</v>
      </c>
      <c r="L293">
        <v>69.887</v>
      </c>
      <c r="M293">
        <v>46.25</v>
      </c>
      <c r="N293">
        <v>216.619</v>
      </c>
    </row>
    <row r="294" spans="1:14" x14ac:dyDescent="0.45">
      <c r="A294">
        <v>1982</v>
      </c>
      <c r="B294" t="s">
        <v>128</v>
      </c>
      <c r="C294">
        <v>0</v>
      </c>
      <c r="D294">
        <v>0</v>
      </c>
      <c r="E294">
        <v>1</v>
      </c>
      <c r="F294">
        <v>0</v>
      </c>
      <c r="G294">
        <v>0</v>
      </c>
      <c r="H294">
        <v>0</v>
      </c>
      <c r="I294">
        <v>0</v>
      </c>
      <c r="J294">
        <v>1819.0948463324</v>
      </c>
      <c r="K294">
        <v>1636.4549018023199</v>
      </c>
      <c r="L294">
        <v>79.986999999999995</v>
      </c>
      <c r="M294">
        <v>44.292999999999999</v>
      </c>
      <c r="N294">
        <v>252.51400000000001</v>
      </c>
    </row>
    <row r="295" spans="1:14" x14ac:dyDescent="0.45">
      <c r="A295">
        <v>1982</v>
      </c>
      <c r="B295" t="s">
        <v>129</v>
      </c>
      <c r="C295">
        <v>0</v>
      </c>
      <c r="D295">
        <v>0</v>
      </c>
      <c r="E295">
        <v>1</v>
      </c>
      <c r="F295">
        <v>0</v>
      </c>
      <c r="G295">
        <v>0</v>
      </c>
      <c r="H295">
        <v>0</v>
      </c>
      <c r="I295">
        <v>0</v>
      </c>
      <c r="J295">
        <v>1336.18849103256</v>
      </c>
      <c r="K295">
        <v>1107.04921257818</v>
      </c>
      <c r="L295">
        <v>71.941999999999993</v>
      </c>
      <c r="M295">
        <v>49.665999999999997</v>
      </c>
      <c r="N295">
        <v>202.386</v>
      </c>
    </row>
    <row r="296" spans="1:14" x14ac:dyDescent="0.45">
      <c r="A296">
        <v>1982</v>
      </c>
      <c r="B296" t="s">
        <v>130</v>
      </c>
      <c r="C296">
        <v>1</v>
      </c>
      <c r="D296">
        <v>0</v>
      </c>
      <c r="E296">
        <v>0</v>
      </c>
      <c r="F296">
        <v>0</v>
      </c>
      <c r="G296">
        <v>1</v>
      </c>
      <c r="H296">
        <v>0</v>
      </c>
      <c r="I296">
        <v>0</v>
      </c>
      <c r="J296">
        <v>25662.213416977102</v>
      </c>
      <c r="K296">
        <v>22972.662357143901</v>
      </c>
      <c r="L296">
        <v>30.06</v>
      </c>
      <c r="M296">
        <v>75.207999999999998</v>
      </c>
      <c r="N296">
        <v>17.350999999999999</v>
      </c>
    </row>
    <row r="297" spans="1:14" x14ac:dyDescent="0.45">
      <c r="A297">
        <v>1982</v>
      </c>
      <c r="B297" t="s">
        <v>131</v>
      </c>
      <c r="C297">
        <v>0</v>
      </c>
      <c r="D297">
        <v>1</v>
      </c>
      <c r="E297">
        <v>0</v>
      </c>
      <c r="F297">
        <v>1</v>
      </c>
      <c r="G297">
        <v>0</v>
      </c>
      <c r="H297">
        <v>0</v>
      </c>
      <c r="I297">
        <v>0</v>
      </c>
      <c r="J297">
        <v>6330.2627081621204</v>
      </c>
      <c r="K297">
        <v>5840.96550938972</v>
      </c>
      <c r="L297">
        <v>66.971999999999994</v>
      </c>
      <c r="M297">
        <v>68.596999999999994</v>
      </c>
      <c r="N297">
        <v>33.206000000000003</v>
      </c>
    </row>
    <row r="298" spans="1:14" x14ac:dyDescent="0.45">
      <c r="A298">
        <v>1982</v>
      </c>
      <c r="B298" t="s">
        <v>132</v>
      </c>
      <c r="C298">
        <v>1</v>
      </c>
      <c r="D298">
        <v>0</v>
      </c>
      <c r="E298">
        <v>0</v>
      </c>
      <c r="F298">
        <v>0</v>
      </c>
      <c r="G298">
        <v>0</v>
      </c>
      <c r="H298">
        <v>1</v>
      </c>
      <c r="I298">
        <v>1</v>
      </c>
      <c r="J298">
        <v>36034.829047128304</v>
      </c>
      <c r="K298">
        <v>32617.5802710272</v>
      </c>
      <c r="L298">
        <v>23.131</v>
      </c>
      <c r="M298">
        <v>62.506999999999998</v>
      </c>
      <c r="N298">
        <v>43.148000000000003</v>
      </c>
    </row>
    <row r="299" spans="1:14" x14ac:dyDescent="0.45">
      <c r="A299">
        <v>1982</v>
      </c>
      <c r="B299" t="s">
        <v>133</v>
      </c>
      <c r="C299">
        <v>0</v>
      </c>
      <c r="D299">
        <v>1</v>
      </c>
      <c r="E299">
        <v>0</v>
      </c>
      <c r="F299">
        <v>1</v>
      </c>
      <c r="G299">
        <v>0</v>
      </c>
      <c r="H299">
        <v>0</v>
      </c>
      <c r="I299">
        <v>0</v>
      </c>
      <c r="J299">
        <v>8960.3430433089998</v>
      </c>
      <c r="K299">
        <v>7783.6319045385699</v>
      </c>
      <c r="L299">
        <v>60.63</v>
      </c>
      <c r="M299">
        <v>48.863</v>
      </c>
      <c r="N299">
        <v>135.61600000000001</v>
      </c>
    </row>
    <row r="300" spans="1:14" x14ac:dyDescent="0.45">
      <c r="A300">
        <v>1982</v>
      </c>
      <c r="B300" t="s">
        <v>134</v>
      </c>
      <c r="C300">
        <v>0</v>
      </c>
      <c r="D300">
        <v>0</v>
      </c>
      <c r="E300">
        <v>0</v>
      </c>
      <c r="F300">
        <v>0</v>
      </c>
      <c r="G300">
        <v>0</v>
      </c>
      <c r="H300">
        <v>1</v>
      </c>
      <c r="I300">
        <v>1</v>
      </c>
      <c r="L300">
        <v>6.7810000000000104</v>
      </c>
      <c r="M300">
        <v>71.680999999999997</v>
      </c>
      <c r="N300">
        <v>15.666</v>
      </c>
    </row>
    <row r="301" spans="1:14" x14ac:dyDescent="0.45">
      <c r="A301">
        <v>1982</v>
      </c>
      <c r="B301" t="s">
        <v>135</v>
      </c>
      <c r="C301">
        <v>0</v>
      </c>
      <c r="D301">
        <v>1</v>
      </c>
      <c r="E301">
        <v>0</v>
      </c>
      <c r="F301">
        <v>0</v>
      </c>
      <c r="G301">
        <v>0</v>
      </c>
      <c r="H301">
        <v>0</v>
      </c>
      <c r="I301">
        <v>0</v>
      </c>
      <c r="J301">
        <v>6849.1641596007703</v>
      </c>
      <c r="K301">
        <v>6550.3977170942198</v>
      </c>
      <c r="L301">
        <v>69.694999999999993</v>
      </c>
      <c r="M301">
        <v>61.01</v>
      </c>
      <c r="N301">
        <v>69.012</v>
      </c>
    </row>
    <row r="302" spans="1:14" x14ac:dyDescent="0.45">
      <c r="A302">
        <v>1982</v>
      </c>
      <c r="B302" t="s">
        <v>136</v>
      </c>
      <c r="C302">
        <v>0</v>
      </c>
      <c r="D302">
        <v>0</v>
      </c>
      <c r="E302">
        <v>0</v>
      </c>
      <c r="F302">
        <v>0</v>
      </c>
      <c r="G302">
        <v>0</v>
      </c>
      <c r="H302">
        <v>1</v>
      </c>
      <c r="I302">
        <v>1</v>
      </c>
      <c r="J302">
        <v>20515.435315286399</v>
      </c>
      <c r="K302">
        <v>18515.251106965301</v>
      </c>
      <c r="L302">
        <v>7.91</v>
      </c>
      <c r="M302">
        <v>74.927999999999997</v>
      </c>
      <c r="N302">
        <v>12.638</v>
      </c>
    </row>
    <row r="303" spans="1:14" x14ac:dyDescent="0.45">
      <c r="A303">
        <v>1982</v>
      </c>
      <c r="B303" t="s">
        <v>137</v>
      </c>
      <c r="C303">
        <v>0</v>
      </c>
      <c r="D303">
        <v>1</v>
      </c>
      <c r="E303">
        <v>0</v>
      </c>
      <c r="F303">
        <v>1</v>
      </c>
      <c r="G303">
        <v>0</v>
      </c>
      <c r="H303">
        <v>0</v>
      </c>
      <c r="I303">
        <v>0</v>
      </c>
      <c r="J303">
        <v>4227.7614835090799</v>
      </c>
      <c r="K303">
        <v>3895.7893332539702</v>
      </c>
      <c r="L303">
        <v>63.996000000000002</v>
      </c>
      <c r="M303">
        <v>61.688000000000002</v>
      </c>
      <c r="N303">
        <v>86.314999999999998</v>
      </c>
    </row>
    <row r="304" spans="1:14" x14ac:dyDescent="0.45">
      <c r="A304">
        <v>1982</v>
      </c>
      <c r="B304" t="s">
        <v>138</v>
      </c>
      <c r="C304">
        <v>1</v>
      </c>
      <c r="D304">
        <v>0</v>
      </c>
      <c r="E304">
        <v>0</v>
      </c>
      <c r="F304">
        <v>0</v>
      </c>
      <c r="G304">
        <v>1</v>
      </c>
      <c r="H304">
        <v>0</v>
      </c>
      <c r="I304">
        <v>0</v>
      </c>
      <c r="L304">
        <v>51.762999999999998</v>
      </c>
      <c r="M304">
        <v>70.662000000000006</v>
      </c>
      <c r="N304">
        <v>20.872</v>
      </c>
    </row>
    <row r="305" spans="1:14" x14ac:dyDescent="0.45">
      <c r="A305">
        <v>1982</v>
      </c>
      <c r="B305" t="s">
        <v>139</v>
      </c>
      <c r="C305">
        <v>0</v>
      </c>
      <c r="D305">
        <v>1</v>
      </c>
      <c r="E305">
        <v>0</v>
      </c>
      <c r="F305">
        <v>0</v>
      </c>
      <c r="G305">
        <v>0</v>
      </c>
      <c r="H305">
        <v>0</v>
      </c>
      <c r="I305">
        <v>0</v>
      </c>
      <c r="J305">
        <v>4853.4140658711203</v>
      </c>
      <c r="K305">
        <v>4664.8868845066199</v>
      </c>
      <c r="L305">
        <v>79.405000000000001</v>
      </c>
      <c r="M305">
        <v>50.625999999999998</v>
      </c>
      <c r="N305">
        <v>180.465</v>
      </c>
    </row>
    <row r="306" spans="1:14" x14ac:dyDescent="0.45">
      <c r="A306">
        <v>1982</v>
      </c>
      <c r="B306" t="s">
        <v>140</v>
      </c>
      <c r="C306">
        <v>1</v>
      </c>
      <c r="D306">
        <v>0</v>
      </c>
      <c r="E306">
        <v>0</v>
      </c>
      <c r="F306">
        <v>0</v>
      </c>
      <c r="G306">
        <v>1</v>
      </c>
      <c r="H306">
        <v>0</v>
      </c>
      <c r="I306">
        <v>0</v>
      </c>
      <c r="J306">
        <v>18472.813902829301</v>
      </c>
      <c r="K306">
        <v>16097.5329378566</v>
      </c>
      <c r="L306">
        <v>35.447000000000003</v>
      </c>
      <c r="M306">
        <v>69.352999999999994</v>
      </c>
      <c r="N306">
        <v>21.748000000000001</v>
      </c>
    </row>
    <row r="307" spans="1:14" x14ac:dyDescent="0.45">
      <c r="A307">
        <v>1982</v>
      </c>
      <c r="B307" t="s">
        <v>141</v>
      </c>
      <c r="C307">
        <v>0</v>
      </c>
      <c r="D307">
        <v>0</v>
      </c>
      <c r="E307">
        <v>0</v>
      </c>
      <c r="F307">
        <v>0</v>
      </c>
      <c r="G307">
        <v>0</v>
      </c>
      <c r="H307">
        <v>0</v>
      </c>
      <c r="I307">
        <v>0</v>
      </c>
      <c r="J307">
        <v>3901.9564026845701</v>
      </c>
      <c r="K307">
        <v>3542.3614133924598</v>
      </c>
      <c r="L307">
        <v>76.394000000000005</v>
      </c>
      <c r="M307">
        <v>59.7</v>
      </c>
      <c r="N307">
        <v>113.41800000000001</v>
      </c>
    </row>
    <row r="308" spans="1:14" x14ac:dyDescent="0.45">
      <c r="A308">
        <v>1982</v>
      </c>
      <c r="B308" t="s">
        <v>142</v>
      </c>
      <c r="C308">
        <v>1</v>
      </c>
      <c r="D308">
        <v>0</v>
      </c>
      <c r="E308">
        <v>0</v>
      </c>
      <c r="F308">
        <v>0</v>
      </c>
      <c r="G308">
        <v>0</v>
      </c>
      <c r="H308">
        <v>1</v>
      </c>
      <c r="I308">
        <v>1</v>
      </c>
      <c r="L308">
        <v>48.223999999999997</v>
      </c>
      <c r="M308">
        <v>69.141999999999996</v>
      </c>
      <c r="N308">
        <v>48.878</v>
      </c>
    </row>
    <row r="309" spans="1:14" x14ac:dyDescent="0.45">
      <c r="A309">
        <v>1982</v>
      </c>
      <c r="B309" t="s">
        <v>143</v>
      </c>
      <c r="C309">
        <v>0</v>
      </c>
      <c r="D309">
        <v>0</v>
      </c>
      <c r="E309">
        <v>0</v>
      </c>
      <c r="F309">
        <v>0</v>
      </c>
      <c r="G309">
        <v>0</v>
      </c>
      <c r="H309">
        <v>0</v>
      </c>
      <c r="I309">
        <v>0</v>
      </c>
      <c r="J309">
        <v>1700.1403070987501</v>
      </c>
      <c r="K309">
        <v>1425.8827634509901</v>
      </c>
      <c r="L309">
        <v>76.352999999999994</v>
      </c>
      <c r="M309">
        <v>54.734999999999999</v>
      </c>
      <c r="N309">
        <v>159.52099999999999</v>
      </c>
    </row>
    <row r="310" spans="1:14" x14ac:dyDescent="0.45">
      <c r="A310">
        <v>1982</v>
      </c>
      <c r="B310" t="s">
        <v>144</v>
      </c>
      <c r="C310">
        <v>1</v>
      </c>
      <c r="D310">
        <v>0</v>
      </c>
      <c r="E310">
        <v>0</v>
      </c>
      <c r="F310">
        <v>0</v>
      </c>
      <c r="G310">
        <v>0</v>
      </c>
      <c r="H310">
        <v>1</v>
      </c>
      <c r="I310">
        <v>1</v>
      </c>
      <c r="J310">
        <v>25071.523191209799</v>
      </c>
      <c r="K310">
        <v>23051.957533748799</v>
      </c>
      <c r="L310">
        <v>44.206000000000003</v>
      </c>
      <c r="M310">
        <v>73.155000000000001</v>
      </c>
      <c r="N310">
        <v>12.823</v>
      </c>
    </row>
    <row r="311" spans="1:14" x14ac:dyDescent="0.45">
      <c r="A311">
        <v>1982</v>
      </c>
      <c r="B311" t="s">
        <v>145</v>
      </c>
      <c r="C311">
        <v>0</v>
      </c>
      <c r="D311">
        <v>0</v>
      </c>
      <c r="E311">
        <v>0</v>
      </c>
      <c r="F311">
        <v>0</v>
      </c>
      <c r="G311">
        <v>1</v>
      </c>
      <c r="H311">
        <v>0</v>
      </c>
      <c r="I311">
        <v>0</v>
      </c>
      <c r="J311">
        <v>11227.8766919472</v>
      </c>
      <c r="K311">
        <v>11199.747177101</v>
      </c>
      <c r="L311">
        <v>48.825000000000003</v>
      </c>
      <c r="M311">
        <v>57.633000000000003</v>
      </c>
      <c r="N311">
        <v>93.709000000000003</v>
      </c>
    </row>
    <row r="312" spans="1:14" x14ac:dyDescent="0.45">
      <c r="A312">
        <v>1982</v>
      </c>
      <c r="B312" t="s">
        <v>146</v>
      </c>
      <c r="C312">
        <v>0</v>
      </c>
      <c r="D312">
        <v>0</v>
      </c>
      <c r="E312">
        <v>0</v>
      </c>
      <c r="F312">
        <v>0</v>
      </c>
      <c r="G312">
        <v>1</v>
      </c>
      <c r="H312">
        <v>0</v>
      </c>
      <c r="I312">
        <v>0</v>
      </c>
      <c r="J312">
        <v>8623.8460157843892</v>
      </c>
      <c r="K312">
        <v>6096.0998780289901</v>
      </c>
      <c r="L312">
        <v>33.161000000000001</v>
      </c>
      <c r="M312">
        <v>58.976999999999997</v>
      </c>
      <c r="N312">
        <v>67.316000000000003</v>
      </c>
    </row>
    <row r="313" spans="1:14" x14ac:dyDescent="0.45">
      <c r="A313">
        <v>1982</v>
      </c>
      <c r="B313" t="s">
        <v>147</v>
      </c>
      <c r="C313">
        <v>1</v>
      </c>
      <c r="D313">
        <v>0</v>
      </c>
      <c r="E313">
        <v>0</v>
      </c>
      <c r="F313">
        <v>0</v>
      </c>
      <c r="G313">
        <v>0</v>
      </c>
      <c r="H313">
        <v>1</v>
      </c>
      <c r="I313">
        <v>1</v>
      </c>
      <c r="J313">
        <v>35385.676046088804</v>
      </c>
      <c r="K313">
        <v>30618.832199000899</v>
      </c>
      <c r="L313">
        <v>11.2</v>
      </c>
      <c r="M313">
        <v>76.799000000000007</v>
      </c>
      <c r="N313">
        <v>8.4380000000000006</v>
      </c>
    </row>
    <row r="314" spans="1:14" x14ac:dyDescent="0.45">
      <c r="A314">
        <v>1982</v>
      </c>
      <c r="B314" t="s">
        <v>148</v>
      </c>
      <c r="C314">
        <v>0</v>
      </c>
      <c r="D314">
        <v>0</v>
      </c>
      <c r="E314">
        <v>0</v>
      </c>
      <c r="F314">
        <v>0</v>
      </c>
      <c r="G314">
        <v>0</v>
      </c>
      <c r="H314">
        <v>1</v>
      </c>
      <c r="I314">
        <v>1</v>
      </c>
      <c r="J314">
        <v>22280.629671713399</v>
      </c>
      <c r="K314">
        <v>20437.513032546201</v>
      </c>
      <c r="L314">
        <v>10.712999999999999</v>
      </c>
      <c r="M314">
        <v>74.334000000000003</v>
      </c>
      <c r="N314">
        <v>17.145</v>
      </c>
    </row>
    <row r="315" spans="1:14" x14ac:dyDescent="0.45">
      <c r="A315">
        <v>1982</v>
      </c>
      <c r="B315" t="s">
        <v>149</v>
      </c>
      <c r="C315">
        <v>1</v>
      </c>
      <c r="D315">
        <v>0</v>
      </c>
      <c r="E315">
        <v>0</v>
      </c>
      <c r="F315">
        <v>0</v>
      </c>
      <c r="G315">
        <v>0</v>
      </c>
      <c r="H315">
        <v>1</v>
      </c>
      <c r="I315">
        <v>1</v>
      </c>
      <c r="J315">
        <v>34711.203067014801</v>
      </c>
      <c r="K315">
        <v>29565.861330990101</v>
      </c>
      <c r="L315">
        <v>33.113999999999997</v>
      </c>
      <c r="M315">
        <v>74.912999999999997</v>
      </c>
      <c r="N315">
        <v>14.645</v>
      </c>
    </row>
    <row r="316" spans="1:14" x14ac:dyDescent="0.45">
      <c r="A316">
        <v>1982</v>
      </c>
      <c r="B316" t="s">
        <v>150</v>
      </c>
      <c r="C316">
        <v>0</v>
      </c>
      <c r="D316">
        <v>1</v>
      </c>
      <c r="E316">
        <v>0</v>
      </c>
      <c r="F316">
        <v>1</v>
      </c>
      <c r="G316">
        <v>0</v>
      </c>
      <c r="H316">
        <v>0</v>
      </c>
      <c r="I316">
        <v>0</v>
      </c>
      <c r="J316">
        <v>7804.4969226667799</v>
      </c>
      <c r="K316">
        <v>7691.5670816203601</v>
      </c>
      <c r="L316">
        <v>52.186999999999998</v>
      </c>
      <c r="M316">
        <v>69.253</v>
      </c>
      <c r="N316">
        <v>35.308</v>
      </c>
    </row>
    <row r="317" spans="1:14" x14ac:dyDescent="0.45">
      <c r="A317">
        <v>1982</v>
      </c>
      <c r="B317" t="s">
        <v>151</v>
      </c>
      <c r="C317">
        <v>0</v>
      </c>
      <c r="D317">
        <v>0</v>
      </c>
      <c r="E317">
        <v>0</v>
      </c>
      <c r="F317">
        <v>1</v>
      </c>
      <c r="G317">
        <v>0</v>
      </c>
      <c r="H317">
        <v>0</v>
      </c>
      <c r="I317">
        <v>0</v>
      </c>
      <c r="J317">
        <v>10492.3014723876</v>
      </c>
      <c r="K317">
        <v>10408.838268801001</v>
      </c>
      <c r="L317">
        <v>37.118000000000002</v>
      </c>
      <c r="M317">
        <v>67.36</v>
      </c>
      <c r="N317">
        <v>50.43</v>
      </c>
    </row>
    <row r="318" spans="1:14" x14ac:dyDescent="0.45">
      <c r="A318">
        <v>1982</v>
      </c>
      <c r="B318" t="s">
        <v>152</v>
      </c>
      <c r="C318">
        <v>0</v>
      </c>
      <c r="D318">
        <v>0</v>
      </c>
      <c r="E318">
        <v>0</v>
      </c>
      <c r="F318">
        <v>0</v>
      </c>
      <c r="G318">
        <v>0</v>
      </c>
      <c r="H318">
        <v>1</v>
      </c>
      <c r="I318">
        <v>1</v>
      </c>
      <c r="J318">
        <v>25950.984312472701</v>
      </c>
      <c r="K318">
        <v>24039.235591759902</v>
      </c>
      <c r="L318">
        <v>23.617000000000001</v>
      </c>
      <c r="M318">
        <v>77.072000000000003</v>
      </c>
      <c r="N318">
        <v>8.8369999999999997</v>
      </c>
    </row>
    <row r="319" spans="1:14" x14ac:dyDescent="0.45">
      <c r="A319">
        <v>1982</v>
      </c>
      <c r="B319" t="s">
        <v>153</v>
      </c>
      <c r="C319">
        <v>1</v>
      </c>
      <c r="D319">
        <v>0</v>
      </c>
      <c r="E319">
        <v>0</v>
      </c>
      <c r="F319">
        <v>1</v>
      </c>
      <c r="G319">
        <v>0</v>
      </c>
      <c r="H319">
        <v>0</v>
      </c>
      <c r="I319">
        <v>0</v>
      </c>
      <c r="L319">
        <v>44.978000000000002</v>
      </c>
      <c r="M319">
        <v>63.585999999999999</v>
      </c>
      <c r="N319">
        <v>65.763999999999996</v>
      </c>
    </row>
    <row r="320" spans="1:14" x14ac:dyDescent="0.45">
      <c r="A320">
        <v>1982</v>
      </c>
      <c r="B320" t="s">
        <v>154</v>
      </c>
      <c r="C320">
        <v>0</v>
      </c>
      <c r="D320">
        <v>0</v>
      </c>
      <c r="E320">
        <v>1</v>
      </c>
      <c r="F320">
        <v>0</v>
      </c>
      <c r="G320">
        <v>0</v>
      </c>
      <c r="H320">
        <v>0</v>
      </c>
      <c r="I320">
        <v>0</v>
      </c>
      <c r="J320">
        <v>4039.6191261805402</v>
      </c>
      <c r="K320">
        <v>3481.5305516968701</v>
      </c>
      <c r="L320">
        <v>84.22</v>
      </c>
      <c r="M320">
        <v>59.904000000000003</v>
      </c>
      <c r="N320">
        <v>103.05200000000001</v>
      </c>
    </row>
    <row r="321" spans="1:14" x14ac:dyDescent="0.45">
      <c r="A321">
        <v>1982</v>
      </c>
      <c r="B321" t="s">
        <v>155</v>
      </c>
      <c r="C321">
        <v>1</v>
      </c>
      <c r="D321">
        <v>0</v>
      </c>
      <c r="E321">
        <v>0</v>
      </c>
      <c r="F321">
        <v>1</v>
      </c>
      <c r="G321">
        <v>0</v>
      </c>
      <c r="H321">
        <v>0</v>
      </c>
      <c r="I321">
        <v>0</v>
      </c>
      <c r="J321">
        <v>5142.6409543200398</v>
      </c>
      <c r="K321">
        <v>4346.3957526368804</v>
      </c>
      <c r="L321">
        <v>61.472999999999999</v>
      </c>
      <c r="M321">
        <v>62.276000000000003</v>
      </c>
      <c r="N321">
        <v>91.56</v>
      </c>
    </row>
    <row r="322" spans="1:14" x14ac:dyDescent="0.45">
      <c r="A322">
        <v>1982</v>
      </c>
      <c r="B322" t="s">
        <v>156</v>
      </c>
      <c r="C322">
        <v>0</v>
      </c>
      <c r="D322">
        <v>0</v>
      </c>
      <c r="E322">
        <v>0</v>
      </c>
      <c r="F322">
        <v>0</v>
      </c>
      <c r="G322">
        <v>0</v>
      </c>
      <c r="H322">
        <v>0</v>
      </c>
      <c r="I322">
        <v>0</v>
      </c>
      <c r="J322">
        <v>2112.4792990457699</v>
      </c>
      <c r="K322">
        <v>1894.1931946879499</v>
      </c>
      <c r="L322">
        <v>86.968999999999994</v>
      </c>
      <c r="M322">
        <v>48.755000000000003</v>
      </c>
      <c r="N322">
        <v>151.822</v>
      </c>
    </row>
    <row r="323" spans="1:14" x14ac:dyDescent="0.45">
      <c r="A323">
        <v>1982</v>
      </c>
      <c r="B323" t="s">
        <v>157</v>
      </c>
      <c r="C323">
        <v>0</v>
      </c>
      <c r="D323">
        <v>0</v>
      </c>
      <c r="E323">
        <v>0</v>
      </c>
      <c r="F323">
        <v>1</v>
      </c>
      <c r="G323">
        <v>0</v>
      </c>
      <c r="H323">
        <v>0</v>
      </c>
      <c r="I323">
        <v>0</v>
      </c>
      <c r="J323">
        <v>2538.4328882926902</v>
      </c>
      <c r="K323">
        <v>2296.2646071948102</v>
      </c>
      <c r="L323">
        <v>67.218000000000004</v>
      </c>
      <c r="M323">
        <v>57.773000000000003</v>
      </c>
      <c r="N323">
        <v>114.51900000000001</v>
      </c>
    </row>
    <row r="324" spans="1:14" x14ac:dyDescent="0.45">
      <c r="A324">
        <v>1982</v>
      </c>
      <c r="B324" t="s">
        <v>158</v>
      </c>
      <c r="C324">
        <v>0</v>
      </c>
      <c r="D324">
        <v>1</v>
      </c>
      <c r="E324">
        <v>0</v>
      </c>
      <c r="F324">
        <v>0</v>
      </c>
      <c r="G324">
        <v>1</v>
      </c>
      <c r="H324">
        <v>0</v>
      </c>
      <c r="I324">
        <v>0</v>
      </c>
      <c r="J324">
        <v>8358.0178972332906</v>
      </c>
      <c r="K324">
        <v>8254.6795162528797</v>
      </c>
      <c r="L324">
        <v>64.373999999999995</v>
      </c>
      <c r="M324">
        <v>64.867999999999995</v>
      </c>
      <c r="N324">
        <v>44.65</v>
      </c>
    </row>
    <row r="325" spans="1:14" x14ac:dyDescent="0.45">
      <c r="A325">
        <v>1982</v>
      </c>
      <c r="B325" t="s">
        <v>159</v>
      </c>
      <c r="C325">
        <v>0</v>
      </c>
      <c r="D325">
        <v>0</v>
      </c>
      <c r="E325">
        <v>0</v>
      </c>
      <c r="F325">
        <v>0</v>
      </c>
      <c r="G325">
        <v>1</v>
      </c>
      <c r="H325">
        <v>0</v>
      </c>
      <c r="I325">
        <v>0</v>
      </c>
      <c r="J325">
        <v>6885.2813127021</v>
      </c>
      <c r="K325">
        <v>6276.7773396270704</v>
      </c>
      <c r="L325">
        <v>39.939</v>
      </c>
      <c r="M325">
        <v>67.061000000000007</v>
      </c>
      <c r="N325">
        <v>31.335000000000001</v>
      </c>
    </row>
    <row r="326" spans="1:14" x14ac:dyDescent="0.45">
      <c r="A326">
        <v>1982</v>
      </c>
      <c r="B326" t="s">
        <v>160</v>
      </c>
      <c r="C326">
        <v>0</v>
      </c>
      <c r="D326">
        <v>0</v>
      </c>
      <c r="E326">
        <v>0</v>
      </c>
      <c r="F326">
        <v>0</v>
      </c>
      <c r="G326">
        <v>0</v>
      </c>
      <c r="H326">
        <v>1</v>
      </c>
      <c r="I326">
        <v>1</v>
      </c>
      <c r="J326">
        <v>42729.205440374302</v>
      </c>
      <c r="K326">
        <v>38054.635715505399</v>
      </c>
      <c r="L326">
        <v>3.5859999999999999</v>
      </c>
      <c r="M326">
        <v>71.947999999999993</v>
      </c>
      <c r="N326">
        <v>29.995000000000001</v>
      </c>
    </row>
    <row r="327" spans="1:14" x14ac:dyDescent="0.45">
      <c r="A327">
        <v>1982</v>
      </c>
      <c r="B327" t="s">
        <v>161</v>
      </c>
      <c r="C327">
        <v>0</v>
      </c>
      <c r="D327">
        <v>0</v>
      </c>
      <c r="E327">
        <v>0</v>
      </c>
      <c r="F327">
        <v>0</v>
      </c>
      <c r="G327">
        <v>0</v>
      </c>
      <c r="H327">
        <v>0</v>
      </c>
      <c r="I327">
        <v>0</v>
      </c>
      <c r="J327">
        <v>1789.0853548257901</v>
      </c>
      <c r="K327">
        <v>1719.1457064901799</v>
      </c>
      <c r="L327">
        <v>87.07</v>
      </c>
      <c r="M327">
        <v>49.930999999999997</v>
      </c>
      <c r="N327">
        <v>193.625</v>
      </c>
    </row>
    <row r="328" spans="1:14" x14ac:dyDescent="0.45">
      <c r="A328">
        <v>1982</v>
      </c>
      <c r="B328" t="s">
        <v>162</v>
      </c>
      <c r="C328">
        <v>0</v>
      </c>
      <c r="D328">
        <v>0</v>
      </c>
      <c r="E328">
        <v>0</v>
      </c>
      <c r="F328">
        <v>1</v>
      </c>
      <c r="G328">
        <v>0</v>
      </c>
      <c r="H328">
        <v>0</v>
      </c>
      <c r="I328">
        <v>0</v>
      </c>
      <c r="J328">
        <v>13545.391862115999</v>
      </c>
      <c r="K328">
        <v>17606.211058829002</v>
      </c>
      <c r="L328">
        <v>23.911000000000001</v>
      </c>
      <c r="M328">
        <v>47.19</v>
      </c>
      <c r="N328">
        <v>123.876</v>
      </c>
    </row>
    <row r="329" spans="1:14" x14ac:dyDescent="0.45">
      <c r="A329">
        <v>1982</v>
      </c>
      <c r="B329" t="s">
        <v>163</v>
      </c>
      <c r="C329">
        <v>0</v>
      </c>
      <c r="D329">
        <v>0</v>
      </c>
      <c r="E329">
        <v>1</v>
      </c>
      <c r="F329">
        <v>0</v>
      </c>
      <c r="G329">
        <v>0</v>
      </c>
      <c r="H329">
        <v>0</v>
      </c>
      <c r="I329">
        <v>0</v>
      </c>
      <c r="J329">
        <v>3640.8431344140199</v>
      </c>
      <c r="K329">
        <v>5379.1471160931096</v>
      </c>
      <c r="L329">
        <v>62.826999999999998</v>
      </c>
      <c r="M329">
        <v>44.447000000000003</v>
      </c>
      <c r="N329">
        <v>242.566</v>
      </c>
    </row>
    <row r="330" spans="1:14" x14ac:dyDescent="0.45">
      <c r="A330">
        <v>1982</v>
      </c>
      <c r="B330" t="s">
        <v>164</v>
      </c>
      <c r="C330">
        <v>0</v>
      </c>
      <c r="D330">
        <v>0</v>
      </c>
      <c r="E330">
        <v>0</v>
      </c>
      <c r="F330">
        <v>0</v>
      </c>
      <c r="G330">
        <v>1</v>
      </c>
      <c r="H330">
        <v>0</v>
      </c>
      <c r="I330">
        <v>0</v>
      </c>
      <c r="J330">
        <v>30904.8875477443</v>
      </c>
      <c r="K330">
        <v>36118.392012950098</v>
      </c>
      <c r="L330">
        <v>27.227</v>
      </c>
      <c r="M330">
        <v>65.768000000000001</v>
      </c>
      <c r="N330">
        <v>63.808999999999997</v>
      </c>
    </row>
    <row r="331" spans="1:14" x14ac:dyDescent="0.45">
      <c r="A331">
        <v>1982</v>
      </c>
      <c r="B331" t="s">
        <v>165</v>
      </c>
      <c r="C331">
        <v>0</v>
      </c>
      <c r="D331">
        <v>1</v>
      </c>
      <c r="E331">
        <v>0</v>
      </c>
      <c r="F331">
        <v>1</v>
      </c>
      <c r="G331">
        <v>0</v>
      </c>
      <c r="H331">
        <v>0</v>
      </c>
      <c r="I331">
        <v>0</v>
      </c>
      <c r="J331">
        <v>10523.8355644577</v>
      </c>
      <c r="K331">
        <v>7570.9210492336197</v>
      </c>
      <c r="L331">
        <v>72.912999999999997</v>
      </c>
      <c r="M331">
        <v>68.977000000000004</v>
      </c>
      <c r="N331">
        <v>28.364999999999998</v>
      </c>
    </row>
    <row r="332" spans="1:14" x14ac:dyDescent="0.45">
      <c r="A332">
        <v>1982</v>
      </c>
      <c r="B332" t="s">
        <v>166</v>
      </c>
      <c r="C332">
        <v>1</v>
      </c>
      <c r="D332">
        <v>0</v>
      </c>
      <c r="E332">
        <v>0</v>
      </c>
      <c r="F332">
        <v>0</v>
      </c>
      <c r="G332">
        <v>0</v>
      </c>
      <c r="H332">
        <v>1</v>
      </c>
      <c r="I332">
        <v>1</v>
      </c>
      <c r="L332">
        <v>81.956999999999994</v>
      </c>
      <c r="M332">
        <v>75.06</v>
      </c>
      <c r="N332">
        <v>18.669</v>
      </c>
    </row>
    <row r="333" spans="1:14" x14ac:dyDescent="0.45">
      <c r="A333">
        <v>1982</v>
      </c>
      <c r="B333" t="s">
        <v>167</v>
      </c>
      <c r="C333">
        <v>0</v>
      </c>
      <c r="D333">
        <v>0</v>
      </c>
      <c r="E333">
        <v>0</v>
      </c>
      <c r="F333">
        <v>0</v>
      </c>
      <c r="G333">
        <v>0</v>
      </c>
      <c r="H333">
        <v>0</v>
      </c>
      <c r="I333">
        <v>0</v>
      </c>
      <c r="J333">
        <v>3661.96483175304</v>
      </c>
      <c r="K333">
        <v>3420.21727513518</v>
      </c>
      <c r="L333">
        <v>81.34</v>
      </c>
      <c r="M333">
        <v>68.665000000000006</v>
      </c>
      <c r="N333">
        <v>39.551000000000002</v>
      </c>
    </row>
    <row r="334" spans="1:14" x14ac:dyDescent="0.45">
      <c r="A334">
        <v>1982</v>
      </c>
      <c r="B334" t="s">
        <v>168</v>
      </c>
      <c r="C334">
        <v>0</v>
      </c>
      <c r="D334">
        <v>0</v>
      </c>
      <c r="E334">
        <v>1</v>
      </c>
      <c r="F334">
        <v>0</v>
      </c>
      <c r="G334">
        <v>0</v>
      </c>
      <c r="H334">
        <v>0</v>
      </c>
      <c r="I334">
        <v>0</v>
      </c>
      <c r="J334">
        <v>1235.6280028717799</v>
      </c>
      <c r="K334">
        <v>1106.40626820377</v>
      </c>
      <c r="L334">
        <v>88.43</v>
      </c>
      <c r="M334">
        <v>57.975999999999999</v>
      </c>
      <c r="N334">
        <v>112.133</v>
      </c>
    </row>
    <row r="335" spans="1:14" x14ac:dyDescent="0.45">
      <c r="A335">
        <v>1982</v>
      </c>
      <c r="B335" t="s">
        <v>169</v>
      </c>
      <c r="C335">
        <v>1</v>
      </c>
      <c r="D335">
        <v>0</v>
      </c>
      <c r="E335">
        <v>0</v>
      </c>
      <c r="F335">
        <v>0</v>
      </c>
      <c r="G335">
        <v>1</v>
      </c>
      <c r="H335">
        <v>0</v>
      </c>
      <c r="I335">
        <v>0</v>
      </c>
      <c r="L335">
        <v>37.270000000000003</v>
      </c>
      <c r="M335">
        <v>71.063999999999993</v>
      </c>
      <c r="N335">
        <v>19.916</v>
      </c>
    </row>
    <row r="336" spans="1:14" x14ac:dyDescent="0.45">
      <c r="A336">
        <v>1982</v>
      </c>
      <c r="B336" t="s">
        <v>170</v>
      </c>
      <c r="C336">
        <v>1</v>
      </c>
      <c r="D336">
        <v>0</v>
      </c>
      <c r="E336">
        <v>0</v>
      </c>
      <c r="F336">
        <v>0</v>
      </c>
      <c r="G336">
        <v>0</v>
      </c>
      <c r="H336">
        <v>1</v>
      </c>
      <c r="I336">
        <v>1</v>
      </c>
      <c r="J336">
        <v>54254.122725500099</v>
      </c>
      <c r="K336">
        <v>46363.474361872097</v>
      </c>
      <c r="L336">
        <v>19.498999999999999</v>
      </c>
      <c r="M336">
        <v>72.156999999999996</v>
      </c>
      <c r="N336">
        <v>15.284000000000001</v>
      </c>
    </row>
    <row r="337" spans="1:14" x14ac:dyDescent="0.45">
      <c r="A337">
        <v>1982</v>
      </c>
      <c r="B337" t="s">
        <v>171</v>
      </c>
      <c r="C337">
        <v>1</v>
      </c>
      <c r="D337">
        <v>0</v>
      </c>
      <c r="E337">
        <v>0</v>
      </c>
      <c r="F337">
        <v>0</v>
      </c>
      <c r="G337">
        <v>1</v>
      </c>
      <c r="H337">
        <v>0</v>
      </c>
      <c r="I337">
        <v>0</v>
      </c>
      <c r="L337">
        <v>32.277999999999999</v>
      </c>
      <c r="M337">
        <v>69.626999999999995</v>
      </c>
      <c r="N337">
        <v>19.402000000000001</v>
      </c>
    </row>
    <row r="338" spans="1:14" x14ac:dyDescent="0.45">
      <c r="A338">
        <v>1982</v>
      </c>
      <c r="B338" t="s">
        <v>172</v>
      </c>
      <c r="C338">
        <v>0</v>
      </c>
      <c r="D338">
        <v>0</v>
      </c>
      <c r="E338">
        <v>0</v>
      </c>
      <c r="F338">
        <v>0</v>
      </c>
      <c r="G338">
        <v>1</v>
      </c>
      <c r="H338">
        <v>0</v>
      </c>
      <c r="I338">
        <v>0</v>
      </c>
      <c r="J338">
        <v>40544.671962402099</v>
      </c>
      <c r="K338">
        <v>36743.263756271801</v>
      </c>
      <c r="L338">
        <v>1.111</v>
      </c>
      <c r="M338">
        <v>73.908000000000001</v>
      </c>
      <c r="N338">
        <v>20.484000000000002</v>
      </c>
    </row>
    <row r="339" spans="1:14" x14ac:dyDescent="0.45">
      <c r="A339">
        <v>1982</v>
      </c>
      <c r="B339" t="s">
        <v>173</v>
      </c>
      <c r="C339">
        <v>0</v>
      </c>
      <c r="D339">
        <v>1</v>
      </c>
      <c r="E339">
        <v>0</v>
      </c>
      <c r="F339">
        <v>0</v>
      </c>
      <c r="G339">
        <v>0</v>
      </c>
      <c r="H339">
        <v>1</v>
      </c>
      <c r="I339">
        <v>1</v>
      </c>
      <c r="L339">
        <v>0</v>
      </c>
      <c r="M339">
        <v>72.418999999999997</v>
      </c>
      <c r="N339">
        <v>27.274000000000001</v>
      </c>
    </row>
    <row r="340" spans="1:14" x14ac:dyDescent="0.45">
      <c r="A340">
        <v>1982</v>
      </c>
      <c r="B340" t="s">
        <v>174</v>
      </c>
      <c r="C340">
        <v>0</v>
      </c>
      <c r="D340">
        <v>0</v>
      </c>
      <c r="E340">
        <v>0</v>
      </c>
      <c r="F340">
        <v>1</v>
      </c>
      <c r="G340">
        <v>0</v>
      </c>
      <c r="H340">
        <v>0</v>
      </c>
      <c r="I340">
        <v>0</v>
      </c>
      <c r="J340">
        <v>3454.0551825867101</v>
      </c>
      <c r="K340">
        <v>3317.1655863024298</v>
      </c>
      <c r="L340">
        <v>57.366</v>
      </c>
      <c r="M340">
        <v>56.869</v>
      </c>
      <c r="N340">
        <v>120.84699999999999</v>
      </c>
    </row>
    <row r="341" spans="1:14" x14ac:dyDescent="0.45">
      <c r="A341">
        <v>1982</v>
      </c>
      <c r="B341" t="s">
        <v>175</v>
      </c>
      <c r="C341">
        <v>1</v>
      </c>
      <c r="D341">
        <v>0</v>
      </c>
      <c r="E341">
        <v>0</v>
      </c>
      <c r="F341">
        <v>0</v>
      </c>
      <c r="G341">
        <v>0</v>
      </c>
      <c r="H341">
        <v>1</v>
      </c>
      <c r="I341">
        <v>1</v>
      </c>
      <c r="L341">
        <v>0</v>
      </c>
      <c r="M341">
        <v>75.254999999999995</v>
      </c>
      <c r="N341">
        <v>18.184000000000001</v>
      </c>
    </row>
    <row r="342" spans="1:14" x14ac:dyDescent="0.45">
      <c r="A342">
        <v>1982</v>
      </c>
      <c r="B342" t="s">
        <v>176</v>
      </c>
      <c r="C342">
        <v>1</v>
      </c>
      <c r="D342">
        <v>0</v>
      </c>
      <c r="E342">
        <v>0</v>
      </c>
      <c r="F342">
        <v>1</v>
      </c>
      <c r="G342">
        <v>0</v>
      </c>
      <c r="H342">
        <v>0</v>
      </c>
      <c r="I342">
        <v>0</v>
      </c>
      <c r="L342">
        <v>58.109000000000002</v>
      </c>
      <c r="M342">
        <v>65.858999999999995</v>
      </c>
      <c r="N342">
        <v>45.725999999999999</v>
      </c>
    </row>
    <row r="343" spans="1:14" x14ac:dyDescent="0.45">
      <c r="A343">
        <v>1982</v>
      </c>
      <c r="B343" t="s">
        <v>177</v>
      </c>
      <c r="C343">
        <v>0</v>
      </c>
      <c r="D343">
        <v>0</v>
      </c>
      <c r="E343">
        <v>1</v>
      </c>
      <c r="F343">
        <v>0</v>
      </c>
      <c r="G343">
        <v>0</v>
      </c>
      <c r="H343">
        <v>0</v>
      </c>
      <c r="I343">
        <v>0</v>
      </c>
      <c r="J343">
        <v>2194.94931817206</v>
      </c>
      <c r="K343">
        <v>2033.4593118073701</v>
      </c>
      <c r="L343">
        <v>80.539000000000001</v>
      </c>
      <c r="M343">
        <v>50.009</v>
      </c>
      <c r="N343">
        <v>174.631</v>
      </c>
    </row>
    <row r="344" spans="1:14" x14ac:dyDescent="0.45">
      <c r="A344">
        <v>1982</v>
      </c>
      <c r="B344" t="s">
        <v>178</v>
      </c>
      <c r="C344">
        <v>0</v>
      </c>
      <c r="D344">
        <v>0</v>
      </c>
      <c r="E344">
        <v>0</v>
      </c>
      <c r="F344">
        <v>0</v>
      </c>
      <c r="G344">
        <v>0</v>
      </c>
      <c r="H344">
        <v>0</v>
      </c>
      <c r="I344">
        <v>0</v>
      </c>
      <c r="J344">
        <v>5456.6034507895401</v>
      </c>
      <c r="K344">
        <v>5383.3938310929898</v>
      </c>
      <c r="L344">
        <v>76.426000000000002</v>
      </c>
      <c r="M344">
        <v>56.613999999999997</v>
      </c>
      <c r="N344">
        <v>134.708</v>
      </c>
    </row>
    <row r="345" spans="1:14" x14ac:dyDescent="0.45">
      <c r="A345">
        <v>1982</v>
      </c>
      <c r="B345" t="s">
        <v>179</v>
      </c>
      <c r="C345">
        <v>0</v>
      </c>
      <c r="D345">
        <v>1</v>
      </c>
      <c r="E345">
        <v>0</v>
      </c>
      <c r="F345">
        <v>1</v>
      </c>
      <c r="G345">
        <v>0</v>
      </c>
      <c r="H345">
        <v>0</v>
      </c>
      <c r="I345">
        <v>0</v>
      </c>
      <c r="J345">
        <v>19576.7185666554</v>
      </c>
      <c r="K345">
        <v>18199.989580368099</v>
      </c>
      <c r="L345">
        <v>32.603999999999999</v>
      </c>
      <c r="M345">
        <v>65.256</v>
      </c>
      <c r="N345">
        <v>65.286000000000001</v>
      </c>
    </row>
    <row r="346" spans="1:14" x14ac:dyDescent="0.45">
      <c r="A346">
        <v>1982</v>
      </c>
      <c r="B346" t="s">
        <v>180</v>
      </c>
      <c r="C346">
        <v>0</v>
      </c>
      <c r="D346">
        <v>0</v>
      </c>
      <c r="E346">
        <v>0</v>
      </c>
      <c r="F346">
        <v>1</v>
      </c>
      <c r="G346">
        <v>0</v>
      </c>
      <c r="H346">
        <v>0</v>
      </c>
      <c r="I346">
        <v>0</v>
      </c>
      <c r="J346">
        <v>3131.45815396027</v>
      </c>
      <c r="K346">
        <v>2832.3565743270101</v>
      </c>
      <c r="L346">
        <v>40.386000000000003</v>
      </c>
      <c r="M346">
        <v>61.292999999999999</v>
      </c>
      <c r="N346">
        <v>60.917000000000002</v>
      </c>
    </row>
    <row r="347" spans="1:14" x14ac:dyDescent="0.45">
      <c r="A347">
        <v>1982</v>
      </c>
      <c r="B347" t="s">
        <v>181</v>
      </c>
      <c r="C347">
        <v>1</v>
      </c>
      <c r="D347">
        <v>0</v>
      </c>
      <c r="E347">
        <v>0</v>
      </c>
      <c r="F347">
        <v>0</v>
      </c>
      <c r="G347">
        <v>1</v>
      </c>
      <c r="H347">
        <v>0</v>
      </c>
      <c r="I347">
        <v>0</v>
      </c>
      <c r="L347">
        <v>45.57</v>
      </c>
      <c r="M347">
        <v>69.843999999999994</v>
      </c>
      <c r="N347">
        <v>49.44</v>
      </c>
    </row>
    <row r="348" spans="1:14" x14ac:dyDescent="0.45">
      <c r="A348">
        <v>1982</v>
      </c>
      <c r="B348" t="s">
        <v>182</v>
      </c>
      <c r="C348">
        <v>0</v>
      </c>
      <c r="D348">
        <v>0</v>
      </c>
      <c r="E348">
        <v>1</v>
      </c>
      <c r="F348">
        <v>0</v>
      </c>
      <c r="G348">
        <v>0</v>
      </c>
      <c r="H348">
        <v>0</v>
      </c>
      <c r="I348">
        <v>0</v>
      </c>
      <c r="J348">
        <v>1456.75975578355</v>
      </c>
      <c r="K348">
        <v>1348.39107968438</v>
      </c>
      <c r="L348">
        <v>80.534000000000006</v>
      </c>
      <c r="M348">
        <v>41.804000000000002</v>
      </c>
      <c r="N348">
        <v>287.21699999999998</v>
      </c>
    </row>
    <row r="349" spans="1:14" x14ac:dyDescent="0.45">
      <c r="A349">
        <v>1982</v>
      </c>
      <c r="B349" t="s">
        <v>183</v>
      </c>
      <c r="C349">
        <v>0</v>
      </c>
      <c r="D349">
        <v>0</v>
      </c>
      <c r="E349">
        <v>0</v>
      </c>
      <c r="F349">
        <v>0</v>
      </c>
      <c r="G349">
        <v>1</v>
      </c>
      <c r="H349">
        <v>0</v>
      </c>
      <c r="I349">
        <v>0</v>
      </c>
      <c r="J349">
        <v>15032.9120621162</v>
      </c>
      <c r="K349">
        <v>13004.204731104001</v>
      </c>
      <c r="L349">
        <v>10.196999999999999</v>
      </c>
      <c r="M349">
        <v>72.83</v>
      </c>
      <c r="N349">
        <v>15.709</v>
      </c>
    </row>
    <row r="350" spans="1:14" x14ac:dyDescent="0.45">
      <c r="A350">
        <v>1982</v>
      </c>
      <c r="B350" t="s">
        <v>184</v>
      </c>
      <c r="C350">
        <v>0</v>
      </c>
      <c r="D350">
        <v>0</v>
      </c>
      <c r="E350">
        <v>0</v>
      </c>
      <c r="F350">
        <v>0</v>
      </c>
      <c r="G350">
        <v>0</v>
      </c>
      <c r="H350">
        <v>0</v>
      </c>
      <c r="I350">
        <v>0</v>
      </c>
      <c r="J350">
        <v>848.38924098967595</v>
      </c>
      <c r="K350">
        <v>679.30792249968601</v>
      </c>
      <c r="L350">
        <v>76.007000000000005</v>
      </c>
      <c r="M350">
        <v>55.033000000000001</v>
      </c>
      <c r="N350">
        <v>134.68299999999999</v>
      </c>
    </row>
    <row r="351" spans="1:14" x14ac:dyDescent="0.45">
      <c r="A351">
        <v>1982</v>
      </c>
      <c r="B351" t="s">
        <v>185</v>
      </c>
      <c r="C351">
        <v>1</v>
      </c>
      <c r="D351">
        <v>0</v>
      </c>
      <c r="E351">
        <v>0</v>
      </c>
      <c r="F351">
        <v>0</v>
      </c>
      <c r="G351">
        <v>1</v>
      </c>
      <c r="H351">
        <v>0</v>
      </c>
      <c r="I351">
        <v>0</v>
      </c>
      <c r="L351">
        <v>61.015999999999998</v>
      </c>
      <c r="M351">
        <v>72.304000000000002</v>
      </c>
      <c r="N351">
        <v>25.358000000000001</v>
      </c>
    </row>
    <row r="352" spans="1:14" x14ac:dyDescent="0.45">
      <c r="A352">
        <v>1982</v>
      </c>
      <c r="B352" t="s">
        <v>186</v>
      </c>
      <c r="C352">
        <v>0</v>
      </c>
      <c r="D352">
        <v>0</v>
      </c>
      <c r="E352">
        <v>0</v>
      </c>
      <c r="F352">
        <v>1</v>
      </c>
      <c r="G352">
        <v>0</v>
      </c>
      <c r="H352">
        <v>0</v>
      </c>
      <c r="I352">
        <v>0</v>
      </c>
      <c r="J352">
        <v>5084.8136449007097</v>
      </c>
      <c r="K352">
        <v>3917.7263772634701</v>
      </c>
      <c r="L352">
        <v>46.731999999999999</v>
      </c>
      <c r="M352">
        <v>55.622999999999998</v>
      </c>
      <c r="N352">
        <v>144.601</v>
      </c>
    </row>
    <row r="353" spans="1:14" x14ac:dyDescent="0.45">
      <c r="A353">
        <v>1982</v>
      </c>
      <c r="B353" t="s">
        <v>187</v>
      </c>
      <c r="C353">
        <v>0</v>
      </c>
      <c r="D353">
        <v>0</v>
      </c>
      <c r="E353">
        <v>0</v>
      </c>
      <c r="F353">
        <v>1</v>
      </c>
      <c r="G353">
        <v>0</v>
      </c>
      <c r="H353">
        <v>0</v>
      </c>
      <c r="I353">
        <v>0</v>
      </c>
      <c r="L353">
        <v>12.555999999999999</v>
      </c>
      <c r="M353">
        <v>68.691999999999993</v>
      </c>
      <c r="N353">
        <v>14.772</v>
      </c>
    </row>
    <row r="354" spans="1:14" x14ac:dyDescent="0.45">
      <c r="A354">
        <v>1982</v>
      </c>
      <c r="B354" t="s">
        <v>188</v>
      </c>
      <c r="C354">
        <v>0</v>
      </c>
      <c r="D354">
        <v>0</v>
      </c>
      <c r="E354">
        <v>1</v>
      </c>
      <c r="F354">
        <v>0</v>
      </c>
      <c r="G354">
        <v>0</v>
      </c>
      <c r="H354">
        <v>0</v>
      </c>
      <c r="I354">
        <v>0</v>
      </c>
      <c r="J354">
        <v>647.52071905576395</v>
      </c>
      <c r="K354">
        <v>542.16903688513196</v>
      </c>
      <c r="L354">
        <v>84.965000000000003</v>
      </c>
      <c r="M354">
        <v>41.677</v>
      </c>
      <c r="N354">
        <v>283.52</v>
      </c>
    </row>
    <row r="355" spans="1:14" x14ac:dyDescent="0.45">
      <c r="A355">
        <v>1982</v>
      </c>
      <c r="B355" t="s">
        <v>189</v>
      </c>
      <c r="C355">
        <v>0</v>
      </c>
      <c r="D355">
        <v>0</v>
      </c>
      <c r="E355">
        <v>1</v>
      </c>
      <c r="F355">
        <v>0</v>
      </c>
      <c r="G355">
        <v>0</v>
      </c>
      <c r="H355">
        <v>0</v>
      </c>
      <c r="I355">
        <v>0</v>
      </c>
      <c r="J355">
        <v>5973.2544300338304</v>
      </c>
      <c r="K355">
        <v>5284.6180607890801</v>
      </c>
      <c r="L355">
        <v>69.704999999999998</v>
      </c>
      <c r="M355">
        <v>54.228999999999999</v>
      </c>
      <c r="N355">
        <v>155.45599999999999</v>
      </c>
    </row>
    <row r="356" spans="1:14" x14ac:dyDescent="0.45">
      <c r="A356">
        <v>1982</v>
      </c>
      <c r="B356" t="s">
        <v>190</v>
      </c>
      <c r="C356">
        <v>0</v>
      </c>
      <c r="D356">
        <v>0</v>
      </c>
      <c r="E356">
        <v>1</v>
      </c>
      <c r="F356">
        <v>1</v>
      </c>
      <c r="G356">
        <v>0</v>
      </c>
      <c r="H356">
        <v>0</v>
      </c>
      <c r="I356">
        <v>0</v>
      </c>
      <c r="J356">
        <v>6070.8800522225101</v>
      </c>
      <c r="K356">
        <v>5698.2778663785502</v>
      </c>
      <c r="L356">
        <v>58.082999999999998</v>
      </c>
      <c r="M356">
        <v>67.95</v>
      </c>
      <c r="N356">
        <v>34.438000000000002</v>
      </c>
    </row>
    <row r="357" spans="1:14" x14ac:dyDescent="0.45">
      <c r="A357">
        <v>1982</v>
      </c>
      <c r="B357" t="s">
        <v>191</v>
      </c>
      <c r="C357">
        <v>0</v>
      </c>
      <c r="D357">
        <v>0</v>
      </c>
      <c r="E357">
        <v>1</v>
      </c>
      <c r="F357">
        <v>0</v>
      </c>
      <c r="G357">
        <v>0</v>
      </c>
      <c r="H357">
        <v>0</v>
      </c>
      <c r="I357">
        <v>0</v>
      </c>
      <c r="J357">
        <v>1187.5587773321699</v>
      </c>
      <c r="K357">
        <v>1016.1481688356999</v>
      </c>
      <c r="L357">
        <v>90.519000000000005</v>
      </c>
      <c r="M357">
        <v>44.84</v>
      </c>
      <c r="N357">
        <v>251.459</v>
      </c>
    </row>
    <row r="358" spans="1:14" x14ac:dyDescent="0.45">
      <c r="A358">
        <v>1982</v>
      </c>
      <c r="B358" t="s">
        <v>192</v>
      </c>
      <c r="C358">
        <v>0</v>
      </c>
      <c r="D358">
        <v>0</v>
      </c>
      <c r="E358">
        <v>0</v>
      </c>
      <c r="F358">
        <v>1</v>
      </c>
      <c r="G358">
        <v>0</v>
      </c>
      <c r="H358">
        <v>0</v>
      </c>
      <c r="I358">
        <v>0</v>
      </c>
      <c r="J358">
        <v>10126.8197309722</v>
      </c>
      <c r="K358">
        <v>9052.1819625374101</v>
      </c>
      <c r="L358">
        <v>56.426000000000002</v>
      </c>
      <c r="M358">
        <v>68.876000000000005</v>
      </c>
      <c r="N358">
        <v>26.513000000000002</v>
      </c>
    </row>
    <row r="359" spans="1:14" x14ac:dyDescent="0.45">
      <c r="A359">
        <v>1982</v>
      </c>
      <c r="B359" t="s">
        <v>193</v>
      </c>
      <c r="C359">
        <v>0</v>
      </c>
      <c r="D359">
        <v>0</v>
      </c>
      <c r="E359">
        <v>1</v>
      </c>
      <c r="F359">
        <v>1</v>
      </c>
      <c r="G359">
        <v>0</v>
      </c>
      <c r="H359">
        <v>0</v>
      </c>
      <c r="I359">
        <v>0</v>
      </c>
      <c r="J359">
        <v>8661.2121383843896</v>
      </c>
      <c r="K359">
        <v>7506.6708662690098</v>
      </c>
      <c r="L359">
        <v>74.388999999999996</v>
      </c>
      <c r="M359">
        <v>57.335000000000001</v>
      </c>
      <c r="N359">
        <v>99.942999999999998</v>
      </c>
    </row>
    <row r="360" spans="1:14" x14ac:dyDescent="0.45">
      <c r="A360">
        <v>1982</v>
      </c>
      <c r="B360" t="s">
        <v>194</v>
      </c>
      <c r="C360">
        <v>0</v>
      </c>
      <c r="D360">
        <v>0</v>
      </c>
      <c r="E360">
        <v>0</v>
      </c>
      <c r="F360">
        <v>0</v>
      </c>
      <c r="G360">
        <v>1</v>
      </c>
      <c r="H360">
        <v>0</v>
      </c>
      <c r="I360">
        <v>0</v>
      </c>
      <c r="L360">
        <v>41.802999999999997</v>
      </c>
      <c r="M360">
        <v>66.510000000000005</v>
      </c>
      <c r="N360">
        <v>45.609000000000002</v>
      </c>
    </row>
    <row r="361" spans="1:14" x14ac:dyDescent="0.45">
      <c r="A361">
        <v>1982</v>
      </c>
      <c r="B361" t="s">
        <v>195</v>
      </c>
      <c r="C361">
        <v>0</v>
      </c>
      <c r="D361">
        <v>0</v>
      </c>
      <c r="E361">
        <v>1</v>
      </c>
      <c r="F361">
        <v>0</v>
      </c>
      <c r="G361">
        <v>0</v>
      </c>
      <c r="H361">
        <v>0</v>
      </c>
      <c r="I361">
        <v>0</v>
      </c>
      <c r="J361">
        <v>1775.17868175439</v>
      </c>
      <c r="K361">
        <v>1410.9691484953401</v>
      </c>
      <c r="L361">
        <v>86.129000000000005</v>
      </c>
      <c r="M361">
        <v>39.844000000000001</v>
      </c>
      <c r="N361">
        <v>332.42500000000001</v>
      </c>
    </row>
    <row r="362" spans="1:14" x14ac:dyDescent="0.45">
      <c r="A362">
        <v>1982</v>
      </c>
      <c r="B362" t="s">
        <v>196</v>
      </c>
      <c r="C362">
        <v>0</v>
      </c>
      <c r="D362">
        <v>0</v>
      </c>
      <c r="E362">
        <v>1</v>
      </c>
      <c r="F362">
        <v>0</v>
      </c>
      <c r="G362">
        <v>0</v>
      </c>
      <c r="H362">
        <v>0</v>
      </c>
      <c r="I362">
        <v>0</v>
      </c>
      <c r="J362">
        <v>4619.2152659725098</v>
      </c>
      <c r="K362">
        <v>4084.0088636686801</v>
      </c>
      <c r="L362">
        <v>76.611000000000004</v>
      </c>
      <c r="M362">
        <v>46.436999999999998</v>
      </c>
      <c r="N362">
        <v>210.30600000000001</v>
      </c>
    </row>
    <row r="363" spans="1:14" x14ac:dyDescent="0.45">
      <c r="A363">
        <v>1982</v>
      </c>
      <c r="B363" t="s">
        <v>197</v>
      </c>
      <c r="C363">
        <v>0</v>
      </c>
      <c r="D363">
        <v>1</v>
      </c>
      <c r="E363">
        <v>0</v>
      </c>
      <c r="F363">
        <v>1</v>
      </c>
      <c r="G363">
        <v>0</v>
      </c>
      <c r="H363">
        <v>0</v>
      </c>
      <c r="I363">
        <v>0</v>
      </c>
      <c r="J363">
        <v>6188.8001668768802</v>
      </c>
      <c r="K363">
        <v>5212.6107102562601</v>
      </c>
      <c r="L363">
        <v>49.151000000000003</v>
      </c>
      <c r="M363">
        <v>58.685000000000002</v>
      </c>
      <c r="N363">
        <v>118.87</v>
      </c>
    </row>
    <row r="364" spans="1:14" x14ac:dyDescent="0.45">
      <c r="A364">
        <v>1982</v>
      </c>
      <c r="B364" t="s">
        <v>198</v>
      </c>
      <c r="C364">
        <v>1</v>
      </c>
      <c r="D364">
        <v>0</v>
      </c>
      <c r="E364">
        <v>0</v>
      </c>
      <c r="F364">
        <v>0</v>
      </c>
      <c r="G364">
        <v>0</v>
      </c>
      <c r="H364">
        <v>1</v>
      </c>
      <c r="I364">
        <v>1</v>
      </c>
      <c r="J364">
        <v>36830.717568756503</v>
      </c>
      <c r="K364">
        <v>31090.393340630199</v>
      </c>
      <c r="L364">
        <v>34.488999999999997</v>
      </c>
      <c r="M364">
        <v>76.061000000000007</v>
      </c>
      <c r="N364">
        <v>10.206</v>
      </c>
    </row>
    <row r="365" spans="1:14" x14ac:dyDescent="0.45">
      <c r="A365">
        <v>1982</v>
      </c>
      <c r="B365" t="s">
        <v>199</v>
      </c>
      <c r="C365">
        <v>1</v>
      </c>
      <c r="D365">
        <v>0</v>
      </c>
      <c r="E365">
        <v>0</v>
      </c>
      <c r="F365">
        <v>0</v>
      </c>
      <c r="G365">
        <v>0</v>
      </c>
      <c r="H365">
        <v>1</v>
      </c>
      <c r="I365">
        <v>1</v>
      </c>
      <c r="J365">
        <v>47303.029791954497</v>
      </c>
      <c r="K365">
        <v>34951.622500635101</v>
      </c>
      <c r="L365">
        <v>29.082000000000001</v>
      </c>
      <c r="M365">
        <v>76.019000000000005</v>
      </c>
      <c r="N365">
        <v>10.112</v>
      </c>
    </row>
    <row r="366" spans="1:14" x14ac:dyDescent="0.45">
      <c r="A366">
        <v>1982</v>
      </c>
      <c r="B366" t="s">
        <v>200</v>
      </c>
      <c r="C366">
        <v>0</v>
      </c>
      <c r="D366">
        <v>0</v>
      </c>
      <c r="E366">
        <v>0</v>
      </c>
      <c r="F366">
        <v>0</v>
      </c>
      <c r="G366">
        <v>0</v>
      </c>
      <c r="H366">
        <v>0</v>
      </c>
      <c r="I366">
        <v>0</v>
      </c>
      <c r="J366">
        <v>1538.8246299994801</v>
      </c>
      <c r="K366">
        <v>1362.3320977235701</v>
      </c>
      <c r="L366">
        <v>93.384</v>
      </c>
      <c r="M366">
        <v>49.180999999999997</v>
      </c>
      <c r="N366">
        <v>194.19300000000001</v>
      </c>
    </row>
    <row r="367" spans="1:14" x14ac:dyDescent="0.45">
      <c r="A367">
        <v>1982</v>
      </c>
      <c r="B367" t="s">
        <v>201</v>
      </c>
      <c r="C367">
        <v>0</v>
      </c>
      <c r="D367">
        <v>0</v>
      </c>
      <c r="E367">
        <v>0</v>
      </c>
      <c r="F367">
        <v>0</v>
      </c>
      <c r="G367">
        <v>0</v>
      </c>
      <c r="H367">
        <v>1</v>
      </c>
      <c r="I367">
        <v>1</v>
      </c>
      <c r="J367">
        <v>45944.799275348902</v>
      </c>
      <c r="K367">
        <v>41567.200366994199</v>
      </c>
      <c r="L367">
        <v>0</v>
      </c>
      <c r="M367">
        <v>58.634999999999998</v>
      </c>
      <c r="N367">
        <v>64.278999999999996</v>
      </c>
    </row>
    <row r="368" spans="1:14" x14ac:dyDescent="0.45">
      <c r="A368">
        <v>1982</v>
      </c>
      <c r="B368" t="s">
        <v>202</v>
      </c>
      <c r="C368">
        <v>0</v>
      </c>
      <c r="D368">
        <v>0</v>
      </c>
      <c r="E368">
        <v>0</v>
      </c>
      <c r="F368">
        <v>0</v>
      </c>
      <c r="G368">
        <v>0</v>
      </c>
      <c r="H368">
        <v>1</v>
      </c>
      <c r="I368">
        <v>1</v>
      </c>
      <c r="J368">
        <v>27689.9103366243</v>
      </c>
      <c r="K368">
        <v>25185.413327602098</v>
      </c>
      <c r="L368">
        <v>16.448</v>
      </c>
      <c r="M368">
        <v>73.724000000000004</v>
      </c>
      <c r="N368">
        <v>14.313000000000001</v>
      </c>
    </row>
    <row r="369" spans="1:14" x14ac:dyDescent="0.45">
      <c r="A369">
        <v>1982</v>
      </c>
      <c r="B369" t="s">
        <v>203</v>
      </c>
      <c r="C369">
        <v>0</v>
      </c>
      <c r="D369">
        <v>0</v>
      </c>
      <c r="E369">
        <v>0</v>
      </c>
      <c r="F369">
        <v>0</v>
      </c>
      <c r="G369">
        <v>1</v>
      </c>
      <c r="H369">
        <v>0</v>
      </c>
      <c r="I369">
        <v>0</v>
      </c>
      <c r="J369">
        <v>27625.6847085962</v>
      </c>
      <c r="K369">
        <v>24004.526154810701</v>
      </c>
      <c r="L369">
        <v>48.615000000000002</v>
      </c>
      <c r="M369">
        <v>62.048999999999999</v>
      </c>
      <c r="N369">
        <v>89.741</v>
      </c>
    </row>
    <row r="370" spans="1:14" x14ac:dyDescent="0.45">
      <c r="A370">
        <v>1982</v>
      </c>
      <c r="B370" t="s">
        <v>204</v>
      </c>
      <c r="C370">
        <v>0</v>
      </c>
      <c r="D370">
        <v>0</v>
      </c>
      <c r="E370">
        <v>0</v>
      </c>
      <c r="F370">
        <v>0</v>
      </c>
      <c r="G370">
        <v>0</v>
      </c>
      <c r="H370">
        <v>0</v>
      </c>
      <c r="I370">
        <v>0</v>
      </c>
      <c r="J370">
        <v>2593.9032718891099</v>
      </c>
      <c r="K370">
        <v>2469.1333603171802</v>
      </c>
      <c r="L370">
        <v>71.381</v>
      </c>
      <c r="M370">
        <v>58.290999999999997</v>
      </c>
      <c r="N370">
        <v>160.41800000000001</v>
      </c>
    </row>
    <row r="371" spans="1:14" x14ac:dyDescent="0.45">
      <c r="A371">
        <v>1982</v>
      </c>
      <c r="B371" t="s">
        <v>205</v>
      </c>
      <c r="C371">
        <v>0</v>
      </c>
      <c r="D371">
        <v>1</v>
      </c>
      <c r="E371">
        <v>0</v>
      </c>
      <c r="F371">
        <v>0</v>
      </c>
      <c r="G371">
        <v>1</v>
      </c>
      <c r="H371">
        <v>0</v>
      </c>
      <c r="I371">
        <v>0</v>
      </c>
      <c r="J371">
        <v>13030.9027540972</v>
      </c>
      <c r="K371">
        <v>13663.918360122099</v>
      </c>
      <c r="L371">
        <v>48.874000000000002</v>
      </c>
      <c r="M371">
        <v>69.900000000000006</v>
      </c>
      <c r="N371">
        <v>40.392000000000003</v>
      </c>
    </row>
    <row r="372" spans="1:14" x14ac:dyDescent="0.45">
      <c r="A372">
        <v>1982</v>
      </c>
      <c r="B372" t="s">
        <v>206</v>
      </c>
      <c r="C372">
        <v>0</v>
      </c>
      <c r="D372">
        <v>1</v>
      </c>
      <c r="E372">
        <v>0</v>
      </c>
      <c r="F372">
        <v>1</v>
      </c>
      <c r="G372">
        <v>0</v>
      </c>
      <c r="H372">
        <v>0</v>
      </c>
      <c r="I372">
        <v>0</v>
      </c>
      <c r="J372">
        <v>8479.4096307799991</v>
      </c>
      <c r="K372">
        <v>7085.2609127865098</v>
      </c>
      <c r="L372">
        <v>34.39</v>
      </c>
      <c r="M372">
        <v>60.558999999999997</v>
      </c>
      <c r="N372">
        <v>117.97</v>
      </c>
    </row>
    <row r="373" spans="1:14" x14ac:dyDescent="0.45">
      <c r="A373">
        <v>1982</v>
      </c>
      <c r="B373" t="s">
        <v>207</v>
      </c>
      <c r="C373">
        <v>0</v>
      </c>
      <c r="D373">
        <v>0</v>
      </c>
      <c r="E373">
        <v>0</v>
      </c>
      <c r="F373">
        <v>1</v>
      </c>
      <c r="G373">
        <v>0</v>
      </c>
      <c r="H373">
        <v>0</v>
      </c>
      <c r="I373">
        <v>0</v>
      </c>
      <c r="J373">
        <v>4997.9680920030196</v>
      </c>
      <c r="K373">
        <v>4526.1627719906901</v>
      </c>
      <c r="L373">
        <v>60.656999999999996</v>
      </c>
      <c r="M373">
        <v>62.174999999999997</v>
      </c>
      <c r="N373">
        <v>77.441999999999993</v>
      </c>
    </row>
    <row r="374" spans="1:14" x14ac:dyDescent="0.45">
      <c r="A374">
        <v>1982</v>
      </c>
      <c r="B374" t="s">
        <v>208</v>
      </c>
      <c r="C374">
        <v>0</v>
      </c>
      <c r="D374">
        <v>0</v>
      </c>
      <c r="E374">
        <v>0</v>
      </c>
      <c r="F374">
        <v>0</v>
      </c>
      <c r="G374">
        <v>1</v>
      </c>
      <c r="H374">
        <v>0</v>
      </c>
      <c r="I374">
        <v>0</v>
      </c>
      <c r="J374">
        <v>15308.4164250906</v>
      </c>
      <c r="K374">
        <v>13849.837693915901</v>
      </c>
      <c r="L374">
        <v>35.578000000000003</v>
      </c>
      <c r="M374">
        <v>62.332999999999998</v>
      </c>
      <c r="N374">
        <v>43.161000000000001</v>
      </c>
    </row>
    <row r="375" spans="1:14" x14ac:dyDescent="0.45">
      <c r="A375">
        <v>1982</v>
      </c>
      <c r="B375" t="s">
        <v>209</v>
      </c>
      <c r="C375">
        <v>0</v>
      </c>
      <c r="D375">
        <v>0</v>
      </c>
      <c r="E375">
        <v>0</v>
      </c>
      <c r="F375">
        <v>1</v>
      </c>
      <c r="G375">
        <v>0</v>
      </c>
      <c r="H375">
        <v>0</v>
      </c>
      <c r="I375">
        <v>0</v>
      </c>
      <c r="J375">
        <v>3206.3959310390101</v>
      </c>
      <c r="K375">
        <v>2900.5100747451102</v>
      </c>
      <c r="L375">
        <v>86.572000000000003</v>
      </c>
      <c r="M375">
        <v>58.075000000000003</v>
      </c>
      <c r="N375">
        <v>100.32899999999999</v>
      </c>
    </row>
    <row r="376" spans="1:14" x14ac:dyDescent="0.45">
      <c r="A376">
        <v>1982</v>
      </c>
      <c r="B376" t="s">
        <v>210</v>
      </c>
      <c r="C376">
        <v>1</v>
      </c>
      <c r="D376">
        <v>0</v>
      </c>
      <c r="E376">
        <v>0</v>
      </c>
      <c r="F376">
        <v>1</v>
      </c>
      <c r="G376">
        <v>0</v>
      </c>
      <c r="H376">
        <v>0</v>
      </c>
      <c r="I376">
        <v>0</v>
      </c>
      <c r="J376">
        <v>11485.8892363837</v>
      </c>
      <c r="K376">
        <v>9914.2872275934806</v>
      </c>
      <c r="L376">
        <v>41.168999999999997</v>
      </c>
      <c r="M376">
        <v>70.915000000000006</v>
      </c>
      <c r="N376">
        <v>26.89</v>
      </c>
    </row>
    <row r="377" spans="1:14" x14ac:dyDescent="0.45">
      <c r="A377">
        <v>1982</v>
      </c>
      <c r="B377" t="s">
        <v>211</v>
      </c>
      <c r="C377">
        <v>0</v>
      </c>
      <c r="D377">
        <v>1</v>
      </c>
      <c r="E377">
        <v>0</v>
      </c>
      <c r="F377">
        <v>0</v>
      </c>
      <c r="G377">
        <v>1</v>
      </c>
      <c r="H377">
        <v>0</v>
      </c>
      <c r="I377">
        <v>0</v>
      </c>
      <c r="J377">
        <v>21367.661284525399</v>
      </c>
      <c r="K377">
        <v>16415.507739607201</v>
      </c>
      <c r="L377">
        <v>24.594000000000001</v>
      </c>
      <c r="M377">
        <v>72.948999999999998</v>
      </c>
      <c r="N377">
        <v>26.007999999999999</v>
      </c>
    </row>
    <row r="378" spans="1:14" x14ac:dyDescent="0.45">
      <c r="A378">
        <v>1982</v>
      </c>
      <c r="B378" t="s">
        <v>212</v>
      </c>
      <c r="C378">
        <v>0</v>
      </c>
      <c r="D378">
        <v>0</v>
      </c>
      <c r="E378">
        <v>0</v>
      </c>
      <c r="F378">
        <v>1</v>
      </c>
      <c r="G378">
        <v>0</v>
      </c>
      <c r="H378">
        <v>0</v>
      </c>
      <c r="I378">
        <v>0</v>
      </c>
      <c r="L378">
        <v>42.802</v>
      </c>
      <c r="M378">
        <v>68.09</v>
      </c>
      <c r="N378">
        <v>39.225999999999999</v>
      </c>
    </row>
    <row r="379" spans="1:14" x14ac:dyDescent="0.45">
      <c r="A379">
        <v>1982</v>
      </c>
      <c r="B379" t="s">
        <v>213</v>
      </c>
      <c r="C379">
        <v>1</v>
      </c>
      <c r="D379">
        <v>0</v>
      </c>
      <c r="E379">
        <v>0</v>
      </c>
      <c r="F379">
        <v>0</v>
      </c>
      <c r="G379">
        <v>1</v>
      </c>
      <c r="H379">
        <v>0</v>
      </c>
      <c r="I379">
        <v>0</v>
      </c>
      <c r="J379">
        <v>21304.3902835142</v>
      </c>
      <c r="K379">
        <v>18415.154786046602</v>
      </c>
      <c r="L379">
        <v>56.262</v>
      </c>
      <c r="M379">
        <v>72.697999999999993</v>
      </c>
      <c r="N379">
        <v>24.033999999999999</v>
      </c>
    </row>
    <row r="380" spans="1:14" x14ac:dyDescent="0.45">
      <c r="A380">
        <v>1982</v>
      </c>
      <c r="B380" t="s">
        <v>214</v>
      </c>
      <c r="C380">
        <v>0</v>
      </c>
      <c r="D380">
        <v>1</v>
      </c>
      <c r="E380">
        <v>0</v>
      </c>
      <c r="F380">
        <v>1</v>
      </c>
      <c r="G380">
        <v>0</v>
      </c>
      <c r="H380">
        <v>0</v>
      </c>
      <c r="I380">
        <v>0</v>
      </c>
      <c r="J380">
        <v>9471.8264138588602</v>
      </c>
      <c r="K380">
        <v>8641.5169691035208</v>
      </c>
      <c r="L380">
        <v>57.215000000000003</v>
      </c>
      <c r="M380">
        <v>65.075999999999993</v>
      </c>
      <c r="N380">
        <v>60.469000000000001</v>
      </c>
    </row>
    <row r="381" spans="1:14" x14ac:dyDescent="0.45">
      <c r="A381">
        <v>1982</v>
      </c>
      <c r="B381" t="s">
        <v>215</v>
      </c>
      <c r="C381">
        <v>0</v>
      </c>
      <c r="D381">
        <v>0</v>
      </c>
      <c r="E381">
        <v>0</v>
      </c>
      <c r="F381">
        <v>1</v>
      </c>
      <c r="G381">
        <v>0</v>
      </c>
      <c r="H381">
        <v>0</v>
      </c>
      <c r="I381">
        <v>0</v>
      </c>
      <c r="L381">
        <v>36.518999999999998</v>
      </c>
      <c r="M381">
        <v>63.470999999999997</v>
      </c>
      <c r="N381">
        <v>70.16</v>
      </c>
    </row>
    <row r="382" spans="1:14" x14ac:dyDescent="0.45">
      <c r="A382">
        <v>1982</v>
      </c>
      <c r="B382" t="s">
        <v>216</v>
      </c>
      <c r="C382">
        <v>0</v>
      </c>
      <c r="D382">
        <v>0</v>
      </c>
      <c r="E382">
        <v>0</v>
      </c>
      <c r="F382">
        <v>0</v>
      </c>
      <c r="G382">
        <v>0</v>
      </c>
      <c r="H382">
        <v>1</v>
      </c>
      <c r="I382">
        <v>1</v>
      </c>
      <c r="L382">
        <v>41.107999999999997</v>
      </c>
      <c r="M382">
        <v>68.921999999999997</v>
      </c>
      <c r="N382">
        <v>39.76</v>
      </c>
    </row>
    <row r="383" spans="1:14" x14ac:dyDescent="0.45">
      <c r="A383">
        <v>1982</v>
      </c>
      <c r="B383" t="s">
        <v>217</v>
      </c>
      <c r="C383">
        <v>0</v>
      </c>
      <c r="D383">
        <v>0</v>
      </c>
      <c r="E383">
        <v>0</v>
      </c>
      <c r="F383">
        <v>0</v>
      </c>
      <c r="G383">
        <v>0</v>
      </c>
      <c r="H383">
        <v>1</v>
      </c>
      <c r="I383">
        <v>1</v>
      </c>
      <c r="J383">
        <v>93485.449238898596</v>
      </c>
      <c r="K383">
        <v>80724.4855410124</v>
      </c>
      <c r="L383">
        <v>10.337</v>
      </c>
      <c r="M383">
        <v>70.703999999999994</v>
      </c>
      <c r="N383">
        <v>32.799999999999997</v>
      </c>
    </row>
    <row r="384" spans="1:14" x14ac:dyDescent="0.45">
      <c r="A384">
        <v>1982</v>
      </c>
      <c r="B384" t="s">
        <v>218</v>
      </c>
      <c r="C384">
        <v>1</v>
      </c>
      <c r="D384">
        <v>0</v>
      </c>
      <c r="E384">
        <v>0</v>
      </c>
      <c r="F384">
        <v>0</v>
      </c>
      <c r="G384">
        <v>1</v>
      </c>
      <c r="H384">
        <v>0</v>
      </c>
      <c r="I384">
        <v>0</v>
      </c>
      <c r="J384">
        <v>14982.732326847799</v>
      </c>
      <c r="K384">
        <v>12178.505189531101</v>
      </c>
      <c r="L384">
        <v>52.505000000000003</v>
      </c>
      <c r="M384">
        <v>69.799000000000007</v>
      </c>
      <c r="N384">
        <v>33.92</v>
      </c>
    </row>
    <row r="385" spans="1:14" x14ac:dyDescent="0.45">
      <c r="A385">
        <v>1982</v>
      </c>
      <c r="B385" t="s">
        <v>219</v>
      </c>
      <c r="C385">
        <v>1</v>
      </c>
      <c r="D385">
        <v>0</v>
      </c>
      <c r="E385">
        <v>0</v>
      </c>
      <c r="F385">
        <v>0</v>
      </c>
      <c r="G385">
        <v>1</v>
      </c>
      <c r="H385">
        <v>0</v>
      </c>
      <c r="I385">
        <v>0</v>
      </c>
      <c r="L385">
        <v>29.369</v>
      </c>
      <c r="M385">
        <v>68.141000000000005</v>
      </c>
      <c r="N385">
        <v>25.597999999999999</v>
      </c>
    </row>
    <row r="386" spans="1:14" x14ac:dyDescent="0.45">
      <c r="A386">
        <v>1982</v>
      </c>
      <c r="B386" t="s">
        <v>220</v>
      </c>
      <c r="C386">
        <v>0</v>
      </c>
      <c r="D386">
        <v>0</v>
      </c>
      <c r="E386">
        <v>1</v>
      </c>
      <c r="F386">
        <v>0</v>
      </c>
      <c r="G386">
        <v>0</v>
      </c>
      <c r="H386">
        <v>0</v>
      </c>
      <c r="I386">
        <v>0</v>
      </c>
      <c r="J386">
        <v>1351.3282845776901</v>
      </c>
      <c r="K386">
        <v>1130.8642871300699</v>
      </c>
      <c r="L386">
        <v>95.147000000000006</v>
      </c>
      <c r="M386">
        <v>50.188000000000002</v>
      </c>
      <c r="N386">
        <v>189.94300000000001</v>
      </c>
    </row>
    <row r="387" spans="1:14" x14ac:dyDescent="0.45">
      <c r="A387">
        <v>1982</v>
      </c>
      <c r="B387" t="s">
        <v>221</v>
      </c>
      <c r="C387">
        <v>0</v>
      </c>
      <c r="D387">
        <v>0</v>
      </c>
      <c r="E387">
        <v>0</v>
      </c>
      <c r="F387">
        <v>0</v>
      </c>
      <c r="G387">
        <v>0</v>
      </c>
      <c r="H387">
        <v>1</v>
      </c>
      <c r="I387">
        <v>1</v>
      </c>
      <c r="J387">
        <v>146160.938186946</v>
      </c>
      <c r="K387">
        <v>133997.138539899</v>
      </c>
      <c r="L387">
        <v>31.327000000000002</v>
      </c>
      <c r="M387">
        <v>64.007999999999996</v>
      </c>
      <c r="N387">
        <v>80.808000000000007</v>
      </c>
    </row>
    <row r="388" spans="1:14" x14ac:dyDescent="0.45">
      <c r="A388">
        <v>1982</v>
      </c>
      <c r="B388" t="s">
        <v>222</v>
      </c>
      <c r="C388">
        <v>0</v>
      </c>
      <c r="D388">
        <v>0</v>
      </c>
      <c r="E388">
        <v>1</v>
      </c>
      <c r="F388">
        <v>0</v>
      </c>
      <c r="G388">
        <v>0</v>
      </c>
      <c r="H388">
        <v>0</v>
      </c>
      <c r="I388">
        <v>0</v>
      </c>
      <c r="J388">
        <v>2327.0452018001001</v>
      </c>
      <c r="K388">
        <v>2436.7232036345299</v>
      </c>
      <c r="L388">
        <v>79.623999999999995</v>
      </c>
      <c r="M388">
        <v>54.375</v>
      </c>
      <c r="N388">
        <v>144.90299999999999</v>
      </c>
    </row>
    <row r="389" spans="1:14" x14ac:dyDescent="0.45">
      <c r="A389">
        <v>1982</v>
      </c>
      <c r="B389" t="s">
        <v>223</v>
      </c>
      <c r="C389">
        <v>0</v>
      </c>
      <c r="D389">
        <v>0</v>
      </c>
      <c r="E389">
        <v>1</v>
      </c>
      <c r="F389">
        <v>1</v>
      </c>
      <c r="G389">
        <v>0</v>
      </c>
      <c r="H389">
        <v>0</v>
      </c>
      <c r="I389">
        <v>0</v>
      </c>
      <c r="J389">
        <v>2956.1980810037498</v>
      </c>
      <c r="K389">
        <v>2469.7231949274901</v>
      </c>
      <c r="L389">
        <v>63.524000000000001</v>
      </c>
      <c r="M389">
        <v>49.863</v>
      </c>
      <c r="N389">
        <v>192.68</v>
      </c>
    </row>
    <row r="390" spans="1:14" x14ac:dyDescent="0.45">
      <c r="A390">
        <v>1982</v>
      </c>
      <c r="B390" t="s">
        <v>224</v>
      </c>
      <c r="C390">
        <v>0</v>
      </c>
      <c r="D390">
        <v>0</v>
      </c>
      <c r="E390">
        <v>0</v>
      </c>
      <c r="F390">
        <v>0</v>
      </c>
      <c r="G390">
        <v>0</v>
      </c>
      <c r="H390">
        <v>1</v>
      </c>
      <c r="I390">
        <v>1</v>
      </c>
      <c r="J390">
        <v>30480.636459184901</v>
      </c>
      <c r="K390">
        <v>25056.2204984284</v>
      </c>
      <c r="L390">
        <v>0</v>
      </c>
      <c r="M390">
        <v>72.015000000000001</v>
      </c>
      <c r="N390">
        <v>13.06</v>
      </c>
    </row>
    <row r="391" spans="1:14" x14ac:dyDescent="0.45">
      <c r="A391">
        <v>1982</v>
      </c>
      <c r="B391" t="s">
        <v>225</v>
      </c>
      <c r="C391">
        <v>0</v>
      </c>
      <c r="D391">
        <v>0</v>
      </c>
      <c r="E391">
        <v>0</v>
      </c>
      <c r="F391">
        <v>0</v>
      </c>
      <c r="G391">
        <v>0</v>
      </c>
      <c r="H391">
        <v>0</v>
      </c>
      <c r="I391">
        <v>0</v>
      </c>
      <c r="J391">
        <v>2707.2916964866899</v>
      </c>
      <c r="K391">
        <v>2448.9428632858599</v>
      </c>
      <c r="L391">
        <v>88.712000000000003</v>
      </c>
      <c r="M391">
        <v>64.456000000000003</v>
      </c>
      <c r="N391">
        <v>48.720999999999997</v>
      </c>
    </row>
    <row r="392" spans="1:14" x14ac:dyDescent="0.45">
      <c r="A392">
        <v>1982</v>
      </c>
      <c r="B392" t="s">
        <v>226</v>
      </c>
      <c r="C392">
        <v>0</v>
      </c>
      <c r="D392">
        <v>0</v>
      </c>
      <c r="E392">
        <v>1</v>
      </c>
      <c r="F392">
        <v>0</v>
      </c>
      <c r="G392">
        <v>0</v>
      </c>
      <c r="H392">
        <v>0</v>
      </c>
      <c r="I392">
        <v>0</v>
      </c>
      <c r="J392">
        <v>3182.2596194582402</v>
      </c>
      <c r="K392">
        <v>2888.4434363406699</v>
      </c>
      <c r="L392">
        <v>69.319999999999993</v>
      </c>
      <c r="M392">
        <v>43.302</v>
      </c>
      <c r="N392">
        <v>281.471</v>
      </c>
    </row>
    <row r="393" spans="1:14" x14ac:dyDescent="0.45">
      <c r="A393">
        <v>1982</v>
      </c>
      <c r="B393" t="s">
        <v>227</v>
      </c>
      <c r="C393">
        <v>0</v>
      </c>
      <c r="D393">
        <v>1</v>
      </c>
      <c r="E393">
        <v>0</v>
      </c>
      <c r="F393">
        <v>1</v>
      </c>
      <c r="G393">
        <v>0</v>
      </c>
      <c r="H393">
        <v>0</v>
      </c>
      <c r="I393">
        <v>0</v>
      </c>
      <c r="J393">
        <v>6761.2376708490001</v>
      </c>
      <c r="K393">
        <v>6022.5751285840397</v>
      </c>
      <c r="L393">
        <v>54.872999999999998</v>
      </c>
      <c r="M393">
        <v>53.341999999999999</v>
      </c>
      <c r="N393">
        <v>125.70399999999999</v>
      </c>
    </row>
    <row r="394" spans="1:14" x14ac:dyDescent="0.45">
      <c r="A394">
        <v>1982</v>
      </c>
      <c r="B394" t="s">
        <v>228</v>
      </c>
      <c r="C394">
        <v>1</v>
      </c>
      <c r="D394">
        <v>0</v>
      </c>
      <c r="E394">
        <v>0</v>
      </c>
      <c r="F394">
        <v>0</v>
      </c>
      <c r="G394">
        <v>0</v>
      </c>
      <c r="H394">
        <v>1</v>
      </c>
      <c r="I394">
        <v>1</v>
      </c>
      <c r="L394">
        <v>15.616</v>
      </c>
      <c r="M394">
        <v>76.808000000000007</v>
      </c>
      <c r="N394">
        <v>11.797000000000001</v>
      </c>
    </row>
    <row r="395" spans="1:14" x14ac:dyDescent="0.45">
      <c r="A395">
        <v>1982</v>
      </c>
      <c r="B395" t="s">
        <v>229</v>
      </c>
      <c r="C395">
        <v>0</v>
      </c>
      <c r="D395">
        <v>0</v>
      </c>
      <c r="E395">
        <v>1</v>
      </c>
      <c r="F395">
        <v>0</v>
      </c>
      <c r="G395">
        <v>0</v>
      </c>
      <c r="H395">
        <v>0</v>
      </c>
      <c r="I395">
        <v>0</v>
      </c>
      <c r="J395">
        <v>779.57672311498402</v>
      </c>
      <c r="K395">
        <v>723.08413713289701</v>
      </c>
      <c r="L395">
        <v>72.72</v>
      </c>
      <c r="M395">
        <v>48.02</v>
      </c>
      <c r="N395">
        <v>196.673</v>
      </c>
    </row>
    <row r="396" spans="1:14" x14ac:dyDescent="0.45">
      <c r="A396">
        <v>1982</v>
      </c>
      <c r="B396" t="s">
        <v>230</v>
      </c>
      <c r="C396">
        <v>1</v>
      </c>
      <c r="D396">
        <v>0</v>
      </c>
      <c r="E396">
        <v>0</v>
      </c>
      <c r="F396">
        <v>0</v>
      </c>
      <c r="G396">
        <v>1</v>
      </c>
      <c r="H396">
        <v>0</v>
      </c>
      <c r="I396">
        <v>0</v>
      </c>
      <c r="L396">
        <v>52.887999999999998</v>
      </c>
      <c r="M396">
        <v>71.034999999999997</v>
      </c>
      <c r="N396">
        <v>24.544</v>
      </c>
    </row>
    <row r="397" spans="1:14" x14ac:dyDescent="0.45">
      <c r="A397">
        <v>1982</v>
      </c>
      <c r="B397" t="s">
        <v>231</v>
      </c>
      <c r="C397">
        <v>0</v>
      </c>
      <c r="D397">
        <v>0</v>
      </c>
      <c r="E397">
        <v>1</v>
      </c>
      <c r="F397">
        <v>1</v>
      </c>
      <c r="G397">
        <v>0</v>
      </c>
      <c r="H397">
        <v>0</v>
      </c>
      <c r="I397">
        <v>0</v>
      </c>
      <c r="L397">
        <v>91.503</v>
      </c>
      <c r="M397">
        <v>38.677</v>
      </c>
      <c r="N397">
        <v>284.57100000000003</v>
      </c>
    </row>
    <row r="398" spans="1:14" x14ac:dyDescent="0.45">
      <c r="A398">
        <v>1982</v>
      </c>
      <c r="B398" t="s">
        <v>232</v>
      </c>
      <c r="C398">
        <v>0</v>
      </c>
      <c r="D398">
        <v>0</v>
      </c>
      <c r="E398">
        <v>1</v>
      </c>
      <c r="F398">
        <v>0</v>
      </c>
      <c r="G398">
        <v>0</v>
      </c>
      <c r="H398">
        <v>0</v>
      </c>
      <c r="I398">
        <v>0</v>
      </c>
      <c r="J398">
        <v>4885.1804986371799</v>
      </c>
      <c r="K398">
        <v>3040.4595555076698</v>
      </c>
      <c r="L398">
        <v>65.174000000000007</v>
      </c>
      <c r="M398">
        <v>59.533000000000001</v>
      </c>
      <c r="N398">
        <v>123.658</v>
      </c>
    </row>
    <row r="399" spans="1:14" x14ac:dyDescent="0.45">
      <c r="A399">
        <v>1982</v>
      </c>
      <c r="B399" t="s">
        <v>233</v>
      </c>
      <c r="C399">
        <v>0</v>
      </c>
      <c r="D399">
        <v>1</v>
      </c>
      <c r="E399">
        <v>0</v>
      </c>
      <c r="F399">
        <v>0</v>
      </c>
      <c r="G399">
        <v>1</v>
      </c>
      <c r="H399">
        <v>0</v>
      </c>
      <c r="I399">
        <v>0</v>
      </c>
      <c r="J399">
        <v>19053.560841519</v>
      </c>
      <c r="K399">
        <v>15166.2462396914</v>
      </c>
      <c r="L399">
        <v>34.89</v>
      </c>
      <c r="M399">
        <v>60.933999999999997</v>
      </c>
      <c r="N399">
        <v>57.673000000000002</v>
      </c>
    </row>
    <row r="400" spans="1:14" x14ac:dyDescent="0.45">
      <c r="A400">
        <v>1982</v>
      </c>
      <c r="B400" t="s">
        <v>234</v>
      </c>
      <c r="C400">
        <v>1</v>
      </c>
      <c r="D400">
        <v>0</v>
      </c>
      <c r="E400">
        <v>0</v>
      </c>
      <c r="F400">
        <v>0</v>
      </c>
      <c r="G400">
        <v>1</v>
      </c>
      <c r="H400">
        <v>0</v>
      </c>
      <c r="I400">
        <v>0</v>
      </c>
      <c r="L400">
        <v>47.222999999999999</v>
      </c>
      <c r="M400">
        <v>70.760999999999996</v>
      </c>
      <c r="N400">
        <v>20.52</v>
      </c>
    </row>
    <row r="401" spans="1:14" x14ac:dyDescent="0.45">
      <c r="A401">
        <v>1982</v>
      </c>
      <c r="B401" t="s">
        <v>235</v>
      </c>
      <c r="C401">
        <v>1</v>
      </c>
      <c r="D401">
        <v>0</v>
      </c>
      <c r="E401">
        <v>0</v>
      </c>
      <c r="F401">
        <v>0</v>
      </c>
      <c r="G401">
        <v>1</v>
      </c>
      <c r="H401">
        <v>0</v>
      </c>
      <c r="I401">
        <v>0</v>
      </c>
      <c r="L401">
        <v>50.898000000000003</v>
      </c>
      <c r="M401">
        <v>71.367999999999995</v>
      </c>
      <c r="N401">
        <v>15.738</v>
      </c>
    </row>
    <row r="402" spans="1:14" x14ac:dyDescent="0.45">
      <c r="A402">
        <v>1982</v>
      </c>
      <c r="B402" t="s">
        <v>236</v>
      </c>
      <c r="C402">
        <v>1</v>
      </c>
      <c r="D402">
        <v>0</v>
      </c>
      <c r="E402">
        <v>0</v>
      </c>
      <c r="F402">
        <v>0</v>
      </c>
      <c r="G402">
        <v>0</v>
      </c>
      <c r="H402">
        <v>1</v>
      </c>
      <c r="I402">
        <v>1</v>
      </c>
      <c r="J402">
        <v>33193.223774434096</v>
      </c>
      <c r="K402">
        <v>28354.2642247927</v>
      </c>
      <c r="L402">
        <v>16.899999999999999</v>
      </c>
      <c r="M402">
        <v>76.349999999999994</v>
      </c>
      <c r="N402">
        <v>8.0679999999999996</v>
      </c>
    </row>
    <row r="403" spans="1:14" x14ac:dyDescent="0.45">
      <c r="A403">
        <v>1982</v>
      </c>
      <c r="B403" t="s">
        <v>237</v>
      </c>
      <c r="C403">
        <v>0</v>
      </c>
      <c r="D403">
        <v>0</v>
      </c>
      <c r="E403">
        <v>1</v>
      </c>
      <c r="F403">
        <v>1</v>
      </c>
      <c r="G403">
        <v>0</v>
      </c>
      <c r="H403">
        <v>0</v>
      </c>
      <c r="I403">
        <v>0</v>
      </c>
      <c r="J403">
        <v>4294.37705987966</v>
      </c>
      <c r="K403">
        <v>3802.6716732495202</v>
      </c>
      <c r="L403">
        <v>82.823999999999998</v>
      </c>
      <c r="M403">
        <v>59.466999999999999</v>
      </c>
      <c r="N403">
        <v>101.97199999999999</v>
      </c>
    </row>
    <row r="404" spans="1:14" x14ac:dyDescent="0.45">
      <c r="A404">
        <v>1982</v>
      </c>
      <c r="B404" t="s">
        <v>238</v>
      </c>
      <c r="C404">
        <v>0</v>
      </c>
      <c r="D404">
        <v>1</v>
      </c>
      <c r="E404">
        <v>0</v>
      </c>
      <c r="F404">
        <v>0</v>
      </c>
      <c r="G404">
        <v>0</v>
      </c>
      <c r="H404">
        <v>1</v>
      </c>
      <c r="I404">
        <v>1</v>
      </c>
      <c r="L404">
        <v>0</v>
      </c>
      <c r="M404">
        <v>72.010000000000005</v>
      </c>
      <c r="N404">
        <v>26.969000000000001</v>
      </c>
    </row>
    <row r="405" spans="1:14" x14ac:dyDescent="0.45">
      <c r="A405">
        <v>1982</v>
      </c>
      <c r="B405" t="s">
        <v>239</v>
      </c>
      <c r="C405">
        <v>0</v>
      </c>
      <c r="D405">
        <v>0</v>
      </c>
      <c r="E405">
        <v>1</v>
      </c>
      <c r="F405">
        <v>0</v>
      </c>
      <c r="G405">
        <v>1</v>
      </c>
      <c r="H405">
        <v>0</v>
      </c>
      <c r="I405">
        <v>0</v>
      </c>
      <c r="J405">
        <v>12165.002061855101</v>
      </c>
      <c r="K405">
        <v>11810.39079154</v>
      </c>
      <c r="L405">
        <v>50.662999999999997</v>
      </c>
      <c r="M405">
        <v>69.004000000000005</v>
      </c>
      <c r="N405">
        <v>25.495000000000001</v>
      </c>
    </row>
    <row r="406" spans="1:14" x14ac:dyDescent="0.45">
      <c r="A406">
        <v>1982</v>
      </c>
      <c r="B406" t="s">
        <v>240</v>
      </c>
      <c r="C406">
        <v>0</v>
      </c>
      <c r="D406">
        <v>0</v>
      </c>
      <c r="E406">
        <v>0</v>
      </c>
      <c r="F406">
        <v>1</v>
      </c>
      <c r="G406">
        <v>0</v>
      </c>
      <c r="H406">
        <v>0</v>
      </c>
      <c r="I406">
        <v>0</v>
      </c>
      <c r="J406">
        <v>7563.7370753104296</v>
      </c>
      <c r="K406">
        <v>4961.26260943124</v>
      </c>
      <c r="L406">
        <v>52.731999999999999</v>
      </c>
      <c r="M406">
        <v>60.838999999999999</v>
      </c>
      <c r="N406">
        <v>71.131</v>
      </c>
    </row>
    <row r="407" spans="1:14" x14ac:dyDescent="0.45">
      <c r="A407">
        <v>1982</v>
      </c>
      <c r="B407" t="s">
        <v>241</v>
      </c>
      <c r="C407">
        <v>0</v>
      </c>
      <c r="D407">
        <v>1</v>
      </c>
      <c r="E407">
        <v>0</v>
      </c>
      <c r="F407">
        <v>0</v>
      </c>
      <c r="G407">
        <v>0</v>
      </c>
      <c r="H407">
        <v>1</v>
      </c>
      <c r="I407">
        <v>1</v>
      </c>
      <c r="L407">
        <v>40.564999999999998</v>
      </c>
      <c r="M407">
        <v>67.747</v>
      </c>
      <c r="N407">
        <v>31.102</v>
      </c>
    </row>
    <row r="408" spans="1:14" x14ac:dyDescent="0.45">
      <c r="A408">
        <v>1982</v>
      </c>
      <c r="B408" t="s">
        <v>242</v>
      </c>
      <c r="C408">
        <v>0</v>
      </c>
      <c r="D408">
        <v>0</v>
      </c>
      <c r="E408">
        <v>1</v>
      </c>
      <c r="F408">
        <v>0</v>
      </c>
      <c r="G408">
        <v>0</v>
      </c>
      <c r="H408">
        <v>0</v>
      </c>
      <c r="I408">
        <v>0</v>
      </c>
      <c r="J408">
        <v>1277.80218822541</v>
      </c>
      <c r="K408">
        <v>1073.4000672305799</v>
      </c>
      <c r="L408">
        <v>80.820999999999998</v>
      </c>
      <c r="M408">
        <v>43.91</v>
      </c>
      <c r="N408">
        <v>236.89099999999999</v>
      </c>
    </row>
    <row r="409" spans="1:14" x14ac:dyDescent="0.45">
      <c r="A409">
        <v>1982</v>
      </c>
      <c r="B409" t="s">
        <v>243</v>
      </c>
      <c r="C409">
        <v>0</v>
      </c>
      <c r="D409">
        <v>0</v>
      </c>
      <c r="E409">
        <v>1</v>
      </c>
      <c r="F409">
        <v>0</v>
      </c>
      <c r="G409">
        <v>0</v>
      </c>
      <c r="H409">
        <v>0</v>
      </c>
      <c r="I409">
        <v>0</v>
      </c>
      <c r="J409">
        <v>2440.3464168260998</v>
      </c>
      <c r="K409">
        <v>2028.0199786250901</v>
      </c>
      <c r="L409">
        <v>74.608999999999995</v>
      </c>
      <c r="M409">
        <v>53.273000000000003</v>
      </c>
      <c r="N409">
        <v>171.86500000000001</v>
      </c>
    </row>
    <row r="410" spans="1:14" x14ac:dyDescent="0.45">
      <c r="A410">
        <v>1982</v>
      </c>
      <c r="B410" t="s">
        <v>244</v>
      </c>
      <c r="C410">
        <v>0</v>
      </c>
      <c r="D410">
        <v>0</v>
      </c>
      <c r="E410">
        <v>0</v>
      </c>
      <c r="F410">
        <v>1</v>
      </c>
      <c r="G410">
        <v>0</v>
      </c>
      <c r="H410">
        <v>0</v>
      </c>
      <c r="I410">
        <v>0</v>
      </c>
      <c r="J410">
        <v>5594.4213140699603</v>
      </c>
      <c r="K410">
        <v>4892.4729078970004</v>
      </c>
      <c r="L410">
        <v>72.691999999999993</v>
      </c>
      <c r="M410">
        <v>63.603000000000002</v>
      </c>
      <c r="N410">
        <v>55.619</v>
      </c>
    </row>
    <row r="411" spans="1:14" x14ac:dyDescent="0.45">
      <c r="A411">
        <v>1982</v>
      </c>
      <c r="B411" t="s">
        <v>245</v>
      </c>
      <c r="C411">
        <v>1</v>
      </c>
      <c r="D411">
        <v>0</v>
      </c>
      <c r="E411">
        <v>0</v>
      </c>
      <c r="F411">
        <v>1</v>
      </c>
      <c r="G411">
        <v>0</v>
      </c>
      <c r="H411">
        <v>0</v>
      </c>
      <c r="I411">
        <v>0</v>
      </c>
      <c r="L411">
        <v>66.134</v>
      </c>
      <c r="M411">
        <v>60.161000000000001</v>
      </c>
      <c r="N411">
        <v>127.95</v>
      </c>
    </row>
    <row r="412" spans="1:14" x14ac:dyDescent="0.45">
      <c r="A412">
        <v>1982</v>
      </c>
      <c r="B412" t="s">
        <v>246</v>
      </c>
      <c r="C412">
        <v>1</v>
      </c>
      <c r="D412">
        <v>0</v>
      </c>
      <c r="E412">
        <v>0</v>
      </c>
      <c r="F412">
        <v>1</v>
      </c>
      <c r="G412">
        <v>0</v>
      </c>
      <c r="H412">
        <v>0</v>
      </c>
      <c r="I412">
        <v>0</v>
      </c>
      <c r="L412">
        <v>53.363</v>
      </c>
      <c r="M412">
        <v>61.576999999999998</v>
      </c>
      <c r="N412">
        <v>104.015</v>
      </c>
    </row>
    <row r="413" spans="1:14" x14ac:dyDescent="0.45">
      <c r="A413">
        <v>1982</v>
      </c>
      <c r="B413" t="s">
        <v>247</v>
      </c>
      <c r="C413">
        <v>0</v>
      </c>
      <c r="D413">
        <v>0</v>
      </c>
      <c r="E413">
        <v>0</v>
      </c>
      <c r="F413">
        <v>0</v>
      </c>
      <c r="G413">
        <v>0</v>
      </c>
      <c r="H413">
        <v>0</v>
      </c>
      <c r="I413">
        <v>0</v>
      </c>
      <c r="L413">
        <v>82.709000000000003</v>
      </c>
      <c r="M413">
        <v>32.247</v>
      </c>
      <c r="N413">
        <v>278.084</v>
      </c>
    </row>
    <row r="414" spans="1:14" x14ac:dyDescent="0.45">
      <c r="A414">
        <v>1982</v>
      </c>
      <c r="B414" t="s">
        <v>248</v>
      </c>
      <c r="C414">
        <v>0</v>
      </c>
      <c r="D414">
        <v>0</v>
      </c>
      <c r="E414">
        <v>0</v>
      </c>
      <c r="F414">
        <v>1</v>
      </c>
      <c r="G414">
        <v>0</v>
      </c>
      <c r="H414">
        <v>0</v>
      </c>
      <c r="I414">
        <v>0</v>
      </c>
      <c r="J414">
        <v>3928.3524799244901</v>
      </c>
      <c r="K414">
        <v>3556.0675062701598</v>
      </c>
      <c r="L414">
        <v>78.406000000000006</v>
      </c>
      <c r="M414">
        <v>66.326999999999998</v>
      </c>
      <c r="N414">
        <v>28.975000000000001</v>
      </c>
    </row>
    <row r="415" spans="1:14" x14ac:dyDescent="0.45">
      <c r="A415">
        <v>1982</v>
      </c>
      <c r="B415" t="s">
        <v>249</v>
      </c>
      <c r="C415">
        <v>0</v>
      </c>
      <c r="D415">
        <v>1</v>
      </c>
      <c r="E415">
        <v>0</v>
      </c>
      <c r="F415">
        <v>0</v>
      </c>
      <c r="G415">
        <v>1</v>
      </c>
      <c r="H415">
        <v>0</v>
      </c>
      <c r="I415">
        <v>0</v>
      </c>
      <c r="J415">
        <v>17566.092319407799</v>
      </c>
      <c r="K415">
        <v>14660.5381281601</v>
      </c>
      <c r="L415">
        <v>47.347000000000001</v>
      </c>
      <c r="M415">
        <v>66.382000000000005</v>
      </c>
      <c r="N415">
        <v>36.954999999999998</v>
      </c>
    </row>
    <row r="416" spans="1:14" x14ac:dyDescent="0.45">
      <c r="A416">
        <v>1982</v>
      </c>
      <c r="B416" t="s">
        <v>250</v>
      </c>
      <c r="C416">
        <v>0</v>
      </c>
      <c r="D416">
        <v>0</v>
      </c>
      <c r="E416">
        <v>0</v>
      </c>
      <c r="F416">
        <v>1</v>
      </c>
      <c r="G416">
        <v>0</v>
      </c>
      <c r="H416">
        <v>0</v>
      </c>
      <c r="I416">
        <v>0</v>
      </c>
      <c r="J416">
        <v>6524.21071410062</v>
      </c>
      <c r="K416">
        <v>5685.7406546466</v>
      </c>
      <c r="L416">
        <v>48.24</v>
      </c>
      <c r="M416">
        <v>65.010000000000005</v>
      </c>
      <c r="N416">
        <v>84.698999999999998</v>
      </c>
    </row>
    <row r="417" spans="1:14" x14ac:dyDescent="0.45">
      <c r="A417">
        <v>1982</v>
      </c>
      <c r="B417" t="s">
        <v>251</v>
      </c>
      <c r="C417">
        <v>1</v>
      </c>
      <c r="D417">
        <v>0</v>
      </c>
      <c r="E417">
        <v>0</v>
      </c>
      <c r="F417">
        <v>1</v>
      </c>
      <c r="G417">
        <v>0</v>
      </c>
      <c r="H417">
        <v>0</v>
      </c>
      <c r="I417">
        <v>0</v>
      </c>
      <c r="J417">
        <v>9804.1683953023294</v>
      </c>
      <c r="K417">
        <v>9830.39611932359</v>
      </c>
      <c r="L417">
        <v>53.003</v>
      </c>
      <c r="M417">
        <v>63.74</v>
      </c>
      <c r="N417">
        <v>115.202</v>
      </c>
    </row>
    <row r="418" spans="1:14" x14ac:dyDescent="0.45">
      <c r="A418">
        <v>1982</v>
      </c>
      <c r="B418" t="s">
        <v>252</v>
      </c>
      <c r="C418">
        <v>0</v>
      </c>
      <c r="D418">
        <v>0</v>
      </c>
      <c r="E418">
        <v>0</v>
      </c>
      <c r="F418">
        <v>1</v>
      </c>
      <c r="G418">
        <v>0</v>
      </c>
      <c r="H418">
        <v>0</v>
      </c>
      <c r="I418">
        <v>0</v>
      </c>
      <c r="J418">
        <v>1604.5362738769099</v>
      </c>
      <c r="K418">
        <v>1451.5508256243299</v>
      </c>
      <c r="L418">
        <v>68.456000000000003</v>
      </c>
      <c r="M418">
        <v>60.746000000000002</v>
      </c>
      <c r="N418">
        <v>60.99</v>
      </c>
    </row>
    <row r="419" spans="1:14" x14ac:dyDescent="0.45">
      <c r="A419">
        <v>1982</v>
      </c>
      <c r="B419" t="s">
        <v>253</v>
      </c>
      <c r="C419">
        <v>0</v>
      </c>
      <c r="D419">
        <v>0</v>
      </c>
      <c r="E419">
        <v>0</v>
      </c>
      <c r="F419">
        <v>0</v>
      </c>
      <c r="G419">
        <v>0</v>
      </c>
      <c r="H419">
        <v>1</v>
      </c>
      <c r="I419">
        <v>1</v>
      </c>
      <c r="L419">
        <v>79.097999999999999</v>
      </c>
      <c r="M419">
        <v>72.397000000000006</v>
      </c>
      <c r="N419">
        <v>13.398999999999999</v>
      </c>
    </row>
    <row r="420" spans="1:14" x14ac:dyDescent="0.45">
      <c r="A420">
        <v>1982</v>
      </c>
      <c r="B420" t="s">
        <v>254</v>
      </c>
      <c r="C420">
        <v>0</v>
      </c>
      <c r="D420">
        <v>0</v>
      </c>
      <c r="E420">
        <v>1</v>
      </c>
      <c r="F420">
        <v>0</v>
      </c>
      <c r="G420">
        <v>0</v>
      </c>
      <c r="H420">
        <v>0</v>
      </c>
      <c r="I420">
        <v>0</v>
      </c>
      <c r="J420">
        <v>1679.8132365025399</v>
      </c>
      <c r="K420">
        <v>1251.23700400147</v>
      </c>
      <c r="L420">
        <v>84.590999999999994</v>
      </c>
      <c r="M420">
        <v>51.99</v>
      </c>
      <c r="N420">
        <v>178.518</v>
      </c>
    </row>
    <row r="421" spans="1:14" x14ac:dyDescent="0.45">
      <c r="A421">
        <v>1982</v>
      </c>
      <c r="B421" t="s">
        <v>255</v>
      </c>
      <c r="C421">
        <v>0</v>
      </c>
      <c r="D421">
        <v>0</v>
      </c>
      <c r="E421">
        <v>1</v>
      </c>
      <c r="F421">
        <v>0</v>
      </c>
      <c r="G421">
        <v>0</v>
      </c>
      <c r="H421">
        <v>0</v>
      </c>
      <c r="I421">
        <v>0</v>
      </c>
      <c r="J421">
        <v>1031.31218834429</v>
      </c>
      <c r="K421">
        <v>874.86682226308506</v>
      </c>
      <c r="L421">
        <v>91.852999999999994</v>
      </c>
      <c r="M421">
        <v>43.308999999999997</v>
      </c>
      <c r="N421">
        <v>217.762</v>
      </c>
    </row>
    <row r="422" spans="1:14" x14ac:dyDescent="0.45">
      <c r="A422">
        <v>1982</v>
      </c>
      <c r="B422" t="s">
        <v>256</v>
      </c>
      <c r="C422">
        <v>1</v>
      </c>
      <c r="D422">
        <v>0</v>
      </c>
      <c r="E422">
        <v>0</v>
      </c>
      <c r="F422">
        <v>1</v>
      </c>
      <c r="G422">
        <v>0</v>
      </c>
      <c r="H422">
        <v>0</v>
      </c>
      <c r="I422">
        <v>0</v>
      </c>
      <c r="J422">
        <v>18672.5951247591</v>
      </c>
      <c r="K422">
        <v>13206.8563988399</v>
      </c>
      <c r="L422">
        <v>37.095999999999997</v>
      </c>
      <c r="M422">
        <v>69.902000000000001</v>
      </c>
      <c r="N422">
        <v>21.161999999999999</v>
      </c>
    </row>
    <row r="423" spans="1:14" x14ac:dyDescent="0.45">
      <c r="A423">
        <v>1982</v>
      </c>
      <c r="B423" t="s">
        <v>257</v>
      </c>
      <c r="C423">
        <v>0</v>
      </c>
      <c r="D423">
        <v>1</v>
      </c>
      <c r="E423">
        <v>0</v>
      </c>
      <c r="F423">
        <v>0</v>
      </c>
      <c r="G423">
        <v>1</v>
      </c>
      <c r="H423">
        <v>0</v>
      </c>
      <c r="I423">
        <v>0</v>
      </c>
      <c r="J423">
        <v>14955.513204790301</v>
      </c>
      <c r="K423">
        <v>11862.2431573659</v>
      </c>
      <c r="L423">
        <v>13.862</v>
      </c>
      <c r="M423">
        <v>71.528000000000006</v>
      </c>
      <c r="N423">
        <v>34.351999999999997</v>
      </c>
    </row>
    <row r="424" spans="1:14" x14ac:dyDescent="0.45">
      <c r="A424">
        <v>1982</v>
      </c>
      <c r="B424" t="s">
        <v>258</v>
      </c>
      <c r="C424">
        <v>0</v>
      </c>
      <c r="D424">
        <v>0</v>
      </c>
      <c r="E424">
        <v>0</v>
      </c>
      <c r="F424">
        <v>0</v>
      </c>
      <c r="G424">
        <v>0</v>
      </c>
      <c r="H424">
        <v>1</v>
      </c>
      <c r="I424">
        <v>1</v>
      </c>
      <c r="J424">
        <v>35993.077864508101</v>
      </c>
      <c r="K424">
        <v>32670.0028164045</v>
      </c>
      <c r="L424">
        <v>25.957999999999998</v>
      </c>
      <c r="M424">
        <v>74.462999999999994</v>
      </c>
      <c r="N424">
        <v>13.805</v>
      </c>
    </row>
    <row r="425" spans="1:14" x14ac:dyDescent="0.45">
      <c r="A425">
        <v>1982</v>
      </c>
      <c r="B425" t="s">
        <v>259</v>
      </c>
      <c r="C425">
        <v>1</v>
      </c>
      <c r="D425">
        <v>0</v>
      </c>
      <c r="E425">
        <v>0</v>
      </c>
      <c r="F425">
        <v>1</v>
      </c>
      <c r="G425">
        <v>0</v>
      </c>
      <c r="H425">
        <v>0</v>
      </c>
      <c r="I425">
        <v>0</v>
      </c>
      <c r="L425">
        <v>59.241999999999997</v>
      </c>
      <c r="M425">
        <v>63.465000000000003</v>
      </c>
      <c r="N425">
        <v>91.849000000000004</v>
      </c>
    </row>
    <row r="426" spans="1:14" x14ac:dyDescent="0.45">
      <c r="A426">
        <v>1982</v>
      </c>
      <c r="B426" t="s">
        <v>260</v>
      </c>
      <c r="C426">
        <v>0</v>
      </c>
      <c r="D426">
        <v>1</v>
      </c>
      <c r="E426">
        <v>0</v>
      </c>
      <c r="F426">
        <v>1</v>
      </c>
      <c r="G426">
        <v>0</v>
      </c>
      <c r="H426">
        <v>0</v>
      </c>
      <c r="I426">
        <v>0</v>
      </c>
      <c r="J426">
        <v>5335.4570436065296</v>
      </c>
      <c r="K426">
        <v>4662.98232530733</v>
      </c>
      <c r="L426">
        <v>63.046999999999997</v>
      </c>
      <c r="M426">
        <v>68.584000000000003</v>
      </c>
      <c r="N426">
        <v>46.826999999999998</v>
      </c>
    </row>
    <row r="427" spans="1:14" x14ac:dyDescent="0.45">
      <c r="A427">
        <v>1982</v>
      </c>
      <c r="B427" t="s">
        <v>261</v>
      </c>
      <c r="C427">
        <v>0</v>
      </c>
      <c r="D427">
        <v>1</v>
      </c>
      <c r="E427">
        <v>0</v>
      </c>
      <c r="F427">
        <v>0</v>
      </c>
      <c r="G427">
        <v>1</v>
      </c>
      <c r="H427">
        <v>0</v>
      </c>
      <c r="I427">
        <v>0</v>
      </c>
      <c r="L427">
        <v>19.617999999999999</v>
      </c>
      <c r="M427">
        <v>68.984999999999999</v>
      </c>
      <c r="N427">
        <v>40.947000000000003</v>
      </c>
    </row>
    <row r="428" spans="1:14" x14ac:dyDescent="0.45">
      <c r="A428">
        <v>1982</v>
      </c>
      <c r="B428" t="s">
        <v>262</v>
      </c>
      <c r="C428">
        <v>0</v>
      </c>
      <c r="D428">
        <v>1</v>
      </c>
      <c r="E428">
        <v>0</v>
      </c>
      <c r="F428">
        <v>0</v>
      </c>
      <c r="G428">
        <v>0</v>
      </c>
      <c r="H428">
        <v>1</v>
      </c>
      <c r="I428">
        <v>1</v>
      </c>
      <c r="L428">
        <v>74.611000000000004</v>
      </c>
      <c r="M428">
        <v>70.138000000000005</v>
      </c>
      <c r="N428">
        <v>32.070999999999998</v>
      </c>
    </row>
    <row r="429" spans="1:14" x14ac:dyDescent="0.45">
      <c r="A429">
        <v>1982</v>
      </c>
      <c r="B429" t="s">
        <v>263</v>
      </c>
      <c r="C429">
        <v>0</v>
      </c>
      <c r="D429">
        <v>1</v>
      </c>
      <c r="E429">
        <v>0</v>
      </c>
      <c r="F429">
        <v>0</v>
      </c>
      <c r="G429">
        <v>0</v>
      </c>
      <c r="H429">
        <v>1</v>
      </c>
      <c r="I429">
        <v>1</v>
      </c>
      <c r="L429">
        <v>18.109000000000002</v>
      </c>
      <c r="M429">
        <v>69.126999999999995</v>
      </c>
      <c r="N429">
        <v>25.414000000000001</v>
      </c>
    </row>
    <row r="430" spans="1:14" x14ac:dyDescent="0.45">
      <c r="A430">
        <v>1982</v>
      </c>
      <c r="B430" t="s">
        <v>264</v>
      </c>
      <c r="C430">
        <v>0</v>
      </c>
      <c r="D430">
        <v>0</v>
      </c>
      <c r="E430">
        <v>0</v>
      </c>
      <c r="F430">
        <v>0</v>
      </c>
      <c r="G430">
        <v>0</v>
      </c>
      <c r="H430">
        <v>0</v>
      </c>
      <c r="I430">
        <v>0</v>
      </c>
      <c r="J430">
        <v>1892.8019390756999</v>
      </c>
      <c r="K430">
        <v>1686.6434240497099</v>
      </c>
      <c r="L430">
        <v>80.628</v>
      </c>
      <c r="M430">
        <v>66.212000000000003</v>
      </c>
      <c r="N430">
        <v>66.521000000000001</v>
      </c>
    </row>
    <row r="431" spans="1:14" x14ac:dyDescent="0.45">
      <c r="A431">
        <v>1982</v>
      </c>
      <c r="B431" t="s">
        <v>265</v>
      </c>
      <c r="C431">
        <v>0</v>
      </c>
      <c r="D431">
        <v>0</v>
      </c>
      <c r="E431">
        <v>0</v>
      </c>
      <c r="F431">
        <v>1</v>
      </c>
      <c r="G431">
        <v>0</v>
      </c>
      <c r="H431">
        <v>0</v>
      </c>
      <c r="I431">
        <v>0</v>
      </c>
      <c r="J431">
        <v>3366.1664145954601</v>
      </c>
      <c r="K431">
        <v>3045.0386692073098</v>
      </c>
      <c r="L431">
        <v>84.492000000000004</v>
      </c>
      <c r="M431">
        <v>62.54</v>
      </c>
      <c r="N431">
        <v>58.787999999999997</v>
      </c>
    </row>
    <row r="432" spans="1:14" x14ac:dyDescent="0.45">
      <c r="A432">
        <v>1982</v>
      </c>
      <c r="B432" t="s">
        <v>266</v>
      </c>
      <c r="C432">
        <v>0</v>
      </c>
      <c r="D432">
        <v>0</v>
      </c>
      <c r="E432">
        <v>0</v>
      </c>
      <c r="F432">
        <v>1</v>
      </c>
      <c r="G432">
        <v>0</v>
      </c>
      <c r="H432">
        <v>0</v>
      </c>
      <c r="I432">
        <v>0</v>
      </c>
      <c r="J432">
        <v>3617.6216458846998</v>
      </c>
      <c r="K432">
        <v>3272.5054098682099</v>
      </c>
      <c r="L432">
        <v>78.8</v>
      </c>
      <c r="M432">
        <v>65.647000000000006</v>
      </c>
      <c r="N432">
        <v>40.106000000000002</v>
      </c>
    </row>
    <row r="433" spans="1:14" x14ac:dyDescent="0.45">
      <c r="A433">
        <v>1982</v>
      </c>
      <c r="B433" t="s">
        <v>267</v>
      </c>
      <c r="C433">
        <v>1</v>
      </c>
      <c r="D433">
        <v>0</v>
      </c>
      <c r="E433">
        <v>0</v>
      </c>
      <c r="F433">
        <v>0</v>
      </c>
      <c r="G433">
        <v>1</v>
      </c>
      <c r="H433">
        <v>0</v>
      </c>
      <c r="I433">
        <v>0</v>
      </c>
      <c r="L433">
        <v>52.887999999999998</v>
      </c>
      <c r="M433">
        <v>60.073999999999998</v>
      </c>
      <c r="N433">
        <v>163.273</v>
      </c>
    </row>
    <row r="434" spans="1:14" x14ac:dyDescent="0.45">
      <c r="A434">
        <v>1982</v>
      </c>
      <c r="B434" t="s">
        <v>268</v>
      </c>
      <c r="C434">
        <v>0</v>
      </c>
      <c r="D434">
        <v>0</v>
      </c>
      <c r="E434">
        <v>0</v>
      </c>
      <c r="F434">
        <v>1</v>
      </c>
      <c r="G434">
        <v>0</v>
      </c>
      <c r="H434">
        <v>0</v>
      </c>
      <c r="I434">
        <v>0</v>
      </c>
      <c r="L434">
        <v>82.748999999999995</v>
      </c>
      <c r="M434">
        <v>52.366999999999997</v>
      </c>
      <c r="N434">
        <v>186.83099999999999</v>
      </c>
    </row>
    <row r="435" spans="1:14" x14ac:dyDescent="0.45">
      <c r="A435">
        <v>1982</v>
      </c>
      <c r="B435" t="s">
        <v>269</v>
      </c>
      <c r="C435">
        <v>0</v>
      </c>
      <c r="D435">
        <v>0</v>
      </c>
      <c r="E435">
        <v>1</v>
      </c>
      <c r="F435">
        <v>1</v>
      </c>
      <c r="G435">
        <v>0</v>
      </c>
      <c r="H435">
        <v>0</v>
      </c>
      <c r="I435">
        <v>0</v>
      </c>
      <c r="J435">
        <v>12697.9173898351</v>
      </c>
      <c r="K435">
        <v>11955.611528588001</v>
      </c>
      <c r="L435">
        <v>51.244</v>
      </c>
      <c r="M435">
        <v>60.936</v>
      </c>
      <c r="N435">
        <v>85.992999999999995</v>
      </c>
    </row>
    <row r="436" spans="1:14" x14ac:dyDescent="0.45">
      <c r="A436">
        <v>1982</v>
      </c>
      <c r="B436" t="s">
        <v>270</v>
      </c>
      <c r="C436">
        <v>0</v>
      </c>
      <c r="D436">
        <v>0</v>
      </c>
      <c r="E436">
        <v>1</v>
      </c>
      <c r="F436">
        <v>0</v>
      </c>
      <c r="G436">
        <v>0</v>
      </c>
      <c r="H436">
        <v>0</v>
      </c>
      <c r="I436">
        <v>0</v>
      </c>
      <c r="J436">
        <v>2930.3886943161301</v>
      </c>
      <c r="K436">
        <v>2751.2167207727498</v>
      </c>
      <c r="L436">
        <v>60.195</v>
      </c>
      <c r="M436">
        <v>54.360999999999997</v>
      </c>
      <c r="N436">
        <v>160.56100000000001</v>
      </c>
    </row>
    <row r="437" spans="1:14" x14ac:dyDescent="0.45">
      <c r="A437">
        <v>1982</v>
      </c>
      <c r="B437" t="s">
        <v>271</v>
      </c>
      <c r="C437">
        <v>0</v>
      </c>
      <c r="D437">
        <v>0</v>
      </c>
      <c r="E437">
        <v>1</v>
      </c>
      <c r="F437">
        <v>1</v>
      </c>
      <c r="G437">
        <v>0</v>
      </c>
      <c r="H437">
        <v>0</v>
      </c>
      <c r="I437">
        <v>0</v>
      </c>
      <c r="J437">
        <v>3916.8337381586198</v>
      </c>
      <c r="K437">
        <v>2607.9684675254098</v>
      </c>
      <c r="L437">
        <v>76.570999999999998</v>
      </c>
      <c r="M437">
        <v>59.859000000000002</v>
      </c>
      <c r="N437">
        <v>99.03</v>
      </c>
    </row>
    <row r="438" spans="1:14" x14ac:dyDescent="0.45">
      <c r="A438">
        <v>1983</v>
      </c>
      <c r="B438" t="s">
        <v>54</v>
      </c>
      <c r="C438">
        <v>0</v>
      </c>
      <c r="D438">
        <v>1</v>
      </c>
      <c r="E438">
        <v>0</v>
      </c>
      <c r="F438">
        <v>0</v>
      </c>
      <c r="G438">
        <v>0</v>
      </c>
      <c r="H438">
        <v>1</v>
      </c>
      <c r="I438">
        <v>1</v>
      </c>
      <c r="L438">
        <v>49.573999999999998</v>
      </c>
      <c r="M438">
        <v>71.605999999999995</v>
      </c>
      <c r="N438">
        <v>24.434000000000001</v>
      </c>
    </row>
    <row r="439" spans="1:14" x14ac:dyDescent="0.45">
      <c r="A439">
        <v>1983</v>
      </c>
      <c r="B439" t="s">
        <v>55</v>
      </c>
      <c r="C439">
        <v>0</v>
      </c>
      <c r="D439">
        <v>0</v>
      </c>
      <c r="E439">
        <v>0</v>
      </c>
      <c r="F439">
        <v>0</v>
      </c>
      <c r="G439">
        <v>0</v>
      </c>
      <c r="H439">
        <v>0</v>
      </c>
      <c r="I439">
        <v>0</v>
      </c>
      <c r="L439">
        <v>82.253</v>
      </c>
      <c r="M439">
        <v>36.517000000000003</v>
      </c>
      <c r="N439">
        <v>265.584</v>
      </c>
    </row>
    <row r="440" spans="1:14" x14ac:dyDescent="0.45">
      <c r="A440">
        <v>1983</v>
      </c>
      <c r="B440" t="s">
        <v>56</v>
      </c>
      <c r="C440">
        <v>0</v>
      </c>
      <c r="D440">
        <v>0</v>
      </c>
      <c r="E440">
        <v>1</v>
      </c>
      <c r="F440">
        <v>1</v>
      </c>
      <c r="G440">
        <v>0</v>
      </c>
      <c r="H440">
        <v>0</v>
      </c>
      <c r="I440">
        <v>0</v>
      </c>
      <c r="J440">
        <v>7302.0665649034499</v>
      </c>
      <c r="K440">
        <v>5647.0589864843596</v>
      </c>
      <c r="L440">
        <v>72.179000000000002</v>
      </c>
      <c r="M440">
        <v>41.972000000000001</v>
      </c>
      <c r="N440">
        <v>241.09700000000001</v>
      </c>
    </row>
    <row r="441" spans="1:14" x14ac:dyDescent="0.45">
      <c r="A441">
        <v>1983</v>
      </c>
      <c r="B441" t="s">
        <v>57</v>
      </c>
      <c r="C441">
        <v>1</v>
      </c>
      <c r="D441">
        <v>0</v>
      </c>
      <c r="E441">
        <v>0</v>
      </c>
      <c r="F441">
        <v>1</v>
      </c>
      <c r="G441">
        <v>0</v>
      </c>
      <c r="H441">
        <v>0</v>
      </c>
      <c r="I441">
        <v>0</v>
      </c>
      <c r="J441">
        <v>5590.4269052917298</v>
      </c>
      <c r="K441">
        <v>5064.6703562951197</v>
      </c>
      <c r="L441">
        <v>65.447999999999993</v>
      </c>
      <c r="M441">
        <v>70.704999999999998</v>
      </c>
      <c r="N441">
        <v>54.850999999999999</v>
      </c>
    </row>
    <row r="442" spans="1:14" x14ac:dyDescent="0.45">
      <c r="A442">
        <v>1983</v>
      </c>
      <c r="B442" t="s">
        <v>58</v>
      </c>
      <c r="C442">
        <v>1</v>
      </c>
      <c r="D442">
        <v>0</v>
      </c>
      <c r="E442">
        <v>0</v>
      </c>
      <c r="F442">
        <v>0</v>
      </c>
      <c r="G442">
        <v>0</v>
      </c>
      <c r="H442">
        <v>1</v>
      </c>
      <c r="I442">
        <v>1</v>
      </c>
      <c r="J442">
        <v>49994.607028570099</v>
      </c>
      <c r="K442">
        <v>41966.654689641298</v>
      </c>
      <c r="L442">
        <v>5.9109999999999996</v>
      </c>
      <c r="M442">
        <v>77.787000000000006</v>
      </c>
      <c r="N442">
        <v>12.407</v>
      </c>
    </row>
    <row r="443" spans="1:14" x14ac:dyDescent="0.45">
      <c r="A443">
        <v>1983</v>
      </c>
      <c r="B443" t="s">
        <v>59</v>
      </c>
      <c r="C443">
        <v>0</v>
      </c>
      <c r="D443">
        <v>0</v>
      </c>
      <c r="E443">
        <v>0</v>
      </c>
      <c r="F443">
        <v>0</v>
      </c>
      <c r="G443">
        <v>0</v>
      </c>
      <c r="H443">
        <v>1</v>
      </c>
      <c r="I443">
        <v>1</v>
      </c>
      <c r="J443">
        <v>180494.92401247</v>
      </c>
      <c r="K443">
        <v>178323.333666291</v>
      </c>
      <c r="L443">
        <v>19.753</v>
      </c>
      <c r="M443">
        <v>69.447999999999993</v>
      </c>
      <c r="N443">
        <v>26.899000000000001</v>
      </c>
    </row>
    <row r="444" spans="1:14" x14ac:dyDescent="0.45">
      <c r="A444">
        <v>1983</v>
      </c>
      <c r="B444" t="s">
        <v>60</v>
      </c>
      <c r="C444">
        <v>0</v>
      </c>
      <c r="D444">
        <v>1</v>
      </c>
      <c r="E444">
        <v>0</v>
      </c>
      <c r="F444">
        <v>0</v>
      </c>
      <c r="G444">
        <v>1</v>
      </c>
      <c r="H444">
        <v>0</v>
      </c>
      <c r="I444">
        <v>0</v>
      </c>
      <c r="J444">
        <v>18860.524488065999</v>
      </c>
      <c r="K444">
        <v>15565.775522443</v>
      </c>
      <c r="L444">
        <v>15.805999999999999</v>
      </c>
      <c r="M444">
        <v>69.290000000000006</v>
      </c>
      <c r="N444">
        <v>36.302</v>
      </c>
    </row>
    <row r="445" spans="1:14" x14ac:dyDescent="0.45">
      <c r="A445">
        <v>1983</v>
      </c>
      <c r="B445" t="s">
        <v>61</v>
      </c>
      <c r="C445">
        <v>1</v>
      </c>
      <c r="D445">
        <v>0</v>
      </c>
      <c r="E445">
        <v>0</v>
      </c>
      <c r="F445">
        <v>1</v>
      </c>
      <c r="G445">
        <v>0</v>
      </c>
      <c r="H445">
        <v>0</v>
      </c>
      <c r="I445">
        <v>0</v>
      </c>
      <c r="L445">
        <v>33.325000000000003</v>
      </c>
      <c r="M445">
        <v>66.451999999999998</v>
      </c>
      <c r="N445">
        <v>65.028000000000006</v>
      </c>
    </row>
    <row r="446" spans="1:14" x14ac:dyDescent="0.45">
      <c r="A446">
        <v>1983</v>
      </c>
      <c r="B446" t="s">
        <v>62</v>
      </c>
      <c r="C446">
        <v>0</v>
      </c>
      <c r="D446">
        <v>0</v>
      </c>
      <c r="E446">
        <v>0</v>
      </c>
      <c r="F446">
        <v>0</v>
      </c>
      <c r="G446">
        <v>0</v>
      </c>
      <c r="H446">
        <v>1</v>
      </c>
      <c r="I446">
        <v>1</v>
      </c>
      <c r="L446">
        <v>23.571000000000002</v>
      </c>
      <c r="M446">
        <v>70.162999999999997</v>
      </c>
      <c r="N446">
        <v>18.53</v>
      </c>
    </row>
    <row r="447" spans="1:14" x14ac:dyDescent="0.45">
      <c r="A447">
        <v>1983</v>
      </c>
      <c r="B447" t="s">
        <v>63</v>
      </c>
      <c r="C447">
        <v>0</v>
      </c>
      <c r="D447">
        <v>1</v>
      </c>
      <c r="E447">
        <v>0</v>
      </c>
      <c r="F447">
        <v>0</v>
      </c>
      <c r="G447">
        <v>1</v>
      </c>
      <c r="H447">
        <v>0</v>
      </c>
      <c r="I447">
        <v>0</v>
      </c>
      <c r="J447">
        <v>12523.3085960097</v>
      </c>
      <c r="K447">
        <v>9863.3181651146297</v>
      </c>
      <c r="L447">
        <v>65.14</v>
      </c>
      <c r="M447">
        <v>73.683999999999997</v>
      </c>
      <c r="N447">
        <v>13.814</v>
      </c>
    </row>
    <row r="448" spans="1:14" x14ac:dyDescent="0.45">
      <c r="A448">
        <v>1983</v>
      </c>
      <c r="B448" t="s">
        <v>64</v>
      </c>
      <c r="C448">
        <v>0</v>
      </c>
      <c r="D448">
        <v>0</v>
      </c>
      <c r="E448">
        <v>0</v>
      </c>
      <c r="F448">
        <v>0</v>
      </c>
      <c r="G448">
        <v>0</v>
      </c>
      <c r="H448">
        <v>1</v>
      </c>
      <c r="I448">
        <v>1</v>
      </c>
      <c r="J448">
        <v>30342.026905823299</v>
      </c>
      <c r="K448">
        <v>26280.7948769014</v>
      </c>
      <c r="L448">
        <v>14.359</v>
      </c>
      <c r="M448">
        <v>75.44</v>
      </c>
      <c r="N448">
        <v>11.696</v>
      </c>
    </row>
    <row r="449" spans="1:14" x14ac:dyDescent="0.45">
      <c r="A449">
        <v>1983</v>
      </c>
      <c r="B449" t="s">
        <v>65</v>
      </c>
      <c r="C449">
        <v>1</v>
      </c>
      <c r="D449">
        <v>0</v>
      </c>
      <c r="E449">
        <v>0</v>
      </c>
      <c r="F449">
        <v>0</v>
      </c>
      <c r="G449">
        <v>0</v>
      </c>
      <c r="H449">
        <v>1</v>
      </c>
      <c r="I449">
        <v>1</v>
      </c>
      <c r="J449">
        <v>37853.831888598099</v>
      </c>
      <c r="K449">
        <v>32257.3523320733</v>
      </c>
      <c r="L449">
        <v>35.164000000000001</v>
      </c>
      <c r="M449">
        <v>73.216999999999999</v>
      </c>
      <c r="N449">
        <v>13.378</v>
      </c>
    </row>
    <row r="450" spans="1:14" x14ac:dyDescent="0.45">
      <c r="A450">
        <v>1983</v>
      </c>
      <c r="B450" t="s">
        <v>66</v>
      </c>
      <c r="C450">
        <v>1</v>
      </c>
      <c r="D450">
        <v>0</v>
      </c>
      <c r="E450">
        <v>0</v>
      </c>
      <c r="F450">
        <v>1</v>
      </c>
      <c r="G450">
        <v>0</v>
      </c>
      <c r="H450">
        <v>0</v>
      </c>
      <c r="I450">
        <v>0</v>
      </c>
      <c r="J450">
        <v>10260.7021973561</v>
      </c>
      <c r="K450">
        <v>7471.9701133689696</v>
      </c>
      <c r="L450">
        <v>46.860999999999997</v>
      </c>
      <c r="M450">
        <v>62.478999999999999</v>
      </c>
      <c r="N450">
        <v>107.64</v>
      </c>
    </row>
    <row r="451" spans="1:14" x14ac:dyDescent="0.45">
      <c r="A451">
        <v>1983</v>
      </c>
      <c r="B451" t="s">
        <v>67</v>
      </c>
      <c r="C451">
        <v>0</v>
      </c>
      <c r="D451">
        <v>0</v>
      </c>
      <c r="E451">
        <v>1</v>
      </c>
      <c r="F451">
        <v>0</v>
      </c>
      <c r="G451">
        <v>0</v>
      </c>
      <c r="H451">
        <v>0</v>
      </c>
      <c r="I451">
        <v>0</v>
      </c>
      <c r="J451">
        <v>1211.9029633213599</v>
      </c>
      <c r="K451">
        <v>1047.2092810138899</v>
      </c>
      <c r="L451">
        <v>95.15</v>
      </c>
      <c r="M451">
        <v>47.433</v>
      </c>
      <c r="N451">
        <v>195.678</v>
      </c>
    </row>
    <row r="452" spans="1:14" x14ac:dyDescent="0.45">
      <c r="A452">
        <v>1983</v>
      </c>
      <c r="B452" t="s">
        <v>68</v>
      </c>
      <c r="C452">
        <v>1</v>
      </c>
      <c r="D452">
        <v>0</v>
      </c>
      <c r="E452">
        <v>0</v>
      </c>
      <c r="F452">
        <v>0</v>
      </c>
      <c r="G452">
        <v>0</v>
      </c>
      <c r="H452">
        <v>1</v>
      </c>
      <c r="I452">
        <v>1</v>
      </c>
      <c r="J452">
        <v>35614.206096492999</v>
      </c>
      <c r="K452">
        <v>29969.9465688403</v>
      </c>
      <c r="L452">
        <v>4.2630000000000097</v>
      </c>
      <c r="M452">
        <v>73.88</v>
      </c>
      <c r="N452">
        <v>12.536</v>
      </c>
    </row>
    <row r="453" spans="1:14" x14ac:dyDescent="0.45">
      <c r="A453">
        <v>1983</v>
      </c>
      <c r="B453" t="s">
        <v>69</v>
      </c>
      <c r="C453">
        <v>0</v>
      </c>
      <c r="D453">
        <v>0</v>
      </c>
      <c r="E453">
        <v>1</v>
      </c>
      <c r="F453">
        <v>0</v>
      </c>
      <c r="G453">
        <v>0</v>
      </c>
      <c r="H453">
        <v>0</v>
      </c>
      <c r="I453">
        <v>0</v>
      </c>
      <c r="J453">
        <v>2423.2028393414798</v>
      </c>
      <c r="K453">
        <v>2299.01826042218</v>
      </c>
      <c r="L453">
        <v>70.616</v>
      </c>
      <c r="M453">
        <v>48.844999999999999</v>
      </c>
      <c r="N453">
        <v>199.81800000000001</v>
      </c>
    </row>
    <row r="454" spans="1:14" x14ac:dyDescent="0.45">
      <c r="A454">
        <v>1983</v>
      </c>
      <c r="B454" t="s">
        <v>70</v>
      </c>
      <c r="C454">
        <v>0</v>
      </c>
      <c r="D454">
        <v>0</v>
      </c>
      <c r="E454">
        <v>1</v>
      </c>
      <c r="F454">
        <v>0</v>
      </c>
      <c r="G454">
        <v>0</v>
      </c>
      <c r="H454">
        <v>0</v>
      </c>
      <c r="I454">
        <v>0</v>
      </c>
      <c r="J454">
        <v>1081.6057300166401</v>
      </c>
      <c r="K454">
        <v>989.60119570854795</v>
      </c>
      <c r="L454">
        <v>89.203999999999994</v>
      </c>
      <c r="M454">
        <v>48.061</v>
      </c>
      <c r="N454">
        <v>224.25800000000001</v>
      </c>
    </row>
    <row r="455" spans="1:14" x14ac:dyDescent="0.45">
      <c r="A455">
        <v>1983</v>
      </c>
      <c r="B455" t="s">
        <v>71</v>
      </c>
      <c r="C455">
        <v>0</v>
      </c>
      <c r="D455">
        <v>0</v>
      </c>
      <c r="E455">
        <v>0</v>
      </c>
      <c r="F455">
        <v>0</v>
      </c>
      <c r="G455">
        <v>0</v>
      </c>
      <c r="H455">
        <v>0</v>
      </c>
      <c r="I455">
        <v>0</v>
      </c>
      <c r="J455">
        <v>1888.96363056977</v>
      </c>
      <c r="K455">
        <v>1535.7171649893601</v>
      </c>
      <c r="L455">
        <v>83.369</v>
      </c>
      <c r="M455">
        <v>53.441000000000003</v>
      </c>
      <c r="N455">
        <v>188.654</v>
      </c>
    </row>
    <row r="456" spans="1:14" x14ac:dyDescent="0.45">
      <c r="A456">
        <v>1983</v>
      </c>
      <c r="B456" t="s">
        <v>72</v>
      </c>
      <c r="C456">
        <v>1</v>
      </c>
      <c r="D456">
        <v>0</v>
      </c>
      <c r="E456">
        <v>0</v>
      </c>
      <c r="F456">
        <v>1</v>
      </c>
      <c r="G456">
        <v>0</v>
      </c>
      <c r="H456">
        <v>0</v>
      </c>
      <c r="I456">
        <v>0</v>
      </c>
      <c r="J456">
        <v>11432.1164833112</v>
      </c>
      <c r="K456">
        <v>9486.3642301270302</v>
      </c>
      <c r="L456">
        <v>36.396999999999998</v>
      </c>
      <c r="M456">
        <v>71.239000000000004</v>
      </c>
      <c r="N456">
        <v>20.763999999999999</v>
      </c>
    </row>
    <row r="457" spans="1:14" x14ac:dyDescent="0.45">
      <c r="A457">
        <v>1983</v>
      </c>
      <c r="B457" t="s">
        <v>73</v>
      </c>
      <c r="C457">
        <v>0</v>
      </c>
      <c r="D457">
        <v>0</v>
      </c>
      <c r="E457">
        <v>0</v>
      </c>
      <c r="F457">
        <v>0</v>
      </c>
      <c r="G457">
        <v>0</v>
      </c>
      <c r="H457">
        <v>1</v>
      </c>
      <c r="I457">
        <v>1</v>
      </c>
      <c r="J457">
        <v>42150.514721261301</v>
      </c>
      <c r="K457">
        <v>39274.258356332997</v>
      </c>
      <c r="L457">
        <v>13.257999999999999</v>
      </c>
      <c r="M457">
        <v>71.637</v>
      </c>
      <c r="N457">
        <v>27.812999999999999</v>
      </c>
    </row>
    <row r="458" spans="1:14" x14ac:dyDescent="0.45">
      <c r="A458">
        <v>1983</v>
      </c>
      <c r="B458" t="s">
        <v>74</v>
      </c>
      <c r="C458">
        <v>0</v>
      </c>
      <c r="D458">
        <v>1</v>
      </c>
      <c r="E458">
        <v>0</v>
      </c>
      <c r="F458">
        <v>0</v>
      </c>
      <c r="G458">
        <v>0</v>
      </c>
      <c r="H458">
        <v>1</v>
      </c>
      <c r="I458">
        <v>1</v>
      </c>
      <c r="J458">
        <v>29416.300175578501</v>
      </c>
      <c r="K458">
        <v>30513.115898261502</v>
      </c>
      <c r="L458">
        <v>24.715</v>
      </c>
      <c r="M458">
        <v>70.003</v>
      </c>
      <c r="N458">
        <v>29.975999999999999</v>
      </c>
    </row>
    <row r="459" spans="1:14" x14ac:dyDescent="0.45">
      <c r="A459">
        <v>1983</v>
      </c>
      <c r="B459" t="s">
        <v>75</v>
      </c>
      <c r="C459">
        <v>1</v>
      </c>
      <c r="D459">
        <v>0</v>
      </c>
      <c r="E459">
        <v>0</v>
      </c>
      <c r="F459">
        <v>0</v>
      </c>
      <c r="G459">
        <v>1</v>
      </c>
      <c r="H459">
        <v>0</v>
      </c>
      <c r="I459">
        <v>0</v>
      </c>
      <c r="L459">
        <v>63.067</v>
      </c>
      <c r="M459">
        <v>70.096999999999994</v>
      </c>
      <c r="N459">
        <v>27.902999999999999</v>
      </c>
    </row>
    <row r="460" spans="1:14" x14ac:dyDescent="0.45">
      <c r="A460">
        <v>1983</v>
      </c>
      <c r="B460" t="s">
        <v>76</v>
      </c>
      <c r="C460">
        <v>1</v>
      </c>
      <c r="D460">
        <v>0</v>
      </c>
      <c r="E460">
        <v>0</v>
      </c>
      <c r="F460">
        <v>0</v>
      </c>
      <c r="G460">
        <v>1</v>
      </c>
      <c r="H460">
        <v>0</v>
      </c>
      <c r="I460">
        <v>0</v>
      </c>
      <c r="L460">
        <v>40.264000000000003</v>
      </c>
      <c r="M460">
        <v>70.712000000000003</v>
      </c>
      <c r="N460">
        <v>18.710999999999999</v>
      </c>
    </row>
    <row r="461" spans="1:14" x14ac:dyDescent="0.45">
      <c r="A461">
        <v>1983</v>
      </c>
      <c r="B461" t="s">
        <v>77</v>
      </c>
      <c r="C461">
        <v>0</v>
      </c>
      <c r="D461">
        <v>1</v>
      </c>
      <c r="E461">
        <v>0</v>
      </c>
      <c r="F461">
        <v>1</v>
      </c>
      <c r="G461">
        <v>0</v>
      </c>
      <c r="H461">
        <v>0</v>
      </c>
      <c r="I461">
        <v>0</v>
      </c>
      <c r="J461">
        <v>6686.0013941872703</v>
      </c>
      <c r="K461">
        <v>5269.1920820311398</v>
      </c>
      <c r="L461">
        <v>51.198999999999998</v>
      </c>
      <c r="M461">
        <v>67.600999999999999</v>
      </c>
      <c r="N461">
        <v>57.052</v>
      </c>
    </row>
    <row r="462" spans="1:14" x14ac:dyDescent="0.45">
      <c r="A462">
        <v>1983</v>
      </c>
      <c r="B462" t="s">
        <v>78</v>
      </c>
      <c r="C462">
        <v>0</v>
      </c>
      <c r="D462">
        <v>0</v>
      </c>
      <c r="E462">
        <v>0</v>
      </c>
      <c r="F462">
        <v>0</v>
      </c>
      <c r="G462">
        <v>0</v>
      </c>
      <c r="H462">
        <v>1</v>
      </c>
      <c r="I462">
        <v>1</v>
      </c>
      <c r="J462">
        <v>73560.3886436139</v>
      </c>
      <c r="K462">
        <v>65355.751122195201</v>
      </c>
      <c r="L462">
        <v>0</v>
      </c>
      <c r="M462">
        <v>73.239999999999995</v>
      </c>
      <c r="N462">
        <v>15.239000000000001</v>
      </c>
    </row>
    <row r="463" spans="1:14" x14ac:dyDescent="0.45">
      <c r="A463">
        <v>1983</v>
      </c>
      <c r="B463" t="s">
        <v>79</v>
      </c>
      <c r="C463">
        <v>0</v>
      </c>
      <c r="D463">
        <v>1</v>
      </c>
      <c r="E463">
        <v>0</v>
      </c>
      <c r="F463">
        <v>1</v>
      </c>
      <c r="G463">
        <v>0</v>
      </c>
      <c r="H463">
        <v>0</v>
      </c>
      <c r="I463">
        <v>0</v>
      </c>
      <c r="J463">
        <v>5921.5458929574397</v>
      </c>
      <c r="K463">
        <v>5226.06158740106</v>
      </c>
      <c r="L463">
        <v>51.514000000000003</v>
      </c>
      <c r="M463">
        <v>52.860999999999997</v>
      </c>
      <c r="N463">
        <v>191.965</v>
      </c>
    </row>
    <row r="464" spans="1:14" x14ac:dyDescent="0.45">
      <c r="A464">
        <v>1983</v>
      </c>
      <c r="B464" t="s">
        <v>80</v>
      </c>
      <c r="C464">
        <v>0</v>
      </c>
      <c r="D464">
        <v>1</v>
      </c>
      <c r="E464">
        <v>0</v>
      </c>
      <c r="F464">
        <v>0</v>
      </c>
      <c r="G464">
        <v>1</v>
      </c>
      <c r="H464">
        <v>0</v>
      </c>
      <c r="I464">
        <v>0</v>
      </c>
      <c r="J464">
        <v>11585.5198036282</v>
      </c>
      <c r="K464">
        <v>9516.4518743646204</v>
      </c>
      <c r="L464">
        <v>31.858000000000001</v>
      </c>
      <c r="M464">
        <v>63.133000000000003</v>
      </c>
      <c r="N464">
        <v>83.8</v>
      </c>
    </row>
    <row r="465" spans="1:14" x14ac:dyDescent="0.45">
      <c r="A465">
        <v>1983</v>
      </c>
      <c r="B465" t="s">
        <v>81</v>
      </c>
      <c r="C465">
        <v>0</v>
      </c>
      <c r="D465">
        <v>1</v>
      </c>
      <c r="E465">
        <v>0</v>
      </c>
      <c r="F465">
        <v>0</v>
      </c>
      <c r="G465">
        <v>1</v>
      </c>
      <c r="H465">
        <v>0</v>
      </c>
      <c r="I465">
        <v>0</v>
      </c>
      <c r="J465">
        <v>14224.8041490702</v>
      </c>
      <c r="K465">
        <v>13586.104317974001</v>
      </c>
      <c r="L465">
        <v>60.72</v>
      </c>
      <c r="M465">
        <v>73.156000000000006</v>
      </c>
      <c r="N465">
        <v>23.611999999999998</v>
      </c>
    </row>
    <row r="466" spans="1:14" x14ac:dyDescent="0.45">
      <c r="A466">
        <v>1983</v>
      </c>
      <c r="B466" t="s">
        <v>82</v>
      </c>
      <c r="C466">
        <v>0</v>
      </c>
      <c r="D466">
        <v>0</v>
      </c>
      <c r="E466">
        <v>0</v>
      </c>
      <c r="F466">
        <v>0</v>
      </c>
      <c r="G466">
        <v>0</v>
      </c>
      <c r="H466">
        <v>1</v>
      </c>
      <c r="I466">
        <v>1</v>
      </c>
      <c r="J466">
        <v>156608.99342016201</v>
      </c>
      <c r="K466">
        <v>122281.002692903</v>
      </c>
      <c r="L466">
        <v>34.600999999999999</v>
      </c>
      <c r="M466">
        <v>69.991</v>
      </c>
      <c r="N466">
        <v>17.314</v>
      </c>
    </row>
    <row r="467" spans="1:14" x14ac:dyDescent="0.45">
      <c r="A467">
        <v>1983</v>
      </c>
      <c r="B467" t="s">
        <v>83</v>
      </c>
      <c r="C467">
        <v>0</v>
      </c>
      <c r="D467">
        <v>0</v>
      </c>
      <c r="E467">
        <v>0</v>
      </c>
      <c r="F467">
        <v>0</v>
      </c>
      <c r="G467">
        <v>0</v>
      </c>
      <c r="H467">
        <v>0</v>
      </c>
      <c r="I467">
        <v>0</v>
      </c>
      <c r="J467">
        <v>2178.50310946018</v>
      </c>
      <c r="K467">
        <v>1886.85918845688</v>
      </c>
      <c r="L467">
        <v>88.254999999999995</v>
      </c>
      <c r="M467">
        <v>50.552999999999997</v>
      </c>
      <c r="N467">
        <v>173.07599999999999</v>
      </c>
    </row>
    <row r="468" spans="1:14" x14ac:dyDescent="0.45">
      <c r="A468">
        <v>1983</v>
      </c>
      <c r="B468" t="s">
        <v>84</v>
      </c>
      <c r="C468">
        <v>0</v>
      </c>
      <c r="D468">
        <v>0</v>
      </c>
      <c r="E468">
        <v>1</v>
      </c>
      <c r="F468">
        <v>1</v>
      </c>
      <c r="G468">
        <v>0</v>
      </c>
      <c r="H468">
        <v>0</v>
      </c>
      <c r="I468">
        <v>0</v>
      </c>
      <c r="J468">
        <v>6157.8286523245497</v>
      </c>
      <c r="K468">
        <v>5571.5198334829302</v>
      </c>
      <c r="L468">
        <v>78.277000000000001</v>
      </c>
      <c r="M468">
        <v>63.604999999999997</v>
      </c>
      <c r="N468">
        <v>61.323999999999998</v>
      </c>
    </row>
    <row r="469" spans="1:14" x14ac:dyDescent="0.45">
      <c r="A469">
        <v>1983</v>
      </c>
      <c r="B469" t="s">
        <v>85</v>
      </c>
      <c r="C469">
        <v>0</v>
      </c>
      <c r="D469">
        <v>0</v>
      </c>
      <c r="E469">
        <v>1</v>
      </c>
      <c r="F469">
        <v>0</v>
      </c>
      <c r="G469">
        <v>0</v>
      </c>
      <c r="H469">
        <v>0</v>
      </c>
      <c r="I469">
        <v>0</v>
      </c>
      <c r="J469">
        <v>1540.5494054184401</v>
      </c>
      <c r="K469">
        <v>1233.44138020741</v>
      </c>
      <c r="L469">
        <v>65.135999999999996</v>
      </c>
      <c r="M469">
        <v>50.341999999999999</v>
      </c>
      <c r="N469">
        <v>182.67599999999999</v>
      </c>
    </row>
    <row r="470" spans="1:14" x14ac:dyDescent="0.45">
      <c r="A470">
        <v>1983</v>
      </c>
      <c r="B470" t="s">
        <v>86</v>
      </c>
      <c r="C470">
        <v>0</v>
      </c>
      <c r="D470">
        <v>0</v>
      </c>
      <c r="E470">
        <v>0</v>
      </c>
      <c r="F470">
        <v>0</v>
      </c>
      <c r="G470">
        <v>0</v>
      </c>
      <c r="H470">
        <v>1</v>
      </c>
      <c r="I470">
        <v>1</v>
      </c>
      <c r="J470">
        <v>34025.387295005603</v>
      </c>
      <c r="K470">
        <v>29452.939231782999</v>
      </c>
      <c r="L470">
        <v>23.965</v>
      </c>
      <c r="M470">
        <v>76.066000000000003</v>
      </c>
      <c r="N470">
        <v>10.385</v>
      </c>
    </row>
    <row r="471" spans="1:14" x14ac:dyDescent="0.45">
      <c r="A471">
        <v>1983</v>
      </c>
      <c r="B471" t="s">
        <v>87</v>
      </c>
      <c r="C471">
        <v>1</v>
      </c>
      <c r="D471">
        <v>0</v>
      </c>
      <c r="E471">
        <v>0</v>
      </c>
      <c r="F471">
        <v>0</v>
      </c>
      <c r="G471">
        <v>0</v>
      </c>
      <c r="H471">
        <v>1</v>
      </c>
      <c r="I471">
        <v>1</v>
      </c>
      <c r="J471">
        <v>55501.378779004503</v>
      </c>
      <c r="K471">
        <v>48284.362528029698</v>
      </c>
      <c r="L471">
        <v>25.654</v>
      </c>
      <c r="M471">
        <v>76.156999999999996</v>
      </c>
      <c r="N471">
        <v>9.49</v>
      </c>
    </row>
    <row r="472" spans="1:14" x14ac:dyDescent="0.45">
      <c r="A472">
        <v>1983</v>
      </c>
      <c r="B472" t="s">
        <v>88</v>
      </c>
      <c r="C472">
        <v>1</v>
      </c>
      <c r="D472">
        <v>0</v>
      </c>
      <c r="E472">
        <v>0</v>
      </c>
      <c r="F472">
        <v>0</v>
      </c>
      <c r="G472">
        <v>0</v>
      </c>
      <c r="H472">
        <v>1</v>
      </c>
      <c r="I472">
        <v>1</v>
      </c>
      <c r="L472">
        <v>68.129000000000005</v>
      </c>
      <c r="M472">
        <v>74.932078103333296</v>
      </c>
      <c r="N472">
        <v>19.2290887319826</v>
      </c>
    </row>
    <row r="473" spans="1:14" x14ac:dyDescent="0.45">
      <c r="A473">
        <v>1983</v>
      </c>
      <c r="B473" t="s">
        <v>89</v>
      </c>
      <c r="C473">
        <v>0</v>
      </c>
      <c r="D473">
        <v>1</v>
      </c>
      <c r="E473">
        <v>0</v>
      </c>
      <c r="F473">
        <v>1</v>
      </c>
      <c r="G473">
        <v>0</v>
      </c>
      <c r="H473">
        <v>0</v>
      </c>
      <c r="I473">
        <v>0</v>
      </c>
      <c r="J473">
        <v>8971.5267204841693</v>
      </c>
      <c r="K473">
        <v>7814.9349632711301</v>
      </c>
      <c r="L473">
        <v>17.640999999999998</v>
      </c>
      <c r="M473">
        <v>70.83</v>
      </c>
      <c r="N473">
        <v>26.093</v>
      </c>
    </row>
    <row r="474" spans="1:14" x14ac:dyDescent="0.45">
      <c r="A474">
        <v>1983</v>
      </c>
      <c r="B474" t="s">
        <v>90</v>
      </c>
      <c r="C474">
        <v>0</v>
      </c>
      <c r="D474">
        <v>0</v>
      </c>
      <c r="E474">
        <v>0</v>
      </c>
      <c r="F474">
        <v>0</v>
      </c>
      <c r="G474">
        <v>0</v>
      </c>
      <c r="H474">
        <v>0</v>
      </c>
      <c r="I474">
        <v>0</v>
      </c>
      <c r="J474">
        <v>905.94843952352403</v>
      </c>
      <c r="K474">
        <v>812.12411622619902</v>
      </c>
      <c r="L474">
        <v>78.454999999999998</v>
      </c>
      <c r="M474">
        <v>65.727999999999994</v>
      </c>
      <c r="N474">
        <v>57.723999999999997</v>
      </c>
    </row>
    <row r="475" spans="1:14" x14ac:dyDescent="0.45">
      <c r="A475">
        <v>1983</v>
      </c>
      <c r="B475" t="s">
        <v>91</v>
      </c>
      <c r="C475">
        <v>0</v>
      </c>
      <c r="D475">
        <v>0</v>
      </c>
      <c r="E475">
        <v>1</v>
      </c>
      <c r="F475">
        <v>1</v>
      </c>
      <c r="G475">
        <v>0</v>
      </c>
      <c r="H475">
        <v>0</v>
      </c>
      <c r="I475">
        <v>0</v>
      </c>
      <c r="J475">
        <v>6604.9428149675496</v>
      </c>
      <c r="K475">
        <v>5575.5444609043398</v>
      </c>
      <c r="L475">
        <v>62.524000000000001</v>
      </c>
      <c r="M475">
        <v>52.351999999999997</v>
      </c>
      <c r="N475">
        <v>159.29</v>
      </c>
    </row>
    <row r="476" spans="1:14" x14ac:dyDescent="0.45">
      <c r="A476">
        <v>1983</v>
      </c>
      <c r="B476" t="s">
        <v>92</v>
      </c>
      <c r="C476">
        <v>0</v>
      </c>
      <c r="D476">
        <v>0</v>
      </c>
      <c r="E476">
        <v>1</v>
      </c>
      <c r="F476">
        <v>1</v>
      </c>
      <c r="G476">
        <v>0</v>
      </c>
      <c r="H476">
        <v>0</v>
      </c>
      <c r="I476">
        <v>0</v>
      </c>
      <c r="J476">
        <v>4718.48538129392</v>
      </c>
      <c r="K476">
        <v>3705.01400862635</v>
      </c>
      <c r="L476">
        <v>65.524000000000001</v>
      </c>
      <c r="M476">
        <v>52.447000000000003</v>
      </c>
      <c r="N476">
        <v>160.76900000000001</v>
      </c>
    </row>
    <row r="477" spans="1:14" x14ac:dyDescent="0.45">
      <c r="A477">
        <v>1983</v>
      </c>
      <c r="B477" t="s">
        <v>93</v>
      </c>
      <c r="C477">
        <v>0</v>
      </c>
      <c r="D477">
        <v>0</v>
      </c>
      <c r="E477">
        <v>1</v>
      </c>
      <c r="F477">
        <v>0</v>
      </c>
      <c r="G477">
        <v>0</v>
      </c>
      <c r="H477">
        <v>0</v>
      </c>
      <c r="I477">
        <v>0</v>
      </c>
      <c r="J477">
        <v>2371.5316948463401</v>
      </c>
      <c r="K477">
        <v>1898.5641222726499</v>
      </c>
      <c r="L477">
        <v>72.16</v>
      </c>
      <c r="M477">
        <v>46.207000000000001</v>
      </c>
      <c r="N477">
        <v>203.489</v>
      </c>
    </row>
    <row r="478" spans="1:14" x14ac:dyDescent="0.45">
      <c r="A478">
        <v>1983</v>
      </c>
      <c r="B478" t="s">
        <v>94</v>
      </c>
      <c r="C478">
        <v>0</v>
      </c>
      <c r="D478">
        <v>0</v>
      </c>
      <c r="E478">
        <v>1</v>
      </c>
      <c r="F478">
        <v>1</v>
      </c>
      <c r="G478">
        <v>0</v>
      </c>
      <c r="H478">
        <v>0</v>
      </c>
      <c r="I478">
        <v>0</v>
      </c>
      <c r="J478">
        <v>9680.7568237906598</v>
      </c>
      <c r="K478">
        <v>5835.9978965263299</v>
      </c>
      <c r="L478">
        <v>49.366999999999997</v>
      </c>
      <c r="M478">
        <v>57.427999999999997</v>
      </c>
      <c r="N478">
        <v>98.835999999999999</v>
      </c>
    </row>
    <row r="479" spans="1:14" x14ac:dyDescent="0.45">
      <c r="A479">
        <v>1983</v>
      </c>
      <c r="B479" t="s">
        <v>95</v>
      </c>
      <c r="C479">
        <v>0</v>
      </c>
      <c r="D479">
        <v>1</v>
      </c>
      <c r="E479">
        <v>0</v>
      </c>
      <c r="F479">
        <v>1</v>
      </c>
      <c r="G479">
        <v>0</v>
      </c>
      <c r="H479">
        <v>0</v>
      </c>
      <c r="I479">
        <v>0</v>
      </c>
      <c r="J479">
        <v>8947.8161442476503</v>
      </c>
      <c r="K479">
        <v>7450.03658930037</v>
      </c>
      <c r="L479">
        <v>34.267000000000003</v>
      </c>
      <c r="M479">
        <v>68.120999999999995</v>
      </c>
      <c r="N479">
        <v>49.353000000000002</v>
      </c>
    </row>
    <row r="480" spans="1:14" x14ac:dyDescent="0.45">
      <c r="A480">
        <v>1983</v>
      </c>
      <c r="B480" t="s">
        <v>96</v>
      </c>
      <c r="C480">
        <v>0</v>
      </c>
      <c r="D480">
        <v>0</v>
      </c>
      <c r="E480">
        <v>1</v>
      </c>
      <c r="F480">
        <v>0</v>
      </c>
      <c r="G480">
        <v>0</v>
      </c>
      <c r="H480">
        <v>0</v>
      </c>
      <c r="I480">
        <v>0</v>
      </c>
      <c r="J480">
        <v>2513.0634353483902</v>
      </c>
      <c r="K480">
        <v>2598.8283125877902</v>
      </c>
      <c r="L480">
        <v>75.451999999999998</v>
      </c>
      <c r="M480">
        <v>52.121000000000002</v>
      </c>
      <c r="N480">
        <v>159.74100000000001</v>
      </c>
    </row>
    <row r="481" spans="1:14" x14ac:dyDescent="0.45">
      <c r="A481">
        <v>1983</v>
      </c>
      <c r="B481" t="s">
        <v>97</v>
      </c>
      <c r="C481">
        <v>0</v>
      </c>
      <c r="D481">
        <v>0</v>
      </c>
      <c r="E481">
        <v>1</v>
      </c>
      <c r="F481">
        <v>1</v>
      </c>
      <c r="G481">
        <v>0</v>
      </c>
      <c r="H481">
        <v>0</v>
      </c>
      <c r="I481">
        <v>0</v>
      </c>
      <c r="J481">
        <v>1366.7984409135699</v>
      </c>
      <c r="K481">
        <v>1317.20293819995</v>
      </c>
      <c r="L481">
        <v>71.867000000000004</v>
      </c>
      <c r="M481">
        <v>61.767000000000003</v>
      </c>
      <c r="N481">
        <v>76.736999999999995</v>
      </c>
    </row>
    <row r="482" spans="1:14" x14ac:dyDescent="0.45">
      <c r="A482">
        <v>1983</v>
      </c>
      <c r="B482" t="s">
        <v>98</v>
      </c>
      <c r="C482">
        <v>0</v>
      </c>
      <c r="D482">
        <v>1</v>
      </c>
      <c r="E482">
        <v>0</v>
      </c>
      <c r="F482">
        <v>1</v>
      </c>
      <c r="G482">
        <v>0</v>
      </c>
      <c r="H482">
        <v>0</v>
      </c>
      <c r="I482">
        <v>0</v>
      </c>
      <c r="J482">
        <v>9700.8714904944209</v>
      </c>
      <c r="K482">
        <v>8685.7183804324595</v>
      </c>
      <c r="L482">
        <v>55.844000000000001</v>
      </c>
      <c r="M482">
        <v>74.245000000000005</v>
      </c>
      <c r="N482">
        <v>22.753</v>
      </c>
    </row>
    <row r="483" spans="1:14" x14ac:dyDescent="0.45">
      <c r="A483">
        <v>1983</v>
      </c>
      <c r="B483" t="s">
        <v>99</v>
      </c>
      <c r="C483">
        <v>0</v>
      </c>
      <c r="D483">
        <v>1</v>
      </c>
      <c r="E483">
        <v>0</v>
      </c>
      <c r="F483">
        <v>1</v>
      </c>
      <c r="G483">
        <v>0</v>
      </c>
      <c r="H483">
        <v>0</v>
      </c>
      <c r="I483">
        <v>0</v>
      </c>
      <c r="L483">
        <v>30.074999999999999</v>
      </c>
      <c r="M483">
        <v>73.563999999999993</v>
      </c>
      <c r="N483">
        <v>19.632000000000001</v>
      </c>
    </row>
    <row r="484" spans="1:14" x14ac:dyDescent="0.45">
      <c r="A484">
        <v>1983</v>
      </c>
      <c r="B484" t="s">
        <v>100</v>
      </c>
      <c r="C484">
        <v>0</v>
      </c>
      <c r="D484">
        <v>1</v>
      </c>
      <c r="E484">
        <v>0</v>
      </c>
      <c r="F484">
        <v>0</v>
      </c>
      <c r="G484">
        <v>0</v>
      </c>
      <c r="H484">
        <v>1</v>
      </c>
      <c r="I484">
        <v>1</v>
      </c>
      <c r="L484">
        <v>17.315999999999999</v>
      </c>
      <c r="M484">
        <v>71.534000000000006</v>
      </c>
      <c r="N484">
        <v>21.462</v>
      </c>
    </row>
    <row r="485" spans="1:14" x14ac:dyDescent="0.45">
      <c r="A485">
        <v>1983</v>
      </c>
      <c r="B485" t="s">
        <v>101</v>
      </c>
      <c r="C485">
        <v>0</v>
      </c>
      <c r="D485">
        <v>1</v>
      </c>
      <c r="E485">
        <v>0</v>
      </c>
      <c r="F485">
        <v>0</v>
      </c>
      <c r="G485">
        <v>0</v>
      </c>
      <c r="H485">
        <v>1</v>
      </c>
      <c r="I485">
        <v>1</v>
      </c>
      <c r="L485">
        <v>0</v>
      </c>
      <c r="M485">
        <v>70.838999999999999</v>
      </c>
      <c r="N485">
        <v>15.525</v>
      </c>
    </row>
    <row r="486" spans="1:14" x14ac:dyDescent="0.45">
      <c r="A486">
        <v>1983</v>
      </c>
      <c r="B486" t="s">
        <v>102</v>
      </c>
      <c r="C486">
        <v>1</v>
      </c>
      <c r="D486">
        <v>0</v>
      </c>
      <c r="E486">
        <v>0</v>
      </c>
      <c r="F486">
        <v>0</v>
      </c>
      <c r="G486">
        <v>1</v>
      </c>
      <c r="H486">
        <v>0</v>
      </c>
      <c r="I486">
        <v>0</v>
      </c>
      <c r="J486">
        <v>19798.254644115001</v>
      </c>
      <c r="K486">
        <v>17637.119778114899</v>
      </c>
      <c r="L486">
        <v>36.177999999999997</v>
      </c>
      <c r="M486">
        <v>73.707999999999998</v>
      </c>
      <c r="N486">
        <v>16.385000000000002</v>
      </c>
    </row>
    <row r="487" spans="1:14" x14ac:dyDescent="0.45">
      <c r="A487">
        <v>1983</v>
      </c>
      <c r="B487" t="s">
        <v>103</v>
      </c>
      <c r="C487">
        <v>1</v>
      </c>
      <c r="D487">
        <v>0</v>
      </c>
      <c r="E487">
        <v>0</v>
      </c>
      <c r="F487">
        <v>0</v>
      </c>
      <c r="G487">
        <v>1</v>
      </c>
      <c r="H487">
        <v>0</v>
      </c>
      <c r="I487">
        <v>0</v>
      </c>
      <c r="L487">
        <v>24.577000000000002</v>
      </c>
      <c r="M487">
        <v>70.64</v>
      </c>
      <c r="N487">
        <v>16.295999999999999</v>
      </c>
    </row>
    <row r="488" spans="1:14" x14ac:dyDescent="0.45">
      <c r="A488">
        <v>1983</v>
      </c>
      <c r="B488" t="s">
        <v>104</v>
      </c>
      <c r="C488">
        <v>1</v>
      </c>
      <c r="D488">
        <v>0</v>
      </c>
      <c r="E488">
        <v>0</v>
      </c>
      <c r="F488">
        <v>0</v>
      </c>
      <c r="G488">
        <v>0</v>
      </c>
      <c r="H488">
        <v>1</v>
      </c>
      <c r="I488">
        <v>1</v>
      </c>
      <c r="J488">
        <v>35635.118464993699</v>
      </c>
      <c r="K488">
        <v>30897.505476709099</v>
      </c>
      <c r="L488">
        <v>26.896999999999998</v>
      </c>
      <c r="M488">
        <v>73.918000000000006</v>
      </c>
      <c r="N488">
        <v>12.256</v>
      </c>
    </row>
    <row r="489" spans="1:14" x14ac:dyDescent="0.45">
      <c r="A489">
        <v>1983</v>
      </c>
      <c r="B489" t="s">
        <v>105</v>
      </c>
      <c r="C489">
        <v>0</v>
      </c>
      <c r="D489">
        <v>0</v>
      </c>
      <c r="E489">
        <v>0</v>
      </c>
      <c r="F489">
        <v>1</v>
      </c>
      <c r="G489">
        <v>0</v>
      </c>
      <c r="H489">
        <v>0</v>
      </c>
      <c r="I489">
        <v>0</v>
      </c>
      <c r="L489">
        <v>25.495999999999999</v>
      </c>
      <c r="M489">
        <v>53.334000000000003</v>
      </c>
      <c r="N489">
        <v>140.58000000000001</v>
      </c>
    </row>
    <row r="490" spans="1:14" x14ac:dyDescent="0.45">
      <c r="A490">
        <v>1983</v>
      </c>
      <c r="B490" t="s">
        <v>106</v>
      </c>
      <c r="C490">
        <v>0</v>
      </c>
      <c r="D490">
        <v>1</v>
      </c>
      <c r="E490">
        <v>0</v>
      </c>
      <c r="F490">
        <v>1</v>
      </c>
      <c r="G490">
        <v>0</v>
      </c>
      <c r="H490">
        <v>0</v>
      </c>
      <c r="I490">
        <v>0</v>
      </c>
      <c r="J490">
        <v>7985.20514917132</v>
      </c>
      <c r="K490">
        <v>6214.3128709413504</v>
      </c>
      <c r="L490">
        <v>48.743000000000002</v>
      </c>
      <c r="M490">
        <v>72.004999999999995</v>
      </c>
      <c r="N490">
        <v>21.523</v>
      </c>
    </row>
    <row r="491" spans="1:14" x14ac:dyDescent="0.45">
      <c r="A491">
        <v>1983</v>
      </c>
      <c r="B491" t="s">
        <v>107</v>
      </c>
      <c r="C491">
        <v>1</v>
      </c>
      <c r="D491">
        <v>0</v>
      </c>
      <c r="E491">
        <v>0</v>
      </c>
      <c r="F491">
        <v>0</v>
      </c>
      <c r="G491">
        <v>0</v>
      </c>
      <c r="H491">
        <v>1</v>
      </c>
      <c r="I491">
        <v>1</v>
      </c>
      <c r="J491">
        <v>38774.233893729201</v>
      </c>
      <c r="K491">
        <v>32769.930886406903</v>
      </c>
      <c r="L491">
        <v>15.866</v>
      </c>
      <c r="M491">
        <v>74.456000000000003</v>
      </c>
      <c r="N491">
        <v>9.4559999999999995</v>
      </c>
    </row>
    <row r="492" spans="1:14" x14ac:dyDescent="0.45">
      <c r="A492">
        <v>1983</v>
      </c>
      <c r="B492" t="s">
        <v>108</v>
      </c>
      <c r="C492">
        <v>0</v>
      </c>
      <c r="D492">
        <v>1</v>
      </c>
      <c r="E492">
        <v>0</v>
      </c>
      <c r="F492">
        <v>1</v>
      </c>
      <c r="G492">
        <v>0</v>
      </c>
      <c r="H492">
        <v>0</v>
      </c>
      <c r="I492">
        <v>0</v>
      </c>
      <c r="J492">
        <v>6857.1634331564101</v>
      </c>
      <c r="K492">
        <v>5923.38918125081</v>
      </c>
      <c r="L492">
        <v>46.677</v>
      </c>
      <c r="M492">
        <v>64.63</v>
      </c>
      <c r="N492">
        <v>84.620999999999995</v>
      </c>
    </row>
    <row r="493" spans="1:14" x14ac:dyDescent="0.45">
      <c r="A493">
        <v>1983</v>
      </c>
      <c r="B493" t="s">
        <v>109</v>
      </c>
      <c r="C493">
        <v>0</v>
      </c>
      <c r="D493">
        <v>0</v>
      </c>
      <c r="E493">
        <v>0</v>
      </c>
      <c r="F493">
        <v>0</v>
      </c>
      <c r="G493">
        <v>1</v>
      </c>
      <c r="H493">
        <v>0</v>
      </c>
      <c r="I493">
        <v>0</v>
      </c>
      <c r="J493">
        <v>12284.2006563263</v>
      </c>
      <c r="K493">
        <v>10744.181065258401</v>
      </c>
      <c r="L493">
        <v>53.811</v>
      </c>
      <c r="M493">
        <v>61.250999999999998</v>
      </c>
      <c r="N493">
        <v>101.953</v>
      </c>
    </row>
    <row r="494" spans="1:14" x14ac:dyDescent="0.45">
      <c r="A494">
        <v>1983</v>
      </c>
      <c r="B494" t="s">
        <v>110</v>
      </c>
      <c r="C494">
        <v>0</v>
      </c>
      <c r="D494">
        <v>1</v>
      </c>
      <c r="E494">
        <v>0</v>
      </c>
      <c r="F494">
        <v>1</v>
      </c>
      <c r="G494">
        <v>0</v>
      </c>
      <c r="H494">
        <v>0</v>
      </c>
      <c r="I494">
        <v>0</v>
      </c>
      <c r="J494">
        <v>9229.1447739687192</v>
      </c>
      <c r="K494">
        <v>7676.3206419096696</v>
      </c>
      <c r="L494">
        <v>50.341999999999999</v>
      </c>
      <c r="M494">
        <v>64.659000000000006</v>
      </c>
      <c r="N494">
        <v>78.016000000000005</v>
      </c>
    </row>
    <row r="495" spans="1:14" x14ac:dyDescent="0.45">
      <c r="A495">
        <v>1983</v>
      </c>
      <c r="B495" t="s">
        <v>111</v>
      </c>
      <c r="C495">
        <v>0</v>
      </c>
      <c r="D495">
        <v>0</v>
      </c>
      <c r="E495">
        <v>0</v>
      </c>
      <c r="F495">
        <v>1</v>
      </c>
      <c r="G495">
        <v>0</v>
      </c>
      <c r="H495">
        <v>0</v>
      </c>
      <c r="I495">
        <v>0</v>
      </c>
      <c r="J495">
        <v>6454.2930058146703</v>
      </c>
      <c r="K495">
        <v>5122.0181834413097</v>
      </c>
      <c r="L495">
        <v>56.094000000000001</v>
      </c>
      <c r="M495">
        <v>57.966999999999999</v>
      </c>
      <c r="N495">
        <v>137.79400000000001</v>
      </c>
    </row>
    <row r="496" spans="1:14" x14ac:dyDescent="0.45">
      <c r="A496">
        <v>1983</v>
      </c>
      <c r="B496" t="s">
        <v>112</v>
      </c>
      <c r="C496">
        <v>0</v>
      </c>
      <c r="D496">
        <v>0</v>
      </c>
      <c r="E496">
        <v>1</v>
      </c>
      <c r="F496">
        <v>0</v>
      </c>
      <c r="G496">
        <v>0</v>
      </c>
      <c r="H496">
        <v>0</v>
      </c>
      <c r="I496">
        <v>0</v>
      </c>
      <c r="L496">
        <v>85.06</v>
      </c>
      <c r="M496">
        <v>37.173000000000002</v>
      </c>
      <c r="N496">
        <v>273.49200000000002</v>
      </c>
    </row>
    <row r="497" spans="1:14" x14ac:dyDescent="0.45">
      <c r="A497">
        <v>1983</v>
      </c>
      <c r="B497" t="s">
        <v>113</v>
      </c>
      <c r="C497">
        <v>1</v>
      </c>
      <c r="D497">
        <v>0</v>
      </c>
      <c r="E497">
        <v>0</v>
      </c>
      <c r="F497">
        <v>0</v>
      </c>
      <c r="G497">
        <v>0</v>
      </c>
      <c r="H497">
        <v>1</v>
      </c>
      <c r="I497">
        <v>1</v>
      </c>
      <c r="J497">
        <v>25390.716559643199</v>
      </c>
      <c r="K497">
        <v>22344.505866781201</v>
      </c>
      <c r="L497">
        <v>26.251000000000001</v>
      </c>
      <c r="M497">
        <v>76.096999999999994</v>
      </c>
      <c r="N497">
        <v>12.808999999999999</v>
      </c>
    </row>
    <row r="498" spans="1:14" x14ac:dyDescent="0.45">
      <c r="A498">
        <v>1983</v>
      </c>
      <c r="B498" t="s">
        <v>114</v>
      </c>
      <c r="C498">
        <v>1</v>
      </c>
      <c r="D498">
        <v>0</v>
      </c>
      <c r="E498">
        <v>0</v>
      </c>
      <c r="F498">
        <v>0</v>
      </c>
      <c r="G498">
        <v>1</v>
      </c>
      <c r="H498">
        <v>0</v>
      </c>
      <c r="I498">
        <v>0</v>
      </c>
      <c r="L498">
        <v>29.652999999999999</v>
      </c>
      <c r="M498">
        <v>69.787000000000006</v>
      </c>
      <c r="N498">
        <v>21.146000000000001</v>
      </c>
    </row>
    <row r="499" spans="1:14" x14ac:dyDescent="0.45">
      <c r="A499">
        <v>1983</v>
      </c>
      <c r="B499" t="s">
        <v>115</v>
      </c>
      <c r="C499">
        <v>0</v>
      </c>
      <c r="D499">
        <v>0</v>
      </c>
      <c r="E499">
        <v>1</v>
      </c>
      <c r="F499">
        <v>0</v>
      </c>
      <c r="G499">
        <v>0</v>
      </c>
      <c r="H499">
        <v>0</v>
      </c>
      <c r="I499">
        <v>0</v>
      </c>
      <c r="J499">
        <v>961.00973568312804</v>
      </c>
      <c r="K499">
        <v>866.725457691727</v>
      </c>
      <c r="L499">
        <v>88.98</v>
      </c>
      <c r="M499">
        <v>36.319000000000003</v>
      </c>
      <c r="N499">
        <v>311.94099999999997</v>
      </c>
    </row>
    <row r="500" spans="1:14" x14ac:dyDescent="0.45">
      <c r="A500">
        <v>1983</v>
      </c>
      <c r="B500" t="s">
        <v>116</v>
      </c>
      <c r="C500">
        <v>1</v>
      </c>
      <c r="D500">
        <v>0</v>
      </c>
      <c r="E500">
        <v>0</v>
      </c>
      <c r="F500">
        <v>0</v>
      </c>
      <c r="G500">
        <v>0</v>
      </c>
      <c r="H500">
        <v>1</v>
      </c>
      <c r="I500">
        <v>1</v>
      </c>
      <c r="J500">
        <v>30792.361199610801</v>
      </c>
      <c r="K500">
        <v>25886.608797040299</v>
      </c>
      <c r="L500">
        <v>25.797999999999998</v>
      </c>
      <c r="M500">
        <v>74.436999999999998</v>
      </c>
      <c r="N500">
        <v>7.6369999999999996</v>
      </c>
    </row>
    <row r="501" spans="1:14" x14ac:dyDescent="0.45">
      <c r="A501">
        <v>1983</v>
      </c>
      <c r="B501" t="s">
        <v>117</v>
      </c>
      <c r="C501">
        <v>0</v>
      </c>
      <c r="D501">
        <v>0</v>
      </c>
      <c r="E501">
        <v>0</v>
      </c>
      <c r="F501">
        <v>1</v>
      </c>
      <c r="G501">
        <v>0</v>
      </c>
      <c r="H501">
        <v>0</v>
      </c>
      <c r="I501">
        <v>0</v>
      </c>
      <c r="J501">
        <v>8559.41919882199</v>
      </c>
      <c r="K501">
        <v>8382.2623132250101</v>
      </c>
      <c r="L501">
        <v>61.779000000000003</v>
      </c>
      <c r="M501">
        <v>62.915999999999997</v>
      </c>
      <c r="N501">
        <v>38.859000000000002</v>
      </c>
    </row>
    <row r="502" spans="1:14" x14ac:dyDescent="0.45">
      <c r="A502">
        <v>1983</v>
      </c>
      <c r="B502" t="s">
        <v>118</v>
      </c>
      <c r="C502">
        <v>1</v>
      </c>
      <c r="D502">
        <v>0</v>
      </c>
      <c r="E502">
        <v>0</v>
      </c>
      <c r="F502">
        <v>0</v>
      </c>
      <c r="G502">
        <v>0</v>
      </c>
      <c r="H502">
        <v>1</v>
      </c>
      <c r="I502">
        <v>1</v>
      </c>
      <c r="J502">
        <v>33373.355042236697</v>
      </c>
      <c r="K502">
        <v>27863.3736696653</v>
      </c>
      <c r="L502">
        <v>26.5</v>
      </c>
      <c r="M502">
        <v>74.733999999999995</v>
      </c>
      <c r="N502">
        <v>11.137</v>
      </c>
    </row>
    <row r="503" spans="1:14" x14ac:dyDescent="0.45">
      <c r="A503">
        <v>1983</v>
      </c>
      <c r="B503" t="s">
        <v>119</v>
      </c>
      <c r="C503">
        <v>1</v>
      </c>
      <c r="D503">
        <v>0</v>
      </c>
      <c r="E503">
        <v>0</v>
      </c>
      <c r="F503">
        <v>0</v>
      </c>
      <c r="G503">
        <v>0</v>
      </c>
      <c r="H503">
        <v>1</v>
      </c>
      <c r="I503">
        <v>1</v>
      </c>
      <c r="L503">
        <v>69.066999999999993</v>
      </c>
      <c r="M503">
        <v>75.926000000000002</v>
      </c>
      <c r="N503">
        <v>13.214</v>
      </c>
    </row>
    <row r="504" spans="1:14" x14ac:dyDescent="0.45">
      <c r="A504">
        <v>1983</v>
      </c>
      <c r="B504" t="s">
        <v>120</v>
      </c>
      <c r="C504">
        <v>0</v>
      </c>
      <c r="D504">
        <v>0</v>
      </c>
      <c r="E504">
        <v>0</v>
      </c>
      <c r="F504">
        <v>1</v>
      </c>
      <c r="G504">
        <v>0</v>
      </c>
      <c r="H504">
        <v>0</v>
      </c>
      <c r="I504">
        <v>0</v>
      </c>
      <c r="J504">
        <v>2840.74769403249</v>
      </c>
      <c r="K504">
        <v>2571.2686596612298</v>
      </c>
      <c r="L504">
        <v>73.716999999999999</v>
      </c>
      <c r="M504">
        <v>62.829000000000001</v>
      </c>
      <c r="N504">
        <v>57.295000000000002</v>
      </c>
    </row>
    <row r="505" spans="1:14" x14ac:dyDescent="0.45">
      <c r="A505">
        <v>1983</v>
      </c>
      <c r="B505" t="s">
        <v>121</v>
      </c>
      <c r="C505">
        <v>0</v>
      </c>
      <c r="D505">
        <v>0</v>
      </c>
      <c r="E505">
        <v>1</v>
      </c>
      <c r="F505">
        <v>0</v>
      </c>
      <c r="G505">
        <v>1</v>
      </c>
      <c r="H505">
        <v>0</v>
      </c>
      <c r="I505">
        <v>0</v>
      </c>
      <c r="J505">
        <v>25945.833964465401</v>
      </c>
      <c r="K505">
        <v>19631.6536832819</v>
      </c>
      <c r="L505">
        <v>40.270000000000003</v>
      </c>
      <c r="M505">
        <v>58.994</v>
      </c>
      <c r="N505">
        <v>108.92400000000001</v>
      </c>
    </row>
    <row r="506" spans="1:14" x14ac:dyDescent="0.45">
      <c r="A506">
        <v>1983</v>
      </c>
      <c r="B506" t="s">
        <v>122</v>
      </c>
      <c r="C506">
        <v>1</v>
      </c>
      <c r="D506">
        <v>0</v>
      </c>
      <c r="E506">
        <v>0</v>
      </c>
      <c r="F506">
        <v>0</v>
      </c>
      <c r="G506">
        <v>0</v>
      </c>
      <c r="H506">
        <v>1</v>
      </c>
      <c r="I506">
        <v>1</v>
      </c>
      <c r="J506">
        <v>26749.159964916402</v>
      </c>
      <c r="K506">
        <v>23045.207980569699</v>
      </c>
      <c r="L506">
        <v>21.510999999999999</v>
      </c>
      <c r="M506">
        <v>74.293000000000006</v>
      </c>
      <c r="N506">
        <v>11.936</v>
      </c>
    </row>
    <row r="507" spans="1:14" x14ac:dyDescent="0.45">
      <c r="A507">
        <v>1983</v>
      </c>
      <c r="B507" t="s">
        <v>123</v>
      </c>
      <c r="C507">
        <v>1</v>
      </c>
      <c r="D507">
        <v>0</v>
      </c>
      <c r="E507">
        <v>0</v>
      </c>
      <c r="F507">
        <v>1</v>
      </c>
      <c r="G507">
        <v>0</v>
      </c>
      <c r="H507">
        <v>0</v>
      </c>
      <c r="I507">
        <v>0</v>
      </c>
      <c r="J507">
        <v>12990.998510227801</v>
      </c>
      <c r="K507">
        <v>10975.908607367701</v>
      </c>
      <c r="L507">
        <v>46.484000000000002</v>
      </c>
      <c r="M507">
        <v>69.135000000000005</v>
      </c>
      <c r="N507">
        <v>53.442</v>
      </c>
    </row>
    <row r="508" spans="1:14" x14ac:dyDescent="0.45">
      <c r="A508">
        <v>1983</v>
      </c>
      <c r="B508" t="s">
        <v>124</v>
      </c>
      <c r="C508">
        <v>0</v>
      </c>
      <c r="D508">
        <v>0</v>
      </c>
      <c r="E508">
        <v>1</v>
      </c>
      <c r="F508">
        <v>0</v>
      </c>
      <c r="G508">
        <v>0</v>
      </c>
      <c r="H508">
        <v>0</v>
      </c>
      <c r="I508">
        <v>0</v>
      </c>
      <c r="J508">
        <v>2479.5230924581701</v>
      </c>
      <c r="K508">
        <v>2139.1905132308798</v>
      </c>
      <c r="L508">
        <v>68.158000000000001</v>
      </c>
      <c r="M508">
        <v>51.78</v>
      </c>
      <c r="N508">
        <v>161.232</v>
      </c>
    </row>
    <row r="509" spans="1:14" x14ac:dyDescent="0.45">
      <c r="A509">
        <v>1983</v>
      </c>
      <c r="B509" t="s">
        <v>125</v>
      </c>
      <c r="C509">
        <v>1</v>
      </c>
      <c r="D509">
        <v>0</v>
      </c>
      <c r="E509">
        <v>0</v>
      </c>
      <c r="F509">
        <v>0</v>
      </c>
      <c r="G509">
        <v>1</v>
      </c>
      <c r="H509">
        <v>0</v>
      </c>
      <c r="I509">
        <v>0</v>
      </c>
      <c r="L509">
        <v>0</v>
      </c>
      <c r="M509">
        <v>74.613</v>
      </c>
      <c r="N509">
        <v>25.39</v>
      </c>
    </row>
    <row r="510" spans="1:14" x14ac:dyDescent="0.45">
      <c r="A510">
        <v>1983</v>
      </c>
      <c r="B510" t="s">
        <v>126</v>
      </c>
      <c r="C510">
        <v>0</v>
      </c>
      <c r="D510">
        <v>0</v>
      </c>
      <c r="E510">
        <v>1</v>
      </c>
      <c r="F510">
        <v>0</v>
      </c>
      <c r="G510">
        <v>0</v>
      </c>
      <c r="H510">
        <v>0</v>
      </c>
      <c r="I510">
        <v>0</v>
      </c>
      <c r="J510">
        <v>1967.35520772071</v>
      </c>
      <c r="K510">
        <v>1586.21124289511</v>
      </c>
      <c r="L510">
        <v>73.927999999999997</v>
      </c>
      <c r="M510">
        <v>44.225999999999999</v>
      </c>
      <c r="N510">
        <v>267.76400000000001</v>
      </c>
    </row>
    <row r="511" spans="1:14" x14ac:dyDescent="0.45">
      <c r="A511">
        <v>1983</v>
      </c>
      <c r="B511" t="s">
        <v>127</v>
      </c>
      <c r="C511">
        <v>0</v>
      </c>
      <c r="D511">
        <v>0</v>
      </c>
      <c r="E511">
        <v>1</v>
      </c>
      <c r="F511">
        <v>0</v>
      </c>
      <c r="G511">
        <v>0</v>
      </c>
      <c r="H511">
        <v>0</v>
      </c>
      <c r="I511">
        <v>0</v>
      </c>
      <c r="J511">
        <v>2635.4681348153099</v>
      </c>
      <c r="K511">
        <v>2121.28030361422</v>
      </c>
      <c r="L511">
        <v>68.992000000000004</v>
      </c>
      <c r="M511">
        <v>46.892000000000003</v>
      </c>
      <c r="N511">
        <v>210.16800000000001</v>
      </c>
    </row>
    <row r="512" spans="1:14" x14ac:dyDescent="0.45">
      <c r="A512">
        <v>1983</v>
      </c>
      <c r="B512" t="s">
        <v>128</v>
      </c>
      <c r="C512">
        <v>0</v>
      </c>
      <c r="D512">
        <v>0</v>
      </c>
      <c r="E512">
        <v>1</v>
      </c>
      <c r="F512">
        <v>0</v>
      </c>
      <c r="G512">
        <v>0</v>
      </c>
      <c r="H512">
        <v>0</v>
      </c>
      <c r="I512">
        <v>0</v>
      </c>
      <c r="J512">
        <v>1865.69255616738</v>
      </c>
      <c r="K512">
        <v>1678.37412928294</v>
      </c>
      <c r="L512">
        <v>78.805999999999997</v>
      </c>
      <c r="M512">
        <v>44.6</v>
      </c>
      <c r="N512">
        <v>249.12299999999999</v>
      </c>
    </row>
    <row r="513" spans="1:14" x14ac:dyDescent="0.45">
      <c r="A513">
        <v>1983</v>
      </c>
      <c r="B513" t="s">
        <v>129</v>
      </c>
      <c r="C513">
        <v>0</v>
      </c>
      <c r="D513">
        <v>0</v>
      </c>
      <c r="E513">
        <v>1</v>
      </c>
      <c r="F513">
        <v>0</v>
      </c>
      <c r="G513">
        <v>0</v>
      </c>
      <c r="H513">
        <v>0</v>
      </c>
      <c r="I513">
        <v>0</v>
      </c>
      <c r="J513">
        <v>1285.2343820020401</v>
      </c>
      <c r="K513">
        <v>1064.83308314852</v>
      </c>
      <c r="L513">
        <v>71.849000000000004</v>
      </c>
      <c r="M513">
        <v>50.045999999999999</v>
      </c>
      <c r="N513">
        <v>197.93799999999999</v>
      </c>
    </row>
    <row r="514" spans="1:14" x14ac:dyDescent="0.45">
      <c r="A514">
        <v>1983</v>
      </c>
      <c r="B514" t="s">
        <v>130</v>
      </c>
      <c r="C514">
        <v>1</v>
      </c>
      <c r="D514">
        <v>0</v>
      </c>
      <c r="E514">
        <v>0</v>
      </c>
      <c r="F514">
        <v>0</v>
      </c>
      <c r="G514">
        <v>1</v>
      </c>
      <c r="H514">
        <v>0</v>
      </c>
      <c r="I514">
        <v>0</v>
      </c>
      <c r="J514">
        <v>25216.236584827799</v>
      </c>
      <c r="K514">
        <v>22573.426522821901</v>
      </c>
      <c r="L514">
        <v>29.866</v>
      </c>
      <c r="M514">
        <v>75.497</v>
      </c>
      <c r="N514">
        <v>16.327000000000002</v>
      </c>
    </row>
    <row r="515" spans="1:14" x14ac:dyDescent="0.45">
      <c r="A515">
        <v>1983</v>
      </c>
      <c r="B515" t="s">
        <v>131</v>
      </c>
      <c r="C515">
        <v>0</v>
      </c>
      <c r="D515">
        <v>1</v>
      </c>
      <c r="E515">
        <v>0</v>
      </c>
      <c r="F515">
        <v>1</v>
      </c>
      <c r="G515">
        <v>0</v>
      </c>
      <c r="H515">
        <v>0</v>
      </c>
      <c r="I515">
        <v>0</v>
      </c>
      <c r="J515">
        <v>6568.2407496458</v>
      </c>
      <c r="K515">
        <v>6060.5490553468198</v>
      </c>
      <c r="L515">
        <v>66.921999999999997</v>
      </c>
      <c r="M515">
        <v>64.332999999999998</v>
      </c>
      <c r="N515">
        <v>31.7</v>
      </c>
    </row>
    <row r="516" spans="1:14" x14ac:dyDescent="0.45">
      <c r="A516">
        <v>1983</v>
      </c>
      <c r="B516" t="s">
        <v>132</v>
      </c>
      <c r="C516">
        <v>1</v>
      </c>
      <c r="D516">
        <v>0</v>
      </c>
      <c r="E516">
        <v>0</v>
      </c>
      <c r="F516">
        <v>0</v>
      </c>
      <c r="G516">
        <v>0</v>
      </c>
      <c r="H516">
        <v>1</v>
      </c>
      <c r="I516">
        <v>1</v>
      </c>
      <c r="J516">
        <v>36851.295677129703</v>
      </c>
      <c r="K516">
        <v>33356.619876511599</v>
      </c>
      <c r="L516">
        <v>22.763000000000002</v>
      </c>
      <c r="M516">
        <v>62.643000000000001</v>
      </c>
      <c r="N516">
        <v>42.012</v>
      </c>
    </row>
    <row r="517" spans="1:14" x14ac:dyDescent="0.45">
      <c r="A517">
        <v>1983</v>
      </c>
      <c r="B517" t="s">
        <v>133</v>
      </c>
      <c r="C517">
        <v>0</v>
      </c>
      <c r="D517">
        <v>1</v>
      </c>
      <c r="E517">
        <v>0</v>
      </c>
      <c r="F517">
        <v>1</v>
      </c>
      <c r="G517">
        <v>0</v>
      </c>
      <c r="H517">
        <v>0</v>
      </c>
      <c r="I517">
        <v>0</v>
      </c>
      <c r="J517">
        <v>8447.5288657741894</v>
      </c>
      <c r="K517">
        <v>7338.1627105504904</v>
      </c>
      <c r="L517">
        <v>60.305</v>
      </c>
      <c r="M517">
        <v>57.912999999999997</v>
      </c>
      <c r="N517">
        <v>108.45399999999999</v>
      </c>
    </row>
    <row r="518" spans="1:14" x14ac:dyDescent="0.45">
      <c r="A518">
        <v>1983</v>
      </c>
      <c r="B518" t="s">
        <v>134</v>
      </c>
      <c r="C518">
        <v>0</v>
      </c>
      <c r="D518">
        <v>0</v>
      </c>
      <c r="E518">
        <v>0</v>
      </c>
      <c r="F518">
        <v>0</v>
      </c>
      <c r="G518">
        <v>0</v>
      </c>
      <c r="H518">
        <v>1</v>
      </c>
      <c r="I518">
        <v>1</v>
      </c>
      <c r="L518">
        <v>7.0629999999999997</v>
      </c>
      <c r="M518">
        <v>72.141000000000005</v>
      </c>
      <c r="N518">
        <v>15.021000000000001</v>
      </c>
    </row>
    <row r="519" spans="1:14" x14ac:dyDescent="0.45">
      <c r="A519">
        <v>1983</v>
      </c>
      <c r="B519" t="s">
        <v>135</v>
      </c>
      <c r="C519">
        <v>0</v>
      </c>
      <c r="D519">
        <v>1</v>
      </c>
      <c r="E519">
        <v>0</v>
      </c>
      <c r="F519">
        <v>0</v>
      </c>
      <c r="G519">
        <v>0</v>
      </c>
      <c r="H519">
        <v>0</v>
      </c>
      <c r="I519">
        <v>0</v>
      </c>
      <c r="J519">
        <v>5943.7677385034604</v>
      </c>
      <c r="K519">
        <v>5684.4954680573401</v>
      </c>
      <c r="L519">
        <v>69.784999999999997</v>
      </c>
      <c r="M519">
        <v>61.156999999999996</v>
      </c>
      <c r="N519">
        <v>68.266000000000005</v>
      </c>
    </row>
    <row r="520" spans="1:14" x14ac:dyDescent="0.45">
      <c r="A520">
        <v>1983</v>
      </c>
      <c r="B520" t="s">
        <v>136</v>
      </c>
      <c r="C520">
        <v>0</v>
      </c>
      <c r="D520">
        <v>0</v>
      </c>
      <c r="E520">
        <v>0</v>
      </c>
      <c r="F520">
        <v>0</v>
      </c>
      <c r="G520">
        <v>0</v>
      </c>
      <c r="H520">
        <v>1</v>
      </c>
      <c r="I520">
        <v>1</v>
      </c>
      <c r="J520">
        <v>20782.473596904201</v>
      </c>
      <c r="K520">
        <v>18756.254076843299</v>
      </c>
      <c r="L520">
        <v>7.6239999999999997</v>
      </c>
      <c r="M520">
        <v>75.301000000000002</v>
      </c>
      <c r="N520">
        <v>11.789</v>
      </c>
    </row>
    <row r="521" spans="1:14" x14ac:dyDescent="0.45">
      <c r="A521">
        <v>1983</v>
      </c>
      <c r="B521" t="s">
        <v>137</v>
      </c>
      <c r="C521">
        <v>0</v>
      </c>
      <c r="D521">
        <v>1</v>
      </c>
      <c r="E521">
        <v>0</v>
      </c>
      <c r="F521">
        <v>1</v>
      </c>
      <c r="G521">
        <v>0</v>
      </c>
      <c r="H521">
        <v>0</v>
      </c>
      <c r="I521">
        <v>0</v>
      </c>
      <c r="J521">
        <v>4069.6887201059799</v>
      </c>
      <c r="K521">
        <v>3750.1287542582299</v>
      </c>
      <c r="L521">
        <v>63.423000000000002</v>
      </c>
      <c r="M521">
        <v>62.408000000000001</v>
      </c>
      <c r="N521">
        <v>81.930999999999997</v>
      </c>
    </row>
    <row r="522" spans="1:14" x14ac:dyDescent="0.45">
      <c r="A522">
        <v>1983</v>
      </c>
      <c r="B522" t="s">
        <v>138</v>
      </c>
      <c r="C522">
        <v>1</v>
      </c>
      <c r="D522">
        <v>0</v>
      </c>
      <c r="E522">
        <v>0</v>
      </c>
      <c r="F522">
        <v>0</v>
      </c>
      <c r="G522">
        <v>1</v>
      </c>
      <c r="H522">
        <v>0</v>
      </c>
      <c r="I522">
        <v>0</v>
      </c>
      <c r="L522">
        <v>51.412999999999997</v>
      </c>
      <c r="M522">
        <v>70.745999999999995</v>
      </c>
      <c r="N522">
        <v>19.992000000000001</v>
      </c>
    </row>
    <row r="523" spans="1:14" x14ac:dyDescent="0.45">
      <c r="A523">
        <v>1983</v>
      </c>
      <c r="B523" t="s">
        <v>139</v>
      </c>
      <c r="C523">
        <v>0</v>
      </c>
      <c r="D523">
        <v>1</v>
      </c>
      <c r="E523">
        <v>0</v>
      </c>
      <c r="F523">
        <v>0</v>
      </c>
      <c r="G523">
        <v>0</v>
      </c>
      <c r="H523">
        <v>0</v>
      </c>
      <c r="I523">
        <v>0</v>
      </c>
      <c r="J523">
        <v>4642.2361569408704</v>
      </c>
      <c r="K523">
        <v>4461.9120209783796</v>
      </c>
      <c r="L523">
        <v>78.64</v>
      </c>
      <c r="M523">
        <v>50.945999999999998</v>
      </c>
      <c r="N523">
        <v>175.60400000000001</v>
      </c>
    </row>
    <row r="524" spans="1:14" x14ac:dyDescent="0.45">
      <c r="A524">
        <v>1983</v>
      </c>
      <c r="B524" t="s">
        <v>140</v>
      </c>
      <c r="C524">
        <v>1</v>
      </c>
      <c r="D524">
        <v>0</v>
      </c>
      <c r="E524">
        <v>0</v>
      </c>
      <c r="F524">
        <v>0</v>
      </c>
      <c r="G524">
        <v>1</v>
      </c>
      <c r="H524">
        <v>0</v>
      </c>
      <c r="I524">
        <v>0</v>
      </c>
      <c r="J524">
        <v>19008.845658349099</v>
      </c>
      <c r="K524">
        <v>16564.640379397799</v>
      </c>
      <c r="L524">
        <v>35.265999999999998</v>
      </c>
      <c r="M524">
        <v>68.929000000000002</v>
      </c>
      <c r="N524">
        <v>20.94</v>
      </c>
    </row>
    <row r="525" spans="1:14" x14ac:dyDescent="0.45">
      <c r="A525">
        <v>1983</v>
      </c>
      <c r="B525" t="s">
        <v>141</v>
      </c>
      <c r="C525">
        <v>0</v>
      </c>
      <c r="D525">
        <v>0</v>
      </c>
      <c r="E525">
        <v>0</v>
      </c>
      <c r="F525">
        <v>0</v>
      </c>
      <c r="G525">
        <v>0</v>
      </c>
      <c r="H525">
        <v>0</v>
      </c>
      <c r="I525">
        <v>0</v>
      </c>
      <c r="J525">
        <v>3898.4385157725701</v>
      </c>
      <c r="K525">
        <v>3539.1677265421399</v>
      </c>
      <c r="L525">
        <v>75.584999999999994</v>
      </c>
      <c r="M525">
        <v>60.343000000000004</v>
      </c>
      <c r="N525">
        <v>109.586</v>
      </c>
    </row>
    <row r="526" spans="1:14" x14ac:dyDescent="0.45">
      <c r="A526">
        <v>1983</v>
      </c>
      <c r="B526" t="s">
        <v>142</v>
      </c>
      <c r="C526">
        <v>1</v>
      </c>
      <c r="D526">
        <v>0</v>
      </c>
      <c r="E526">
        <v>0</v>
      </c>
      <c r="F526">
        <v>0</v>
      </c>
      <c r="G526">
        <v>0</v>
      </c>
      <c r="H526">
        <v>1</v>
      </c>
      <c r="I526">
        <v>1</v>
      </c>
      <c r="L526">
        <v>48.226999999999997</v>
      </c>
      <c r="M526">
        <v>69.456999999999994</v>
      </c>
      <c r="N526">
        <v>47.384999999999998</v>
      </c>
    </row>
    <row r="527" spans="1:14" x14ac:dyDescent="0.45">
      <c r="A527">
        <v>1983</v>
      </c>
      <c r="B527" t="s">
        <v>143</v>
      </c>
      <c r="C527">
        <v>0</v>
      </c>
      <c r="D527">
        <v>0</v>
      </c>
      <c r="E527">
        <v>0</v>
      </c>
      <c r="F527">
        <v>0</v>
      </c>
      <c r="G527">
        <v>0</v>
      </c>
      <c r="H527">
        <v>0</v>
      </c>
      <c r="I527">
        <v>0</v>
      </c>
      <c r="J527">
        <v>1766.55029690112</v>
      </c>
      <c r="K527">
        <v>1481.57984879434</v>
      </c>
      <c r="L527">
        <v>76.120999999999995</v>
      </c>
      <c r="M527">
        <v>55.283000000000001</v>
      </c>
      <c r="N527">
        <v>154.827</v>
      </c>
    </row>
    <row r="528" spans="1:14" x14ac:dyDescent="0.45">
      <c r="A528">
        <v>1983</v>
      </c>
      <c r="B528" t="s">
        <v>144</v>
      </c>
      <c r="C528">
        <v>1</v>
      </c>
      <c r="D528">
        <v>0</v>
      </c>
      <c r="E528">
        <v>0</v>
      </c>
      <c r="F528">
        <v>0</v>
      </c>
      <c r="G528">
        <v>0</v>
      </c>
      <c r="H528">
        <v>1</v>
      </c>
      <c r="I528">
        <v>1</v>
      </c>
      <c r="J528">
        <v>25206.7897751337</v>
      </c>
      <c r="K528">
        <v>23176.3281004897</v>
      </c>
      <c r="L528">
        <v>44.045000000000002</v>
      </c>
      <c r="M528">
        <v>73.177999999999997</v>
      </c>
      <c r="N528">
        <v>12.057</v>
      </c>
    </row>
    <row r="529" spans="1:14" x14ac:dyDescent="0.45">
      <c r="A529">
        <v>1983</v>
      </c>
      <c r="B529" t="s">
        <v>145</v>
      </c>
      <c r="C529">
        <v>0</v>
      </c>
      <c r="D529">
        <v>0</v>
      </c>
      <c r="E529">
        <v>0</v>
      </c>
      <c r="F529">
        <v>0</v>
      </c>
      <c r="G529">
        <v>1</v>
      </c>
      <c r="H529">
        <v>0</v>
      </c>
      <c r="I529">
        <v>0</v>
      </c>
      <c r="J529">
        <v>12065.276481872799</v>
      </c>
      <c r="K529">
        <v>12035.049005811999</v>
      </c>
      <c r="L529">
        <v>48.084000000000003</v>
      </c>
      <c r="M529">
        <v>58.518000000000001</v>
      </c>
      <c r="N529">
        <v>87.399000000000001</v>
      </c>
    </row>
    <row r="530" spans="1:14" x14ac:dyDescent="0.45">
      <c r="A530">
        <v>1983</v>
      </c>
      <c r="B530" t="s">
        <v>146</v>
      </c>
      <c r="C530">
        <v>0</v>
      </c>
      <c r="D530">
        <v>0</v>
      </c>
      <c r="E530">
        <v>0</v>
      </c>
      <c r="F530">
        <v>0</v>
      </c>
      <c r="G530">
        <v>1</v>
      </c>
      <c r="H530">
        <v>0</v>
      </c>
      <c r="I530">
        <v>0</v>
      </c>
      <c r="J530">
        <v>7276.9584296870398</v>
      </c>
      <c r="K530">
        <v>5144.0001728280304</v>
      </c>
      <c r="L530">
        <v>32.512</v>
      </c>
      <c r="M530">
        <v>59.286999999999999</v>
      </c>
      <c r="N530">
        <v>65.08</v>
      </c>
    </row>
    <row r="531" spans="1:14" x14ac:dyDescent="0.45">
      <c r="A531">
        <v>1983</v>
      </c>
      <c r="B531" t="s">
        <v>147</v>
      </c>
      <c r="C531">
        <v>1</v>
      </c>
      <c r="D531">
        <v>0</v>
      </c>
      <c r="E531">
        <v>0</v>
      </c>
      <c r="F531">
        <v>0</v>
      </c>
      <c r="G531">
        <v>0</v>
      </c>
      <c r="H531">
        <v>1</v>
      </c>
      <c r="I531">
        <v>1</v>
      </c>
      <c r="J531">
        <v>35668.114551220897</v>
      </c>
      <c r="K531">
        <v>30863.223098412102</v>
      </c>
      <c r="L531">
        <v>10.938000000000001</v>
      </c>
      <c r="M531">
        <v>76.424999999999997</v>
      </c>
      <c r="N531">
        <v>7.319</v>
      </c>
    </row>
    <row r="532" spans="1:14" x14ac:dyDescent="0.45">
      <c r="A532">
        <v>1983</v>
      </c>
      <c r="B532" t="s">
        <v>148</v>
      </c>
      <c r="C532">
        <v>0</v>
      </c>
      <c r="D532">
        <v>0</v>
      </c>
      <c r="E532">
        <v>0</v>
      </c>
      <c r="F532">
        <v>0</v>
      </c>
      <c r="G532">
        <v>0</v>
      </c>
      <c r="H532">
        <v>1</v>
      </c>
      <c r="I532">
        <v>1</v>
      </c>
      <c r="J532">
        <v>22177.559752903799</v>
      </c>
      <c r="K532">
        <v>20342.969348638999</v>
      </c>
      <c r="L532">
        <v>10.391999999999999</v>
      </c>
      <c r="M532">
        <v>75.084999999999994</v>
      </c>
      <c r="N532">
        <v>16.812000000000001</v>
      </c>
    </row>
    <row r="533" spans="1:14" x14ac:dyDescent="0.45">
      <c r="A533">
        <v>1983</v>
      </c>
      <c r="B533" t="s">
        <v>149</v>
      </c>
      <c r="C533">
        <v>1</v>
      </c>
      <c r="D533">
        <v>0</v>
      </c>
      <c r="E533">
        <v>0</v>
      </c>
      <c r="F533">
        <v>0</v>
      </c>
      <c r="G533">
        <v>0</v>
      </c>
      <c r="H533">
        <v>1</v>
      </c>
      <c r="I533">
        <v>1</v>
      </c>
      <c r="J533">
        <v>34828.995690823103</v>
      </c>
      <c r="K533">
        <v>29666.193214463201</v>
      </c>
      <c r="L533">
        <v>33.134</v>
      </c>
      <c r="M533">
        <v>74.734999999999999</v>
      </c>
      <c r="N533">
        <v>13.686</v>
      </c>
    </row>
    <row r="534" spans="1:14" x14ac:dyDescent="0.45">
      <c r="A534">
        <v>1983</v>
      </c>
      <c r="B534" t="s">
        <v>150</v>
      </c>
      <c r="C534">
        <v>0</v>
      </c>
      <c r="D534">
        <v>1</v>
      </c>
      <c r="E534">
        <v>0</v>
      </c>
      <c r="F534">
        <v>1</v>
      </c>
      <c r="G534">
        <v>0</v>
      </c>
      <c r="H534">
        <v>0</v>
      </c>
      <c r="I534">
        <v>0</v>
      </c>
      <c r="J534">
        <v>7857.2971469434597</v>
      </c>
      <c r="K534">
        <v>7743.6032949692599</v>
      </c>
      <c r="L534">
        <v>51.984000000000002</v>
      </c>
      <c r="M534">
        <v>69.546000000000006</v>
      </c>
      <c r="N534">
        <v>34.113</v>
      </c>
    </row>
    <row r="535" spans="1:14" x14ac:dyDescent="0.45">
      <c r="A535">
        <v>1983</v>
      </c>
      <c r="B535" t="s">
        <v>151</v>
      </c>
      <c r="C535">
        <v>0</v>
      </c>
      <c r="D535">
        <v>0</v>
      </c>
      <c r="E535">
        <v>0</v>
      </c>
      <c r="F535">
        <v>1</v>
      </c>
      <c r="G535">
        <v>0</v>
      </c>
      <c r="H535">
        <v>0</v>
      </c>
      <c r="I535">
        <v>0</v>
      </c>
      <c r="J535">
        <v>10764.2525464344</v>
      </c>
      <c r="K535">
        <v>10678.6260512269</v>
      </c>
      <c r="L535">
        <v>35.722000000000001</v>
      </c>
      <c r="M535">
        <v>67.778000000000006</v>
      </c>
      <c r="N535">
        <v>48.18</v>
      </c>
    </row>
    <row r="536" spans="1:14" x14ac:dyDescent="0.45">
      <c r="A536">
        <v>1983</v>
      </c>
      <c r="B536" t="s">
        <v>152</v>
      </c>
      <c r="C536">
        <v>0</v>
      </c>
      <c r="D536">
        <v>0</v>
      </c>
      <c r="E536">
        <v>0</v>
      </c>
      <c r="F536">
        <v>0</v>
      </c>
      <c r="G536">
        <v>0</v>
      </c>
      <c r="H536">
        <v>1</v>
      </c>
      <c r="I536">
        <v>1</v>
      </c>
      <c r="J536">
        <v>26616.855792063401</v>
      </c>
      <c r="K536">
        <v>24656.053866511102</v>
      </c>
      <c r="L536">
        <v>23.507000000000001</v>
      </c>
      <c r="M536">
        <v>77.106999999999999</v>
      </c>
      <c r="N536">
        <v>8.3230000000000004</v>
      </c>
    </row>
    <row r="537" spans="1:14" x14ac:dyDescent="0.45">
      <c r="A537">
        <v>1983</v>
      </c>
      <c r="B537" t="s">
        <v>153</v>
      </c>
      <c r="C537">
        <v>1</v>
      </c>
      <c r="D537">
        <v>0</v>
      </c>
      <c r="E537">
        <v>0</v>
      </c>
      <c r="F537">
        <v>1</v>
      </c>
      <c r="G537">
        <v>0</v>
      </c>
      <c r="H537">
        <v>0</v>
      </c>
      <c r="I537">
        <v>0</v>
      </c>
      <c r="L537">
        <v>44.539000000000001</v>
      </c>
      <c r="M537">
        <v>64.224000000000004</v>
      </c>
      <c r="N537">
        <v>63.633000000000003</v>
      </c>
    </row>
    <row r="538" spans="1:14" x14ac:dyDescent="0.45">
      <c r="A538">
        <v>1983</v>
      </c>
      <c r="B538" t="s">
        <v>154</v>
      </c>
      <c r="C538">
        <v>0</v>
      </c>
      <c r="D538">
        <v>0</v>
      </c>
      <c r="E538">
        <v>1</v>
      </c>
      <c r="F538">
        <v>0</v>
      </c>
      <c r="G538">
        <v>0</v>
      </c>
      <c r="H538">
        <v>0</v>
      </c>
      <c r="I538">
        <v>0</v>
      </c>
      <c r="J538">
        <v>3956.37433128162</v>
      </c>
      <c r="K538">
        <v>3409.7863382802998</v>
      </c>
      <c r="L538">
        <v>84.120999999999995</v>
      </c>
      <c r="M538">
        <v>60.341999999999999</v>
      </c>
      <c r="N538">
        <v>100.38200000000001</v>
      </c>
    </row>
    <row r="539" spans="1:14" x14ac:dyDescent="0.45">
      <c r="A539">
        <v>1983</v>
      </c>
      <c r="B539" t="s">
        <v>155</v>
      </c>
      <c r="C539">
        <v>1</v>
      </c>
      <c r="D539">
        <v>0</v>
      </c>
      <c r="E539">
        <v>0</v>
      </c>
      <c r="F539">
        <v>1</v>
      </c>
      <c r="G539">
        <v>0</v>
      </c>
      <c r="H539">
        <v>0</v>
      </c>
      <c r="I539">
        <v>0</v>
      </c>
      <c r="J539">
        <v>5239.8646334752002</v>
      </c>
      <c r="K539">
        <v>4428.56609855238</v>
      </c>
      <c r="L539">
        <v>61.523000000000003</v>
      </c>
      <c r="M539">
        <v>62.335999999999999</v>
      </c>
      <c r="N539">
        <v>87.617000000000004</v>
      </c>
    </row>
    <row r="540" spans="1:14" x14ac:dyDescent="0.45">
      <c r="A540">
        <v>1983</v>
      </c>
      <c r="B540" t="s">
        <v>156</v>
      </c>
      <c r="C540">
        <v>0</v>
      </c>
      <c r="D540">
        <v>0</v>
      </c>
      <c r="E540">
        <v>0</v>
      </c>
      <c r="F540">
        <v>0</v>
      </c>
      <c r="G540">
        <v>0</v>
      </c>
      <c r="H540">
        <v>0</v>
      </c>
      <c r="I540">
        <v>0</v>
      </c>
      <c r="J540">
        <v>2053.4398818070299</v>
      </c>
      <c r="K540">
        <v>1841.2544215589101</v>
      </c>
      <c r="L540">
        <v>86.674999999999997</v>
      </c>
      <c r="M540">
        <v>49.383000000000003</v>
      </c>
      <c r="N540">
        <v>147.11500000000001</v>
      </c>
    </row>
    <row r="541" spans="1:14" x14ac:dyDescent="0.45">
      <c r="A541">
        <v>1983</v>
      </c>
      <c r="B541" t="s">
        <v>157</v>
      </c>
      <c r="C541">
        <v>0</v>
      </c>
      <c r="D541">
        <v>0</v>
      </c>
      <c r="E541">
        <v>0</v>
      </c>
      <c r="F541">
        <v>1</v>
      </c>
      <c r="G541">
        <v>0</v>
      </c>
      <c r="H541">
        <v>0</v>
      </c>
      <c r="I541">
        <v>0</v>
      </c>
      <c r="J541">
        <v>2520.00405133697</v>
      </c>
      <c r="K541">
        <v>2279.59389423315</v>
      </c>
      <c r="L541">
        <v>66.968000000000004</v>
      </c>
      <c r="M541">
        <v>58.05</v>
      </c>
      <c r="N541">
        <v>112.423</v>
      </c>
    </row>
    <row r="542" spans="1:14" x14ac:dyDescent="0.45">
      <c r="A542">
        <v>1983</v>
      </c>
      <c r="B542" t="s">
        <v>158</v>
      </c>
      <c r="C542">
        <v>0</v>
      </c>
      <c r="D542">
        <v>1</v>
      </c>
      <c r="E542">
        <v>0</v>
      </c>
      <c r="F542">
        <v>0</v>
      </c>
      <c r="G542">
        <v>1</v>
      </c>
      <c r="H542">
        <v>0</v>
      </c>
      <c r="I542">
        <v>0</v>
      </c>
      <c r="J542">
        <v>8436.5972292077895</v>
      </c>
      <c r="K542">
        <v>8332.2872947987307</v>
      </c>
      <c r="L542">
        <v>64.501999999999995</v>
      </c>
      <c r="M542">
        <v>65.117999999999995</v>
      </c>
      <c r="N542">
        <v>42.161999999999999</v>
      </c>
    </row>
    <row r="543" spans="1:14" x14ac:dyDescent="0.45">
      <c r="A543">
        <v>1983</v>
      </c>
      <c r="B543" t="s">
        <v>159</v>
      </c>
      <c r="C543">
        <v>0</v>
      </c>
      <c r="D543">
        <v>0</v>
      </c>
      <c r="E543">
        <v>0</v>
      </c>
      <c r="F543">
        <v>0</v>
      </c>
      <c r="G543">
        <v>1</v>
      </c>
      <c r="H543">
        <v>0</v>
      </c>
      <c r="I543">
        <v>0</v>
      </c>
      <c r="J543">
        <v>7344.9862218865601</v>
      </c>
      <c r="K543">
        <v>6695.8546766069203</v>
      </c>
      <c r="L543">
        <v>38.307000000000002</v>
      </c>
      <c r="M543">
        <v>66.724999999999994</v>
      </c>
      <c r="N543">
        <v>29</v>
      </c>
    </row>
    <row r="544" spans="1:14" x14ac:dyDescent="0.45">
      <c r="A544">
        <v>1983</v>
      </c>
      <c r="B544" t="s">
        <v>160</v>
      </c>
      <c r="C544">
        <v>0</v>
      </c>
      <c r="D544">
        <v>0</v>
      </c>
      <c r="E544">
        <v>0</v>
      </c>
      <c r="F544">
        <v>0</v>
      </c>
      <c r="G544">
        <v>0</v>
      </c>
      <c r="H544">
        <v>1</v>
      </c>
      <c r="I544">
        <v>1</v>
      </c>
      <c r="J544">
        <v>36829.6079735768</v>
      </c>
      <c r="K544">
        <v>32800.453472861598</v>
      </c>
      <c r="L544">
        <v>2.96599999999999</v>
      </c>
      <c r="M544">
        <v>72.394000000000005</v>
      </c>
      <c r="N544">
        <v>27.678999999999998</v>
      </c>
    </row>
    <row r="545" spans="1:14" x14ac:dyDescent="0.45">
      <c r="A545">
        <v>1983</v>
      </c>
      <c r="B545" t="s">
        <v>161</v>
      </c>
      <c r="C545">
        <v>0</v>
      </c>
      <c r="D545">
        <v>0</v>
      </c>
      <c r="E545">
        <v>0</v>
      </c>
      <c r="F545">
        <v>0</v>
      </c>
      <c r="G545">
        <v>0</v>
      </c>
      <c r="H545">
        <v>0</v>
      </c>
      <c r="I545">
        <v>0</v>
      </c>
      <c r="J545">
        <v>1828.15006575195</v>
      </c>
      <c r="K545">
        <v>1756.68328393601</v>
      </c>
      <c r="L545">
        <v>86.786000000000001</v>
      </c>
      <c r="M545">
        <v>50.484999999999999</v>
      </c>
      <c r="N545">
        <v>188.28899999999999</v>
      </c>
    </row>
    <row r="546" spans="1:14" x14ac:dyDescent="0.45">
      <c r="A546">
        <v>1983</v>
      </c>
      <c r="B546" t="s">
        <v>162</v>
      </c>
      <c r="C546">
        <v>0</v>
      </c>
      <c r="D546">
        <v>0</v>
      </c>
      <c r="E546">
        <v>0</v>
      </c>
      <c r="F546">
        <v>1</v>
      </c>
      <c r="G546">
        <v>0</v>
      </c>
      <c r="H546">
        <v>0</v>
      </c>
      <c r="I546">
        <v>0</v>
      </c>
      <c r="J546">
        <v>8433.4152903748109</v>
      </c>
      <c r="K546">
        <v>10961.697606133301</v>
      </c>
      <c r="L546">
        <v>22.76</v>
      </c>
      <c r="M546">
        <v>60.752000000000002</v>
      </c>
      <c r="N546">
        <v>54.213000000000001</v>
      </c>
    </row>
    <row r="547" spans="1:14" x14ac:dyDescent="0.45">
      <c r="A547">
        <v>1983</v>
      </c>
      <c r="B547" t="s">
        <v>163</v>
      </c>
      <c r="C547">
        <v>0</v>
      </c>
      <c r="D547">
        <v>0</v>
      </c>
      <c r="E547">
        <v>1</v>
      </c>
      <c r="F547">
        <v>0</v>
      </c>
      <c r="G547">
        <v>0</v>
      </c>
      <c r="H547">
        <v>0</v>
      </c>
      <c r="I547">
        <v>0</v>
      </c>
      <c r="J547">
        <v>3451.16306405053</v>
      </c>
      <c r="K547">
        <v>5098.9051595441397</v>
      </c>
      <c r="L547">
        <v>61.805999999999997</v>
      </c>
      <c r="M547">
        <v>44.576000000000001</v>
      </c>
      <c r="N547">
        <v>242.166</v>
      </c>
    </row>
    <row r="548" spans="1:14" x14ac:dyDescent="0.45">
      <c r="A548">
        <v>1983</v>
      </c>
      <c r="B548" t="s">
        <v>164</v>
      </c>
      <c r="C548">
        <v>0</v>
      </c>
      <c r="D548">
        <v>0</v>
      </c>
      <c r="E548">
        <v>0</v>
      </c>
      <c r="F548">
        <v>0</v>
      </c>
      <c r="G548">
        <v>1</v>
      </c>
      <c r="H548">
        <v>0</v>
      </c>
      <c r="I548">
        <v>0</v>
      </c>
      <c r="J548">
        <v>29899.710128794199</v>
      </c>
      <c r="K548">
        <v>34943.646044238201</v>
      </c>
      <c r="L548">
        <v>25.945</v>
      </c>
      <c r="M548">
        <v>66.260000000000005</v>
      </c>
      <c r="N548">
        <v>60.563000000000002</v>
      </c>
    </row>
    <row r="549" spans="1:14" x14ac:dyDescent="0.45">
      <c r="A549">
        <v>1983</v>
      </c>
      <c r="B549" t="s">
        <v>165</v>
      </c>
      <c r="C549">
        <v>0</v>
      </c>
      <c r="D549">
        <v>1</v>
      </c>
      <c r="E549">
        <v>0</v>
      </c>
      <c r="F549">
        <v>1</v>
      </c>
      <c r="G549">
        <v>0</v>
      </c>
      <c r="H549">
        <v>0</v>
      </c>
      <c r="I549">
        <v>0</v>
      </c>
      <c r="J549">
        <v>10583.483815163499</v>
      </c>
      <c r="K549">
        <v>7613.8324187673497</v>
      </c>
      <c r="L549">
        <v>72.635999999999996</v>
      </c>
      <c r="M549">
        <v>69.986999999999995</v>
      </c>
      <c r="N549">
        <v>26.843</v>
      </c>
    </row>
    <row r="550" spans="1:14" x14ac:dyDescent="0.45">
      <c r="A550">
        <v>1983</v>
      </c>
      <c r="B550" t="s">
        <v>166</v>
      </c>
      <c r="C550">
        <v>1</v>
      </c>
      <c r="D550">
        <v>0</v>
      </c>
      <c r="E550">
        <v>0</v>
      </c>
      <c r="F550">
        <v>0</v>
      </c>
      <c r="G550">
        <v>0</v>
      </c>
      <c r="H550">
        <v>1</v>
      </c>
      <c r="I550">
        <v>1</v>
      </c>
      <c r="L550">
        <v>82.099000000000004</v>
      </c>
      <c r="M550">
        <v>75.712999999999994</v>
      </c>
      <c r="N550">
        <v>17.28</v>
      </c>
    </row>
    <row r="551" spans="1:14" x14ac:dyDescent="0.45">
      <c r="A551">
        <v>1983</v>
      </c>
      <c r="B551" t="s">
        <v>167</v>
      </c>
      <c r="C551">
        <v>0</v>
      </c>
      <c r="D551">
        <v>0</v>
      </c>
      <c r="E551">
        <v>0</v>
      </c>
      <c r="F551">
        <v>0</v>
      </c>
      <c r="G551">
        <v>0</v>
      </c>
      <c r="H551">
        <v>0</v>
      </c>
      <c r="I551">
        <v>0</v>
      </c>
      <c r="J551">
        <v>3766.9348852048602</v>
      </c>
      <c r="K551">
        <v>3518.25764599694</v>
      </c>
      <c r="L551">
        <v>81.355999999999995</v>
      </c>
      <c r="M551">
        <v>68.725999999999999</v>
      </c>
      <c r="N551">
        <v>36.728000000000002</v>
      </c>
    </row>
    <row r="552" spans="1:14" x14ac:dyDescent="0.45">
      <c r="A552">
        <v>1983</v>
      </c>
      <c r="B552" t="s">
        <v>168</v>
      </c>
      <c r="C552">
        <v>0</v>
      </c>
      <c r="D552">
        <v>0</v>
      </c>
      <c r="E552">
        <v>1</v>
      </c>
      <c r="F552">
        <v>0</v>
      </c>
      <c r="G552">
        <v>0</v>
      </c>
      <c r="H552">
        <v>0</v>
      </c>
      <c r="I552">
        <v>0</v>
      </c>
      <c r="J552">
        <v>1266.95640315792</v>
      </c>
      <c r="K552">
        <v>1134.45835052047</v>
      </c>
      <c r="L552">
        <v>88.37</v>
      </c>
      <c r="M552">
        <v>58.494999999999997</v>
      </c>
      <c r="N552">
        <v>107.07599999999999</v>
      </c>
    </row>
    <row r="553" spans="1:14" x14ac:dyDescent="0.45">
      <c r="A553">
        <v>1983</v>
      </c>
      <c r="B553" t="s">
        <v>169</v>
      </c>
      <c r="C553">
        <v>1</v>
      </c>
      <c r="D553">
        <v>0</v>
      </c>
      <c r="E553">
        <v>0</v>
      </c>
      <c r="F553">
        <v>0</v>
      </c>
      <c r="G553">
        <v>1</v>
      </c>
      <c r="H553">
        <v>0</v>
      </c>
      <c r="I553">
        <v>0</v>
      </c>
      <c r="L553">
        <v>36.494</v>
      </c>
      <c r="M553">
        <v>71.015000000000001</v>
      </c>
      <c r="N553">
        <v>18.550999999999998</v>
      </c>
    </row>
    <row r="554" spans="1:14" x14ac:dyDescent="0.45">
      <c r="A554">
        <v>1983</v>
      </c>
      <c r="B554" t="s">
        <v>170</v>
      </c>
      <c r="C554">
        <v>1</v>
      </c>
      <c r="D554">
        <v>0</v>
      </c>
      <c r="E554">
        <v>0</v>
      </c>
      <c r="F554">
        <v>0</v>
      </c>
      <c r="G554">
        <v>0</v>
      </c>
      <c r="H554">
        <v>1</v>
      </c>
      <c r="I554">
        <v>1</v>
      </c>
      <c r="J554">
        <v>54773.088849127598</v>
      </c>
      <c r="K554">
        <v>46806.962733976601</v>
      </c>
      <c r="L554">
        <v>19.443000000000001</v>
      </c>
      <c r="M554">
        <v>72.977999999999994</v>
      </c>
      <c r="N554">
        <v>13.826000000000001</v>
      </c>
    </row>
    <row r="555" spans="1:14" x14ac:dyDescent="0.45">
      <c r="A555">
        <v>1983</v>
      </c>
      <c r="B555" t="s">
        <v>171</v>
      </c>
      <c r="C555">
        <v>1</v>
      </c>
      <c r="D555">
        <v>0</v>
      </c>
      <c r="E555">
        <v>0</v>
      </c>
      <c r="F555">
        <v>0</v>
      </c>
      <c r="G555">
        <v>1</v>
      </c>
      <c r="H555">
        <v>0</v>
      </c>
      <c r="I555">
        <v>0</v>
      </c>
      <c r="L555">
        <v>31.997</v>
      </c>
      <c r="M555">
        <v>69.397000000000006</v>
      </c>
      <c r="N555">
        <v>21.334</v>
      </c>
    </row>
    <row r="556" spans="1:14" x14ac:dyDescent="0.45">
      <c r="A556">
        <v>1983</v>
      </c>
      <c r="B556" t="s">
        <v>172</v>
      </c>
      <c r="C556">
        <v>0</v>
      </c>
      <c r="D556">
        <v>0</v>
      </c>
      <c r="E556">
        <v>0</v>
      </c>
      <c r="F556">
        <v>0</v>
      </c>
      <c r="G556">
        <v>1</v>
      </c>
      <c r="H556">
        <v>0</v>
      </c>
      <c r="I556">
        <v>0</v>
      </c>
      <c r="J556">
        <v>42181.528934517599</v>
      </c>
      <c r="K556">
        <v>38226.651450553902</v>
      </c>
      <c r="L556">
        <v>0.91599999999999704</v>
      </c>
      <c r="M556">
        <v>74.066000000000003</v>
      </c>
      <c r="N556">
        <v>19.425000000000001</v>
      </c>
    </row>
    <row r="557" spans="1:14" x14ac:dyDescent="0.45">
      <c r="A557">
        <v>1983</v>
      </c>
      <c r="B557" t="s">
        <v>173</v>
      </c>
      <c r="C557">
        <v>0</v>
      </c>
      <c r="D557">
        <v>1</v>
      </c>
      <c r="E557">
        <v>0</v>
      </c>
      <c r="F557">
        <v>0</v>
      </c>
      <c r="G557">
        <v>0</v>
      </c>
      <c r="H557">
        <v>1</v>
      </c>
      <c r="I557">
        <v>1</v>
      </c>
      <c r="L557">
        <v>0</v>
      </c>
      <c r="M557">
        <v>72.55</v>
      </c>
      <c r="N557">
        <v>26.931000000000001</v>
      </c>
    </row>
    <row r="558" spans="1:14" x14ac:dyDescent="0.45">
      <c r="A558">
        <v>1983</v>
      </c>
      <c r="B558" t="s">
        <v>174</v>
      </c>
      <c r="C558">
        <v>0</v>
      </c>
      <c r="D558">
        <v>0</v>
      </c>
      <c r="E558">
        <v>0</v>
      </c>
      <c r="F558">
        <v>1</v>
      </c>
      <c r="G558">
        <v>0</v>
      </c>
      <c r="H558">
        <v>0</v>
      </c>
      <c r="I558">
        <v>0</v>
      </c>
      <c r="J558">
        <v>3649.02147233609</v>
      </c>
      <c r="K558">
        <v>3504.4050577810999</v>
      </c>
      <c r="L558">
        <v>56.652999999999999</v>
      </c>
      <c r="M558">
        <v>57.685000000000002</v>
      </c>
      <c r="N558">
        <v>114.56</v>
      </c>
    </row>
    <row r="559" spans="1:14" x14ac:dyDescent="0.45">
      <c r="A559">
        <v>1983</v>
      </c>
      <c r="B559" t="s">
        <v>175</v>
      </c>
      <c r="C559">
        <v>1</v>
      </c>
      <c r="D559">
        <v>0</v>
      </c>
      <c r="E559">
        <v>0</v>
      </c>
      <c r="F559">
        <v>0</v>
      </c>
      <c r="G559">
        <v>0</v>
      </c>
      <c r="H559">
        <v>1</v>
      </c>
      <c r="I559">
        <v>1</v>
      </c>
      <c r="L559">
        <v>0</v>
      </c>
      <c r="M559">
        <v>75.697000000000003</v>
      </c>
      <c r="N559">
        <v>17.151</v>
      </c>
    </row>
    <row r="560" spans="1:14" x14ac:dyDescent="0.45">
      <c r="A560">
        <v>1983</v>
      </c>
      <c r="B560" t="s">
        <v>176</v>
      </c>
      <c r="C560">
        <v>1</v>
      </c>
      <c r="D560">
        <v>0</v>
      </c>
      <c r="E560">
        <v>0</v>
      </c>
      <c r="F560">
        <v>1</v>
      </c>
      <c r="G560">
        <v>0</v>
      </c>
      <c r="H560">
        <v>0</v>
      </c>
      <c r="I560">
        <v>0</v>
      </c>
      <c r="L560">
        <v>57.350999999999999</v>
      </c>
      <c r="M560">
        <v>66.149000000000001</v>
      </c>
      <c r="N560">
        <v>43.948999999999998</v>
      </c>
    </row>
    <row r="561" spans="1:14" x14ac:dyDescent="0.45">
      <c r="A561">
        <v>1983</v>
      </c>
      <c r="B561" t="s">
        <v>177</v>
      </c>
      <c r="C561">
        <v>0</v>
      </c>
      <c r="D561">
        <v>0</v>
      </c>
      <c r="E561">
        <v>1</v>
      </c>
      <c r="F561">
        <v>0</v>
      </c>
      <c r="G561">
        <v>0</v>
      </c>
      <c r="H561">
        <v>0</v>
      </c>
      <c r="I561">
        <v>0</v>
      </c>
      <c r="J561">
        <v>2090.46604969707</v>
      </c>
      <c r="K561">
        <v>1936.6632384540801</v>
      </c>
      <c r="L561">
        <v>80.057000000000002</v>
      </c>
      <c r="M561">
        <v>50.106999999999999</v>
      </c>
      <c r="N561">
        <v>175.554</v>
      </c>
    </row>
    <row r="562" spans="1:14" x14ac:dyDescent="0.45">
      <c r="A562">
        <v>1983</v>
      </c>
      <c r="B562" t="s">
        <v>178</v>
      </c>
      <c r="C562">
        <v>0</v>
      </c>
      <c r="D562">
        <v>0</v>
      </c>
      <c r="E562">
        <v>0</v>
      </c>
      <c r="F562">
        <v>0</v>
      </c>
      <c r="G562">
        <v>0</v>
      </c>
      <c r="H562">
        <v>0</v>
      </c>
      <c r="I562">
        <v>0</v>
      </c>
      <c r="J562">
        <v>5702.4856142439303</v>
      </c>
      <c r="K562">
        <v>5625.9770669564396</v>
      </c>
      <c r="L562">
        <v>75.742999999999995</v>
      </c>
      <c r="M562">
        <v>57.484000000000002</v>
      </c>
      <c r="N562">
        <v>127.37</v>
      </c>
    </row>
    <row r="563" spans="1:14" x14ac:dyDescent="0.45">
      <c r="A563">
        <v>1983</v>
      </c>
      <c r="B563" t="s">
        <v>179</v>
      </c>
      <c r="C563">
        <v>0</v>
      </c>
      <c r="D563">
        <v>1</v>
      </c>
      <c r="E563">
        <v>0</v>
      </c>
      <c r="F563">
        <v>1</v>
      </c>
      <c r="G563">
        <v>0</v>
      </c>
      <c r="H563">
        <v>0</v>
      </c>
      <c r="I563">
        <v>0</v>
      </c>
      <c r="J563">
        <v>19138.864426283599</v>
      </c>
      <c r="K563">
        <v>17792.927448614199</v>
      </c>
      <c r="L563">
        <v>32.081000000000003</v>
      </c>
      <c r="M563">
        <v>65.756</v>
      </c>
      <c r="N563">
        <v>62.386000000000003</v>
      </c>
    </row>
    <row r="564" spans="1:14" x14ac:dyDescent="0.45">
      <c r="A564">
        <v>1983</v>
      </c>
      <c r="B564" t="s">
        <v>180</v>
      </c>
      <c r="C564">
        <v>0</v>
      </c>
      <c r="D564">
        <v>0</v>
      </c>
      <c r="E564">
        <v>0</v>
      </c>
      <c r="F564">
        <v>1</v>
      </c>
      <c r="G564">
        <v>0</v>
      </c>
      <c r="H564">
        <v>0</v>
      </c>
      <c r="I564">
        <v>0</v>
      </c>
      <c r="J564">
        <v>3470.16119330828</v>
      </c>
      <c r="K564">
        <v>3138.7083545763098</v>
      </c>
      <c r="L564">
        <v>39.603999999999999</v>
      </c>
      <c r="M564">
        <v>61.451999999999998</v>
      </c>
      <c r="N564">
        <v>59.442999999999998</v>
      </c>
    </row>
    <row r="565" spans="1:14" x14ac:dyDescent="0.45">
      <c r="A565">
        <v>1983</v>
      </c>
      <c r="B565" t="s">
        <v>181</v>
      </c>
      <c r="C565">
        <v>1</v>
      </c>
      <c r="D565">
        <v>0</v>
      </c>
      <c r="E565">
        <v>0</v>
      </c>
      <c r="F565">
        <v>0</v>
      </c>
      <c r="G565">
        <v>1</v>
      </c>
      <c r="H565">
        <v>0</v>
      </c>
      <c r="I565">
        <v>0</v>
      </c>
      <c r="L565">
        <v>45.146999999999998</v>
      </c>
      <c r="M565">
        <v>69.727000000000004</v>
      </c>
      <c r="N565">
        <v>50.052999999999997</v>
      </c>
    </row>
    <row r="566" spans="1:14" x14ac:dyDescent="0.45">
      <c r="A566">
        <v>1983</v>
      </c>
      <c r="B566" t="s">
        <v>182</v>
      </c>
      <c r="C566">
        <v>0</v>
      </c>
      <c r="D566">
        <v>0</v>
      </c>
      <c r="E566">
        <v>1</v>
      </c>
      <c r="F566">
        <v>0</v>
      </c>
      <c r="G566">
        <v>0</v>
      </c>
      <c r="H566">
        <v>0</v>
      </c>
      <c r="I566">
        <v>0</v>
      </c>
      <c r="J566">
        <v>1320.53316598835</v>
      </c>
      <c r="K566">
        <v>1222.2984156288201</v>
      </c>
      <c r="L566">
        <v>80.028000000000006</v>
      </c>
      <c r="M566">
        <v>42.747999999999998</v>
      </c>
      <c r="N566">
        <v>279.40100000000001</v>
      </c>
    </row>
    <row r="567" spans="1:14" x14ac:dyDescent="0.45">
      <c r="A567">
        <v>1983</v>
      </c>
      <c r="B567" t="s">
        <v>183</v>
      </c>
      <c r="C567">
        <v>0</v>
      </c>
      <c r="D567">
        <v>0</v>
      </c>
      <c r="E567">
        <v>0</v>
      </c>
      <c r="F567">
        <v>0</v>
      </c>
      <c r="G567">
        <v>1</v>
      </c>
      <c r="H567">
        <v>0</v>
      </c>
      <c r="I567">
        <v>0</v>
      </c>
      <c r="J567">
        <v>14728.6073775924</v>
      </c>
      <c r="K567">
        <v>12740.9662845655</v>
      </c>
      <c r="L567">
        <v>10.189</v>
      </c>
      <c r="M567">
        <v>73.100999999999999</v>
      </c>
      <c r="N567">
        <v>15.348000000000001</v>
      </c>
    </row>
    <row r="568" spans="1:14" x14ac:dyDescent="0.45">
      <c r="A568">
        <v>1983</v>
      </c>
      <c r="B568" t="s">
        <v>184</v>
      </c>
      <c r="C568">
        <v>0</v>
      </c>
      <c r="D568">
        <v>0</v>
      </c>
      <c r="E568">
        <v>0</v>
      </c>
      <c r="F568">
        <v>0</v>
      </c>
      <c r="G568">
        <v>0</v>
      </c>
      <c r="H568">
        <v>0</v>
      </c>
      <c r="I568">
        <v>0</v>
      </c>
      <c r="J568">
        <v>884.33879506133496</v>
      </c>
      <c r="K568">
        <v>708.09284304243204</v>
      </c>
      <c r="L568">
        <v>75.957999999999998</v>
      </c>
      <c r="M568">
        <v>55.308</v>
      </c>
      <c r="N568">
        <v>132.05799999999999</v>
      </c>
    </row>
    <row r="569" spans="1:14" x14ac:dyDescent="0.45">
      <c r="A569">
        <v>1983</v>
      </c>
      <c r="B569" t="s">
        <v>185</v>
      </c>
      <c r="C569">
        <v>1</v>
      </c>
      <c r="D569">
        <v>0</v>
      </c>
      <c r="E569">
        <v>0</v>
      </c>
      <c r="F569">
        <v>0</v>
      </c>
      <c r="G569">
        <v>1</v>
      </c>
      <c r="H569">
        <v>0</v>
      </c>
      <c r="I569">
        <v>0</v>
      </c>
      <c r="L569">
        <v>59.911999999999999</v>
      </c>
      <c r="M569">
        <v>72.305000000000007</v>
      </c>
      <c r="N569">
        <v>25.535</v>
      </c>
    </row>
    <row r="570" spans="1:14" x14ac:dyDescent="0.45">
      <c r="A570">
        <v>1983</v>
      </c>
      <c r="B570" t="s">
        <v>186</v>
      </c>
      <c r="C570">
        <v>0</v>
      </c>
      <c r="D570">
        <v>0</v>
      </c>
      <c r="E570">
        <v>0</v>
      </c>
      <c r="F570">
        <v>1</v>
      </c>
      <c r="G570">
        <v>0</v>
      </c>
      <c r="H570">
        <v>0</v>
      </c>
      <c r="I570">
        <v>0</v>
      </c>
      <c r="J570">
        <v>5377.8343041799099</v>
      </c>
      <c r="K570">
        <v>4143.4917338940904</v>
      </c>
      <c r="L570">
        <v>46.14</v>
      </c>
      <c r="M570">
        <v>55.872999999999998</v>
      </c>
      <c r="N570">
        <v>141.05500000000001</v>
      </c>
    </row>
    <row r="571" spans="1:14" x14ac:dyDescent="0.45">
      <c r="A571">
        <v>1983</v>
      </c>
      <c r="B571" t="s">
        <v>187</v>
      </c>
      <c r="C571">
        <v>0</v>
      </c>
      <c r="D571">
        <v>0</v>
      </c>
      <c r="E571">
        <v>0</v>
      </c>
      <c r="F571">
        <v>1</v>
      </c>
      <c r="G571">
        <v>0</v>
      </c>
      <c r="H571">
        <v>0</v>
      </c>
      <c r="I571">
        <v>0</v>
      </c>
      <c r="L571">
        <v>12.237</v>
      </c>
      <c r="M571">
        <v>68.858000000000004</v>
      </c>
      <c r="N571">
        <v>13.808999999999999</v>
      </c>
    </row>
    <row r="572" spans="1:14" x14ac:dyDescent="0.45">
      <c r="A572">
        <v>1983</v>
      </c>
      <c r="B572" t="s">
        <v>188</v>
      </c>
      <c r="C572">
        <v>0</v>
      </c>
      <c r="D572">
        <v>0</v>
      </c>
      <c r="E572">
        <v>1</v>
      </c>
      <c r="F572">
        <v>0</v>
      </c>
      <c r="G572">
        <v>0</v>
      </c>
      <c r="H572">
        <v>0</v>
      </c>
      <c r="I572">
        <v>0</v>
      </c>
      <c r="J572">
        <v>665.162880786149</v>
      </c>
      <c r="K572">
        <v>556.94081723508395</v>
      </c>
      <c r="L572">
        <v>83.926000000000002</v>
      </c>
      <c r="M572">
        <v>41.595999999999997</v>
      </c>
      <c r="N572">
        <v>281.89</v>
      </c>
    </row>
    <row r="573" spans="1:14" x14ac:dyDescent="0.45">
      <c r="A573">
        <v>1983</v>
      </c>
      <c r="B573" t="s">
        <v>189</v>
      </c>
      <c r="C573">
        <v>0</v>
      </c>
      <c r="D573">
        <v>0</v>
      </c>
      <c r="E573">
        <v>1</v>
      </c>
      <c r="F573">
        <v>0</v>
      </c>
      <c r="G573">
        <v>0</v>
      </c>
      <c r="H573">
        <v>0</v>
      </c>
      <c r="I573">
        <v>0</v>
      </c>
      <c r="J573">
        <v>5667.9573283285399</v>
      </c>
      <c r="K573">
        <v>5014.5176328772504</v>
      </c>
      <c r="L573">
        <v>68.177999999999997</v>
      </c>
      <c r="M573">
        <v>54.58</v>
      </c>
      <c r="N573">
        <v>149.857</v>
      </c>
    </row>
    <row r="574" spans="1:14" x14ac:dyDescent="0.45">
      <c r="A574">
        <v>1983</v>
      </c>
      <c r="B574" t="s">
        <v>190</v>
      </c>
      <c r="C574">
        <v>0</v>
      </c>
      <c r="D574">
        <v>0</v>
      </c>
      <c r="E574">
        <v>1</v>
      </c>
      <c r="F574">
        <v>1</v>
      </c>
      <c r="G574">
        <v>0</v>
      </c>
      <c r="H574">
        <v>0</v>
      </c>
      <c r="I574">
        <v>0</v>
      </c>
      <c r="J574">
        <v>6326.7863872304097</v>
      </c>
      <c r="K574">
        <v>5938.47786903018</v>
      </c>
      <c r="L574">
        <v>58.298999999999999</v>
      </c>
      <c r="M574">
        <v>68.406999999999996</v>
      </c>
      <c r="N574">
        <v>28.887</v>
      </c>
    </row>
    <row r="575" spans="1:14" x14ac:dyDescent="0.45">
      <c r="A575">
        <v>1983</v>
      </c>
      <c r="B575" t="s">
        <v>191</v>
      </c>
      <c r="C575">
        <v>0</v>
      </c>
      <c r="D575">
        <v>0</v>
      </c>
      <c r="E575">
        <v>1</v>
      </c>
      <c r="F575">
        <v>0</v>
      </c>
      <c r="G575">
        <v>0</v>
      </c>
      <c r="H575">
        <v>0</v>
      </c>
      <c r="I575">
        <v>0</v>
      </c>
      <c r="J575">
        <v>1170.1648936849199</v>
      </c>
      <c r="K575">
        <v>1001.26489454692</v>
      </c>
      <c r="L575">
        <v>90.296000000000006</v>
      </c>
      <c r="M575">
        <v>44.973999999999997</v>
      </c>
      <c r="N575">
        <v>250.13900000000001</v>
      </c>
    </row>
    <row r="576" spans="1:14" x14ac:dyDescent="0.45">
      <c r="A576">
        <v>1983</v>
      </c>
      <c r="B576" t="s">
        <v>192</v>
      </c>
      <c r="C576">
        <v>0</v>
      </c>
      <c r="D576">
        <v>0</v>
      </c>
      <c r="E576">
        <v>0</v>
      </c>
      <c r="F576">
        <v>1</v>
      </c>
      <c r="G576">
        <v>0</v>
      </c>
      <c r="H576">
        <v>0</v>
      </c>
      <c r="I576">
        <v>0</v>
      </c>
      <c r="J576">
        <v>10395.5051703177</v>
      </c>
      <c r="K576">
        <v>9292.35504275928</v>
      </c>
      <c r="L576">
        <v>55.655000000000001</v>
      </c>
      <c r="M576">
        <v>69.204999999999998</v>
      </c>
      <c r="N576">
        <v>24.856999999999999</v>
      </c>
    </row>
    <row r="577" spans="1:14" x14ac:dyDescent="0.45">
      <c r="A577">
        <v>1983</v>
      </c>
      <c r="B577" t="s">
        <v>193</v>
      </c>
      <c r="C577">
        <v>0</v>
      </c>
      <c r="D577">
        <v>0</v>
      </c>
      <c r="E577">
        <v>1</v>
      </c>
      <c r="F577">
        <v>1</v>
      </c>
      <c r="G577">
        <v>0</v>
      </c>
      <c r="H577">
        <v>0</v>
      </c>
      <c r="I577">
        <v>0</v>
      </c>
      <c r="J577">
        <v>8474.6752054830304</v>
      </c>
      <c r="K577">
        <v>7344.9993430086397</v>
      </c>
      <c r="L577">
        <v>74.138999999999996</v>
      </c>
      <c r="M577">
        <v>57.637</v>
      </c>
      <c r="N577">
        <v>96.784999999999997</v>
      </c>
    </row>
    <row r="578" spans="1:14" x14ac:dyDescent="0.45">
      <c r="A578">
        <v>1983</v>
      </c>
      <c r="B578" t="s">
        <v>194</v>
      </c>
      <c r="C578">
        <v>0</v>
      </c>
      <c r="D578">
        <v>0</v>
      </c>
      <c r="E578">
        <v>0</v>
      </c>
      <c r="F578">
        <v>0</v>
      </c>
      <c r="G578">
        <v>1</v>
      </c>
      <c r="H578">
        <v>0</v>
      </c>
      <c r="I578">
        <v>0</v>
      </c>
      <c r="L578">
        <v>41.468000000000004</v>
      </c>
      <c r="M578">
        <v>66.971999999999994</v>
      </c>
      <c r="N578">
        <v>43.564999999999998</v>
      </c>
    </row>
    <row r="579" spans="1:14" x14ac:dyDescent="0.45">
      <c r="A579">
        <v>1983</v>
      </c>
      <c r="B579" t="s">
        <v>195</v>
      </c>
      <c r="C579">
        <v>0</v>
      </c>
      <c r="D579">
        <v>0</v>
      </c>
      <c r="E579">
        <v>1</v>
      </c>
      <c r="F579">
        <v>0</v>
      </c>
      <c r="G579">
        <v>0</v>
      </c>
      <c r="H579">
        <v>0</v>
      </c>
      <c r="I579">
        <v>0</v>
      </c>
      <c r="J579">
        <v>1760.6624156627699</v>
      </c>
      <c r="K579">
        <v>1399.4311530151399</v>
      </c>
      <c r="L579">
        <v>85.91</v>
      </c>
      <c r="M579">
        <v>39.978999999999999</v>
      </c>
      <c r="N579">
        <v>334.56900000000002</v>
      </c>
    </row>
    <row r="580" spans="1:14" x14ac:dyDescent="0.45">
      <c r="A580">
        <v>1983</v>
      </c>
      <c r="B580" t="s">
        <v>196</v>
      </c>
      <c r="C580">
        <v>0</v>
      </c>
      <c r="D580">
        <v>0</v>
      </c>
      <c r="E580">
        <v>1</v>
      </c>
      <c r="F580">
        <v>0</v>
      </c>
      <c r="G580">
        <v>0</v>
      </c>
      <c r="H580">
        <v>0</v>
      </c>
      <c r="I580">
        <v>0</v>
      </c>
      <c r="J580">
        <v>4178.0423536030303</v>
      </c>
      <c r="K580">
        <v>3693.95254873568</v>
      </c>
      <c r="L580">
        <v>75.878</v>
      </c>
      <c r="M580">
        <v>46.442</v>
      </c>
      <c r="N580">
        <v>208.83799999999999</v>
      </c>
    </row>
    <row r="581" spans="1:14" x14ac:dyDescent="0.45">
      <c r="A581">
        <v>1983</v>
      </c>
      <c r="B581" t="s">
        <v>197</v>
      </c>
      <c r="C581">
        <v>0</v>
      </c>
      <c r="D581">
        <v>1</v>
      </c>
      <c r="E581">
        <v>0</v>
      </c>
      <c r="F581">
        <v>1</v>
      </c>
      <c r="G581">
        <v>0</v>
      </c>
      <c r="H581">
        <v>0</v>
      </c>
      <c r="I581">
        <v>0</v>
      </c>
      <c r="J581">
        <v>5972.14238451645</v>
      </c>
      <c r="K581">
        <v>5030.1274103693504</v>
      </c>
      <c r="L581">
        <v>48.872999999999998</v>
      </c>
      <c r="M581">
        <v>56.850999999999999</v>
      </c>
      <c r="N581">
        <v>113.81699999999999</v>
      </c>
    </row>
    <row r="582" spans="1:14" x14ac:dyDescent="0.45">
      <c r="A582">
        <v>1983</v>
      </c>
      <c r="B582" t="s">
        <v>198</v>
      </c>
      <c r="C582">
        <v>1</v>
      </c>
      <c r="D582">
        <v>0</v>
      </c>
      <c r="E582">
        <v>0</v>
      </c>
      <c r="F582">
        <v>0</v>
      </c>
      <c r="G582">
        <v>0</v>
      </c>
      <c r="H582">
        <v>1</v>
      </c>
      <c r="I582">
        <v>1</v>
      </c>
      <c r="J582">
        <v>36191.841997515199</v>
      </c>
      <c r="K582">
        <v>30551.090983337399</v>
      </c>
      <c r="L582">
        <v>34.084000000000003</v>
      </c>
      <c r="M582">
        <v>76.254999999999995</v>
      </c>
      <c r="N582">
        <v>10.28</v>
      </c>
    </row>
    <row r="583" spans="1:14" x14ac:dyDescent="0.45">
      <c r="A583">
        <v>1983</v>
      </c>
      <c r="B583" t="s">
        <v>199</v>
      </c>
      <c r="C583">
        <v>1</v>
      </c>
      <c r="D583">
        <v>0</v>
      </c>
      <c r="E583">
        <v>0</v>
      </c>
      <c r="F583">
        <v>0</v>
      </c>
      <c r="G583">
        <v>0</v>
      </c>
      <c r="H583">
        <v>1</v>
      </c>
      <c r="I583">
        <v>1</v>
      </c>
      <c r="J583">
        <v>47240.534996799397</v>
      </c>
      <c r="K583">
        <v>34905.4458709748</v>
      </c>
      <c r="L583">
        <v>28.951000000000001</v>
      </c>
      <c r="M583">
        <v>76.078999999999994</v>
      </c>
      <c r="N583">
        <v>9.6929999999999996</v>
      </c>
    </row>
    <row r="584" spans="1:14" x14ac:dyDescent="0.45">
      <c r="A584">
        <v>1983</v>
      </c>
      <c r="B584" t="s">
        <v>200</v>
      </c>
      <c r="C584">
        <v>0</v>
      </c>
      <c r="D584">
        <v>0</v>
      </c>
      <c r="E584">
        <v>0</v>
      </c>
      <c r="F584">
        <v>0</v>
      </c>
      <c r="G584">
        <v>0</v>
      </c>
      <c r="H584">
        <v>0</v>
      </c>
      <c r="I584">
        <v>0</v>
      </c>
      <c r="J584">
        <v>1508.4509170522699</v>
      </c>
      <c r="K584">
        <v>1335.4420393840101</v>
      </c>
      <c r="L584">
        <v>93.135999999999996</v>
      </c>
      <c r="M584">
        <v>49.676000000000002</v>
      </c>
      <c r="N584">
        <v>187.48400000000001</v>
      </c>
    </row>
    <row r="585" spans="1:14" x14ac:dyDescent="0.45">
      <c r="A585">
        <v>1983</v>
      </c>
      <c r="B585" t="s">
        <v>201</v>
      </c>
      <c r="C585">
        <v>0</v>
      </c>
      <c r="D585">
        <v>0</v>
      </c>
      <c r="E585">
        <v>0</v>
      </c>
      <c r="F585">
        <v>0</v>
      </c>
      <c r="G585">
        <v>0</v>
      </c>
      <c r="H585">
        <v>1</v>
      </c>
      <c r="I585">
        <v>1</v>
      </c>
      <c r="J585">
        <v>43694.161321382497</v>
      </c>
      <c r="K585">
        <v>39531.0021408268</v>
      </c>
      <c r="L585">
        <v>0</v>
      </c>
      <c r="M585">
        <v>58.694000000000003</v>
      </c>
      <c r="N585">
        <v>64.233999999999995</v>
      </c>
    </row>
    <row r="586" spans="1:14" x14ac:dyDescent="0.45">
      <c r="A586">
        <v>1983</v>
      </c>
      <c r="B586" t="s">
        <v>202</v>
      </c>
      <c r="C586">
        <v>0</v>
      </c>
      <c r="D586">
        <v>0</v>
      </c>
      <c r="E586">
        <v>0</v>
      </c>
      <c r="F586">
        <v>0</v>
      </c>
      <c r="G586">
        <v>0</v>
      </c>
      <c r="H586">
        <v>1</v>
      </c>
      <c r="I586">
        <v>1</v>
      </c>
      <c r="J586">
        <v>28205.1463004861</v>
      </c>
      <c r="K586">
        <v>25654.0472290252</v>
      </c>
      <c r="L586">
        <v>16.408000000000001</v>
      </c>
      <c r="M586">
        <v>73.828999999999994</v>
      </c>
      <c r="N586">
        <v>14.73</v>
      </c>
    </row>
    <row r="587" spans="1:14" x14ac:dyDescent="0.45">
      <c r="A587">
        <v>1983</v>
      </c>
      <c r="B587" t="s">
        <v>203</v>
      </c>
      <c r="C587">
        <v>0</v>
      </c>
      <c r="D587">
        <v>0</v>
      </c>
      <c r="E587">
        <v>0</v>
      </c>
      <c r="F587">
        <v>0</v>
      </c>
      <c r="G587">
        <v>1</v>
      </c>
      <c r="H587">
        <v>0</v>
      </c>
      <c r="I587">
        <v>0</v>
      </c>
      <c r="J587">
        <v>29157.422401047599</v>
      </c>
      <c r="K587">
        <v>25335.484568642099</v>
      </c>
      <c r="L587">
        <v>46.706000000000003</v>
      </c>
      <c r="M587">
        <v>63.192</v>
      </c>
      <c r="N587">
        <v>81.037999999999997</v>
      </c>
    </row>
    <row r="588" spans="1:14" x14ac:dyDescent="0.45">
      <c r="A588">
        <v>1983</v>
      </c>
      <c r="B588" t="s">
        <v>204</v>
      </c>
      <c r="C588">
        <v>0</v>
      </c>
      <c r="D588">
        <v>0</v>
      </c>
      <c r="E588">
        <v>0</v>
      </c>
      <c r="F588">
        <v>0</v>
      </c>
      <c r="G588">
        <v>0</v>
      </c>
      <c r="H588">
        <v>0</v>
      </c>
      <c r="I588">
        <v>0</v>
      </c>
      <c r="J588">
        <v>2664.61738874195</v>
      </c>
      <c r="K588">
        <v>2536.4460418882099</v>
      </c>
      <c r="L588">
        <v>71.141000000000005</v>
      </c>
      <c r="M588">
        <v>58.662999999999997</v>
      </c>
      <c r="N588">
        <v>158.02000000000001</v>
      </c>
    </row>
    <row r="589" spans="1:14" x14ac:dyDescent="0.45">
      <c r="A589">
        <v>1983</v>
      </c>
      <c r="B589" t="s">
        <v>205</v>
      </c>
      <c r="C589">
        <v>0</v>
      </c>
      <c r="D589">
        <v>1</v>
      </c>
      <c r="E589">
        <v>0</v>
      </c>
      <c r="F589">
        <v>0</v>
      </c>
      <c r="G589">
        <v>1</v>
      </c>
      <c r="H589">
        <v>0</v>
      </c>
      <c r="I589">
        <v>0</v>
      </c>
      <c r="J589">
        <v>13898.8146951485</v>
      </c>
      <c r="K589">
        <v>14573.991754889101</v>
      </c>
      <c r="L589">
        <v>48.534999999999997</v>
      </c>
      <c r="M589">
        <v>70.132999999999996</v>
      </c>
      <c r="N589">
        <v>38.930999999999997</v>
      </c>
    </row>
    <row r="590" spans="1:14" x14ac:dyDescent="0.45">
      <c r="A590">
        <v>1983</v>
      </c>
      <c r="B590" t="s">
        <v>206</v>
      </c>
      <c r="C590">
        <v>0</v>
      </c>
      <c r="D590">
        <v>1</v>
      </c>
      <c r="E590">
        <v>0</v>
      </c>
      <c r="F590">
        <v>1</v>
      </c>
      <c r="G590">
        <v>0</v>
      </c>
      <c r="H590">
        <v>0</v>
      </c>
      <c r="I590">
        <v>0</v>
      </c>
      <c r="J590">
        <v>8252.9353429538805</v>
      </c>
      <c r="K590">
        <v>6896.0225708315602</v>
      </c>
      <c r="L590">
        <v>33.969000000000001</v>
      </c>
      <c r="M590">
        <v>60.764000000000003</v>
      </c>
      <c r="N590">
        <v>113.499</v>
      </c>
    </row>
    <row r="591" spans="1:14" x14ac:dyDescent="0.45">
      <c r="A591">
        <v>1983</v>
      </c>
      <c r="B591" t="s">
        <v>207</v>
      </c>
      <c r="C591">
        <v>0</v>
      </c>
      <c r="D591">
        <v>0</v>
      </c>
      <c r="E591">
        <v>0</v>
      </c>
      <c r="F591">
        <v>1</v>
      </c>
      <c r="G591">
        <v>0</v>
      </c>
      <c r="H591">
        <v>0</v>
      </c>
      <c r="I591">
        <v>0</v>
      </c>
      <c r="J591">
        <v>5041.3240067940596</v>
      </c>
      <c r="K591">
        <v>4565.4259133034102</v>
      </c>
      <c r="L591">
        <v>59.7</v>
      </c>
      <c r="M591">
        <v>62.348999999999997</v>
      </c>
      <c r="N591">
        <v>75.844999999999999</v>
      </c>
    </row>
    <row r="592" spans="1:14" x14ac:dyDescent="0.45">
      <c r="A592">
        <v>1983</v>
      </c>
      <c r="B592" t="s">
        <v>208</v>
      </c>
      <c r="C592">
        <v>0</v>
      </c>
      <c r="D592">
        <v>0</v>
      </c>
      <c r="E592">
        <v>0</v>
      </c>
      <c r="F592">
        <v>0</v>
      </c>
      <c r="G592">
        <v>1</v>
      </c>
      <c r="H592">
        <v>0</v>
      </c>
      <c r="I592">
        <v>0</v>
      </c>
      <c r="J592">
        <v>14986.237972971599</v>
      </c>
      <c r="K592">
        <v>13558.3562534834</v>
      </c>
      <c r="L592">
        <v>34.579000000000001</v>
      </c>
      <c r="M592">
        <v>62.476999999999997</v>
      </c>
      <c r="N592">
        <v>41.698999999999998</v>
      </c>
    </row>
    <row r="593" spans="1:14" x14ac:dyDescent="0.45">
      <c r="A593">
        <v>1983</v>
      </c>
      <c r="B593" t="s">
        <v>209</v>
      </c>
      <c r="C593">
        <v>0</v>
      </c>
      <c r="D593">
        <v>0</v>
      </c>
      <c r="E593">
        <v>0</v>
      </c>
      <c r="F593">
        <v>1</v>
      </c>
      <c r="G593">
        <v>0</v>
      </c>
      <c r="H593">
        <v>0</v>
      </c>
      <c r="I593">
        <v>0</v>
      </c>
      <c r="J593">
        <v>3151.4015306260599</v>
      </c>
      <c r="K593">
        <v>2850.7620661139399</v>
      </c>
      <c r="L593">
        <v>86.384</v>
      </c>
      <c r="M593">
        <v>58.293999999999997</v>
      </c>
      <c r="N593">
        <v>98.376000000000005</v>
      </c>
    </row>
    <row r="594" spans="1:14" x14ac:dyDescent="0.45">
      <c r="A594">
        <v>1983</v>
      </c>
      <c r="B594" t="s">
        <v>210</v>
      </c>
      <c r="C594">
        <v>1</v>
      </c>
      <c r="D594">
        <v>0</v>
      </c>
      <c r="E594">
        <v>0</v>
      </c>
      <c r="F594">
        <v>1</v>
      </c>
      <c r="G594">
        <v>0</v>
      </c>
      <c r="H594">
        <v>0</v>
      </c>
      <c r="I594">
        <v>0</v>
      </c>
      <c r="J594">
        <v>10829.163935852401</v>
      </c>
      <c r="K594">
        <v>9347.4209514961003</v>
      </c>
      <c r="L594">
        <v>40.798000000000002</v>
      </c>
      <c r="M594">
        <v>70.808999999999997</v>
      </c>
      <c r="N594">
        <v>26.132999999999999</v>
      </c>
    </row>
    <row r="595" spans="1:14" x14ac:dyDescent="0.45">
      <c r="A595">
        <v>1983</v>
      </c>
      <c r="B595" t="s">
        <v>211</v>
      </c>
      <c r="C595">
        <v>0</v>
      </c>
      <c r="D595">
        <v>1</v>
      </c>
      <c r="E595">
        <v>0</v>
      </c>
      <c r="F595">
        <v>0</v>
      </c>
      <c r="G595">
        <v>1</v>
      </c>
      <c r="H595">
        <v>0</v>
      </c>
      <c r="I595">
        <v>0</v>
      </c>
      <c r="J595">
        <v>20539.622700075201</v>
      </c>
      <c r="K595">
        <v>15779.374771626301</v>
      </c>
      <c r="L595">
        <v>21.289000000000001</v>
      </c>
      <c r="M595">
        <v>73.375</v>
      </c>
      <c r="N595">
        <v>25.184000000000001</v>
      </c>
    </row>
    <row r="596" spans="1:14" x14ac:dyDescent="0.45">
      <c r="A596">
        <v>1983</v>
      </c>
      <c r="B596" t="s">
        <v>212</v>
      </c>
      <c r="C596">
        <v>0</v>
      </c>
      <c r="D596">
        <v>0</v>
      </c>
      <c r="E596">
        <v>0</v>
      </c>
      <c r="F596">
        <v>1</v>
      </c>
      <c r="G596">
        <v>0</v>
      </c>
      <c r="H596">
        <v>0</v>
      </c>
      <c r="I596">
        <v>0</v>
      </c>
      <c r="L596">
        <v>42.654000000000003</v>
      </c>
      <c r="M596">
        <v>68.503</v>
      </c>
      <c r="N596">
        <v>38.061999999999998</v>
      </c>
    </row>
    <row r="597" spans="1:14" x14ac:dyDescent="0.45">
      <c r="A597">
        <v>1983</v>
      </c>
      <c r="B597" t="s">
        <v>213</v>
      </c>
      <c r="C597">
        <v>1</v>
      </c>
      <c r="D597">
        <v>0</v>
      </c>
      <c r="E597">
        <v>0</v>
      </c>
      <c r="F597">
        <v>0</v>
      </c>
      <c r="G597">
        <v>1</v>
      </c>
      <c r="H597">
        <v>0</v>
      </c>
      <c r="I597">
        <v>0</v>
      </c>
      <c r="J597">
        <v>21632.609959795602</v>
      </c>
      <c r="K597">
        <v>18698.862325296199</v>
      </c>
      <c r="L597">
        <v>55.743000000000002</v>
      </c>
      <c r="M597">
        <v>72.653999999999996</v>
      </c>
      <c r="N597">
        <v>22.879000000000001</v>
      </c>
    </row>
    <row r="598" spans="1:14" x14ac:dyDescent="0.45">
      <c r="A598">
        <v>1983</v>
      </c>
      <c r="B598" t="s">
        <v>214</v>
      </c>
      <c r="C598">
        <v>0</v>
      </c>
      <c r="D598">
        <v>1</v>
      </c>
      <c r="E598">
        <v>0</v>
      </c>
      <c r="F598">
        <v>1</v>
      </c>
      <c r="G598">
        <v>0</v>
      </c>
      <c r="H598">
        <v>0</v>
      </c>
      <c r="I598">
        <v>0</v>
      </c>
      <c r="J598">
        <v>9083.3654631297704</v>
      </c>
      <c r="K598">
        <v>8287.1088802213399</v>
      </c>
      <c r="L598">
        <v>56.488</v>
      </c>
      <c r="M598">
        <v>65.293000000000006</v>
      </c>
      <c r="N598">
        <v>58.933999999999997</v>
      </c>
    </row>
    <row r="599" spans="1:14" x14ac:dyDescent="0.45">
      <c r="A599">
        <v>1983</v>
      </c>
      <c r="B599" t="s">
        <v>215</v>
      </c>
      <c r="C599">
        <v>0</v>
      </c>
      <c r="D599">
        <v>0</v>
      </c>
      <c r="E599">
        <v>0</v>
      </c>
      <c r="F599">
        <v>1</v>
      </c>
      <c r="G599">
        <v>0</v>
      </c>
      <c r="H599">
        <v>0</v>
      </c>
      <c r="I599">
        <v>0</v>
      </c>
      <c r="L599">
        <v>35.978000000000002</v>
      </c>
      <c r="M599">
        <v>64.132000000000005</v>
      </c>
      <c r="N599">
        <v>65.813000000000002</v>
      </c>
    </row>
    <row r="600" spans="1:14" x14ac:dyDescent="0.45">
      <c r="A600">
        <v>1983</v>
      </c>
      <c r="B600" t="s">
        <v>216</v>
      </c>
      <c r="C600">
        <v>0</v>
      </c>
      <c r="D600">
        <v>0</v>
      </c>
      <c r="E600">
        <v>0</v>
      </c>
      <c r="F600">
        <v>0</v>
      </c>
      <c r="G600">
        <v>0</v>
      </c>
      <c r="H600">
        <v>1</v>
      </c>
      <c r="I600">
        <v>1</v>
      </c>
      <c r="L600">
        <v>41.164000000000001</v>
      </c>
      <c r="M600">
        <v>69.701999999999998</v>
      </c>
      <c r="N600">
        <v>35.936999999999998</v>
      </c>
    </row>
    <row r="601" spans="1:14" x14ac:dyDescent="0.45">
      <c r="A601">
        <v>1983</v>
      </c>
      <c r="B601" t="s">
        <v>217</v>
      </c>
      <c r="C601">
        <v>0</v>
      </c>
      <c r="D601">
        <v>0</v>
      </c>
      <c r="E601">
        <v>0</v>
      </c>
      <c r="F601">
        <v>0</v>
      </c>
      <c r="G601">
        <v>0</v>
      </c>
      <c r="H601">
        <v>1</v>
      </c>
      <c r="I601">
        <v>1</v>
      </c>
      <c r="J601">
        <v>82033.671482595499</v>
      </c>
      <c r="K601">
        <v>70835.899932943998</v>
      </c>
      <c r="L601">
        <v>10.189</v>
      </c>
      <c r="M601">
        <v>71.088999999999999</v>
      </c>
      <c r="N601">
        <v>31.201000000000001</v>
      </c>
    </row>
    <row r="602" spans="1:14" x14ac:dyDescent="0.45">
      <c r="A602">
        <v>1983</v>
      </c>
      <c r="B602" t="s">
        <v>218</v>
      </c>
      <c r="C602">
        <v>1</v>
      </c>
      <c r="D602">
        <v>0</v>
      </c>
      <c r="E602">
        <v>0</v>
      </c>
      <c r="F602">
        <v>0</v>
      </c>
      <c r="G602">
        <v>1</v>
      </c>
      <c r="H602">
        <v>0</v>
      </c>
      <c r="I602">
        <v>0</v>
      </c>
      <c r="J602">
        <v>15482.094973925799</v>
      </c>
      <c r="K602">
        <v>12584.405158657601</v>
      </c>
      <c r="L602">
        <v>51.79</v>
      </c>
      <c r="M602">
        <v>69.819999999999993</v>
      </c>
      <c r="N602">
        <v>29.603999999999999</v>
      </c>
    </row>
    <row r="603" spans="1:14" x14ac:dyDescent="0.45">
      <c r="A603">
        <v>1983</v>
      </c>
      <c r="B603" t="s">
        <v>219</v>
      </c>
      <c r="C603">
        <v>1</v>
      </c>
      <c r="D603">
        <v>0</v>
      </c>
      <c r="E603">
        <v>0</v>
      </c>
      <c r="F603">
        <v>0</v>
      </c>
      <c r="G603">
        <v>1</v>
      </c>
      <c r="H603">
        <v>0</v>
      </c>
      <c r="I603">
        <v>0</v>
      </c>
      <c r="L603">
        <v>28.934000000000001</v>
      </c>
      <c r="M603">
        <v>68.028999999999996</v>
      </c>
      <c r="N603">
        <v>25.263999999999999</v>
      </c>
    </row>
    <row r="604" spans="1:14" x14ac:dyDescent="0.45">
      <c r="A604">
        <v>1983</v>
      </c>
      <c r="B604" t="s">
        <v>220</v>
      </c>
      <c r="C604">
        <v>0</v>
      </c>
      <c r="D604">
        <v>0</v>
      </c>
      <c r="E604">
        <v>1</v>
      </c>
      <c r="F604">
        <v>0</v>
      </c>
      <c r="G604">
        <v>0</v>
      </c>
      <c r="H604">
        <v>0</v>
      </c>
      <c r="I604">
        <v>0</v>
      </c>
      <c r="J604">
        <v>1331.4000125852299</v>
      </c>
      <c r="K604">
        <v>1114.1872358482401</v>
      </c>
      <c r="L604">
        <v>95.08</v>
      </c>
      <c r="M604">
        <v>50.944000000000003</v>
      </c>
      <c r="N604">
        <v>179.17400000000001</v>
      </c>
    </row>
    <row r="605" spans="1:14" x14ac:dyDescent="0.45">
      <c r="A605">
        <v>1983</v>
      </c>
      <c r="B605" t="s">
        <v>221</v>
      </c>
      <c r="C605">
        <v>0</v>
      </c>
      <c r="D605">
        <v>0</v>
      </c>
      <c r="E605">
        <v>0</v>
      </c>
      <c r="F605">
        <v>0</v>
      </c>
      <c r="G605">
        <v>0</v>
      </c>
      <c r="H605">
        <v>1</v>
      </c>
      <c r="I605">
        <v>1</v>
      </c>
      <c r="J605">
        <v>109004.182186843</v>
      </c>
      <c r="K605">
        <v>99932.6405748494</v>
      </c>
      <c r="L605">
        <v>29.966999999999999</v>
      </c>
      <c r="M605">
        <v>64.718999999999994</v>
      </c>
      <c r="N605">
        <v>75.233999999999995</v>
      </c>
    </row>
    <row r="606" spans="1:14" x14ac:dyDescent="0.45">
      <c r="A606">
        <v>1983</v>
      </c>
      <c r="B606" t="s">
        <v>222</v>
      </c>
      <c r="C606">
        <v>0</v>
      </c>
      <c r="D606">
        <v>0</v>
      </c>
      <c r="E606">
        <v>1</v>
      </c>
      <c r="F606">
        <v>0</v>
      </c>
      <c r="G606">
        <v>0</v>
      </c>
      <c r="H606">
        <v>0</v>
      </c>
      <c r="I606">
        <v>0</v>
      </c>
      <c r="J606">
        <v>2367.1939895851401</v>
      </c>
      <c r="K606">
        <v>2478.7642790369</v>
      </c>
      <c r="L606">
        <v>79.099000000000004</v>
      </c>
      <c r="M606">
        <v>49.561999999999998</v>
      </c>
      <c r="N606">
        <v>182.32900000000001</v>
      </c>
    </row>
    <row r="607" spans="1:14" x14ac:dyDescent="0.45">
      <c r="A607">
        <v>1983</v>
      </c>
      <c r="B607" t="s">
        <v>223</v>
      </c>
      <c r="C607">
        <v>0</v>
      </c>
      <c r="D607">
        <v>0</v>
      </c>
      <c r="E607">
        <v>1</v>
      </c>
      <c r="F607">
        <v>1</v>
      </c>
      <c r="G607">
        <v>0</v>
      </c>
      <c r="H607">
        <v>0</v>
      </c>
      <c r="I607">
        <v>0</v>
      </c>
      <c r="J607">
        <v>3105.30966706156</v>
      </c>
      <c r="K607">
        <v>2594.2968306002199</v>
      </c>
      <c r="L607">
        <v>63.167999999999999</v>
      </c>
      <c r="M607">
        <v>50.811</v>
      </c>
      <c r="N607">
        <v>185.435</v>
      </c>
    </row>
    <row r="608" spans="1:14" x14ac:dyDescent="0.45">
      <c r="A608">
        <v>1983</v>
      </c>
      <c r="B608" t="s">
        <v>224</v>
      </c>
      <c r="C608">
        <v>0</v>
      </c>
      <c r="D608">
        <v>0</v>
      </c>
      <c r="E608">
        <v>0</v>
      </c>
      <c r="F608">
        <v>0</v>
      </c>
      <c r="G608">
        <v>0</v>
      </c>
      <c r="H608">
        <v>1</v>
      </c>
      <c r="I608">
        <v>1</v>
      </c>
      <c r="J608">
        <v>31243.723551671599</v>
      </c>
      <c r="K608">
        <v>25683.5065616461</v>
      </c>
      <c r="L608">
        <v>0</v>
      </c>
      <c r="M608">
        <v>72.415000000000006</v>
      </c>
      <c r="N608">
        <v>12.359</v>
      </c>
    </row>
    <row r="609" spans="1:14" x14ac:dyDescent="0.45">
      <c r="A609">
        <v>1983</v>
      </c>
      <c r="B609" t="s">
        <v>225</v>
      </c>
      <c r="C609">
        <v>0</v>
      </c>
      <c r="D609">
        <v>0</v>
      </c>
      <c r="E609">
        <v>0</v>
      </c>
      <c r="F609">
        <v>0</v>
      </c>
      <c r="G609">
        <v>0</v>
      </c>
      <c r="H609">
        <v>0</v>
      </c>
      <c r="I609">
        <v>0</v>
      </c>
      <c r="J609">
        <v>2571.9159359622299</v>
      </c>
      <c r="K609">
        <v>2326.4856108854301</v>
      </c>
      <c r="L609">
        <v>88.340999999999994</v>
      </c>
      <c r="M609">
        <v>64.771000000000001</v>
      </c>
      <c r="N609">
        <v>46.92</v>
      </c>
    </row>
    <row r="610" spans="1:14" x14ac:dyDescent="0.45">
      <c r="A610">
        <v>1983</v>
      </c>
      <c r="B610" t="s">
        <v>226</v>
      </c>
      <c r="C610">
        <v>0</v>
      </c>
      <c r="D610">
        <v>0</v>
      </c>
      <c r="E610">
        <v>1</v>
      </c>
      <c r="F610">
        <v>0</v>
      </c>
      <c r="G610">
        <v>0</v>
      </c>
      <c r="H610">
        <v>0</v>
      </c>
      <c r="I610">
        <v>0</v>
      </c>
      <c r="J610">
        <v>3265.61961346933</v>
      </c>
      <c r="K610">
        <v>2964.1068505016201</v>
      </c>
      <c r="L610">
        <v>68.885000000000005</v>
      </c>
      <c r="M610">
        <v>43.454999999999998</v>
      </c>
      <c r="N610">
        <v>278.35500000000002</v>
      </c>
    </row>
    <row r="611" spans="1:14" x14ac:dyDescent="0.45">
      <c r="A611">
        <v>1983</v>
      </c>
      <c r="B611" t="s">
        <v>227</v>
      </c>
      <c r="C611">
        <v>0</v>
      </c>
      <c r="D611">
        <v>1</v>
      </c>
      <c r="E611">
        <v>0</v>
      </c>
      <c r="F611">
        <v>1</v>
      </c>
      <c r="G611">
        <v>0</v>
      </c>
      <c r="H611">
        <v>0</v>
      </c>
      <c r="I611">
        <v>0</v>
      </c>
      <c r="J611">
        <v>6263.61257960086</v>
      </c>
      <c r="K611">
        <v>5579.3153818024903</v>
      </c>
      <c r="L611">
        <v>54.357999999999997</v>
      </c>
      <c r="M611">
        <v>54.372999999999998</v>
      </c>
      <c r="N611">
        <v>119.71</v>
      </c>
    </row>
    <row r="612" spans="1:14" x14ac:dyDescent="0.45">
      <c r="A612">
        <v>1983</v>
      </c>
      <c r="B612" t="s">
        <v>228</v>
      </c>
      <c r="C612">
        <v>1</v>
      </c>
      <c r="D612">
        <v>0</v>
      </c>
      <c r="E612">
        <v>0</v>
      </c>
      <c r="F612">
        <v>0</v>
      </c>
      <c r="G612">
        <v>0</v>
      </c>
      <c r="H612">
        <v>1</v>
      </c>
      <c r="I612">
        <v>1</v>
      </c>
      <c r="L612">
        <v>14.208</v>
      </c>
      <c r="M612">
        <v>77.010999999999996</v>
      </c>
      <c r="N612">
        <v>11.641999999999999</v>
      </c>
    </row>
    <row r="613" spans="1:14" x14ac:dyDescent="0.45">
      <c r="A613">
        <v>1983</v>
      </c>
      <c r="B613" t="s">
        <v>229</v>
      </c>
      <c r="C613">
        <v>0</v>
      </c>
      <c r="D613">
        <v>0</v>
      </c>
      <c r="E613">
        <v>1</v>
      </c>
      <c r="F613">
        <v>0</v>
      </c>
      <c r="G613">
        <v>0</v>
      </c>
      <c r="H613">
        <v>0</v>
      </c>
      <c r="I613">
        <v>0</v>
      </c>
      <c r="J613">
        <v>667.68874854579303</v>
      </c>
      <c r="K613">
        <v>619.30420483369005</v>
      </c>
      <c r="L613">
        <v>72.459000000000003</v>
      </c>
      <c r="M613">
        <v>48.23</v>
      </c>
      <c r="N613">
        <v>194.786</v>
      </c>
    </row>
    <row r="614" spans="1:14" x14ac:dyDescent="0.45">
      <c r="A614">
        <v>1983</v>
      </c>
      <c r="B614" t="s">
        <v>230</v>
      </c>
      <c r="C614">
        <v>1</v>
      </c>
      <c r="D614">
        <v>0</v>
      </c>
      <c r="E614">
        <v>0</v>
      </c>
      <c r="F614">
        <v>0</v>
      </c>
      <c r="G614">
        <v>1</v>
      </c>
      <c r="H614">
        <v>0</v>
      </c>
      <c r="I614">
        <v>0</v>
      </c>
      <c r="L614">
        <v>52.478999999999999</v>
      </c>
      <c r="M614">
        <v>71.088999999999999</v>
      </c>
      <c r="N614">
        <v>24.283999999999999</v>
      </c>
    </row>
    <row r="615" spans="1:14" x14ac:dyDescent="0.45">
      <c r="A615">
        <v>1983</v>
      </c>
      <c r="B615" t="s">
        <v>231</v>
      </c>
      <c r="C615">
        <v>0</v>
      </c>
      <c r="D615">
        <v>0</v>
      </c>
      <c r="E615">
        <v>1</v>
      </c>
      <c r="F615">
        <v>1</v>
      </c>
      <c r="G615">
        <v>0</v>
      </c>
      <c r="H615">
        <v>0</v>
      </c>
      <c r="I615">
        <v>0</v>
      </c>
      <c r="L615">
        <v>91.292000000000002</v>
      </c>
      <c r="M615">
        <v>34.732999999999997</v>
      </c>
      <c r="N615">
        <v>292.09100000000001</v>
      </c>
    </row>
    <row r="616" spans="1:14" x14ac:dyDescent="0.45">
      <c r="A616">
        <v>1983</v>
      </c>
      <c r="B616" t="s">
        <v>232</v>
      </c>
      <c r="C616">
        <v>0</v>
      </c>
      <c r="D616">
        <v>0</v>
      </c>
      <c r="E616">
        <v>1</v>
      </c>
      <c r="F616">
        <v>0</v>
      </c>
      <c r="G616">
        <v>0</v>
      </c>
      <c r="H616">
        <v>0</v>
      </c>
      <c r="I616">
        <v>0</v>
      </c>
      <c r="J616">
        <v>4927.7284676851496</v>
      </c>
      <c r="K616">
        <v>3066.9407426604098</v>
      </c>
      <c r="L616">
        <v>64.113</v>
      </c>
      <c r="M616">
        <v>59.679000000000002</v>
      </c>
      <c r="N616">
        <v>124.313</v>
      </c>
    </row>
    <row r="617" spans="1:14" x14ac:dyDescent="0.45">
      <c r="A617">
        <v>1983</v>
      </c>
      <c r="B617" t="s">
        <v>233</v>
      </c>
      <c r="C617">
        <v>0</v>
      </c>
      <c r="D617">
        <v>1</v>
      </c>
      <c r="E617">
        <v>0</v>
      </c>
      <c r="F617">
        <v>0</v>
      </c>
      <c r="G617">
        <v>1</v>
      </c>
      <c r="H617">
        <v>0</v>
      </c>
      <c r="I617">
        <v>0</v>
      </c>
      <c r="J617">
        <v>18200.1833088563</v>
      </c>
      <c r="K617">
        <v>14486.9751100881</v>
      </c>
      <c r="L617">
        <v>34.816000000000003</v>
      </c>
      <c r="M617">
        <v>61.072000000000003</v>
      </c>
      <c r="N617">
        <v>56.219000000000001</v>
      </c>
    </row>
    <row r="618" spans="1:14" x14ac:dyDescent="0.45">
      <c r="A618">
        <v>1983</v>
      </c>
      <c r="B618" t="s">
        <v>234</v>
      </c>
      <c r="C618">
        <v>1</v>
      </c>
      <c r="D618">
        <v>0</v>
      </c>
      <c r="E618">
        <v>0</v>
      </c>
      <c r="F618">
        <v>0</v>
      </c>
      <c r="G618">
        <v>1</v>
      </c>
      <c r="H618">
        <v>0</v>
      </c>
      <c r="I618">
        <v>0</v>
      </c>
      <c r="L618">
        <v>46.756</v>
      </c>
      <c r="M618">
        <v>70.474999999999994</v>
      </c>
      <c r="N618">
        <v>19.798999999999999</v>
      </c>
    </row>
    <row r="619" spans="1:14" x14ac:dyDescent="0.45">
      <c r="A619">
        <v>1983</v>
      </c>
      <c r="B619" t="s">
        <v>235</v>
      </c>
      <c r="C619">
        <v>1</v>
      </c>
      <c r="D619">
        <v>0</v>
      </c>
      <c r="E619">
        <v>0</v>
      </c>
      <c r="F619">
        <v>0</v>
      </c>
      <c r="G619">
        <v>1</v>
      </c>
      <c r="H619">
        <v>0</v>
      </c>
      <c r="I619">
        <v>0</v>
      </c>
      <c r="L619">
        <v>50.737000000000002</v>
      </c>
      <c r="M619">
        <v>71.188999999999993</v>
      </c>
      <c r="N619">
        <v>15.885999999999999</v>
      </c>
    </row>
    <row r="620" spans="1:14" x14ac:dyDescent="0.45">
      <c r="A620">
        <v>1983</v>
      </c>
      <c r="B620" t="s">
        <v>236</v>
      </c>
      <c r="C620">
        <v>1</v>
      </c>
      <c r="D620">
        <v>0</v>
      </c>
      <c r="E620">
        <v>0</v>
      </c>
      <c r="F620">
        <v>0</v>
      </c>
      <c r="G620">
        <v>0</v>
      </c>
      <c r="H620">
        <v>1</v>
      </c>
      <c r="I620">
        <v>1</v>
      </c>
      <c r="J620">
        <v>33637.5640678532</v>
      </c>
      <c r="K620">
        <v>28733.827902335499</v>
      </c>
      <c r="L620">
        <v>16.899999999999999</v>
      </c>
      <c r="M620">
        <v>76.58</v>
      </c>
      <c r="N620">
        <v>8.0190000000000001</v>
      </c>
    </row>
    <row r="621" spans="1:14" x14ac:dyDescent="0.45">
      <c r="A621">
        <v>1983</v>
      </c>
      <c r="B621" t="s">
        <v>237</v>
      </c>
      <c r="C621">
        <v>0</v>
      </c>
      <c r="D621">
        <v>0</v>
      </c>
      <c r="E621">
        <v>1</v>
      </c>
      <c r="F621">
        <v>1</v>
      </c>
      <c r="G621">
        <v>0</v>
      </c>
      <c r="H621">
        <v>0</v>
      </c>
      <c r="I621">
        <v>0</v>
      </c>
      <c r="J621">
        <v>4202.7103478706103</v>
      </c>
      <c r="K621">
        <v>3721.5007829722399</v>
      </c>
      <c r="L621">
        <v>82.466999999999999</v>
      </c>
      <c r="M621">
        <v>58.417999999999999</v>
      </c>
      <c r="N621">
        <v>108.01300000000001</v>
      </c>
    </row>
    <row r="622" spans="1:14" x14ac:dyDescent="0.45">
      <c r="A622">
        <v>1983</v>
      </c>
      <c r="B622" t="s">
        <v>238</v>
      </c>
      <c r="C622">
        <v>0</v>
      </c>
      <c r="D622">
        <v>1</v>
      </c>
      <c r="E622">
        <v>0</v>
      </c>
      <c r="F622">
        <v>0</v>
      </c>
      <c r="G622">
        <v>0</v>
      </c>
      <c r="H622">
        <v>1</v>
      </c>
      <c r="I622">
        <v>1</v>
      </c>
      <c r="L622">
        <v>0</v>
      </c>
      <c r="M622">
        <v>72.146000000000001</v>
      </c>
      <c r="N622">
        <v>26.423999999999999</v>
      </c>
    </row>
    <row r="623" spans="1:14" x14ac:dyDescent="0.45">
      <c r="A623">
        <v>1983</v>
      </c>
      <c r="B623" t="s">
        <v>239</v>
      </c>
      <c r="C623">
        <v>0</v>
      </c>
      <c r="D623">
        <v>0</v>
      </c>
      <c r="E623">
        <v>1</v>
      </c>
      <c r="F623">
        <v>0</v>
      </c>
      <c r="G623">
        <v>1</v>
      </c>
      <c r="H623">
        <v>0</v>
      </c>
      <c r="I623">
        <v>0</v>
      </c>
      <c r="J623">
        <v>11843.144390928201</v>
      </c>
      <c r="K623">
        <v>11497.915310354399</v>
      </c>
      <c r="L623">
        <v>50.677999999999997</v>
      </c>
      <c r="M623">
        <v>69.257000000000005</v>
      </c>
      <c r="N623">
        <v>23.58</v>
      </c>
    </row>
    <row r="624" spans="1:14" x14ac:dyDescent="0.45">
      <c r="A624">
        <v>1983</v>
      </c>
      <c r="B624" t="s">
        <v>240</v>
      </c>
      <c r="C624">
        <v>0</v>
      </c>
      <c r="D624">
        <v>0</v>
      </c>
      <c r="E624">
        <v>0</v>
      </c>
      <c r="F624">
        <v>1</v>
      </c>
      <c r="G624">
        <v>0</v>
      </c>
      <c r="H624">
        <v>0</v>
      </c>
      <c r="I624">
        <v>0</v>
      </c>
      <c r="J624">
        <v>7521.0314994973196</v>
      </c>
      <c r="K624">
        <v>4933.2508509068202</v>
      </c>
      <c r="L624">
        <v>52.524000000000001</v>
      </c>
      <c r="M624">
        <v>67.349999999999994</v>
      </c>
      <c r="N624">
        <v>51.100999999999999</v>
      </c>
    </row>
    <row r="625" spans="1:14" x14ac:dyDescent="0.45">
      <c r="A625">
        <v>1983</v>
      </c>
      <c r="B625" t="s">
        <v>241</v>
      </c>
      <c r="C625">
        <v>0</v>
      </c>
      <c r="D625">
        <v>1</v>
      </c>
      <c r="E625">
        <v>0</v>
      </c>
      <c r="F625">
        <v>0</v>
      </c>
      <c r="G625">
        <v>0</v>
      </c>
      <c r="H625">
        <v>1</v>
      </c>
      <c r="I625">
        <v>1</v>
      </c>
      <c r="L625">
        <v>38.521999999999998</v>
      </c>
      <c r="M625">
        <v>68.069000000000003</v>
      </c>
      <c r="N625">
        <v>29.123000000000001</v>
      </c>
    </row>
    <row r="626" spans="1:14" x14ac:dyDescent="0.45">
      <c r="A626">
        <v>1983</v>
      </c>
      <c r="B626" t="s">
        <v>242</v>
      </c>
      <c r="C626">
        <v>0</v>
      </c>
      <c r="D626">
        <v>0</v>
      </c>
      <c r="E626">
        <v>1</v>
      </c>
      <c r="F626">
        <v>0</v>
      </c>
      <c r="G626">
        <v>0</v>
      </c>
      <c r="H626">
        <v>0</v>
      </c>
      <c r="I626">
        <v>0</v>
      </c>
      <c r="J626">
        <v>1284.3264656450301</v>
      </c>
      <c r="K626">
        <v>1078.8806963024299</v>
      </c>
      <c r="L626">
        <v>80.623000000000005</v>
      </c>
      <c r="M626">
        <v>44.445999999999998</v>
      </c>
      <c r="N626">
        <v>234.149</v>
      </c>
    </row>
    <row r="627" spans="1:14" x14ac:dyDescent="0.45">
      <c r="A627">
        <v>1983</v>
      </c>
      <c r="B627" t="s">
        <v>243</v>
      </c>
      <c r="C627">
        <v>0</v>
      </c>
      <c r="D627">
        <v>0</v>
      </c>
      <c r="E627">
        <v>1</v>
      </c>
      <c r="F627">
        <v>0</v>
      </c>
      <c r="G627">
        <v>0</v>
      </c>
      <c r="H627">
        <v>0</v>
      </c>
      <c r="I627">
        <v>0</v>
      </c>
      <c r="J627">
        <v>2276.2590880207599</v>
      </c>
      <c r="K627">
        <v>1891.6572152231399</v>
      </c>
      <c r="L627">
        <v>74.221999999999994</v>
      </c>
      <c r="M627">
        <v>53.768999999999998</v>
      </c>
      <c r="N627">
        <v>168.041</v>
      </c>
    </row>
    <row r="628" spans="1:14" x14ac:dyDescent="0.45">
      <c r="A628">
        <v>1983</v>
      </c>
      <c r="B628" t="s">
        <v>244</v>
      </c>
      <c r="C628">
        <v>0</v>
      </c>
      <c r="D628">
        <v>0</v>
      </c>
      <c r="E628">
        <v>0</v>
      </c>
      <c r="F628">
        <v>1</v>
      </c>
      <c r="G628">
        <v>0</v>
      </c>
      <c r="H628">
        <v>0</v>
      </c>
      <c r="I628">
        <v>0</v>
      </c>
      <c r="J628">
        <v>5773.6259742572902</v>
      </c>
      <c r="K628">
        <v>5049.1922351901203</v>
      </c>
      <c r="L628">
        <v>72.430999999999997</v>
      </c>
      <c r="M628">
        <v>64.5</v>
      </c>
      <c r="N628">
        <v>53.08</v>
      </c>
    </row>
    <row r="629" spans="1:14" x14ac:dyDescent="0.45">
      <c r="A629">
        <v>1983</v>
      </c>
      <c r="B629" t="s">
        <v>245</v>
      </c>
      <c r="C629">
        <v>1</v>
      </c>
      <c r="D629">
        <v>0</v>
      </c>
      <c r="E629">
        <v>0</v>
      </c>
      <c r="F629">
        <v>1</v>
      </c>
      <c r="G629">
        <v>0</v>
      </c>
      <c r="H629">
        <v>0</v>
      </c>
      <c r="I629">
        <v>0</v>
      </c>
      <c r="L629">
        <v>66.344999999999999</v>
      </c>
      <c r="M629">
        <v>60.46</v>
      </c>
      <c r="N629">
        <v>124.59099999999999</v>
      </c>
    </row>
    <row r="630" spans="1:14" x14ac:dyDescent="0.45">
      <c r="A630">
        <v>1983</v>
      </c>
      <c r="B630" t="s">
        <v>246</v>
      </c>
      <c r="C630">
        <v>1</v>
      </c>
      <c r="D630">
        <v>0</v>
      </c>
      <c r="E630">
        <v>0</v>
      </c>
      <c r="F630">
        <v>1</v>
      </c>
      <c r="G630">
        <v>0</v>
      </c>
      <c r="H630">
        <v>0</v>
      </c>
      <c r="I630">
        <v>0</v>
      </c>
      <c r="L630">
        <v>53.582999999999998</v>
      </c>
      <c r="M630">
        <v>61.988</v>
      </c>
      <c r="N630">
        <v>100.78400000000001</v>
      </c>
    </row>
    <row r="631" spans="1:14" x14ac:dyDescent="0.45">
      <c r="A631">
        <v>1983</v>
      </c>
      <c r="B631" t="s">
        <v>247</v>
      </c>
      <c r="C631">
        <v>0</v>
      </c>
      <c r="D631">
        <v>0</v>
      </c>
      <c r="E631">
        <v>0</v>
      </c>
      <c r="F631">
        <v>0</v>
      </c>
      <c r="G631">
        <v>0</v>
      </c>
      <c r="H631">
        <v>0</v>
      </c>
      <c r="I631">
        <v>0</v>
      </c>
      <c r="L631">
        <v>82.292000000000002</v>
      </c>
      <c r="M631">
        <v>32.694000000000003</v>
      </c>
      <c r="N631">
        <v>272.30200000000002</v>
      </c>
    </row>
    <row r="632" spans="1:14" x14ac:dyDescent="0.45">
      <c r="A632">
        <v>1983</v>
      </c>
      <c r="B632" t="s">
        <v>248</v>
      </c>
      <c r="C632">
        <v>0</v>
      </c>
      <c r="D632">
        <v>0</v>
      </c>
      <c r="E632">
        <v>0</v>
      </c>
      <c r="F632">
        <v>1</v>
      </c>
      <c r="G632">
        <v>0</v>
      </c>
      <c r="H632">
        <v>0</v>
      </c>
      <c r="I632">
        <v>0</v>
      </c>
      <c r="J632">
        <v>4056.2034180184901</v>
      </c>
      <c r="K632">
        <v>3671.8021733922401</v>
      </c>
      <c r="L632">
        <v>78.183000000000007</v>
      </c>
      <c r="M632">
        <v>66.652000000000001</v>
      </c>
      <c r="N632">
        <v>27.309000000000001</v>
      </c>
    </row>
    <row r="633" spans="1:14" x14ac:dyDescent="0.45">
      <c r="A633">
        <v>1983</v>
      </c>
      <c r="B633" t="s">
        <v>249</v>
      </c>
      <c r="C633">
        <v>0</v>
      </c>
      <c r="D633">
        <v>1</v>
      </c>
      <c r="E633">
        <v>0</v>
      </c>
      <c r="F633">
        <v>0</v>
      </c>
      <c r="G633">
        <v>1</v>
      </c>
      <c r="H633">
        <v>0</v>
      </c>
      <c r="I633">
        <v>0</v>
      </c>
      <c r="J633">
        <v>18030.2516812867</v>
      </c>
      <c r="K633">
        <v>15047.9222941223</v>
      </c>
      <c r="L633">
        <v>47.162999999999997</v>
      </c>
      <c r="M633">
        <v>66.44</v>
      </c>
      <c r="N633">
        <v>35.844000000000001</v>
      </c>
    </row>
    <row r="634" spans="1:14" x14ac:dyDescent="0.45">
      <c r="A634">
        <v>1983</v>
      </c>
      <c r="B634" t="s">
        <v>250</v>
      </c>
      <c r="C634">
        <v>0</v>
      </c>
      <c r="D634">
        <v>0</v>
      </c>
      <c r="E634">
        <v>0</v>
      </c>
      <c r="F634">
        <v>1</v>
      </c>
      <c r="G634">
        <v>0</v>
      </c>
      <c r="H634">
        <v>0</v>
      </c>
      <c r="I634">
        <v>0</v>
      </c>
      <c r="J634">
        <v>6350.7024161107802</v>
      </c>
      <c r="K634">
        <v>5534.5310712915998</v>
      </c>
      <c r="L634">
        <v>47.643999999999998</v>
      </c>
      <c r="M634">
        <v>65.695999999999998</v>
      </c>
      <c r="N634">
        <v>79.503</v>
      </c>
    </row>
    <row r="635" spans="1:14" x14ac:dyDescent="0.45">
      <c r="A635">
        <v>1983</v>
      </c>
      <c r="B635" t="s">
        <v>251</v>
      </c>
      <c r="C635">
        <v>1</v>
      </c>
      <c r="D635">
        <v>0</v>
      </c>
      <c r="E635">
        <v>0</v>
      </c>
      <c r="F635">
        <v>1</v>
      </c>
      <c r="G635">
        <v>0</v>
      </c>
      <c r="H635">
        <v>0</v>
      </c>
      <c r="I635">
        <v>0</v>
      </c>
      <c r="J635">
        <v>9938.7577934868095</v>
      </c>
      <c r="K635">
        <v>9965.3455657497507</v>
      </c>
      <c r="L635">
        <v>51.188000000000002</v>
      </c>
      <c r="M635">
        <v>64.269000000000005</v>
      </c>
      <c r="N635">
        <v>109.554</v>
      </c>
    </row>
    <row r="636" spans="1:14" x14ac:dyDescent="0.45">
      <c r="A636">
        <v>1983</v>
      </c>
      <c r="B636" t="s">
        <v>252</v>
      </c>
      <c r="C636">
        <v>0</v>
      </c>
      <c r="D636">
        <v>0</v>
      </c>
      <c r="E636">
        <v>0</v>
      </c>
      <c r="F636">
        <v>1</v>
      </c>
      <c r="G636">
        <v>0</v>
      </c>
      <c r="H636">
        <v>0</v>
      </c>
      <c r="I636">
        <v>0</v>
      </c>
      <c r="J636">
        <v>1720.46019918309</v>
      </c>
      <c r="K636">
        <v>1556.4219165602899</v>
      </c>
      <c r="L636">
        <v>67.575000000000003</v>
      </c>
      <c r="M636">
        <v>60.938000000000002</v>
      </c>
      <c r="N636">
        <v>59.314</v>
      </c>
    </row>
    <row r="637" spans="1:14" x14ac:dyDescent="0.45">
      <c r="A637">
        <v>1983</v>
      </c>
      <c r="B637" t="s">
        <v>253</v>
      </c>
      <c r="C637">
        <v>0</v>
      </c>
      <c r="D637">
        <v>0</v>
      </c>
      <c r="E637">
        <v>0</v>
      </c>
      <c r="F637">
        <v>0</v>
      </c>
      <c r="G637">
        <v>0</v>
      </c>
      <c r="H637">
        <v>1</v>
      </c>
      <c r="I637">
        <v>1</v>
      </c>
      <c r="L637">
        <v>78.454999999999998</v>
      </c>
      <c r="M637">
        <v>72.397000000000006</v>
      </c>
      <c r="N637">
        <v>12.504</v>
      </c>
    </row>
    <row r="638" spans="1:14" x14ac:dyDescent="0.45">
      <c r="A638">
        <v>1983</v>
      </c>
      <c r="B638" t="s">
        <v>254</v>
      </c>
      <c r="C638">
        <v>0</v>
      </c>
      <c r="D638">
        <v>0</v>
      </c>
      <c r="E638">
        <v>1</v>
      </c>
      <c r="F638">
        <v>0</v>
      </c>
      <c r="G638">
        <v>0</v>
      </c>
      <c r="H638">
        <v>0</v>
      </c>
      <c r="I638">
        <v>0</v>
      </c>
      <c r="J638">
        <v>1638.2578117207199</v>
      </c>
      <c r="K638">
        <v>1220.2837503455601</v>
      </c>
      <c r="L638">
        <v>84.149000000000001</v>
      </c>
      <c r="M638">
        <v>52.177999999999997</v>
      </c>
      <c r="N638">
        <v>177.96299999999999</v>
      </c>
    </row>
    <row r="639" spans="1:14" x14ac:dyDescent="0.45">
      <c r="A639">
        <v>1983</v>
      </c>
      <c r="B639" t="s">
        <v>255</v>
      </c>
      <c r="C639">
        <v>0</v>
      </c>
      <c r="D639">
        <v>0</v>
      </c>
      <c r="E639">
        <v>1</v>
      </c>
      <c r="F639">
        <v>0</v>
      </c>
      <c r="G639">
        <v>0</v>
      </c>
      <c r="H639">
        <v>0</v>
      </c>
      <c r="I639">
        <v>0</v>
      </c>
      <c r="J639">
        <v>1077.5311123552401</v>
      </c>
      <c r="K639">
        <v>914.07454581650597</v>
      </c>
      <c r="L639">
        <v>91.53</v>
      </c>
      <c r="M639">
        <v>43.488999999999997</v>
      </c>
      <c r="N639">
        <v>213.92699999999999</v>
      </c>
    </row>
    <row r="640" spans="1:14" x14ac:dyDescent="0.45">
      <c r="A640">
        <v>1983</v>
      </c>
      <c r="B640" t="s">
        <v>256</v>
      </c>
      <c r="C640">
        <v>1</v>
      </c>
      <c r="D640">
        <v>0</v>
      </c>
      <c r="E640">
        <v>0</v>
      </c>
      <c r="F640">
        <v>1</v>
      </c>
      <c r="G640">
        <v>0</v>
      </c>
      <c r="H640">
        <v>0</v>
      </c>
      <c r="I640">
        <v>0</v>
      </c>
      <c r="J640">
        <v>19342.101489772202</v>
      </c>
      <c r="K640">
        <v>13680.388565191701</v>
      </c>
      <c r="L640">
        <v>36.496000000000002</v>
      </c>
      <c r="M640">
        <v>69.947999999999993</v>
      </c>
      <c r="N640">
        <v>20.812000000000001</v>
      </c>
    </row>
    <row r="641" spans="1:14" x14ac:dyDescent="0.45">
      <c r="A641">
        <v>1983</v>
      </c>
      <c r="B641" t="s">
        <v>257</v>
      </c>
      <c r="C641">
        <v>0</v>
      </c>
      <c r="D641">
        <v>1</v>
      </c>
      <c r="E641">
        <v>0</v>
      </c>
      <c r="F641">
        <v>0</v>
      </c>
      <c r="G641">
        <v>1</v>
      </c>
      <c r="H641">
        <v>0</v>
      </c>
      <c r="I641">
        <v>0</v>
      </c>
      <c r="J641">
        <v>13440.628593281201</v>
      </c>
      <c r="K641">
        <v>10660.6842826549</v>
      </c>
      <c r="L641">
        <v>13.502000000000001</v>
      </c>
      <c r="M641">
        <v>71.594999999999999</v>
      </c>
      <c r="N641">
        <v>32.960999999999999</v>
      </c>
    </row>
    <row r="642" spans="1:14" x14ac:dyDescent="0.45">
      <c r="A642">
        <v>1983</v>
      </c>
      <c r="B642" t="s">
        <v>258</v>
      </c>
      <c r="C642">
        <v>0</v>
      </c>
      <c r="D642">
        <v>0</v>
      </c>
      <c r="E642">
        <v>0</v>
      </c>
      <c r="F642">
        <v>0</v>
      </c>
      <c r="G642">
        <v>0</v>
      </c>
      <c r="H642">
        <v>1</v>
      </c>
      <c r="I642">
        <v>1</v>
      </c>
      <c r="J642">
        <v>35008.757851476897</v>
      </c>
      <c r="K642">
        <v>31776.560535112902</v>
      </c>
      <c r="L642">
        <v>25.806000000000001</v>
      </c>
      <c r="M642">
        <v>74.552999999999997</v>
      </c>
      <c r="N642">
        <v>13.260999999999999</v>
      </c>
    </row>
    <row r="643" spans="1:14" x14ac:dyDescent="0.45">
      <c r="A643">
        <v>1983</v>
      </c>
      <c r="B643" t="s">
        <v>259</v>
      </c>
      <c r="C643">
        <v>1</v>
      </c>
      <c r="D643">
        <v>0</v>
      </c>
      <c r="E643">
        <v>0</v>
      </c>
      <c r="F643">
        <v>1</v>
      </c>
      <c r="G643">
        <v>0</v>
      </c>
      <c r="H643">
        <v>0</v>
      </c>
      <c r="I643">
        <v>0</v>
      </c>
      <c r="L643">
        <v>59.253999999999998</v>
      </c>
      <c r="M643">
        <v>63.75</v>
      </c>
      <c r="N643">
        <v>89.046999999999997</v>
      </c>
    </row>
    <row r="644" spans="1:14" x14ac:dyDescent="0.45">
      <c r="A644">
        <v>1983</v>
      </c>
      <c r="B644" t="s">
        <v>260</v>
      </c>
      <c r="C644">
        <v>0</v>
      </c>
      <c r="D644">
        <v>1</v>
      </c>
      <c r="E644">
        <v>0</v>
      </c>
      <c r="F644">
        <v>1</v>
      </c>
      <c r="G644">
        <v>0</v>
      </c>
      <c r="H644">
        <v>0</v>
      </c>
      <c r="I644">
        <v>0</v>
      </c>
      <c r="J644">
        <v>5527.1848624067698</v>
      </c>
      <c r="K644">
        <v>4830.5449957643104</v>
      </c>
      <c r="L644">
        <v>62.5</v>
      </c>
      <c r="M644">
        <v>68.796000000000006</v>
      </c>
      <c r="N644">
        <v>44.014000000000003</v>
      </c>
    </row>
    <row r="645" spans="1:14" x14ac:dyDescent="0.45">
      <c r="A645">
        <v>1983</v>
      </c>
      <c r="B645" t="s">
        <v>261</v>
      </c>
      <c r="C645">
        <v>0</v>
      </c>
      <c r="D645">
        <v>1</v>
      </c>
      <c r="E645">
        <v>0</v>
      </c>
      <c r="F645">
        <v>0</v>
      </c>
      <c r="G645">
        <v>1</v>
      </c>
      <c r="H645">
        <v>0</v>
      </c>
      <c r="I645">
        <v>0</v>
      </c>
      <c r="L645">
        <v>19.093</v>
      </c>
      <c r="M645">
        <v>69.540999999999997</v>
      </c>
      <c r="N645">
        <v>39.328000000000003</v>
      </c>
    </row>
    <row r="646" spans="1:14" x14ac:dyDescent="0.45">
      <c r="A646">
        <v>1983</v>
      </c>
      <c r="B646" t="s">
        <v>262</v>
      </c>
      <c r="C646">
        <v>0</v>
      </c>
      <c r="D646">
        <v>1</v>
      </c>
      <c r="E646">
        <v>0</v>
      </c>
      <c r="F646">
        <v>0</v>
      </c>
      <c r="G646">
        <v>0</v>
      </c>
      <c r="H646">
        <v>1</v>
      </c>
      <c r="I646">
        <v>1</v>
      </c>
      <c r="L646">
        <v>73.212000000000003</v>
      </c>
      <c r="M646">
        <v>70.373999999999995</v>
      </c>
      <c r="N646">
        <v>30.957999999999998</v>
      </c>
    </row>
    <row r="647" spans="1:14" x14ac:dyDescent="0.45">
      <c r="A647">
        <v>1983</v>
      </c>
      <c r="B647" t="s">
        <v>263</v>
      </c>
      <c r="C647">
        <v>0</v>
      </c>
      <c r="D647">
        <v>1</v>
      </c>
      <c r="E647">
        <v>0</v>
      </c>
      <c r="F647">
        <v>0</v>
      </c>
      <c r="G647">
        <v>0</v>
      </c>
      <c r="H647">
        <v>1</v>
      </c>
      <c r="I647">
        <v>1</v>
      </c>
      <c r="L647">
        <v>17.283000000000001</v>
      </c>
      <c r="M647">
        <v>69.353999999999999</v>
      </c>
      <c r="N647">
        <v>24.518000000000001</v>
      </c>
    </row>
    <row r="648" spans="1:14" x14ac:dyDescent="0.45">
      <c r="A648">
        <v>1983</v>
      </c>
      <c r="B648" t="s">
        <v>264</v>
      </c>
      <c r="C648">
        <v>0</v>
      </c>
      <c r="D648">
        <v>0</v>
      </c>
      <c r="E648">
        <v>0</v>
      </c>
      <c r="F648">
        <v>0</v>
      </c>
      <c r="G648">
        <v>0</v>
      </c>
      <c r="H648">
        <v>0</v>
      </c>
      <c r="I648">
        <v>0</v>
      </c>
      <c r="J648">
        <v>1999.6944287942199</v>
      </c>
      <c r="K648">
        <v>1781.89349281923</v>
      </c>
      <c r="L648">
        <v>80.564999999999998</v>
      </c>
      <c r="M648">
        <v>66.545000000000002</v>
      </c>
      <c r="N648">
        <v>65.141000000000005</v>
      </c>
    </row>
    <row r="649" spans="1:14" x14ac:dyDescent="0.45">
      <c r="A649">
        <v>1983</v>
      </c>
      <c r="B649" t="s">
        <v>265</v>
      </c>
      <c r="C649">
        <v>0</v>
      </c>
      <c r="D649">
        <v>0</v>
      </c>
      <c r="E649">
        <v>0</v>
      </c>
      <c r="F649">
        <v>1</v>
      </c>
      <c r="G649">
        <v>0</v>
      </c>
      <c r="H649">
        <v>0</v>
      </c>
      <c r="I649">
        <v>0</v>
      </c>
      <c r="J649">
        <v>3353.7675950397602</v>
      </c>
      <c r="K649">
        <v>3033.8226803495099</v>
      </c>
      <c r="L649">
        <v>84.094999999999999</v>
      </c>
      <c r="M649">
        <v>63.075000000000003</v>
      </c>
      <c r="N649">
        <v>55.18</v>
      </c>
    </row>
    <row r="650" spans="1:14" x14ac:dyDescent="0.45">
      <c r="A650">
        <v>1983</v>
      </c>
      <c r="B650" t="s">
        <v>266</v>
      </c>
      <c r="C650">
        <v>0</v>
      </c>
      <c r="D650">
        <v>0</v>
      </c>
      <c r="E650">
        <v>0</v>
      </c>
      <c r="F650">
        <v>1</v>
      </c>
      <c r="G650">
        <v>0</v>
      </c>
      <c r="H650">
        <v>0</v>
      </c>
      <c r="I650">
        <v>0</v>
      </c>
      <c r="J650">
        <v>3591.9370625422498</v>
      </c>
      <c r="K650">
        <v>3249.2711012074401</v>
      </c>
      <c r="L650">
        <v>78.8</v>
      </c>
      <c r="M650">
        <v>65.991</v>
      </c>
      <c r="N650">
        <v>38.435000000000002</v>
      </c>
    </row>
    <row r="651" spans="1:14" x14ac:dyDescent="0.45">
      <c r="A651">
        <v>1983</v>
      </c>
      <c r="B651" t="s">
        <v>267</v>
      </c>
      <c r="C651">
        <v>1</v>
      </c>
      <c r="D651">
        <v>0</v>
      </c>
      <c r="E651">
        <v>0</v>
      </c>
      <c r="F651">
        <v>0</v>
      </c>
      <c r="G651">
        <v>1</v>
      </c>
      <c r="H651">
        <v>0</v>
      </c>
      <c r="I651">
        <v>0</v>
      </c>
      <c r="L651">
        <v>52.478999999999999</v>
      </c>
      <c r="M651">
        <v>61.002000000000002</v>
      </c>
      <c r="N651">
        <v>156.84100000000001</v>
      </c>
    </row>
    <row r="652" spans="1:14" x14ac:dyDescent="0.45">
      <c r="A652">
        <v>1983</v>
      </c>
      <c r="B652" t="s">
        <v>268</v>
      </c>
      <c r="C652">
        <v>0</v>
      </c>
      <c r="D652">
        <v>0</v>
      </c>
      <c r="E652">
        <v>0</v>
      </c>
      <c r="F652">
        <v>1</v>
      </c>
      <c r="G652">
        <v>0</v>
      </c>
      <c r="H652">
        <v>0</v>
      </c>
      <c r="I652">
        <v>0</v>
      </c>
      <c r="L652">
        <v>82.381</v>
      </c>
      <c r="M652">
        <v>53.618000000000002</v>
      </c>
      <c r="N652">
        <v>175.04300000000001</v>
      </c>
    </row>
    <row r="653" spans="1:14" x14ac:dyDescent="0.45">
      <c r="A653">
        <v>1983</v>
      </c>
      <c r="B653" t="s">
        <v>269</v>
      </c>
      <c r="C653">
        <v>0</v>
      </c>
      <c r="D653">
        <v>0</v>
      </c>
      <c r="E653">
        <v>1</v>
      </c>
      <c r="F653">
        <v>1</v>
      </c>
      <c r="G653">
        <v>0</v>
      </c>
      <c r="H653">
        <v>0</v>
      </c>
      <c r="I653">
        <v>0</v>
      </c>
      <c r="J653">
        <v>12219.4115216146</v>
      </c>
      <c r="K653">
        <v>11505.078571177701</v>
      </c>
      <c r="L653">
        <v>51.078000000000003</v>
      </c>
      <c r="M653">
        <v>61.393000000000001</v>
      </c>
      <c r="N653">
        <v>82.119</v>
      </c>
    </row>
    <row r="654" spans="1:14" x14ac:dyDescent="0.45">
      <c r="A654">
        <v>1983</v>
      </c>
      <c r="B654" t="s">
        <v>270</v>
      </c>
      <c r="C654">
        <v>0</v>
      </c>
      <c r="D654">
        <v>0</v>
      </c>
      <c r="E654">
        <v>1</v>
      </c>
      <c r="F654">
        <v>0</v>
      </c>
      <c r="G654">
        <v>0</v>
      </c>
      <c r="H654">
        <v>0</v>
      </c>
      <c r="I654">
        <v>0</v>
      </c>
      <c r="J654">
        <v>2757.9200962863601</v>
      </c>
      <c r="K654">
        <v>2589.2933241844098</v>
      </c>
      <c r="L654">
        <v>60.244999999999997</v>
      </c>
      <c r="M654">
        <v>53.673999999999999</v>
      </c>
      <c r="N654">
        <v>162.548</v>
      </c>
    </row>
    <row r="655" spans="1:14" x14ac:dyDescent="0.45">
      <c r="A655">
        <v>1983</v>
      </c>
      <c r="B655" t="s">
        <v>271</v>
      </c>
      <c r="C655">
        <v>0</v>
      </c>
      <c r="D655">
        <v>0</v>
      </c>
      <c r="E655">
        <v>1</v>
      </c>
      <c r="F655">
        <v>1</v>
      </c>
      <c r="G655">
        <v>0</v>
      </c>
      <c r="H655">
        <v>0</v>
      </c>
      <c r="I655">
        <v>0</v>
      </c>
      <c r="J655">
        <v>3830.5933457031801</v>
      </c>
      <c r="K655">
        <v>2550.5465192921602</v>
      </c>
      <c r="L655">
        <v>75.930999999999997</v>
      </c>
      <c r="M655">
        <v>59.988999999999997</v>
      </c>
      <c r="N655">
        <v>94.992999999999995</v>
      </c>
    </row>
    <row r="656" spans="1:14" x14ac:dyDescent="0.45">
      <c r="A656">
        <v>1984</v>
      </c>
      <c r="B656" t="s">
        <v>54</v>
      </c>
      <c r="C656">
        <v>0</v>
      </c>
      <c r="D656">
        <v>1</v>
      </c>
      <c r="E656">
        <v>0</v>
      </c>
      <c r="F656">
        <v>0</v>
      </c>
      <c r="G656">
        <v>0</v>
      </c>
      <c r="H656">
        <v>1</v>
      </c>
      <c r="I656">
        <v>1</v>
      </c>
      <c r="L656">
        <v>49.588999999999999</v>
      </c>
      <c r="M656">
        <v>71.710999999999999</v>
      </c>
      <c r="N656">
        <v>23.916</v>
      </c>
    </row>
    <row r="657" spans="1:14" x14ac:dyDescent="0.45">
      <c r="A657">
        <v>1984</v>
      </c>
      <c r="B657" t="s">
        <v>55</v>
      </c>
      <c r="C657">
        <v>0</v>
      </c>
      <c r="D657">
        <v>0</v>
      </c>
      <c r="E657">
        <v>0</v>
      </c>
      <c r="F657">
        <v>0</v>
      </c>
      <c r="G657">
        <v>0</v>
      </c>
      <c r="H657">
        <v>0</v>
      </c>
      <c r="I657">
        <v>0</v>
      </c>
      <c r="L657">
        <v>81.635000000000005</v>
      </c>
      <c r="M657">
        <v>31.472999999999999</v>
      </c>
      <c r="N657">
        <v>293.96800000000002</v>
      </c>
    </row>
    <row r="658" spans="1:14" x14ac:dyDescent="0.45">
      <c r="A658">
        <v>1984</v>
      </c>
      <c r="B658" t="s">
        <v>56</v>
      </c>
      <c r="C658">
        <v>0</v>
      </c>
      <c r="D658">
        <v>0</v>
      </c>
      <c r="E658">
        <v>1</v>
      </c>
      <c r="F658">
        <v>1</v>
      </c>
      <c r="G658">
        <v>0</v>
      </c>
      <c r="H658">
        <v>0</v>
      </c>
      <c r="I658">
        <v>0</v>
      </c>
      <c r="J658">
        <v>7331.1982923617397</v>
      </c>
      <c r="K658">
        <v>5669.5880310874099</v>
      </c>
      <c r="L658">
        <v>70.935000000000002</v>
      </c>
      <c r="M658">
        <v>42.244999999999997</v>
      </c>
      <c r="N658">
        <v>238.79400000000001</v>
      </c>
    </row>
    <row r="659" spans="1:14" x14ac:dyDescent="0.45">
      <c r="A659">
        <v>1984</v>
      </c>
      <c r="B659" t="s">
        <v>57</v>
      </c>
      <c r="C659">
        <v>1</v>
      </c>
      <c r="D659">
        <v>0</v>
      </c>
      <c r="E659">
        <v>0</v>
      </c>
      <c r="F659">
        <v>1</v>
      </c>
      <c r="G659">
        <v>0</v>
      </c>
      <c r="H659">
        <v>0</v>
      </c>
      <c r="I659">
        <v>0</v>
      </c>
      <c r="J659">
        <v>5533.5833215293396</v>
      </c>
      <c r="K659">
        <v>5013.1726766895699</v>
      </c>
      <c r="L659">
        <v>65.183000000000007</v>
      </c>
      <c r="M659">
        <v>70.983999999999995</v>
      </c>
      <c r="N659">
        <v>53.146000000000001</v>
      </c>
    </row>
    <row r="660" spans="1:14" x14ac:dyDescent="0.45">
      <c r="A660">
        <v>1984</v>
      </c>
      <c r="B660" t="s">
        <v>58</v>
      </c>
      <c r="C660">
        <v>1</v>
      </c>
      <c r="D660">
        <v>0</v>
      </c>
      <c r="E660">
        <v>0</v>
      </c>
      <c r="F660">
        <v>0</v>
      </c>
      <c r="G660">
        <v>0</v>
      </c>
      <c r="H660">
        <v>1</v>
      </c>
      <c r="I660">
        <v>1</v>
      </c>
      <c r="J660">
        <v>48830.819607292899</v>
      </c>
      <c r="K660">
        <v>40989.744023797299</v>
      </c>
      <c r="L660">
        <v>5.351</v>
      </c>
      <c r="M660">
        <v>77.915999999999997</v>
      </c>
      <c r="N660">
        <v>12.18</v>
      </c>
    </row>
    <row r="661" spans="1:14" x14ac:dyDescent="0.45">
      <c r="A661">
        <v>1984</v>
      </c>
      <c r="B661" t="s">
        <v>59</v>
      </c>
      <c r="C661">
        <v>0</v>
      </c>
      <c r="D661">
        <v>0</v>
      </c>
      <c r="E661">
        <v>0</v>
      </c>
      <c r="F661">
        <v>0</v>
      </c>
      <c r="G661">
        <v>0</v>
      </c>
      <c r="H661">
        <v>1</v>
      </c>
      <c r="I661">
        <v>1</v>
      </c>
      <c r="J661">
        <v>162334.61855757501</v>
      </c>
      <c r="K661">
        <v>160381.52047219101</v>
      </c>
      <c r="L661">
        <v>19.974</v>
      </c>
      <c r="M661">
        <v>69.802000000000007</v>
      </c>
      <c r="N661">
        <v>24.763000000000002</v>
      </c>
    </row>
    <row r="662" spans="1:14" x14ac:dyDescent="0.45">
      <c r="A662">
        <v>1984</v>
      </c>
      <c r="B662" t="s">
        <v>60</v>
      </c>
      <c r="C662">
        <v>0</v>
      </c>
      <c r="D662">
        <v>1</v>
      </c>
      <c r="E662">
        <v>0</v>
      </c>
      <c r="F662">
        <v>0</v>
      </c>
      <c r="G662">
        <v>1</v>
      </c>
      <c r="H662">
        <v>0</v>
      </c>
      <c r="I662">
        <v>0</v>
      </c>
      <c r="J662">
        <v>19368.0305159665</v>
      </c>
      <c r="K662">
        <v>15984.625216235099</v>
      </c>
      <c r="L662">
        <v>15.379</v>
      </c>
      <c r="M662">
        <v>69.352999999999994</v>
      </c>
      <c r="N662">
        <v>34.945</v>
      </c>
    </row>
    <row r="663" spans="1:14" x14ac:dyDescent="0.45">
      <c r="A663">
        <v>1984</v>
      </c>
      <c r="B663" t="s">
        <v>61</v>
      </c>
      <c r="C663">
        <v>1</v>
      </c>
      <c r="D663">
        <v>0</v>
      </c>
      <c r="E663">
        <v>0</v>
      </c>
      <c r="F663">
        <v>1</v>
      </c>
      <c r="G663">
        <v>0</v>
      </c>
      <c r="H663">
        <v>0</v>
      </c>
      <c r="I663">
        <v>0</v>
      </c>
      <c r="L663">
        <v>33.116999999999997</v>
      </c>
      <c r="M663">
        <v>66.811999999999998</v>
      </c>
      <c r="N663">
        <v>62.442999999999998</v>
      </c>
    </row>
    <row r="664" spans="1:14" x14ac:dyDescent="0.45">
      <c r="A664">
        <v>1984</v>
      </c>
      <c r="B664" t="s">
        <v>62</v>
      </c>
      <c r="C664">
        <v>0</v>
      </c>
      <c r="D664">
        <v>0</v>
      </c>
      <c r="E664">
        <v>0</v>
      </c>
      <c r="F664">
        <v>0</v>
      </c>
      <c r="G664">
        <v>0</v>
      </c>
      <c r="H664">
        <v>1</v>
      </c>
      <c r="I664">
        <v>1</v>
      </c>
      <c r="L664">
        <v>22.896999999999998</v>
      </c>
      <c r="M664">
        <v>70.325999999999993</v>
      </c>
      <c r="N664">
        <v>17.774000000000001</v>
      </c>
    </row>
    <row r="665" spans="1:14" x14ac:dyDescent="0.45">
      <c r="A665">
        <v>1984</v>
      </c>
      <c r="B665" t="s">
        <v>63</v>
      </c>
      <c r="C665">
        <v>0</v>
      </c>
      <c r="D665">
        <v>1</v>
      </c>
      <c r="E665">
        <v>0</v>
      </c>
      <c r="F665">
        <v>0</v>
      </c>
      <c r="G665">
        <v>1</v>
      </c>
      <c r="H665">
        <v>0</v>
      </c>
      <c r="I665">
        <v>0</v>
      </c>
      <c r="J665">
        <v>13164.705061574299</v>
      </c>
      <c r="K665">
        <v>10368.479988872499</v>
      </c>
      <c r="L665">
        <v>65.06</v>
      </c>
      <c r="M665">
        <v>73.808000000000007</v>
      </c>
      <c r="N665">
        <v>13.393000000000001</v>
      </c>
    </row>
    <row r="666" spans="1:14" x14ac:dyDescent="0.45">
      <c r="A666">
        <v>1984</v>
      </c>
      <c r="B666" t="s">
        <v>64</v>
      </c>
      <c r="C666">
        <v>0</v>
      </c>
      <c r="D666">
        <v>0</v>
      </c>
      <c r="E666">
        <v>0</v>
      </c>
      <c r="F666">
        <v>0</v>
      </c>
      <c r="G666">
        <v>0</v>
      </c>
      <c r="H666">
        <v>1</v>
      </c>
      <c r="I666">
        <v>1</v>
      </c>
      <c r="J666">
        <v>30806.003557697099</v>
      </c>
      <c r="K666">
        <v>26682.668992081999</v>
      </c>
      <c r="L666">
        <v>14.388999999999999</v>
      </c>
      <c r="M666">
        <v>75.510000000000005</v>
      </c>
      <c r="N666">
        <v>11.420999999999999</v>
      </c>
    </row>
    <row r="667" spans="1:14" x14ac:dyDescent="0.45">
      <c r="A667">
        <v>1984</v>
      </c>
      <c r="B667" t="s">
        <v>65</v>
      </c>
      <c r="C667">
        <v>1</v>
      </c>
      <c r="D667">
        <v>0</v>
      </c>
      <c r="E667">
        <v>0</v>
      </c>
      <c r="F667">
        <v>0</v>
      </c>
      <c r="G667">
        <v>0</v>
      </c>
      <c r="H667">
        <v>1</v>
      </c>
      <c r="I667">
        <v>1</v>
      </c>
      <c r="J667">
        <v>38978.361388441299</v>
      </c>
      <c r="K667">
        <v>33215.626368662401</v>
      </c>
      <c r="L667">
        <v>35.43</v>
      </c>
      <c r="M667">
        <v>73.766000000000005</v>
      </c>
      <c r="N667">
        <v>13.500999999999999</v>
      </c>
    </row>
    <row r="668" spans="1:14" x14ac:dyDescent="0.45">
      <c r="A668">
        <v>1984</v>
      </c>
      <c r="B668" t="s">
        <v>66</v>
      </c>
      <c r="C668">
        <v>1</v>
      </c>
      <c r="D668">
        <v>0</v>
      </c>
      <c r="E668">
        <v>0</v>
      </c>
      <c r="F668">
        <v>1</v>
      </c>
      <c r="G668">
        <v>0</v>
      </c>
      <c r="H668">
        <v>0</v>
      </c>
      <c r="I668">
        <v>0</v>
      </c>
      <c r="J668">
        <v>10539.162428110199</v>
      </c>
      <c r="K668">
        <v>7674.7482938421599</v>
      </c>
      <c r="L668">
        <v>46.701000000000001</v>
      </c>
      <c r="M668">
        <v>62.084000000000003</v>
      </c>
      <c r="N668">
        <v>106.173</v>
      </c>
    </row>
    <row r="669" spans="1:14" x14ac:dyDescent="0.45">
      <c r="A669">
        <v>1984</v>
      </c>
      <c r="B669" t="s">
        <v>67</v>
      </c>
      <c r="C669">
        <v>0</v>
      </c>
      <c r="D669">
        <v>0</v>
      </c>
      <c r="E669">
        <v>1</v>
      </c>
      <c r="F669">
        <v>0</v>
      </c>
      <c r="G669">
        <v>0</v>
      </c>
      <c r="H669">
        <v>0</v>
      </c>
      <c r="I669">
        <v>0</v>
      </c>
      <c r="J669">
        <v>1223.69579157821</v>
      </c>
      <c r="K669">
        <v>1057.39950215679</v>
      </c>
      <c r="L669">
        <v>94.966999999999999</v>
      </c>
      <c r="M669">
        <v>47.686999999999998</v>
      </c>
      <c r="N669">
        <v>188.70099999999999</v>
      </c>
    </row>
    <row r="670" spans="1:14" x14ac:dyDescent="0.45">
      <c r="A670">
        <v>1984</v>
      </c>
      <c r="B670" t="s">
        <v>68</v>
      </c>
      <c r="C670">
        <v>1</v>
      </c>
      <c r="D670">
        <v>0</v>
      </c>
      <c r="E670">
        <v>0</v>
      </c>
      <c r="F670">
        <v>0</v>
      </c>
      <c r="G670">
        <v>0</v>
      </c>
      <c r="H670">
        <v>1</v>
      </c>
      <c r="I670">
        <v>1</v>
      </c>
      <c r="J670">
        <v>35728.104711698397</v>
      </c>
      <c r="K670">
        <v>30065.794147267901</v>
      </c>
      <c r="L670">
        <v>4.1650000000000098</v>
      </c>
      <c r="M670">
        <v>74.369</v>
      </c>
      <c r="N670">
        <v>11.981</v>
      </c>
    </row>
    <row r="671" spans="1:14" x14ac:dyDescent="0.45">
      <c r="A671">
        <v>1984</v>
      </c>
      <c r="B671" t="s">
        <v>69</v>
      </c>
      <c r="C671">
        <v>0</v>
      </c>
      <c r="D671">
        <v>0</v>
      </c>
      <c r="E671">
        <v>1</v>
      </c>
      <c r="F671">
        <v>0</v>
      </c>
      <c r="G671">
        <v>0</v>
      </c>
      <c r="H671">
        <v>0</v>
      </c>
      <c r="I671">
        <v>0</v>
      </c>
      <c r="J671">
        <v>2251.5543405532399</v>
      </c>
      <c r="K671">
        <v>2136.1664237201999</v>
      </c>
      <c r="L671">
        <v>69.914000000000001</v>
      </c>
      <c r="M671">
        <v>49.399000000000001</v>
      </c>
      <c r="N671">
        <v>195.54599999999999</v>
      </c>
    </row>
    <row r="672" spans="1:14" x14ac:dyDescent="0.45">
      <c r="A672">
        <v>1984</v>
      </c>
      <c r="B672" t="s">
        <v>70</v>
      </c>
      <c r="C672">
        <v>0</v>
      </c>
      <c r="D672">
        <v>0</v>
      </c>
      <c r="E672">
        <v>1</v>
      </c>
      <c r="F672">
        <v>0</v>
      </c>
      <c r="G672">
        <v>0</v>
      </c>
      <c r="H672">
        <v>0</v>
      </c>
      <c r="I672">
        <v>0</v>
      </c>
      <c r="J672">
        <v>1055.02998932888</v>
      </c>
      <c r="K672">
        <v>965.28606494362896</v>
      </c>
      <c r="L672">
        <v>88.456000000000003</v>
      </c>
      <c r="M672">
        <v>48.463999999999999</v>
      </c>
      <c r="N672">
        <v>219.35900000000001</v>
      </c>
    </row>
    <row r="673" spans="1:14" x14ac:dyDescent="0.45">
      <c r="A673">
        <v>1984</v>
      </c>
      <c r="B673" t="s">
        <v>71</v>
      </c>
      <c r="C673">
        <v>0</v>
      </c>
      <c r="D673">
        <v>0</v>
      </c>
      <c r="E673">
        <v>0</v>
      </c>
      <c r="F673">
        <v>0</v>
      </c>
      <c r="G673">
        <v>0</v>
      </c>
      <c r="H673">
        <v>0</v>
      </c>
      <c r="I673">
        <v>0</v>
      </c>
      <c r="J673">
        <v>1919.0345280684601</v>
      </c>
      <c r="K673">
        <v>1560.1646412181301</v>
      </c>
      <c r="L673">
        <v>82.94</v>
      </c>
      <c r="M673">
        <v>53.826000000000001</v>
      </c>
      <c r="N673">
        <v>182.97900000000001</v>
      </c>
    </row>
    <row r="674" spans="1:14" x14ac:dyDescent="0.45">
      <c r="A674">
        <v>1984</v>
      </c>
      <c r="B674" t="s">
        <v>72</v>
      </c>
      <c r="C674">
        <v>1</v>
      </c>
      <c r="D674">
        <v>0</v>
      </c>
      <c r="E674">
        <v>0</v>
      </c>
      <c r="F674">
        <v>1</v>
      </c>
      <c r="G674">
        <v>0</v>
      </c>
      <c r="H674">
        <v>0</v>
      </c>
      <c r="I674">
        <v>0</v>
      </c>
      <c r="J674">
        <v>11794.803111020099</v>
      </c>
      <c r="K674">
        <v>9787.3214025688594</v>
      </c>
      <c r="L674">
        <v>35.901000000000003</v>
      </c>
      <c r="M674">
        <v>71.346999999999994</v>
      </c>
      <c r="N674">
        <v>20.315999999999999</v>
      </c>
    </row>
    <row r="675" spans="1:14" x14ac:dyDescent="0.45">
      <c r="A675">
        <v>1984</v>
      </c>
      <c r="B675" t="s">
        <v>73</v>
      </c>
      <c r="C675">
        <v>0</v>
      </c>
      <c r="D675">
        <v>0</v>
      </c>
      <c r="E675">
        <v>0</v>
      </c>
      <c r="F675">
        <v>0</v>
      </c>
      <c r="G675">
        <v>0</v>
      </c>
      <c r="H675">
        <v>1</v>
      </c>
      <c r="I675">
        <v>1</v>
      </c>
      <c r="J675">
        <v>43302.425779379999</v>
      </c>
      <c r="K675">
        <v>40347.565593486499</v>
      </c>
      <c r="L675">
        <v>13.05</v>
      </c>
      <c r="M675">
        <v>71.884</v>
      </c>
      <c r="N675">
        <v>26.57</v>
      </c>
    </row>
    <row r="676" spans="1:14" x14ac:dyDescent="0.45">
      <c r="A676">
        <v>1984</v>
      </c>
      <c r="B676" t="s">
        <v>74</v>
      </c>
      <c r="C676">
        <v>0</v>
      </c>
      <c r="D676">
        <v>1</v>
      </c>
      <c r="E676">
        <v>0</v>
      </c>
      <c r="F676">
        <v>0</v>
      </c>
      <c r="G676">
        <v>0</v>
      </c>
      <c r="H676">
        <v>1</v>
      </c>
      <c r="I676">
        <v>1</v>
      </c>
      <c r="J676">
        <v>30892.266007934501</v>
      </c>
      <c r="K676">
        <v>32044.114570281501</v>
      </c>
      <c r="L676">
        <v>24.013000000000002</v>
      </c>
      <c r="M676">
        <v>70.191999999999993</v>
      </c>
      <c r="N676">
        <v>29.023</v>
      </c>
    </row>
    <row r="677" spans="1:14" x14ac:dyDescent="0.45">
      <c r="A677">
        <v>1984</v>
      </c>
      <c r="B677" t="s">
        <v>75</v>
      </c>
      <c r="C677">
        <v>1</v>
      </c>
      <c r="D677">
        <v>0</v>
      </c>
      <c r="E677">
        <v>0</v>
      </c>
      <c r="F677">
        <v>0</v>
      </c>
      <c r="G677">
        <v>1</v>
      </c>
      <c r="H677">
        <v>0</v>
      </c>
      <c r="I677">
        <v>0</v>
      </c>
      <c r="L677">
        <v>62.738999999999997</v>
      </c>
      <c r="M677">
        <v>70.228999999999999</v>
      </c>
      <c r="N677">
        <v>26.129000000000001</v>
      </c>
    </row>
    <row r="678" spans="1:14" x14ac:dyDescent="0.45">
      <c r="A678">
        <v>1984</v>
      </c>
      <c r="B678" t="s">
        <v>76</v>
      </c>
      <c r="C678">
        <v>1</v>
      </c>
      <c r="D678">
        <v>0</v>
      </c>
      <c r="E678">
        <v>0</v>
      </c>
      <c r="F678">
        <v>0</v>
      </c>
      <c r="G678">
        <v>1</v>
      </c>
      <c r="H678">
        <v>0</v>
      </c>
      <c r="I678">
        <v>0</v>
      </c>
      <c r="L678">
        <v>39.200000000000003</v>
      </c>
      <c r="M678">
        <v>70.790999999999997</v>
      </c>
      <c r="N678">
        <v>18.152999999999999</v>
      </c>
    </row>
    <row r="679" spans="1:14" x14ac:dyDescent="0.45">
      <c r="A679">
        <v>1984</v>
      </c>
      <c r="B679" t="s">
        <v>77</v>
      </c>
      <c r="C679">
        <v>0</v>
      </c>
      <c r="D679">
        <v>1</v>
      </c>
      <c r="E679">
        <v>0</v>
      </c>
      <c r="F679">
        <v>1</v>
      </c>
      <c r="G679">
        <v>0</v>
      </c>
      <c r="H679">
        <v>0</v>
      </c>
      <c r="I679">
        <v>0</v>
      </c>
      <c r="J679">
        <v>6385.4947691126299</v>
      </c>
      <c r="K679">
        <v>5032.3648610829296</v>
      </c>
      <c r="L679">
        <v>51.39</v>
      </c>
      <c r="M679">
        <v>67.951999999999998</v>
      </c>
      <c r="N679">
        <v>54.396000000000001</v>
      </c>
    </row>
    <row r="680" spans="1:14" x14ac:dyDescent="0.45">
      <c r="A680">
        <v>1984</v>
      </c>
      <c r="B680" t="s">
        <v>78</v>
      </c>
      <c r="C680">
        <v>0</v>
      </c>
      <c r="D680">
        <v>0</v>
      </c>
      <c r="E680">
        <v>0</v>
      </c>
      <c r="F680">
        <v>0</v>
      </c>
      <c r="G680">
        <v>0</v>
      </c>
      <c r="H680">
        <v>1</v>
      </c>
      <c r="I680">
        <v>1</v>
      </c>
      <c r="J680">
        <v>73389.313598010704</v>
      </c>
      <c r="K680">
        <v>65203.757116864101</v>
      </c>
      <c r="L680">
        <v>0</v>
      </c>
      <c r="M680">
        <v>73.364999999999995</v>
      </c>
      <c r="N680">
        <v>14.401</v>
      </c>
    </row>
    <row r="681" spans="1:14" x14ac:dyDescent="0.45">
      <c r="A681">
        <v>1984</v>
      </c>
      <c r="B681" t="s">
        <v>79</v>
      </c>
      <c r="C681">
        <v>0</v>
      </c>
      <c r="D681">
        <v>1</v>
      </c>
      <c r="E681">
        <v>0</v>
      </c>
      <c r="F681">
        <v>1</v>
      </c>
      <c r="G681">
        <v>0</v>
      </c>
      <c r="H681">
        <v>0</v>
      </c>
      <c r="I681">
        <v>0</v>
      </c>
      <c r="J681">
        <v>5561.1633397447004</v>
      </c>
      <c r="K681">
        <v>4908.00588840622</v>
      </c>
      <c r="L681">
        <v>50.496000000000002</v>
      </c>
      <c r="M681">
        <v>53.383000000000003</v>
      </c>
      <c r="N681">
        <v>186.131</v>
      </c>
    </row>
    <row r="682" spans="1:14" x14ac:dyDescent="0.45">
      <c r="A682">
        <v>1984</v>
      </c>
      <c r="B682" t="s">
        <v>80</v>
      </c>
      <c r="C682">
        <v>0</v>
      </c>
      <c r="D682">
        <v>1</v>
      </c>
      <c r="E682">
        <v>0</v>
      </c>
      <c r="F682">
        <v>0</v>
      </c>
      <c r="G682">
        <v>1</v>
      </c>
      <c r="H682">
        <v>0</v>
      </c>
      <c r="I682">
        <v>0</v>
      </c>
      <c r="J682">
        <v>10938.422864062</v>
      </c>
      <c r="K682">
        <v>8984.9205328445205</v>
      </c>
      <c r="L682">
        <v>30.99</v>
      </c>
      <c r="M682">
        <v>63.552999999999997</v>
      </c>
      <c r="N682">
        <v>80.314999999999998</v>
      </c>
    </row>
    <row r="683" spans="1:14" x14ac:dyDescent="0.45">
      <c r="A683">
        <v>1984</v>
      </c>
      <c r="B683" t="s">
        <v>81</v>
      </c>
      <c r="C683">
        <v>0</v>
      </c>
      <c r="D683">
        <v>1</v>
      </c>
      <c r="E683">
        <v>0</v>
      </c>
      <c r="F683">
        <v>0</v>
      </c>
      <c r="G683">
        <v>1</v>
      </c>
      <c r="H683">
        <v>0</v>
      </c>
      <c r="I683">
        <v>0</v>
      </c>
      <c r="J683">
        <v>14245.618191179299</v>
      </c>
      <c r="K683">
        <v>13605.9838006305</v>
      </c>
      <c r="L683">
        <v>60.993000000000002</v>
      </c>
      <c r="M683">
        <v>73.302000000000007</v>
      </c>
      <c r="N683">
        <v>22.707000000000001</v>
      </c>
    </row>
    <row r="684" spans="1:14" x14ac:dyDescent="0.45">
      <c r="A684">
        <v>1984</v>
      </c>
      <c r="B684" t="s">
        <v>82</v>
      </c>
      <c r="C684">
        <v>0</v>
      </c>
      <c r="D684">
        <v>0</v>
      </c>
      <c r="E684">
        <v>0</v>
      </c>
      <c r="F684">
        <v>0</v>
      </c>
      <c r="G684">
        <v>0</v>
      </c>
      <c r="H684">
        <v>1</v>
      </c>
      <c r="I684">
        <v>1</v>
      </c>
      <c r="J684">
        <v>152184.272859583</v>
      </c>
      <c r="K684">
        <v>118826.161084081</v>
      </c>
      <c r="L684">
        <v>34.451999999999998</v>
      </c>
      <c r="M684">
        <v>70.236000000000004</v>
      </c>
      <c r="N684">
        <v>16.259</v>
      </c>
    </row>
    <row r="685" spans="1:14" x14ac:dyDescent="0.45">
      <c r="A685">
        <v>1984</v>
      </c>
      <c r="B685" t="s">
        <v>83</v>
      </c>
      <c r="C685">
        <v>0</v>
      </c>
      <c r="D685">
        <v>0</v>
      </c>
      <c r="E685">
        <v>0</v>
      </c>
      <c r="F685">
        <v>0</v>
      </c>
      <c r="G685">
        <v>0</v>
      </c>
      <c r="H685">
        <v>0</v>
      </c>
      <c r="I685">
        <v>0</v>
      </c>
      <c r="J685">
        <v>2330.2908451665799</v>
      </c>
      <c r="K685">
        <v>2018.32656280625</v>
      </c>
      <c r="L685">
        <v>87.668000000000006</v>
      </c>
      <c r="M685">
        <v>51.313000000000002</v>
      </c>
      <c r="N685">
        <v>166.31</v>
      </c>
    </row>
    <row r="686" spans="1:14" x14ac:dyDescent="0.45">
      <c r="A686">
        <v>1984</v>
      </c>
      <c r="B686" t="s">
        <v>84</v>
      </c>
      <c r="C686">
        <v>0</v>
      </c>
      <c r="D686">
        <v>0</v>
      </c>
      <c r="E686">
        <v>1</v>
      </c>
      <c r="F686">
        <v>1</v>
      </c>
      <c r="G686">
        <v>0</v>
      </c>
      <c r="H686">
        <v>0</v>
      </c>
      <c r="I686">
        <v>0</v>
      </c>
      <c r="J686">
        <v>6721.8356136787697</v>
      </c>
      <c r="K686">
        <v>6081.8256813439602</v>
      </c>
      <c r="L686">
        <v>75.861000000000004</v>
      </c>
      <c r="M686">
        <v>63.706000000000003</v>
      </c>
      <c r="N686">
        <v>58.223999999999997</v>
      </c>
    </row>
    <row r="687" spans="1:14" x14ac:dyDescent="0.45">
      <c r="A687">
        <v>1984</v>
      </c>
      <c r="B687" t="s">
        <v>85</v>
      </c>
      <c r="C687">
        <v>0</v>
      </c>
      <c r="D687">
        <v>0</v>
      </c>
      <c r="E687">
        <v>1</v>
      </c>
      <c r="F687">
        <v>0</v>
      </c>
      <c r="G687">
        <v>0</v>
      </c>
      <c r="H687">
        <v>0</v>
      </c>
      <c r="I687">
        <v>0</v>
      </c>
      <c r="J687">
        <v>1398.6091220211399</v>
      </c>
      <c r="K687">
        <v>1119.7968463516199</v>
      </c>
      <c r="L687">
        <v>64.802000000000007</v>
      </c>
      <c r="M687">
        <v>50.427</v>
      </c>
      <c r="N687">
        <v>181.36799999999999</v>
      </c>
    </row>
    <row r="688" spans="1:14" x14ac:dyDescent="0.45">
      <c r="A688">
        <v>1984</v>
      </c>
      <c r="B688" t="s">
        <v>86</v>
      </c>
      <c r="C688">
        <v>0</v>
      </c>
      <c r="D688">
        <v>0</v>
      </c>
      <c r="E688">
        <v>0</v>
      </c>
      <c r="F688">
        <v>0</v>
      </c>
      <c r="G688">
        <v>0</v>
      </c>
      <c r="H688">
        <v>1</v>
      </c>
      <c r="I688">
        <v>1</v>
      </c>
      <c r="J688">
        <v>34553.948787547801</v>
      </c>
      <c r="K688">
        <v>29910.470820920698</v>
      </c>
      <c r="L688">
        <v>23.805</v>
      </c>
      <c r="M688">
        <v>76.355000000000004</v>
      </c>
      <c r="N688">
        <v>10.026</v>
      </c>
    </row>
    <row r="689" spans="1:14" x14ac:dyDescent="0.45">
      <c r="A689">
        <v>1984</v>
      </c>
      <c r="B689" t="s">
        <v>87</v>
      </c>
      <c r="C689">
        <v>1</v>
      </c>
      <c r="D689">
        <v>0</v>
      </c>
      <c r="E689">
        <v>0</v>
      </c>
      <c r="F689">
        <v>0</v>
      </c>
      <c r="G689">
        <v>0</v>
      </c>
      <c r="H689">
        <v>1</v>
      </c>
      <c r="I689">
        <v>1</v>
      </c>
      <c r="J689">
        <v>55598.0631798623</v>
      </c>
      <c r="K689">
        <v>48368.474756672003</v>
      </c>
      <c r="L689">
        <v>25.713999999999999</v>
      </c>
      <c r="M689">
        <v>76.756</v>
      </c>
      <c r="N689">
        <v>9.2739999999999991</v>
      </c>
    </row>
    <row r="690" spans="1:14" x14ac:dyDescent="0.45">
      <c r="A690">
        <v>1984</v>
      </c>
      <c r="B690" t="s">
        <v>88</v>
      </c>
      <c r="C690">
        <v>1</v>
      </c>
      <c r="D690">
        <v>0</v>
      </c>
      <c r="E690">
        <v>0</v>
      </c>
      <c r="F690">
        <v>0</v>
      </c>
      <c r="G690">
        <v>0</v>
      </c>
      <c r="H690">
        <v>1</v>
      </c>
      <c r="I690">
        <v>1</v>
      </c>
      <c r="L690">
        <v>68.149000000000001</v>
      </c>
      <c r="M690">
        <v>75.191800596762306</v>
      </c>
      <c r="N690">
        <v>18.416147409205301</v>
      </c>
    </row>
    <row r="691" spans="1:14" x14ac:dyDescent="0.45">
      <c r="A691">
        <v>1984</v>
      </c>
      <c r="B691" t="s">
        <v>89</v>
      </c>
      <c r="C691">
        <v>0</v>
      </c>
      <c r="D691">
        <v>1</v>
      </c>
      <c r="E691">
        <v>0</v>
      </c>
      <c r="F691">
        <v>1</v>
      </c>
      <c r="G691">
        <v>0</v>
      </c>
      <c r="H691">
        <v>0</v>
      </c>
      <c r="I691">
        <v>0</v>
      </c>
      <c r="J691">
        <v>8396.7329535763402</v>
      </c>
      <c r="K691">
        <v>7314.2424896677203</v>
      </c>
      <c r="L691">
        <v>17.507999999999999</v>
      </c>
      <c r="M691">
        <v>71.215000000000003</v>
      </c>
      <c r="N691">
        <v>24.327000000000002</v>
      </c>
    </row>
    <row r="692" spans="1:14" x14ac:dyDescent="0.45">
      <c r="A692">
        <v>1984</v>
      </c>
      <c r="B692" t="s">
        <v>90</v>
      </c>
      <c r="C692">
        <v>0</v>
      </c>
      <c r="D692">
        <v>0</v>
      </c>
      <c r="E692">
        <v>0</v>
      </c>
      <c r="F692">
        <v>0</v>
      </c>
      <c r="G692">
        <v>0</v>
      </c>
      <c r="H692">
        <v>0</v>
      </c>
      <c r="I692">
        <v>0</v>
      </c>
      <c r="J692">
        <v>989.12432403502305</v>
      </c>
      <c r="K692">
        <v>886.68591108481098</v>
      </c>
      <c r="L692">
        <v>77.796999999999997</v>
      </c>
      <c r="M692">
        <v>66.147999999999996</v>
      </c>
      <c r="N692">
        <v>56.423999999999999</v>
      </c>
    </row>
    <row r="693" spans="1:14" x14ac:dyDescent="0.45">
      <c r="A693">
        <v>1984</v>
      </c>
      <c r="B693" t="s">
        <v>91</v>
      </c>
      <c r="C693">
        <v>0</v>
      </c>
      <c r="D693">
        <v>0</v>
      </c>
      <c r="E693">
        <v>1</v>
      </c>
      <c r="F693">
        <v>1</v>
      </c>
      <c r="G693">
        <v>0</v>
      </c>
      <c r="H693">
        <v>0</v>
      </c>
      <c r="I693">
        <v>0</v>
      </c>
      <c r="J693">
        <v>6097.61738852289</v>
      </c>
      <c r="K693">
        <v>5147.2870860063304</v>
      </c>
      <c r="L693">
        <v>62.307000000000002</v>
      </c>
      <c r="M693">
        <v>52.648000000000003</v>
      </c>
      <c r="N693">
        <v>156.97</v>
      </c>
    </row>
    <row r="694" spans="1:14" x14ac:dyDescent="0.45">
      <c r="A694">
        <v>1984</v>
      </c>
      <c r="B694" t="s">
        <v>92</v>
      </c>
      <c r="C694">
        <v>0</v>
      </c>
      <c r="D694">
        <v>0</v>
      </c>
      <c r="E694">
        <v>1</v>
      </c>
      <c r="F694">
        <v>1</v>
      </c>
      <c r="G694">
        <v>0</v>
      </c>
      <c r="H694">
        <v>0</v>
      </c>
      <c r="I694">
        <v>0</v>
      </c>
      <c r="J694">
        <v>4936.8001968568296</v>
      </c>
      <c r="K694">
        <v>3876.43754490727</v>
      </c>
      <c r="L694">
        <v>64.650000000000006</v>
      </c>
      <c r="M694">
        <v>52.886000000000003</v>
      </c>
      <c r="N694">
        <v>155.286</v>
      </c>
    </row>
    <row r="695" spans="1:14" x14ac:dyDescent="0.45">
      <c r="A695">
        <v>1984</v>
      </c>
      <c r="B695" t="s">
        <v>93</v>
      </c>
      <c r="C695">
        <v>0</v>
      </c>
      <c r="D695">
        <v>0</v>
      </c>
      <c r="E695">
        <v>1</v>
      </c>
      <c r="F695">
        <v>0</v>
      </c>
      <c r="G695">
        <v>0</v>
      </c>
      <c r="H695">
        <v>0</v>
      </c>
      <c r="I695">
        <v>0</v>
      </c>
      <c r="J695">
        <v>2329.9626311761299</v>
      </c>
      <c r="K695">
        <v>1865.2854049558</v>
      </c>
      <c r="L695">
        <v>71.900000000000006</v>
      </c>
      <c r="M695">
        <v>46.514000000000003</v>
      </c>
      <c r="N695">
        <v>200.48400000000001</v>
      </c>
    </row>
    <row r="696" spans="1:14" x14ac:dyDescent="0.45">
      <c r="A696">
        <v>1984</v>
      </c>
      <c r="B696" t="s">
        <v>94</v>
      </c>
      <c r="C696">
        <v>0</v>
      </c>
      <c r="D696">
        <v>0</v>
      </c>
      <c r="E696">
        <v>1</v>
      </c>
      <c r="F696">
        <v>1</v>
      </c>
      <c r="G696">
        <v>0</v>
      </c>
      <c r="H696">
        <v>0</v>
      </c>
      <c r="I696">
        <v>0</v>
      </c>
      <c r="J696">
        <v>10036.320518307301</v>
      </c>
      <c r="K696">
        <v>6050.3477672080198</v>
      </c>
      <c r="L696">
        <v>48.44</v>
      </c>
      <c r="M696">
        <v>57.54</v>
      </c>
      <c r="N696">
        <v>96.619</v>
      </c>
    </row>
    <row r="697" spans="1:14" x14ac:dyDescent="0.45">
      <c r="A697">
        <v>1984</v>
      </c>
      <c r="B697" t="s">
        <v>95</v>
      </c>
      <c r="C697">
        <v>0</v>
      </c>
      <c r="D697">
        <v>1</v>
      </c>
      <c r="E697">
        <v>0</v>
      </c>
      <c r="F697">
        <v>1</v>
      </c>
      <c r="G697">
        <v>0</v>
      </c>
      <c r="H697">
        <v>0</v>
      </c>
      <c r="I697">
        <v>0</v>
      </c>
      <c r="J697">
        <v>8877.6260984011406</v>
      </c>
      <c r="K697">
        <v>7391.5956913951004</v>
      </c>
      <c r="L697">
        <v>33.613</v>
      </c>
      <c r="M697">
        <v>68.308000000000007</v>
      </c>
      <c r="N697">
        <v>46.695</v>
      </c>
    </row>
    <row r="698" spans="1:14" x14ac:dyDescent="0.45">
      <c r="A698">
        <v>1984</v>
      </c>
      <c r="B698" t="s">
        <v>96</v>
      </c>
      <c r="C698">
        <v>0</v>
      </c>
      <c r="D698">
        <v>0</v>
      </c>
      <c r="E698">
        <v>1</v>
      </c>
      <c r="F698">
        <v>0</v>
      </c>
      <c r="G698">
        <v>0</v>
      </c>
      <c r="H698">
        <v>0</v>
      </c>
      <c r="I698">
        <v>0</v>
      </c>
      <c r="J698">
        <v>2561.8220152611302</v>
      </c>
      <c r="K698">
        <v>2649.2509068511999</v>
      </c>
      <c r="L698">
        <v>74.994</v>
      </c>
      <c r="M698">
        <v>52.783999999999999</v>
      </c>
      <c r="N698">
        <v>153.679</v>
      </c>
    </row>
    <row r="699" spans="1:14" x14ac:dyDescent="0.45">
      <c r="A699">
        <v>1984</v>
      </c>
      <c r="B699" t="s">
        <v>97</v>
      </c>
      <c r="C699">
        <v>0</v>
      </c>
      <c r="D699">
        <v>0</v>
      </c>
      <c r="E699">
        <v>1</v>
      </c>
      <c r="F699">
        <v>1</v>
      </c>
      <c r="G699">
        <v>0</v>
      </c>
      <c r="H699">
        <v>0</v>
      </c>
      <c r="I699">
        <v>0</v>
      </c>
      <c r="J699">
        <v>1475.8878497533301</v>
      </c>
      <c r="K699">
        <v>1422.33394036452</v>
      </c>
      <c r="L699">
        <v>70.207999999999998</v>
      </c>
      <c r="M699">
        <v>61.829000000000001</v>
      </c>
      <c r="N699">
        <v>75.945999999999998</v>
      </c>
    </row>
    <row r="700" spans="1:14" x14ac:dyDescent="0.45">
      <c r="A700">
        <v>1984</v>
      </c>
      <c r="B700" t="s">
        <v>98</v>
      </c>
      <c r="C700">
        <v>0</v>
      </c>
      <c r="D700">
        <v>1</v>
      </c>
      <c r="E700">
        <v>0</v>
      </c>
      <c r="F700">
        <v>1</v>
      </c>
      <c r="G700">
        <v>0</v>
      </c>
      <c r="H700">
        <v>0</v>
      </c>
      <c r="I700">
        <v>0</v>
      </c>
      <c r="J700">
        <v>9708.1157313322801</v>
      </c>
      <c r="K700">
        <v>8692.2045436456701</v>
      </c>
      <c r="L700">
        <v>55.457999999999998</v>
      </c>
      <c r="M700">
        <v>74.581000000000003</v>
      </c>
      <c r="N700">
        <v>22.108000000000001</v>
      </c>
    </row>
    <row r="701" spans="1:14" x14ac:dyDescent="0.45">
      <c r="A701">
        <v>1984</v>
      </c>
      <c r="B701" t="s">
        <v>99</v>
      </c>
      <c r="C701">
        <v>0</v>
      </c>
      <c r="D701">
        <v>1</v>
      </c>
      <c r="E701">
        <v>0</v>
      </c>
      <c r="F701">
        <v>1</v>
      </c>
      <c r="G701">
        <v>0</v>
      </c>
      <c r="H701">
        <v>0</v>
      </c>
      <c r="I701">
        <v>0</v>
      </c>
      <c r="L701">
        <v>29.567</v>
      </c>
      <c r="M701">
        <v>73.552000000000007</v>
      </c>
      <c r="N701">
        <v>18.521999999999998</v>
      </c>
    </row>
    <row r="702" spans="1:14" x14ac:dyDescent="0.45">
      <c r="A702">
        <v>1984</v>
      </c>
      <c r="B702" t="s">
        <v>100</v>
      </c>
      <c r="C702">
        <v>0</v>
      </c>
      <c r="D702">
        <v>1</v>
      </c>
      <c r="E702">
        <v>0</v>
      </c>
      <c r="F702">
        <v>0</v>
      </c>
      <c r="G702">
        <v>0</v>
      </c>
      <c r="H702">
        <v>1</v>
      </c>
      <c r="I702">
        <v>1</v>
      </c>
      <c r="L702">
        <v>17.018000000000001</v>
      </c>
      <c r="M702">
        <v>71.715000000000003</v>
      </c>
      <c r="N702">
        <v>20.9</v>
      </c>
    </row>
    <row r="703" spans="1:14" x14ac:dyDescent="0.45">
      <c r="A703">
        <v>1984</v>
      </c>
      <c r="B703" t="s">
        <v>101</v>
      </c>
      <c r="C703">
        <v>0</v>
      </c>
      <c r="D703">
        <v>1</v>
      </c>
      <c r="E703">
        <v>0</v>
      </c>
      <c r="F703">
        <v>0</v>
      </c>
      <c r="G703">
        <v>0</v>
      </c>
      <c r="H703">
        <v>1</v>
      </c>
      <c r="I703">
        <v>1</v>
      </c>
      <c r="L703">
        <v>0</v>
      </c>
      <c r="M703">
        <v>71.186999999999998</v>
      </c>
      <c r="N703">
        <v>14.148</v>
      </c>
    </row>
    <row r="704" spans="1:14" x14ac:dyDescent="0.45">
      <c r="A704">
        <v>1984</v>
      </c>
      <c r="B704" t="s">
        <v>102</v>
      </c>
      <c r="C704">
        <v>1</v>
      </c>
      <c r="D704">
        <v>0</v>
      </c>
      <c r="E704">
        <v>0</v>
      </c>
      <c r="F704">
        <v>0</v>
      </c>
      <c r="G704">
        <v>1</v>
      </c>
      <c r="H704">
        <v>0</v>
      </c>
      <c r="I704">
        <v>0</v>
      </c>
      <c r="J704">
        <v>20532.764625075899</v>
      </c>
      <c r="K704">
        <v>18291.452230409101</v>
      </c>
      <c r="L704">
        <v>35.747999999999998</v>
      </c>
      <c r="M704">
        <v>74</v>
      </c>
      <c r="N704">
        <v>15.077</v>
      </c>
    </row>
    <row r="705" spans="1:14" x14ac:dyDescent="0.45">
      <c r="A705">
        <v>1984</v>
      </c>
      <c r="B705" t="s">
        <v>103</v>
      </c>
      <c r="C705">
        <v>1</v>
      </c>
      <c r="D705">
        <v>0</v>
      </c>
      <c r="E705">
        <v>0</v>
      </c>
      <c r="F705">
        <v>0</v>
      </c>
      <c r="G705">
        <v>1</v>
      </c>
      <c r="H705">
        <v>0</v>
      </c>
      <c r="I705">
        <v>0</v>
      </c>
      <c r="L705">
        <v>24.606000000000002</v>
      </c>
      <c r="M705">
        <v>70.897000000000006</v>
      </c>
      <c r="N705">
        <v>15.926</v>
      </c>
    </row>
    <row r="706" spans="1:14" x14ac:dyDescent="0.45">
      <c r="A706">
        <v>1984</v>
      </c>
      <c r="B706" t="s">
        <v>104</v>
      </c>
      <c r="C706">
        <v>1</v>
      </c>
      <c r="D706">
        <v>0</v>
      </c>
      <c r="E706">
        <v>0</v>
      </c>
      <c r="F706">
        <v>0</v>
      </c>
      <c r="G706">
        <v>0</v>
      </c>
      <c r="H706">
        <v>1</v>
      </c>
      <c r="I706">
        <v>1</v>
      </c>
      <c r="J706">
        <v>36284.106240261499</v>
      </c>
      <c r="K706">
        <v>31460.211711581102</v>
      </c>
      <c r="L706">
        <v>27.056999999999999</v>
      </c>
      <c r="M706">
        <v>74.38</v>
      </c>
      <c r="N706">
        <v>11.617000000000001</v>
      </c>
    </row>
    <row r="707" spans="1:14" x14ac:dyDescent="0.45">
      <c r="A707">
        <v>1984</v>
      </c>
      <c r="B707" t="s">
        <v>105</v>
      </c>
      <c r="C707">
        <v>0</v>
      </c>
      <c r="D707">
        <v>0</v>
      </c>
      <c r="E707">
        <v>0</v>
      </c>
      <c r="F707">
        <v>1</v>
      </c>
      <c r="G707">
        <v>0</v>
      </c>
      <c r="H707">
        <v>0</v>
      </c>
      <c r="I707">
        <v>0</v>
      </c>
      <c r="L707">
        <v>25.285</v>
      </c>
      <c r="M707">
        <v>53.744999999999997</v>
      </c>
      <c r="N707">
        <v>136.66999999999999</v>
      </c>
    </row>
    <row r="708" spans="1:14" x14ac:dyDescent="0.45">
      <c r="A708">
        <v>1984</v>
      </c>
      <c r="B708" t="s">
        <v>106</v>
      </c>
      <c r="C708">
        <v>0</v>
      </c>
      <c r="D708">
        <v>1</v>
      </c>
      <c r="E708">
        <v>0</v>
      </c>
      <c r="F708">
        <v>1</v>
      </c>
      <c r="G708">
        <v>0</v>
      </c>
      <c r="H708">
        <v>0</v>
      </c>
      <c r="I708">
        <v>0</v>
      </c>
      <c r="J708">
        <v>8236.7436389815302</v>
      </c>
      <c r="K708">
        <v>6410.0672498914</v>
      </c>
      <c r="L708">
        <v>47.01</v>
      </c>
      <c r="M708">
        <v>71.912999999999997</v>
      </c>
      <c r="N708">
        <v>20.899000000000001</v>
      </c>
    </row>
    <row r="709" spans="1:14" x14ac:dyDescent="0.45">
      <c r="A709">
        <v>1984</v>
      </c>
      <c r="B709" t="s">
        <v>107</v>
      </c>
      <c r="C709">
        <v>1</v>
      </c>
      <c r="D709">
        <v>0</v>
      </c>
      <c r="E709">
        <v>0</v>
      </c>
      <c r="F709">
        <v>0</v>
      </c>
      <c r="G709">
        <v>0</v>
      </c>
      <c r="H709">
        <v>1</v>
      </c>
      <c r="I709">
        <v>1</v>
      </c>
      <c r="J709">
        <v>39829.0281838437</v>
      </c>
      <c r="K709">
        <v>33661.387209726301</v>
      </c>
      <c r="L709">
        <v>15.757</v>
      </c>
      <c r="M709">
        <v>74.616</v>
      </c>
      <c r="N709">
        <v>9.44</v>
      </c>
    </row>
    <row r="710" spans="1:14" x14ac:dyDescent="0.45">
      <c r="A710">
        <v>1984</v>
      </c>
      <c r="B710" t="s">
        <v>108</v>
      </c>
      <c r="C710">
        <v>0</v>
      </c>
      <c r="D710">
        <v>1</v>
      </c>
      <c r="E710">
        <v>0</v>
      </c>
      <c r="F710">
        <v>1</v>
      </c>
      <c r="G710">
        <v>0</v>
      </c>
      <c r="H710">
        <v>0</v>
      </c>
      <c r="I710">
        <v>0</v>
      </c>
      <c r="J710">
        <v>7008.3332764799397</v>
      </c>
      <c r="K710">
        <v>6053.9734706880799</v>
      </c>
      <c r="L710">
        <v>46.404000000000003</v>
      </c>
      <c r="M710">
        <v>65.134</v>
      </c>
      <c r="N710">
        <v>81.171000000000006</v>
      </c>
    </row>
    <row r="711" spans="1:14" x14ac:dyDescent="0.45">
      <c r="A711">
        <v>1984</v>
      </c>
      <c r="B711" t="s">
        <v>109</v>
      </c>
      <c r="C711">
        <v>0</v>
      </c>
      <c r="D711">
        <v>0</v>
      </c>
      <c r="E711">
        <v>0</v>
      </c>
      <c r="F711">
        <v>0</v>
      </c>
      <c r="G711">
        <v>1</v>
      </c>
      <c r="H711">
        <v>0</v>
      </c>
      <c r="I711">
        <v>0</v>
      </c>
      <c r="J711">
        <v>12515.649774584899</v>
      </c>
      <c r="K711">
        <v>10946.6143617777</v>
      </c>
      <c r="L711">
        <v>52.920999999999999</v>
      </c>
      <c r="M711">
        <v>62.722000000000001</v>
      </c>
      <c r="N711">
        <v>88.603999999999999</v>
      </c>
    </row>
    <row r="712" spans="1:14" x14ac:dyDescent="0.45">
      <c r="A712">
        <v>1984</v>
      </c>
      <c r="B712" t="s">
        <v>110</v>
      </c>
      <c r="C712">
        <v>0</v>
      </c>
      <c r="D712">
        <v>1</v>
      </c>
      <c r="E712">
        <v>0</v>
      </c>
      <c r="F712">
        <v>1</v>
      </c>
      <c r="G712">
        <v>0</v>
      </c>
      <c r="H712">
        <v>0</v>
      </c>
      <c r="I712">
        <v>0</v>
      </c>
      <c r="J712">
        <v>8959.6655137284197</v>
      </c>
      <c r="K712">
        <v>7452.1818664747298</v>
      </c>
      <c r="L712">
        <v>49.561999999999998</v>
      </c>
      <c r="M712">
        <v>65.201999999999998</v>
      </c>
      <c r="N712">
        <v>73.293999999999997</v>
      </c>
    </row>
    <row r="713" spans="1:14" x14ac:dyDescent="0.45">
      <c r="A713">
        <v>1984</v>
      </c>
      <c r="B713" t="s">
        <v>111</v>
      </c>
      <c r="C713">
        <v>0</v>
      </c>
      <c r="D713">
        <v>0</v>
      </c>
      <c r="E713">
        <v>0</v>
      </c>
      <c r="F713">
        <v>1</v>
      </c>
      <c r="G713">
        <v>0</v>
      </c>
      <c r="H713">
        <v>0</v>
      </c>
      <c r="I713">
        <v>0</v>
      </c>
      <c r="J713">
        <v>6752.6968708896502</v>
      </c>
      <c r="K713">
        <v>5358.8264630695003</v>
      </c>
      <c r="L713">
        <v>56.078000000000003</v>
      </c>
      <c r="M713">
        <v>58.697000000000003</v>
      </c>
      <c r="N713">
        <v>128.316</v>
      </c>
    </row>
    <row r="714" spans="1:14" x14ac:dyDescent="0.45">
      <c r="A714">
        <v>1984</v>
      </c>
      <c r="B714" t="s">
        <v>112</v>
      </c>
      <c r="C714">
        <v>0</v>
      </c>
      <c r="D714">
        <v>0</v>
      </c>
      <c r="E714">
        <v>1</v>
      </c>
      <c r="F714">
        <v>0</v>
      </c>
      <c r="G714">
        <v>0</v>
      </c>
      <c r="H714">
        <v>0</v>
      </c>
      <c r="I714">
        <v>0</v>
      </c>
      <c r="L714">
        <v>84.817999999999998</v>
      </c>
      <c r="M714">
        <v>37.679000000000002</v>
      </c>
      <c r="N714">
        <v>268.41899999999998</v>
      </c>
    </row>
    <row r="715" spans="1:14" x14ac:dyDescent="0.45">
      <c r="A715">
        <v>1984</v>
      </c>
      <c r="B715" t="s">
        <v>113</v>
      </c>
      <c r="C715">
        <v>1</v>
      </c>
      <c r="D715">
        <v>0</v>
      </c>
      <c r="E715">
        <v>0</v>
      </c>
      <c r="F715">
        <v>0</v>
      </c>
      <c r="G715">
        <v>0</v>
      </c>
      <c r="H715">
        <v>1</v>
      </c>
      <c r="I715">
        <v>1</v>
      </c>
      <c r="J715">
        <v>25684.844727699601</v>
      </c>
      <c r="K715">
        <v>22603.346477335999</v>
      </c>
      <c r="L715">
        <v>26.018000000000001</v>
      </c>
      <c r="M715">
        <v>76.481999999999999</v>
      </c>
      <c r="N715">
        <v>11.797000000000001</v>
      </c>
    </row>
    <row r="716" spans="1:14" x14ac:dyDescent="0.45">
      <c r="A716">
        <v>1984</v>
      </c>
      <c r="B716" t="s">
        <v>114</v>
      </c>
      <c r="C716">
        <v>1</v>
      </c>
      <c r="D716">
        <v>0</v>
      </c>
      <c r="E716">
        <v>0</v>
      </c>
      <c r="F716">
        <v>0</v>
      </c>
      <c r="G716">
        <v>1</v>
      </c>
      <c r="H716">
        <v>0</v>
      </c>
      <c r="I716">
        <v>0</v>
      </c>
      <c r="L716">
        <v>29.442</v>
      </c>
      <c r="M716">
        <v>69.638000000000005</v>
      </c>
      <c r="N716">
        <v>18.422999999999998</v>
      </c>
    </row>
    <row r="717" spans="1:14" x14ac:dyDescent="0.45">
      <c r="A717">
        <v>1984</v>
      </c>
      <c r="B717" t="s">
        <v>115</v>
      </c>
      <c r="C717">
        <v>0</v>
      </c>
      <c r="D717">
        <v>0</v>
      </c>
      <c r="E717">
        <v>1</v>
      </c>
      <c r="F717">
        <v>0</v>
      </c>
      <c r="G717">
        <v>0</v>
      </c>
      <c r="H717">
        <v>0</v>
      </c>
      <c r="I717">
        <v>0</v>
      </c>
      <c r="J717">
        <v>957.66308337796102</v>
      </c>
      <c r="K717">
        <v>863.70714409590403</v>
      </c>
      <c r="L717">
        <v>88.768000000000001</v>
      </c>
      <c r="M717">
        <v>36.737000000000002</v>
      </c>
      <c r="N717">
        <v>307.79700000000003</v>
      </c>
    </row>
    <row r="718" spans="1:14" x14ac:dyDescent="0.45">
      <c r="A718">
        <v>1984</v>
      </c>
      <c r="B718" t="s">
        <v>116</v>
      </c>
      <c r="C718">
        <v>1</v>
      </c>
      <c r="D718">
        <v>0</v>
      </c>
      <c r="E718">
        <v>0</v>
      </c>
      <c r="F718">
        <v>0</v>
      </c>
      <c r="G718">
        <v>0</v>
      </c>
      <c r="H718">
        <v>1</v>
      </c>
      <c r="I718">
        <v>1</v>
      </c>
      <c r="J718">
        <v>31565.069884670502</v>
      </c>
      <c r="K718">
        <v>26536.211707143499</v>
      </c>
      <c r="L718">
        <v>24.984999999999999</v>
      </c>
      <c r="M718">
        <v>74.742999999999995</v>
      </c>
      <c r="N718">
        <v>7.6150000000000002</v>
      </c>
    </row>
    <row r="719" spans="1:14" x14ac:dyDescent="0.45">
      <c r="A719">
        <v>1984</v>
      </c>
      <c r="B719" t="s">
        <v>117</v>
      </c>
      <c r="C719">
        <v>0</v>
      </c>
      <c r="D719">
        <v>0</v>
      </c>
      <c r="E719">
        <v>0</v>
      </c>
      <c r="F719">
        <v>1</v>
      </c>
      <c r="G719">
        <v>0</v>
      </c>
      <c r="H719">
        <v>0</v>
      </c>
      <c r="I719">
        <v>0</v>
      </c>
      <c r="J719">
        <v>8023.4056090961103</v>
      </c>
      <c r="K719">
        <v>7857.3427587353699</v>
      </c>
      <c r="L719">
        <v>61.628</v>
      </c>
      <c r="M719">
        <v>63.238</v>
      </c>
      <c r="N719">
        <v>37.020000000000003</v>
      </c>
    </row>
    <row r="720" spans="1:14" x14ac:dyDescent="0.45">
      <c r="A720">
        <v>1984</v>
      </c>
      <c r="B720" t="s">
        <v>118</v>
      </c>
      <c r="C720">
        <v>1</v>
      </c>
      <c r="D720">
        <v>0</v>
      </c>
      <c r="E720">
        <v>0</v>
      </c>
      <c r="F720">
        <v>0</v>
      </c>
      <c r="G720">
        <v>0</v>
      </c>
      <c r="H720">
        <v>1</v>
      </c>
      <c r="I720">
        <v>1</v>
      </c>
      <c r="J720">
        <v>33613.068609487003</v>
      </c>
      <c r="K720">
        <v>28063.510236382401</v>
      </c>
      <c r="L720">
        <v>26.425000000000001</v>
      </c>
      <c r="M720">
        <v>75.218000000000004</v>
      </c>
      <c r="N720">
        <v>10.429</v>
      </c>
    </row>
    <row r="721" spans="1:14" x14ac:dyDescent="0.45">
      <c r="A721">
        <v>1984</v>
      </c>
      <c r="B721" t="s">
        <v>119</v>
      </c>
      <c r="C721">
        <v>1</v>
      </c>
      <c r="D721">
        <v>0</v>
      </c>
      <c r="E721">
        <v>0</v>
      </c>
      <c r="F721">
        <v>0</v>
      </c>
      <c r="G721">
        <v>0</v>
      </c>
      <c r="H721">
        <v>1</v>
      </c>
      <c r="I721">
        <v>1</v>
      </c>
      <c r="L721">
        <v>69.150999999999996</v>
      </c>
      <c r="M721">
        <v>75.975999999999999</v>
      </c>
      <c r="N721">
        <v>13.106</v>
      </c>
    </row>
    <row r="722" spans="1:14" x14ac:dyDescent="0.45">
      <c r="A722">
        <v>1984</v>
      </c>
      <c r="B722" t="s">
        <v>120</v>
      </c>
      <c r="C722">
        <v>0</v>
      </c>
      <c r="D722">
        <v>0</v>
      </c>
      <c r="E722">
        <v>0</v>
      </c>
      <c r="F722">
        <v>1</v>
      </c>
      <c r="G722">
        <v>0</v>
      </c>
      <c r="H722">
        <v>0</v>
      </c>
      <c r="I722">
        <v>0</v>
      </c>
      <c r="J722">
        <v>2770.2610367950501</v>
      </c>
      <c r="K722">
        <v>2507.4685083631598</v>
      </c>
      <c r="L722">
        <v>73.784000000000006</v>
      </c>
      <c r="M722">
        <v>62.923000000000002</v>
      </c>
      <c r="N722">
        <v>56.302999999999997</v>
      </c>
    </row>
    <row r="723" spans="1:14" x14ac:dyDescent="0.45">
      <c r="A723">
        <v>1984</v>
      </c>
      <c r="B723" t="s">
        <v>121</v>
      </c>
      <c r="C723">
        <v>0</v>
      </c>
      <c r="D723">
        <v>0</v>
      </c>
      <c r="E723">
        <v>1</v>
      </c>
      <c r="F723">
        <v>0</v>
      </c>
      <c r="G723">
        <v>1</v>
      </c>
      <c r="H723">
        <v>0</v>
      </c>
      <c r="I723">
        <v>0</v>
      </c>
      <c r="J723">
        <v>26667.134790811098</v>
      </c>
      <c r="K723">
        <v>20177.418681380401</v>
      </c>
      <c r="L723">
        <v>38.923999999999999</v>
      </c>
      <c r="M723">
        <v>59.34</v>
      </c>
      <c r="N723">
        <v>105.916</v>
      </c>
    </row>
    <row r="724" spans="1:14" x14ac:dyDescent="0.45">
      <c r="A724">
        <v>1984</v>
      </c>
      <c r="B724" t="s">
        <v>122</v>
      </c>
      <c r="C724">
        <v>1</v>
      </c>
      <c r="D724">
        <v>0</v>
      </c>
      <c r="E724">
        <v>0</v>
      </c>
      <c r="F724">
        <v>0</v>
      </c>
      <c r="G724">
        <v>0</v>
      </c>
      <c r="H724">
        <v>1</v>
      </c>
      <c r="I724">
        <v>1</v>
      </c>
      <c r="J724">
        <v>27854.042924737601</v>
      </c>
      <c r="K724">
        <v>23997.097970261399</v>
      </c>
      <c r="L724">
        <v>21.56</v>
      </c>
      <c r="M724">
        <v>74.674000000000007</v>
      </c>
      <c r="N724">
        <v>11.423999999999999</v>
      </c>
    </row>
    <row r="725" spans="1:14" x14ac:dyDescent="0.45">
      <c r="A725">
        <v>1984</v>
      </c>
      <c r="B725" t="s">
        <v>123</v>
      </c>
      <c r="C725">
        <v>1</v>
      </c>
      <c r="D725">
        <v>0</v>
      </c>
      <c r="E725">
        <v>0</v>
      </c>
      <c r="F725">
        <v>1</v>
      </c>
      <c r="G725">
        <v>0</v>
      </c>
      <c r="H725">
        <v>0</v>
      </c>
      <c r="I725">
        <v>0</v>
      </c>
      <c r="J725">
        <v>13431.2599421699</v>
      </c>
      <c r="K725">
        <v>11347.879186575999</v>
      </c>
      <c r="L725">
        <v>46.145000000000003</v>
      </c>
      <c r="M725">
        <v>68.795000000000002</v>
      </c>
      <c r="N725">
        <v>51.994</v>
      </c>
    </row>
    <row r="726" spans="1:14" x14ac:dyDescent="0.45">
      <c r="A726">
        <v>1984</v>
      </c>
      <c r="B726" t="s">
        <v>124</v>
      </c>
      <c r="C726">
        <v>0</v>
      </c>
      <c r="D726">
        <v>0</v>
      </c>
      <c r="E726">
        <v>1</v>
      </c>
      <c r="F726">
        <v>0</v>
      </c>
      <c r="G726">
        <v>0</v>
      </c>
      <c r="H726">
        <v>0</v>
      </c>
      <c r="I726">
        <v>0</v>
      </c>
      <c r="J726">
        <v>2296.23152606755</v>
      </c>
      <c r="K726">
        <v>1981.0570474968199</v>
      </c>
      <c r="L726">
        <v>67.790999999999997</v>
      </c>
      <c r="M726">
        <v>52.231999999999999</v>
      </c>
      <c r="N726">
        <v>157.47499999999999</v>
      </c>
    </row>
    <row r="727" spans="1:14" x14ac:dyDescent="0.45">
      <c r="A727">
        <v>1984</v>
      </c>
      <c r="B727" t="s">
        <v>125</v>
      </c>
      <c r="C727">
        <v>1</v>
      </c>
      <c r="D727">
        <v>0</v>
      </c>
      <c r="E727">
        <v>0</v>
      </c>
      <c r="F727">
        <v>0</v>
      </c>
      <c r="G727">
        <v>1</v>
      </c>
      <c r="H727">
        <v>0</v>
      </c>
      <c r="I727">
        <v>0</v>
      </c>
      <c r="L727">
        <v>0</v>
      </c>
      <c r="M727">
        <v>74.935000000000002</v>
      </c>
      <c r="N727">
        <v>24.492999999999999</v>
      </c>
    </row>
    <row r="728" spans="1:14" x14ac:dyDescent="0.45">
      <c r="A728">
        <v>1984</v>
      </c>
      <c r="B728" t="s">
        <v>126</v>
      </c>
      <c r="C728">
        <v>0</v>
      </c>
      <c r="D728">
        <v>0</v>
      </c>
      <c r="E728">
        <v>1</v>
      </c>
      <c r="F728">
        <v>0</v>
      </c>
      <c r="G728">
        <v>0</v>
      </c>
      <c r="H728">
        <v>0</v>
      </c>
      <c r="I728">
        <v>0</v>
      </c>
      <c r="J728">
        <v>1950.84738238766</v>
      </c>
      <c r="K728">
        <v>1572.9015477082601</v>
      </c>
      <c r="L728">
        <v>73.653999999999996</v>
      </c>
      <c r="M728">
        <v>44.857999999999997</v>
      </c>
      <c r="N728">
        <v>262.565</v>
      </c>
    </row>
    <row r="729" spans="1:14" x14ac:dyDescent="0.45">
      <c r="A729">
        <v>1984</v>
      </c>
      <c r="B729" t="s">
        <v>127</v>
      </c>
      <c r="C729">
        <v>0</v>
      </c>
      <c r="D729">
        <v>0</v>
      </c>
      <c r="E729">
        <v>1</v>
      </c>
      <c r="F729">
        <v>0</v>
      </c>
      <c r="G729">
        <v>0</v>
      </c>
      <c r="H729">
        <v>0</v>
      </c>
      <c r="I729">
        <v>0</v>
      </c>
      <c r="J729">
        <v>2809.8517771824299</v>
      </c>
      <c r="K729">
        <v>2261.6411681373602</v>
      </c>
      <c r="L729">
        <v>67.992999999999995</v>
      </c>
      <c r="M729">
        <v>47.512999999999998</v>
      </c>
      <c r="N729">
        <v>203.64500000000001</v>
      </c>
    </row>
    <row r="730" spans="1:14" x14ac:dyDescent="0.45">
      <c r="A730">
        <v>1984</v>
      </c>
      <c r="B730" t="s">
        <v>128</v>
      </c>
      <c r="C730">
        <v>0</v>
      </c>
      <c r="D730">
        <v>0</v>
      </c>
      <c r="E730">
        <v>1</v>
      </c>
      <c r="F730">
        <v>0</v>
      </c>
      <c r="G730">
        <v>0</v>
      </c>
      <c r="H730">
        <v>0</v>
      </c>
      <c r="I730">
        <v>0</v>
      </c>
      <c r="J730">
        <v>1773.86361445335</v>
      </c>
      <c r="K730">
        <v>1595.7649557710499</v>
      </c>
      <c r="L730">
        <v>77.573999999999998</v>
      </c>
      <c r="M730">
        <v>44.942999999999998</v>
      </c>
      <c r="N730">
        <v>245.67500000000001</v>
      </c>
    </row>
    <row r="731" spans="1:14" x14ac:dyDescent="0.45">
      <c r="A731">
        <v>1984</v>
      </c>
      <c r="B731" t="s">
        <v>129</v>
      </c>
      <c r="C731">
        <v>0</v>
      </c>
      <c r="D731">
        <v>0</v>
      </c>
      <c r="E731">
        <v>1</v>
      </c>
      <c r="F731">
        <v>0</v>
      </c>
      <c r="G731">
        <v>0</v>
      </c>
      <c r="H731">
        <v>0</v>
      </c>
      <c r="I731">
        <v>0</v>
      </c>
      <c r="J731">
        <v>1266.22287371487</v>
      </c>
      <c r="K731">
        <v>1049.0818059743101</v>
      </c>
      <c r="L731">
        <v>70.971999999999994</v>
      </c>
      <c r="M731">
        <v>50.195</v>
      </c>
      <c r="N731">
        <v>194.541</v>
      </c>
    </row>
    <row r="732" spans="1:14" x14ac:dyDescent="0.45">
      <c r="A732">
        <v>1984</v>
      </c>
      <c r="B732" t="s">
        <v>130</v>
      </c>
      <c r="C732">
        <v>1</v>
      </c>
      <c r="D732">
        <v>0</v>
      </c>
      <c r="E732">
        <v>0</v>
      </c>
      <c r="F732">
        <v>0</v>
      </c>
      <c r="G732">
        <v>1</v>
      </c>
      <c r="H732">
        <v>0</v>
      </c>
      <c r="I732">
        <v>0</v>
      </c>
      <c r="J732">
        <v>24799.654849925199</v>
      </c>
      <c r="K732">
        <v>22200.505006483101</v>
      </c>
      <c r="L732">
        <v>29.672999999999998</v>
      </c>
      <c r="M732">
        <v>75.784999999999997</v>
      </c>
      <c r="N732">
        <v>15.356999999999999</v>
      </c>
    </row>
    <row r="733" spans="1:14" x14ac:dyDescent="0.45">
      <c r="A733">
        <v>1984</v>
      </c>
      <c r="B733" t="s">
        <v>131</v>
      </c>
      <c r="C733">
        <v>0</v>
      </c>
      <c r="D733">
        <v>1</v>
      </c>
      <c r="E733">
        <v>0</v>
      </c>
      <c r="F733">
        <v>1</v>
      </c>
      <c r="G733">
        <v>0</v>
      </c>
      <c r="H733">
        <v>0</v>
      </c>
      <c r="I733">
        <v>0</v>
      </c>
      <c r="J733">
        <v>6766.3049591234003</v>
      </c>
      <c r="K733">
        <v>6243.3039060596602</v>
      </c>
      <c r="L733">
        <v>66.872</v>
      </c>
      <c r="M733">
        <v>69.094999999999999</v>
      </c>
      <c r="N733">
        <v>30.218</v>
      </c>
    </row>
    <row r="734" spans="1:14" x14ac:dyDescent="0.45">
      <c r="A734">
        <v>1984</v>
      </c>
      <c r="B734" t="s">
        <v>132</v>
      </c>
      <c r="C734">
        <v>1</v>
      </c>
      <c r="D734">
        <v>0</v>
      </c>
      <c r="E734">
        <v>0</v>
      </c>
      <c r="F734">
        <v>0</v>
      </c>
      <c r="G734">
        <v>0</v>
      </c>
      <c r="H734">
        <v>1</v>
      </c>
      <c r="I734">
        <v>1</v>
      </c>
      <c r="J734">
        <v>34544.7124759297</v>
      </c>
      <c r="K734">
        <v>31268.774180933298</v>
      </c>
      <c r="L734">
        <v>22.398</v>
      </c>
      <c r="M734">
        <v>62.746000000000002</v>
      </c>
      <c r="N734">
        <v>40.871000000000002</v>
      </c>
    </row>
    <row r="735" spans="1:14" x14ac:dyDescent="0.45">
      <c r="A735">
        <v>1984</v>
      </c>
      <c r="B735" t="s">
        <v>133</v>
      </c>
      <c r="C735">
        <v>0</v>
      </c>
      <c r="D735">
        <v>1</v>
      </c>
      <c r="E735">
        <v>0</v>
      </c>
      <c r="F735">
        <v>1</v>
      </c>
      <c r="G735">
        <v>0</v>
      </c>
      <c r="H735">
        <v>0</v>
      </c>
      <c r="I735">
        <v>0</v>
      </c>
      <c r="J735">
        <v>8031.2499755337303</v>
      </c>
      <c r="K735">
        <v>6976.5513709398801</v>
      </c>
      <c r="L735">
        <v>59.978999999999999</v>
      </c>
      <c r="M735">
        <v>59.073999999999998</v>
      </c>
      <c r="N735">
        <v>104.11199999999999</v>
      </c>
    </row>
    <row r="736" spans="1:14" x14ac:dyDescent="0.45">
      <c r="A736">
        <v>1984</v>
      </c>
      <c r="B736" t="s">
        <v>134</v>
      </c>
      <c r="C736">
        <v>0</v>
      </c>
      <c r="D736">
        <v>0</v>
      </c>
      <c r="E736">
        <v>0</v>
      </c>
      <c r="F736">
        <v>0</v>
      </c>
      <c r="G736">
        <v>0</v>
      </c>
      <c r="H736">
        <v>1</v>
      </c>
      <c r="I736">
        <v>1</v>
      </c>
      <c r="L736">
        <v>7.3570000000000002</v>
      </c>
      <c r="M736">
        <v>72.588999999999999</v>
      </c>
      <c r="N736">
        <v>14.493</v>
      </c>
    </row>
    <row r="737" spans="1:14" x14ac:dyDescent="0.45">
      <c r="A737">
        <v>1984</v>
      </c>
      <c r="B737" t="s">
        <v>135</v>
      </c>
      <c r="C737">
        <v>0</v>
      </c>
      <c r="D737">
        <v>1</v>
      </c>
      <c r="E737">
        <v>0</v>
      </c>
      <c r="F737">
        <v>0</v>
      </c>
      <c r="G737">
        <v>0</v>
      </c>
      <c r="H737">
        <v>0</v>
      </c>
      <c r="I737">
        <v>0</v>
      </c>
      <c r="J737">
        <v>5545.9062149056799</v>
      </c>
      <c r="K737">
        <v>5303.98900695269</v>
      </c>
      <c r="L737">
        <v>69.876000000000005</v>
      </c>
      <c r="M737">
        <v>61.255000000000003</v>
      </c>
      <c r="N737">
        <v>67.453000000000003</v>
      </c>
    </row>
    <row r="738" spans="1:14" x14ac:dyDescent="0.45">
      <c r="A738">
        <v>1984</v>
      </c>
      <c r="B738" t="s">
        <v>136</v>
      </c>
      <c r="C738">
        <v>0</v>
      </c>
      <c r="D738">
        <v>0</v>
      </c>
      <c r="E738">
        <v>0</v>
      </c>
      <c r="F738">
        <v>0</v>
      </c>
      <c r="G738">
        <v>0</v>
      </c>
      <c r="H738">
        <v>1</v>
      </c>
      <c r="I738">
        <v>1</v>
      </c>
      <c r="J738">
        <v>21700.225012351799</v>
      </c>
      <c r="K738">
        <v>19584.5278935887</v>
      </c>
      <c r="L738">
        <v>7.3469999999999898</v>
      </c>
      <c r="M738">
        <v>75.674000000000007</v>
      </c>
      <c r="N738">
        <v>10.954000000000001</v>
      </c>
    </row>
    <row r="739" spans="1:14" x14ac:dyDescent="0.45">
      <c r="A739">
        <v>1984</v>
      </c>
      <c r="B739" t="s">
        <v>137</v>
      </c>
      <c r="C739">
        <v>0</v>
      </c>
      <c r="D739">
        <v>1</v>
      </c>
      <c r="E739">
        <v>0</v>
      </c>
      <c r="F739">
        <v>1</v>
      </c>
      <c r="G739">
        <v>0</v>
      </c>
      <c r="H739">
        <v>0</v>
      </c>
      <c r="I739">
        <v>0</v>
      </c>
      <c r="J739">
        <v>3986.2727662151001</v>
      </c>
      <c r="K739">
        <v>3673.2627851966199</v>
      </c>
      <c r="L739">
        <v>62.844999999999999</v>
      </c>
      <c r="M739">
        <v>62.819000000000003</v>
      </c>
      <c r="N739">
        <v>78.073999999999998</v>
      </c>
    </row>
    <row r="740" spans="1:14" x14ac:dyDescent="0.45">
      <c r="A740">
        <v>1984</v>
      </c>
      <c r="B740" t="s">
        <v>138</v>
      </c>
      <c r="C740">
        <v>1</v>
      </c>
      <c r="D740">
        <v>0</v>
      </c>
      <c r="E740">
        <v>0</v>
      </c>
      <c r="F740">
        <v>0</v>
      </c>
      <c r="G740">
        <v>1</v>
      </c>
      <c r="H740">
        <v>0</v>
      </c>
      <c r="I740">
        <v>0</v>
      </c>
      <c r="L740">
        <v>51.063000000000002</v>
      </c>
      <c r="M740">
        <v>70.977999999999994</v>
      </c>
      <c r="N740">
        <v>19.201000000000001</v>
      </c>
    </row>
    <row r="741" spans="1:14" x14ac:dyDescent="0.45">
      <c r="A741">
        <v>1984</v>
      </c>
      <c r="B741" t="s">
        <v>139</v>
      </c>
      <c r="C741">
        <v>0</v>
      </c>
      <c r="D741">
        <v>1</v>
      </c>
      <c r="E741">
        <v>0</v>
      </c>
      <c r="F741">
        <v>0</v>
      </c>
      <c r="G741">
        <v>0</v>
      </c>
      <c r="H741">
        <v>0</v>
      </c>
      <c r="I741">
        <v>0</v>
      </c>
      <c r="J741">
        <v>4586.7908480737196</v>
      </c>
      <c r="K741">
        <v>4408.6204430022499</v>
      </c>
      <c r="L741">
        <v>77.703000000000003</v>
      </c>
      <c r="M741">
        <v>51.253999999999998</v>
      </c>
      <c r="N741">
        <v>170.935</v>
      </c>
    </row>
    <row r="742" spans="1:14" x14ac:dyDescent="0.45">
      <c r="A742">
        <v>1984</v>
      </c>
      <c r="B742" t="s">
        <v>140</v>
      </c>
      <c r="C742">
        <v>1</v>
      </c>
      <c r="D742">
        <v>0</v>
      </c>
      <c r="E742">
        <v>0</v>
      </c>
      <c r="F742">
        <v>0</v>
      </c>
      <c r="G742">
        <v>1</v>
      </c>
      <c r="H742">
        <v>0</v>
      </c>
      <c r="I742">
        <v>0</v>
      </c>
      <c r="J742">
        <v>19175.060784013702</v>
      </c>
      <c r="K742">
        <v>16709.483145325601</v>
      </c>
      <c r="L742">
        <v>35.085000000000001</v>
      </c>
      <c r="M742">
        <v>68.965000000000003</v>
      </c>
      <c r="N742">
        <v>22.33</v>
      </c>
    </row>
    <row r="743" spans="1:14" x14ac:dyDescent="0.45">
      <c r="A743">
        <v>1984</v>
      </c>
      <c r="B743" t="s">
        <v>141</v>
      </c>
      <c r="C743">
        <v>0</v>
      </c>
      <c r="D743">
        <v>0</v>
      </c>
      <c r="E743">
        <v>0</v>
      </c>
      <c r="F743">
        <v>0</v>
      </c>
      <c r="G743">
        <v>0</v>
      </c>
      <c r="H743">
        <v>0</v>
      </c>
      <c r="I743">
        <v>0</v>
      </c>
      <c r="J743">
        <v>3970.8706652313399</v>
      </c>
      <c r="K743">
        <v>3604.9247019802301</v>
      </c>
      <c r="L743">
        <v>74.756</v>
      </c>
      <c r="M743">
        <v>60.890999999999998</v>
      </c>
      <c r="N743">
        <v>105.905</v>
      </c>
    </row>
    <row r="744" spans="1:14" x14ac:dyDescent="0.45">
      <c r="A744">
        <v>1984</v>
      </c>
      <c r="B744" t="s">
        <v>142</v>
      </c>
      <c r="C744">
        <v>1</v>
      </c>
      <c r="D744">
        <v>0</v>
      </c>
      <c r="E744">
        <v>0</v>
      </c>
      <c r="F744">
        <v>0</v>
      </c>
      <c r="G744">
        <v>0</v>
      </c>
      <c r="H744">
        <v>1</v>
      </c>
      <c r="I744">
        <v>1</v>
      </c>
      <c r="L744">
        <v>48.231000000000002</v>
      </c>
      <c r="M744">
        <v>69.754000000000005</v>
      </c>
      <c r="N744">
        <v>45.923000000000002</v>
      </c>
    </row>
    <row r="745" spans="1:14" x14ac:dyDescent="0.45">
      <c r="A745">
        <v>1984</v>
      </c>
      <c r="B745" t="s">
        <v>143</v>
      </c>
      <c r="C745">
        <v>0</v>
      </c>
      <c r="D745">
        <v>0</v>
      </c>
      <c r="E745">
        <v>0</v>
      </c>
      <c r="F745">
        <v>0</v>
      </c>
      <c r="G745">
        <v>0</v>
      </c>
      <c r="H745">
        <v>0</v>
      </c>
      <c r="I745">
        <v>0</v>
      </c>
      <c r="J745">
        <v>1805.80133094447</v>
      </c>
      <c r="K745">
        <v>1514.4991159020999</v>
      </c>
      <c r="L745">
        <v>75.887</v>
      </c>
      <c r="M745">
        <v>55.813000000000002</v>
      </c>
      <c r="N745">
        <v>150.32300000000001</v>
      </c>
    </row>
    <row r="746" spans="1:14" x14ac:dyDescent="0.45">
      <c r="A746">
        <v>1984</v>
      </c>
      <c r="B746" t="s">
        <v>144</v>
      </c>
      <c r="C746">
        <v>1</v>
      </c>
      <c r="D746">
        <v>0</v>
      </c>
      <c r="E746">
        <v>0</v>
      </c>
      <c r="F746">
        <v>0</v>
      </c>
      <c r="G746">
        <v>0</v>
      </c>
      <c r="H746">
        <v>1</v>
      </c>
      <c r="I746">
        <v>1</v>
      </c>
      <c r="J746">
        <v>24846.150713533902</v>
      </c>
      <c r="K746">
        <v>22844.7392987401</v>
      </c>
      <c r="L746">
        <v>43.884999999999998</v>
      </c>
      <c r="M746">
        <v>73.622</v>
      </c>
      <c r="N746">
        <v>11.037000000000001</v>
      </c>
    </row>
    <row r="747" spans="1:14" x14ac:dyDescent="0.45">
      <c r="A747">
        <v>1984</v>
      </c>
      <c r="B747" t="s">
        <v>145</v>
      </c>
      <c r="C747">
        <v>0</v>
      </c>
      <c r="D747">
        <v>0</v>
      </c>
      <c r="E747">
        <v>0</v>
      </c>
      <c r="F747">
        <v>0</v>
      </c>
      <c r="G747">
        <v>1</v>
      </c>
      <c r="H747">
        <v>0</v>
      </c>
      <c r="I747">
        <v>0</v>
      </c>
      <c r="J747">
        <v>11197.277422958199</v>
      </c>
      <c r="K747">
        <v>11169.2245693202</v>
      </c>
      <c r="L747">
        <v>47.343000000000004</v>
      </c>
      <c r="M747">
        <v>60.875</v>
      </c>
      <c r="N747">
        <v>81.772000000000006</v>
      </c>
    </row>
    <row r="748" spans="1:14" x14ac:dyDescent="0.45">
      <c r="A748">
        <v>1984</v>
      </c>
      <c r="B748" t="s">
        <v>146</v>
      </c>
      <c r="C748">
        <v>0</v>
      </c>
      <c r="D748">
        <v>0</v>
      </c>
      <c r="E748">
        <v>0</v>
      </c>
      <c r="F748">
        <v>0</v>
      </c>
      <c r="G748">
        <v>1</v>
      </c>
      <c r="H748">
        <v>0</v>
      </c>
      <c r="I748">
        <v>0</v>
      </c>
      <c r="J748">
        <v>6948.7286061185896</v>
      </c>
      <c r="K748">
        <v>4911.9781975099604</v>
      </c>
      <c r="L748">
        <v>31.867999999999999</v>
      </c>
      <c r="M748">
        <v>59.543999999999997</v>
      </c>
      <c r="N748">
        <v>63.018000000000001</v>
      </c>
    </row>
    <row r="749" spans="1:14" x14ac:dyDescent="0.45">
      <c r="A749">
        <v>1984</v>
      </c>
      <c r="B749" t="s">
        <v>147</v>
      </c>
      <c r="C749">
        <v>1</v>
      </c>
      <c r="D749">
        <v>0</v>
      </c>
      <c r="E749">
        <v>0</v>
      </c>
      <c r="F749">
        <v>0</v>
      </c>
      <c r="G749">
        <v>0</v>
      </c>
      <c r="H749">
        <v>1</v>
      </c>
      <c r="I749">
        <v>1</v>
      </c>
      <c r="J749">
        <v>34441.777003532297</v>
      </c>
      <c r="K749">
        <v>29802.086848164799</v>
      </c>
      <c r="L749">
        <v>10.680999999999999</v>
      </c>
      <c r="M749">
        <v>77.295000000000002</v>
      </c>
      <c r="N749">
        <v>6.4660000000000002</v>
      </c>
    </row>
    <row r="750" spans="1:14" x14ac:dyDescent="0.45">
      <c r="A750">
        <v>1984</v>
      </c>
      <c r="B750" t="s">
        <v>148</v>
      </c>
      <c r="C750">
        <v>0</v>
      </c>
      <c r="D750">
        <v>0</v>
      </c>
      <c r="E750">
        <v>0</v>
      </c>
      <c r="F750">
        <v>0</v>
      </c>
      <c r="G750">
        <v>0</v>
      </c>
      <c r="H750">
        <v>1</v>
      </c>
      <c r="I750">
        <v>1</v>
      </c>
      <c r="J750">
        <v>22340.921552007301</v>
      </c>
      <c r="K750">
        <v>20492.817398150699</v>
      </c>
      <c r="L750">
        <v>10.281000000000001</v>
      </c>
      <c r="M750">
        <v>75.501000000000005</v>
      </c>
      <c r="N750">
        <v>15.689</v>
      </c>
    </row>
    <row r="751" spans="1:14" x14ac:dyDescent="0.45">
      <c r="A751">
        <v>1984</v>
      </c>
      <c r="B751" t="s">
        <v>149</v>
      </c>
      <c r="C751">
        <v>1</v>
      </c>
      <c r="D751">
        <v>0</v>
      </c>
      <c r="E751">
        <v>0</v>
      </c>
      <c r="F751">
        <v>0</v>
      </c>
      <c r="G751">
        <v>0</v>
      </c>
      <c r="H751">
        <v>1</v>
      </c>
      <c r="I751">
        <v>1</v>
      </c>
      <c r="J751">
        <v>35223.426822590503</v>
      </c>
      <c r="K751">
        <v>30002.156682048801</v>
      </c>
      <c r="L751">
        <v>33.154000000000003</v>
      </c>
      <c r="M751">
        <v>75.498999999999995</v>
      </c>
      <c r="N751">
        <v>12.574999999999999</v>
      </c>
    </row>
    <row r="752" spans="1:14" x14ac:dyDescent="0.45">
      <c r="A752">
        <v>1984</v>
      </c>
      <c r="B752" t="s">
        <v>150</v>
      </c>
      <c r="C752">
        <v>0</v>
      </c>
      <c r="D752">
        <v>1</v>
      </c>
      <c r="E752">
        <v>0</v>
      </c>
      <c r="F752">
        <v>1</v>
      </c>
      <c r="G752">
        <v>0</v>
      </c>
      <c r="H752">
        <v>0</v>
      </c>
      <c r="I752">
        <v>0</v>
      </c>
      <c r="J752">
        <v>7896.43175348152</v>
      </c>
      <c r="K752">
        <v>7782.1716299154996</v>
      </c>
      <c r="L752">
        <v>51.78</v>
      </c>
      <c r="M752">
        <v>69.808999999999997</v>
      </c>
      <c r="N752">
        <v>33.069000000000003</v>
      </c>
    </row>
    <row r="753" spans="1:14" x14ac:dyDescent="0.45">
      <c r="A753">
        <v>1984</v>
      </c>
      <c r="B753" t="s">
        <v>151</v>
      </c>
      <c r="C753">
        <v>0</v>
      </c>
      <c r="D753">
        <v>0</v>
      </c>
      <c r="E753">
        <v>0</v>
      </c>
      <c r="F753">
        <v>1</v>
      </c>
      <c r="G753">
        <v>0</v>
      </c>
      <c r="H753">
        <v>0</v>
      </c>
      <c r="I753">
        <v>0</v>
      </c>
      <c r="J753">
        <v>10071.468460293099</v>
      </c>
      <c r="K753">
        <v>9991.3528608004908</v>
      </c>
      <c r="L753">
        <v>34.347999999999999</v>
      </c>
      <c r="M753">
        <v>68.206000000000003</v>
      </c>
      <c r="N753">
        <v>46.003999999999998</v>
      </c>
    </row>
    <row r="754" spans="1:14" x14ac:dyDescent="0.45">
      <c r="A754">
        <v>1984</v>
      </c>
      <c r="B754" t="s">
        <v>152</v>
      </c>
      <c r="C754">
        <v>0</v>
      </c>
      <c r="D754">
        <v>0</v>
      </c>
      <c r="E754">
        <v>0</v>
      </c>
      <c r="F754">
        <v>0</v>
      </c>
      <c r="G754">
        <v>0</v>
      </c>
      <c r="H754">
        <v>1</v>
      </c>
      <c r="I754">
        <v>1</v>
      </c>
      <c r="J754">
        <v>27391.900304455899</v>
      </c>
      <c r="K754">
        <v>25374.002650386301</v>
      </c>
      <c r="L754">
        <v>23.396999999999998</v>
      </c>
      <c r="M754">
        <v>77.507000000000005</v>
      </c>
      <c r="N754">
        <v>8.0370000000000008</v>
      </c>
    </row>
    <row r="755" spans="1:14" x14ac:dyDescent="0.45">
      <c r="A755">
        <v>1984</v>
      </c>
      <c r="B755" t="s">
        <v>153</v>
      </c>
      <c r="C755">
        <v>1</v>
      </c>
      <c r="D755">
        <v>0</v>
      </c>
      <c r="E755">
        <v>0</v>
      </c>
      <c r="F755">
        <v>1</v>
      </c>
      <c r="G755">
        <v>0</v>
      </c>
      <c r="H755">
        <v>0</v>
      </c>
      <c r="I755">
        <v>0</v>
      </c>
      <c r="L755">
        <v>44.1</v>
      </c>
      <c r="M755">
        <v>64.838999999999999</v>
      </c>
      <c r="N755">
        <v>61.521999999999998</v>
      </c>
    </row>
    <row r="756" spans="1:14" x14ac:dyDescent="0.45">
      <c r="A756">
        <v>1984</v>
      </c>
      <c r="B756" t="s">
        <v>154</v>
      </c>
      <c r="C756">
        <v>0</v>
      </c>
      <c r="D756">
        <v>0</v>
      </c>
      <c r="E756">
        <v>1</v>
      </c>
      <c r="F756">
        <v>0</v>
      </c>
      <c r="G756">
        <v>0</v>
      </c>
      <c r="H756">
        <v>0</v>
      </c>
      <c r="I756">
        <v>0</v>
      </c>
      <c r="J756">
        <v>3864.3809171057501</v>
      </c>
      <c r="K756">
        <v>3330.50216024171</v>
      </c>
      <c r="L756">
        <v>84.021000000000001</v>
      </c>
      <c r="M756">
        <v>60.610999999999997</v>
      </c>
      <c r="N756">
        <v>98.358999999999995</v>
      </c>
    </row>
    <row r="757" spans="1:14" x14ac:dyDescent="0.45">
      <c r="A757">
        <v>1984</v>
      </c>
      <c r="B757" t="s">
        <v>155</v>
      </c>
      <c r="C757">
        <v>1</v>
      </c>
      <c r="D757">
        <v>0</v>
      </c>
      <c r="E757">
        <v>0</v>
      </c>
      <c r="F757">
        <v>1</v>
      </c>
      <c r="G757">
        <v>0</v>
      </c>
      <c r="H757">
        <v>0</v>
      </c>
      <c r="I757">
        <v>0</v>
      </c>
      <c r="J757">
        <v>5356.1458911882601</v>
      </c>
      <c r="K757">
        <v>4526.8433006990199</v>
      </c>
      <c r="L757">
        <v>61.573</v>
      </c>
      <c r="M757">
        <v>62.853999999999999</v>
      </c>
      <c r="N757">
        <v>83.528000000000006</v>
      </c>
    </row>
    <row r="758" spans="1:14" x14ac:dyDescent="0.45">
      <c r="A758">
        <v>1984</v>
      </c>
      <c r="B758" t="s">
        <v>156</v>
      </c>
      <c r="C758">
        <v>0</v>
      </c>
      <c r="D758">
        <v>0</v>
      </c>
      <c r="E758">
        <v>0</v>
      </c>
      <c r="F758">
        <v>0</v>
      </c>
      <c r="G758">
        <v>0</v>
      </c>
      <c r="H758">
        <v>0</v>
      </c>
      <c r="I758">
        <v>0</v>
      </c>
      <c r="J758">
        <v>2068.4683477103599</v>
      </c>
      <c r="K758">
        <v>1854.72997033876</v>
      </c>
      <c r="L758">
        <v>86.373999999999995</v>
      </c>
      <c r="M758">
        <v>50.088999999999999</v>
      </c>
      <c r="N758">
        <v>142.02500000000001</v>
      </c>
    </row>
    <row r="759" spans="1:14" x14ac:dyDescent="0.45">
      <c r="A759">
        <v>1984</v>
      </c>
      <c r="B759" t="s">
        <v>157</v>
      </c>
      <c r="C759">
        <v>0</v>
      </c>
      <c r="D759">
        <v>0</v>
      </c>
      <c r="E759">
        <v>0</v>
      </c>
      <c r="F759">
        <v>1</v>
      </c>
      <c r="G759">
        <v>0</v>
      </c>
      <c r="H759">
        <v>0</v>
      </c>
      <c r="I759">
        <v>0</v>
      </c>
      <c r="J759">
        <v>2413.5345177290101</v>
      </c>
      <c r="K759">
        <v>2183.2816289390498</v>
      </c>
      <c r="L759">
        <v>66.715999999999994</v>
      </c>
      <c r="M759">
        <v>58.356999999999999</v>
      </c>
      <c r="N759">
        <v>110.124</v>
      </c>
    </row>
    <row r="760" spans="1:14" x14ac:dyDescent="0.45">
      <c r="A760">
        <v>1984</v>
      </c>
      <c r="B760" t="s">
        <v>158</v>
      </c>
      <c r="C760">
        <v>0</v>
      </c>
      <c r="D760">
        <v>1</v>
      </c>
      <c r="E760">
        <v>0</v>
      </c>
      <c r="F760">
        <v>0</v>
      </c>
      <c r="G760">
        <v>1</v>
      </c>
      <c r="H760">
        <v>0</v>
      </c>
      <c r="I760">
        <v>0</v>
      </c>
      <c r="J760">
        <v>8576.6428112318699</v>
      </c>
      <c r="K760">
        <v>8470.6013557986007</v>
      </c>
      <c r="L760">
        <v>64.63</v>
      </c>
      <c r="M760">
        <v>65.334000000000003</v>
      </c>
      <c r="N760">
        <v>39.819000000000003</v>
      </c>
    </row>
    <row r="761" spans="1:14" x14ac:dyDescent="0.45">
      <c r="A761">
        <v>1984</v>
      </c>
      <c r="B761" t="s">
        <v>159</v>
      </c>
      <c r="C761">
        <v>0</v>
      </c>
      <c r="D761">
        <v>0</v>
      </c>
      <c r="E761">
        <v>0</v>
      </c>
      <c r="F761">
        <v>0</v>
      </c>
      <c r="G761">
        <v>1</v>
      </c>
      <c r="H761">
        <v>0</v>
      </c>
      <c r="I761">
        <v>0</v>
      </c>
      <c r="J761">
        <v>8205.6047945427399</v>
      </c>
      <c r="K761">
        <v>7480.4139283756103</v>
      </c>
      <c r="L761">
        <v>36.698999999999998</v>
      </c>
      <c r="M761">
        <v>68.108999999999995</v>
      </c>
      <c r="N761">
        <v>26.829000000000001</v>
      </c>
    </row>
    <row r="762" spans="1:14" x14ac:dyDescent="0.45">
      <c r="A762">
        <v>1984</v>
      </c>
      <c r="B762" t="s">
        <v>160</v>
      </c>
      <c r="C762">
        <v>0</v>
      </c>
      <c r="D762">
        <v>0</v>
      </c>
      <c r="E762">
        <v>0</v>
      </c>
      <c r="F762">
        <v>0</v>
      </c>
      <c r="G762">
        <v>0</v>
      </c>
      <c r="H762">
        <v>1</v>
      </c>
      <c r="I762">
        <v>1</v>
      </c>
      <c r="J762">
        <v>36946.210611861097</v>
      </c>
      <c r="K762">
        <v>32904.299797117899</v>
      </c>
      <c r="L762">
        <v>2.4489999999999998</v>
      </c>
      <c r="M762">
        <v>72.853999999999999</v>
      </c>
      <c r="N762">
        <v>25.617999999999999</v>
      </c>
    </row>
    <row r="763" spans="1:14" x14ac:dyDescent="0.45">
      <c r="A763">
        <v>1984</v>
      </c>
      <c r="B763" t="s">
        <v>161</v>
      </c>
      <c r="C763">
        <v>0</v>
      </c>
      <c r="D763">
        <v>0</v>
      </c>
      <c r="E763">
        <v>0</v>
      </c>
      <c r="F763">
        <v>0</v>
      </c>
      <c r="G763">
        <v>0</v>
      </c>
      <c r="H763">
        <v>0</v>
      </c>
      <c r="I763">
        <v>0</v>
      </c>
      <c r="J763">
        <v>1834.6214559248799</v>
      </c>
      <c r="K763">
        <v>1762.9016919067701</v>
      </c>
      <c r="L763">
        <v>86.495999999999995</v>
      </c>
      <c r="M763">
        <v>51.014000000000003</v>
      </c>
      <c r="N763">
        <v>183.46799999999999</v>
      </c>
    </row>
    <row r="764" spans="1:14" x14ac:dyDescent="0.45">
      <c r="A764">
        <v>1984</v>
      </c>
      <c r="B764" t="s">
        <v>162</v>
      </c>
      <c r="C764">
        <v>0</v>
      </c>
      <c r="D764">
        <v>0</v>
      </c>
      <c r="E764">
        <v>0</v>
      </c>
      <c r="F764">
        <v>1</v>
      </c>
      <c r="G764">
        <v>0</v>
      </c>
      <c r="H764">
        <v>0</v>
      </c>
      <c r="I764">
        <v>0</v>
      </c>
      <c r="J764">
        <v>10214.6621497666</v>
      </c>
      <c r="K764">
        <v>13276.950533000499</v>
      </c>
      <c r="L764">
        <v>21.646999999999998</v>
      </c>
      <c r="M764">
        <v>61.167000000000002</v>
      </c>
      <c r="N764">
        <v>52.061999999999998</v>
      </c>
    </row>
    <row r="765" spans="1:14" x14ac:dyDescent="0.45">
      <c r="A765">
        <v>1984</v>
      </c>
      <c r="B765" t="s">
        <v>163</v>
      </c>
      <c r="C765">
        <v>0</v>
      </c>
      <c r="D765">
        <v>0</v>
      </c>
      <c r="E765">
        <v>1</v>
      </c>
      <c r="F765">
        <v>0</v>
      </c>
      <c r="G765">
        <v>0</v>
      </c>
      <c r="H765">
        <v>0</v>
      </c>
      <c r="I765">
        <v>0</v>
      </c>
      <c r="J765">
        <v>3286.0149789884099</v>
      </c>
      <c r="K765">
        <v>4854.9078730109004</v>
      </c>
      <c r="L765">
        <v>60.165999999999997</v>
      </c>
      <c r="M765">
        <v>44.683</v>
      </c>
      <c r="N765">
        <v>242.715</v>
      </c>
    </row>
    <row r="766" spans="1:14" x14ac:dyDescent="0.45">
      <c r="A766">
        <v>1984</v>
      </c>
      <c r="B766" t="s">
        <v>164</v>
      </c>
      <c r="C766">
        <v>0</v>
      </c>
      <c r="D766">
        <v>0</v>
      </c>
      <c r="E766">
        <v>0</v>
      </c>
      <c r="F766">
        <v>0</v>
      </c>
      <c r="G766">
        <v>1</v>
      </c>
      <c r="H766">
        <v>0</v>
      </c>
      <c r="I766">
        <v>0</v>
      </c>
      <c r="J766">
        <v>27175.5874550728</v>
      </c>
      <c r="K766">
        <v>31759.9771029152</v>
      </c>
      <c r="L766">
        <v>24.7</v>
      </c>
      <c r="M766">
        <v>66.748000000000005</v>
      </c>
      <c r="N766">
        <v>57.496000000000002</v>
      </c>
    </row>
    <row r="767" spans="1:14" x14ac:dyDescent="0.45">
      <c r="A767">
        <v>1984</v>
      </c>
      <c r="B767" t="s">
        <v>165</v>
      </c>
      <c r="C767">
        <v>0</v>
      </c>
      <c r="D767">
        <v>1</v>
      </c>
      <c r="E767">
        <v>0</v>
      </c>
      <c r="F767">
        <v>1</v>
      </c>
      <c r="G767">
        <v>0</v>
      </c>
      <c r="H767">
        <v>0</v>
      </c>
      <c r="I767">
        <v>0</v>
      </c>
      <c r="J767">
        <v>10947.8561023436</v>
      </c>
      <c r="K767">
        <v>7875.9643954476496</v>
      </c>
      <c r="L767">
        <v>72.356999999999999</v>
      </c>
      <c r="M767">
        <v>70.522000000000006</v>
      </c>
      <c r="N767">
        <v>25.527000000000001</v>
      </c>
    </row>
    <row r="768" spans="1:14" x14ac:dyDescent="0.45">
      <c r="A768">
        <v>1984</v>
      </c>
      <c r="B768" t="s">
        <v>166</v>
      </c>
      <c r="C768">
        <v>1</v>
      </c>
      <c r="D768">
        <v>0</v>
      </c>
      <c r="E768">
        <v>0</v>
      </c>
      <c r="F768">
        <v>0</v>
      </c>
      <c r="G768">
        <v>0</v>
      </c>
      <c r="H768">
        <v>1</v>
      </c>
      <c r="I768">
        <v>1</v>
      </c>
      <c r="L768">
        <v>82.241</v>
      </c>
      <c r="M768">
        <v>76.188000000000002</v>
      </c>
      <c r="N768">
        <v>16.303000000000001</v>
      </c>
    </row>
    <row r="769" spans="1:14" x14ac:dyDescent="0.45">
      <c r="A769">
        <v>1984</v>
      </c>
      <c r="B769" t="s">
        <v>167</v>
      </c>
      <c r="C769">
        <v>0</v>
      </c>
      <c r="D769">
        <v>0</v>
      </c>
      <c r="E769">
        <v>0</v>
      </c>
      <c r="F769">
        <v>0</v>
      </c>
      <c r="G769">
        <v>0</v>
      </c>
      <c r="H769">
        <v>0</v>
      </c>
      <c r="I769">
        <v>0</v>
      </c>
      <c r="J769">
        <v>3922.0466259534801</v>
      </c>
      <c r="K769">
        <v>3663.1295602995001</v>
      </c>
      <c r="L769">
        <v>81.370999999999995</v>
      </c>
      <c r="M769">
        <v>68.760999999999996</v>
      </c>
      <c r="N769">
        <v>33.311999999999998</v>
      </c>
    </row>
    <row r="770" spans="1:14" x14ac:dyDescent="0.45">
      <c r="A770">
        <v>1984</v>
      </c>
      <c r="B770" t="s">
        <v>168</v>
      </c>
      <c r="C770">
        <v>0</v>
      </c>
      <c r="D770">
        <v>0</v>
      </c>
      <c r="E770">
        <v>1</v>
      </c>
      <c r="F770">
        <v>0</v>
      </c>
      <c r="G770">
        <v>0</v>
      </c>
      <c r="H770">
        <v>0</v>
      </c>
      <c r="I770">
        <v>0</v>
      </c>
      <c r="J770">
        <v>1267.5636521312099</v>
      </c>
      <c r="K770">
        <v>1135.0020935150101</v>
      </c>
      <c r="L770">
        <v>88.308999999999997</v>
      </c>
      <c r="M770">
        <v>58.954999999999998</v>
      </c>
      <c r="N770">
        <v>102.52</v>
      </c>
    </row>
    <row r="771" spans="1:14" x14ac:dyDescent="0.45">
      <c r="A771">
        <v>1984</v>
      </c>
      <c r="B771" t="s">
        <v>169</v>
      </c>
      <c r="C771">
        <v>1</v>
      </c>
      <c r="D771">
        <v>0</v>
      </c>
      <c r="E771">
        <v>0</v>
      </c>
      <c r="F771">
        <v>0</v>
      </c>
      <c r="G771">
        <v>1</v>
      </c>
      <c r="H771">
        <v>0</v>
      </c>
      <c r="I771">
        <v>0</v>
      </c>
      <c r="L771">
        <v>35.722999999999999</v>
      </c>
      <c r="M771">
        <v>70.542000000000002</v>
      </c>
      <c r="N771">
        <v>17.765000000000001</v>
      </c>
    </row>
    <row r="772" spans="1:14" x14ac:dyDescent="0.45">
      <c r="A772">
        <v>1984</v>
      </c>
      <c r="B772" t="s">
        <v>170</v>
      </c>
      <c r="C772">
        <v>1</v>
      </c>
      <c r="D772">
        <v>0</v>
      </c>
      <c r="E772">
        <v>0</v>
      </c>
      <c r="F772">
        <v>0</v>
      </c>
      <c r="G772">
        <v>0</v>
      </c>
      <c r="H772">
        <v>1</v>
      </c>
      <c r="I772">
        <v>1</v>
      </c>
      <c r="J772">
        <v>55791.594271957903</v>
      </c>
      <c r="K772">
        <v>47677.338065593998</v>
      </c>
      <c r="L772">
        <v>19.387</v>
      </c>
      <c r="M772">
        <v>72.718000000000004</v>
      </c>
      <c r="N772">
        <v>15.178000000000001</v>
      </c>
    </row>
    <row r="773" spans="1:14" x14ac:dyDescent="0.45">
      <c r="A773">
        <v>1984</v>
      </c>
      <c r="B773" t="s">
        <v>171</v>
      </c>
      <c r="C773">
        <v>1</v>
      </c>
      <c r="D773">
        <v>0</v>
      </c>
      <c r="E773">
        <v>0</v>
      </c>
      <c r="F773">
        <v>0</v>
      </c>
      <c r="G773">
        <v>1</v>
      </c>
      <c r="H773">
        <v>0</v>
      </c>
      <c r="I773">
        <v>0</v>
      </c>
      <c r="L773">
        <v>31.716999999999999</v>
      </c>
      <c r="M773">
        <v>69.433999999999997</v>
      </c>
      <c r="N773">
        <v>17.776</v>
      </c>
    </row>
    <row r="774" spans="1:14" x14ac:dyDescent="0.45">
      <c r="A774">
        <v>1984</v>
      </c>
      <c r="B774" t="s">
        <v>172</v>
      </c>
      <c r="C774">
        <v>0</v>
      </c>
      <c r="D774">
        <v>0</v>
      </c>
      <c r="E774">
        <v>0</v>
      </c>
      <c r="F774">
        <v>0</v>
      </c>
      <c r="G774">
        <v>1</v>
      </c>
      <c r="H774">
        <v>0</v>
      </c>
      <c r="I774">
        <v>0</v>
      </c>
      <c r="J774">
        <v>43558.6990441491</v>
      </c>
      <c r="K774">
        <v>39474.700136762702</v>
      </c>
      <c r="L774">
        <v>0.75600000000000001</v>
      </c>
      <c r="M774">
        <v>74.23</v>
      </c>
      <c r="N774">
        <v>18.420999999999999</v>
      </c>
    </row>
    <row r="775" spans="1:14" x14ac:dyDescent="0.45">
      <c r="A775">
        <v>1984</v>
      </c>
      <c r="B775" t="s">
        <v>173</v>
      </c>
      <c r="C775">
        <v>0</v>
      </c>
      <c r="D775">
        <v>1</v>
      </c>
      <c r="E775">
        <v>0</v>
      </c>
      <c r="F775">
        <v>0</v>
      </c>
      <c r="G775">
        <v>0</v>
      </c>
      <c r="H775">
        <v>1</v>
      </c>
      <c r="I775">
        <v>1</v>
      </c>
      <c r="L775">
        <v>0</v>
      </c>
      <c r="M775">
        <v>72.733999999999995</v>
      </c>
      <c r="N775">
        <v>26.41</v>
      </c>
    </row>
    <row r="776" spans="1:14" x14ac:dyDescent="0.45">
      <c r="A776">
        <v>1984</v>
      </c>
      <c r="B776" t="s">
        <v>174</v>
      </c>
      <c r="C776">
        <v>0</v>
      </c>
      <c r="D776">
        <v>0</v>
      </c>
      <c r="E776">
        <v>0</v>
      </c>
      <c r="F776">
        <v>1</v>
      </c>
      <c r="G776">
        <v>0</v>
      </c>
      <c r="H776">
        <v>0</v>
      </c>
      <c r="I776">
        <v>0</v>
      </c>
      <c r="J776">
        <v>3598.0925467214402</v>
      </c>
      <c r="K776">
        <v>3455.4945249534999</v>
      </c>
      <c r="L776">
        <v>55.936999999999998</v>
      </c>
      <c r="M776">
        <v>58.438000000000002</v>
      </c>
      <c r="N776">
        <v>108.88500000000001</v>
      </c>
    </row>
    <row r="777" spans="1:14" x14ac:dyDescent="0.45">
      <c r="A777">
        <v>1984</v>
      </c>
      <c r="B777" t="s">
        <v>175</v>
      </c>
      <c r="C777">
        <v>1</v>
      </c>
      <c r="D777">
        <v>0</v>
      </c>
      <c r="E777">
        <v>0</v>
      </c>
      <c r="F777">
        <v>0</v>
      </c>
      <c r="G777">
        <v>0</v>
      </c>
      <c r="H777">
        <v>1</v>
      </c>
      <c r="I777">
        <v>1</v>
      </c>
      <c r="L777">
        <v>0</v>
      </c>
      <c r="M777">
        <v>76.394000000000005</v>
      </c>
      <c r="N777">
        <v>15.677</v>
      </c>
    </row>
    <row r="778" spans="1:14" x14ac:dyDescent="0.45">
      <c r="A778">
        <v>1984</v>
      </c>
      <c r="B778" t="s">
        <v>176</v>
      </c>
      <c r="C778">
        <v>1</v>
      </c>
      <c r="D778">
        <v>0</v>
      </c>
      <c r="E778">
        <v>0</v>
      </c>
      <c r="F778">
        <v>1</v>
      </c>
      <c r="G778">
        <v>0</v>
      </c>
      <c r="H778">
        <v>0</v>
      </c>
      <c r="I778">
        <v>0</v>
      </c>
      <c r="L778">
        <v>56.588000000000001</v>
      </c>
      <c r="M778">
        <v>66.433000000000007</v>
      </c>
      <c r="N778">
        <v>42.170999999999999</v>
      </c>
    </row>
    <row r="779" spans="1:14" x14ac:dyDescent="0.45">
      <c r="A779">
        <v>1984</v>
      </c>
      <c r="B779" t="s">
        <v>177</v>
      </c>
      <c r="C779">
        <v>0</v>
      </c>
      <c r="D779">
        <v>0</v>
      </c>
      <c r="E779">
        <v>1</v>
      </c>
      <c r="F779">
        <v>0</v>
      </c>
      <c r="G779">
        <v>0</v>
      </c>
      <c r="H779">
        <v>0</v>
      </c>
      <c r="I779">
        <v>0</v>
      </c>
      <c r="J779">
        <v>2048.1271112199001</v>
      </c>
      <c r="K779">
        <v>1897.4393219901999</v>
      </c>
      <c r="L779">
        <v>79.566000000000003</v>
      </c>
      <c r="M779">
        <v>50.209000000000003</v>
      </c>
      <c r="N779">
        <v>175.864</v>
      </c>
    </row>
    <row r="780" spans="1:14" x14ac:dyDescent="0.45">
      <c r="A780">
        <v>1984</v>
      </c>
      <c r="B780" t="s">
        <v>178</v>
      </c>
      <c r="C780">
        <v>0</v>
      </c>
      <c r="D780">
        <v>0</v>
      </c>
      <c r="E780">
        <v>0</v>
      </c>
      <c r="F780">
        <v>0</v>
      </c>
      <c r="G780">
        <v>0</v>
      </c>
      <c r="H780">
        <v>0</v>
      </c>
      <c r="I780">
        <v>0</v>
      </c>
      <c r="J780">
        <v>5794.83567512838</v>
      </c>
      <c r="K780">
        <v>5717.0880946406096</v>
      </c>
      <c r="L780">
        <v>75.046000000000006</v>
      </c>
      <c r="M780">
        <v>58.341000000000001</v>
      </c>
      <c r="N780">
        <v>120.471</v>
      </c>
    </row>
    <row r="781" spans="1:14" x14ac:dyDescent="0.45">
      <c r="A781">
        <v>1984</v>
      </c>
      <c r="B781" t="s">
        <v>179</v>
      </c>
      <c r="C781">
        <v>0</v>
      </c>
      <c r="D781">
        <v>1</v>
      </c>
      <c r="E781">
        <v>0</v>
      </c>
      <c r="F781">
        <v>1</v>
      </c>
      <c r="G781">
        <v>0</v>
      </c>
      <c r="H781">
        <v>0</v>
      </c>
      <c r="I781">
        <v>0</v>
      </c>
      <c r="J781">
        <v>17863.785373626899</v>
      </c>
      <c r="K781">
        <v>16607.5180862901</v>
      </c>
      <c r="L781">
        <v>31.562999999999999</v>
      </c>
      <c r="M781">
        <v>66.215000000000003</v>
      </c>
      <c r="N781">
        <v>59.597000000000001</v>
      </c>
    </row>
    <row r="782" spans="1:14" x14ac:dyDescent="0.45">
      <c r="A782">
        <v>1984</v>
      </c>
      <c r="B782" t="s">
        <v>180</v>
      </c>
      <c r="C782">
        <v>0</v>
      </c>
      <c r="D782">
        <v>0</v>
      </c>
      <c r="E782">
        <v>0</v>
      </c>
      <c r="F782">
        <v>1</v>
      </c>
      <c r="G782">
        <v>0</v>
      </c>
      <c r="H782">
        <v>0</v>
      </c>
      <c r="I782">
        <v>0</v>
      </c>
      <c r="J782">
        <v>3459.9032400629299</v>
      </c>
      <c r="K782">
        <v>3129.4301908950001</v>
      </c>
      <c r="L782">
        <v>38.825000000000003</v>
      </c>
      <c r="M782">
        <v>61.601999999999997</v>
      </c>
      <c r="N782">
        <v>57.875</v>
      </c>
    </row>
    <row r="783" spans="1:14" x14ac:dyDescent="0.45">
      <c r="A783">
        <v>1984</v>
      </c>
      <c r="B783" t="s">
        <v>181</v>
      </c>
      <c r="C783">
        <v>1</v>
      </c>
      <c r="D783">
        <v>0</v>
      </c>
      <c r="E783">
        <v>0</v>
      </c>
      <c r="F783">
        <v>0</v>
      </c>
      <c r="G783">
        <v>1</v>
      </c>
      <c r="H783">
        <v>0</v>
      </c>
      <c r="I783">
        <v>0</v>
      </c>
      <c r="L783">
        <v>44.723999999999997</v>
      </c>
      <c r="M783">
        <v>70.194999999999993</v>
      </c>
      <c r="N783">
        <v>45.012999999999998</v>
      </c>
    </row>
    <row r="784" spans="1:14" x14ac:dyDescent="0.45">
      <c r="A784">
        <v>1984</v>
      </c>
      <c r="B784" t="s">
        <v>182</v>
      </c>
      <c r="C784">
        <v>0</v>
      </c>
      <c r="D784">
        <v>0</v>
      </c>
      <c r="E784">
        <v>1</v>
      </c>
      <c r="F784">
        <v>0</v>
      </c>
      <c r="G784">
        <v>0</v>
      </c>
      <c r="H784">
        <v>0</v>
      </c>
      <c r="I784">
        <v>0</v>
      </c>
      <c r="J784">
        <v>1315.42462718101</v>
      </c>
      <c r="K784">
        <v>1217.5699021380501</v>
      </c>
      <c r="L784">
        <v>79.512</v>
      </c>
      <c r="M784">
        <v>43.396000000000001</v>
      </c>
      <c r="N784">
        <v>271.98599999999999</v>
      </c>
    </row>
    <row r="785" spans="1:14" x14ac:dyDescent="0.45">
      <c r="A785">
        <v>1984</v>
      </c>
      <c r="B785" t="s">
        <v>183</v>
      </c>
      <c r="C785">
        <v>0</v>
      </c>
      <c r="D785">
        <v>0</v>
      </c>
      <c r="E785">
        <v>0</v>
      </c>
      <c r="F785">
        <v>0</v>
      </c>
      <c r="G785">
        <v>1</v>
      </c>
      <c r="H785">
        <v>0</v>
      </c>
      <c r="I785">
        <v>0</v>
      </c>
      <c r="J785">
        <v>14900.0506356731</v>
      </c>
      <c r="K785">
        <v>12889.273094226701</v>
      </c>
      <c r="L785">
        <v>10.18</v>
      </c>
      <c r="M785">
        <v>73.308999999999997</v>
      </c>
      <c r="N785">
        <v>15.34</v>
      </c>
    </row>
    <row r="786" spans="1:14" x14ac:dyDescent="0.45">
      <c r="A786">
        <v>1984</v>
      </c>
      <c r="B786" t="s">
        <v>184</v>
      </c>
      <c r="C786">
        <v>0</v>
      </c>
      <c r="D786">
        <v>0</v>
      </c>
      <c r="E786">
        <v>0</v>
      </c>
      <c r="F786">
        <v>0</v>
      </c>
      <c r="G786">
        <v>0</v>
      </c>
      <c r="H786">
        <v>0</v>
      </c>
      <c r="I786">
        <v>0</v>
      </c>
      <c r="J786">
        <v>913.10322496079903</v>
      </c>
      <c r="K786">
        <v>731.12461215598</v>
      </c>
      <c r="L786">
        <v>75.787999999999997</v>
      </c>
      <c r="M786">
        <v>55.595999999999997</v>
      </c>
      <c r="N786">
        <v>129.482</v>
      </c>
    </row>
    <row r="787" spans="1:14" x14ac:dyDescent="0.45">
      <c r="A787">
        <v>1984</v>
      </c>
      <c r="B787" t="s">
        <v>185</v>
      </c>
      <c r="C787">
        <v>1</v>
      </c>
      <c r="D787">
        <v>0</v>
      </c>
      <c r="E787">
        <v>0</v>
      </c>
      <c r="F787">
        <v>0</v>
      </c>
      <c r="G787">
        <v>1</v>
      </c>
      <c r="H787">
        <v>0</v>
      </c>
      <c r="I787">
        <v>0</v>
      </c>
      <c r="L787">
        <v>58.795999999999999</v>
      </c>
      <c r="M787">
        <v>72.289000000000001</v>
      </c>
      <c r="N787">
        <v>26.545999999999999</v>
      </c>
    </row>
    <row r="788" spans="1:14" x14ac:dyDescent="0.45">
      <c r="A788">
        <v>1984</v>
      </c>
      <c r="B788" t="s">
        <v>186</v>
      </c>
      <c r="C788">
        <v>0</v>
      </c>
      <c r="D788">
        <v>0</v>
      </c>
      <c r="E788">
        <v>0</v>
      </c>
      <c r="F788">
        <v>1</v>
      </c>
      <c r="G788">
        <v>0</v>
      </c>
      <c r="H788">
        <v>0</v>
      </c>
      <c r="I788">
        <v>0</v>
      </c>
      <c r="J788">
        <v>5555.5109906724301</v>
      </c>
      <c r="K788">
        <v>4280.3873391036404</v>
      </c>
      <c r="L788">
        <v>45.548000000000002</v>
      </c>
      <c r="M788">
        <v>56.146999999999998</v>
      </c>
      <c r="N788">
        <v>136.90299999999999</v>
      </c>
    </row>
    <row r="789" spans="1:14" x14ac:dyDescent="0.45">
      <c r="A789">
        <v>1984</v>
      </c>
      <c r="B789" t="s">
        <v>187</v>
      </c>
      <c r="C789">
        <v>0</v>
      </c>
      <c r="D789">
        <v>0</v>
      </c>
      <c r="E789">
        <v>0</v>
      </c>
      <c r="F789">
        <v>1</v>
      </c>
      <c r="G789">
        <v>0</v>
      </c>
      <c r="H789">
        <v>0</v>
      </c>
      <c r="I789">
        <v>0</v>
      </c>
      <c r="L789">
        <v>11.923999999999999</v>
      </c>
      <c r="M789">
        <v>69.061999999999998</v>
      </c>
      <c r="N789">
        <v>12.86</v>
      </c>
    </row>
    <row r="790" spans="1:14" x14ac:dyDescent="0.45">
      <c r="A790">
        <v>1984</v>
      </c>
      <c r="B790" t="s">
        <v>188</v>
      </c>
      <c r="C790">
        <v>0</v>
      </c>
      <c r="D790">
        <v>0</v>
      </c>
      <c r="E790">
        <v>1</v>
      </c>
      <c r="F790">
        <v>0</v>
      </c>
      <c r="G790">
        <v>0</v>
      </c>
      <c r="H790">
        <v>0</v>
      </c>
      <c r="I790">
        <v>0</v>
      </c>
      <c r="J790">
        <v>606.47223998644904</v>
      </c>
      <c r="K790">
        <v>507.79914923881302</v>
      </c>
      <c r="L790">
        <v>82.828000000000003</v>
      </c>
      <c r="M790">
        <v>38.896999999999998</v>
      </c>
      <c r="N790">
        <v>279.54000000000002</v>
      </c>
    </row>
    <row r="791" spans="1:14" x14ac:dyDescent="0.45">
      <c r="A791">
        <v>1984</v>
      </c>
      <c r="B791" t="s">
        <v>189</v>
      </c>
      <c r="C791">
        <v>0</v>
      </c>
      <c r="D791">
        <v>0</v>
      </c>
      <c r="E791">
        <v>1</v>
      </c>
      <c r="F791">
        <v>0</v>
      </c>
      <c r="G791">
        <v>0</v>
      </c>
      <c r="H791">
        <v>0</v>
      </c>
      <c r="I791">
        <v>0</v>
      </c>
      <c r="J791">
        <v>5712.9175184681399</v>
      </c>
      <c r="K791">
        <v>5054.2945142425497</v>
      </c>
      <c r="L791">
        <v>66.608999999999995</v>
      </c>
      <c r="M791">
        <v>55.195</v>
      </c>
      <c r="N791">
        <v>144.19800000000001</v>
      </c>
    </row>
    <row r="792" spans="1:14" x14ac:dyDescent="0.45">
      <c r="A792">
        <v>1984</v>
      </c>
      <c r="B792" t="s">
        <v>190</v>
      </c>
      <c r="C792">
        <v>0</v>
      </c>
      <c r="D792">
        <v>0</v>
      </c>
      <c r="E792">
        <v>1</v>
      </c>
      <c r="F792">
        <v>1</v>
      </c>
      <c r="G792">
        <v>0</v>
      </c>
      <c r="H792">
        <v>0</v>
      </c>
      <c r="I792">
        <v>0</v>
      </c>
      <c r="J792">
        <v>6292.9276111252902</v>
      </c>
      <c r="K792">
        <v>5906.6971860315398</v>
      </c>
      <c r="L792">
        <v>57.988</v>
      </c>
      <c r="M792">
        <v>68.635999999999996</v>
      </c>
      <c r="N792">
        <v>25.908000000000001</v>
      </c>
    </row>
    <row r="793" spans="1:14" x14ac:dyDescent="0.45">
      <c r="A793">
        <v>1984</v>
      </c>
      <c r="B793" t="s">
        <v>191</v>
      </c>
      <c r="C793">
        <v>0</v>
      </c>
      <c r="D793">
        <v>0</v>
      </c>
      <c r="E793">
        <v>1</v>
      </c>
      <c r="F793">
        <v>0</v>
      </c>
      <c r="G793">
        <v>0</v>
      </c>
      <c r="H793">
        <v>0</v>
      </c>
      <c r="I793">
        <v>0</v>
      </c>
      <c r="J793">
        <v>1166.7227532500001</v>
      </c>
      <c r="K793">
        <v>998.31958795108301</v>
      </c>
      <c r="L793">
        <v>90.069000000000003</v>
      </c>
      <c r="M793">
        <v>44.807000000000002</v>
      </c>
      <c r="N793">
        <v>250.07400000000001</v>
      </c>
    </row>
    <row r="794" spans="1:14" x14ac:dyDescent="0.45">
      <c r="A794">
        <v>1984</v>
      </c>
      <c r="B794" t="s">
        <v>192</v>
      </c>
      <c r="C794">
        <v>0</v>
      </c>
      <c r="D794">
        <v>0</v>
      </c>
      <c r="E794">
        <v>0</v>
      </c>
      <c r="F794">
        <v>1</v>
      </c>
      <c r="G794">
        <v>0</v>
      </c>
      <c r="H794">
        <v>0</v>
      </c>
      <c r="I794">
        <v>0</v>
      </c>
      <c r="J794">
        <v>10691.8582565671</v>
      </c>
      <c r="K794">
        <v>9557.2597347707997</v>
      </c>
      <c r="L794">
        <v>54.881</v>
      </c>
      <c r="M794">
        <v>69.551000000000002</v>
      </c>
      <c r="N794">
        <v>23.280999999999999</v>
      </c>
    </row>
    <row r="795" spans="1:14" x14ac:dyDescent="0.45">
      <c r="A795">
        <v>1984</v>
      </c>
      <c r="B795" t="s">
        <v>193</v>
      </c>
      <c r="C795">
        <v>0</v>
      </c>
      <c r="D795">
        <v>0</v>
      </c>
      <c r="E795">
        <v>1</v>
      </c>
      <c r="F795">
        <v>1</v>
      </c>
      <c r="G795">
        <v>0</v>
      </c>
      <c r="H795">
        <v>0</v>
      </c>
      <c r="I795">
        <v>0</v>
      </c>
      <c r="J795">
        <v>8101.9938547596803</v>
      </c>
      <c r="K795">
        <v>7021.9964892304197</v>
      </c>
      <c r="L795">
        <v>73.887</v>
      </c>
      <c r="M795">
        <v>58.097000000000001</v>
      </c>
      <c r="N795">
        <v>93.599000000000004</v>
      </c>
    </row>
    <row r="796" spans="1:14" x14ac:dyDescent="0.45">
      <c r="A796">
        <v>1984</v>
      </c>
      <c r="B796" t="s">
        <v>194</v>
      </c>
      <c r="C796">
        <v>0</v>
      </c>
      <c r="D796">
        <v>0</v>
      </c>
      <c r="E796">
        <v>0</v>
      </c>
      <c r="F796">
        <v>0</v>
      </c>
      <c r="G796">
        <v>1</v>
      </c>
      <c r="H796">
        <v>0</v>
      </c>
      <c r="I796">
        <v>0</v>
      </c>
      <c r="L796">
        <v>41.317</v>
      </c>
      <c r="M796">
        <v>67.418999999999997</v>
      </c>
      <c r="N796">
        <v>41.636000000000003</v>
      </c>
    </row>
    <row r="797" spans="1:14" x14ac:dyDescent="0.45">
      <c r="A797">
        <v>1984</v>
      </c>
      <c r="B797" t="s">
        <v>195</v>
      </c>
      <c r="C797">
        <v>0</v>
      </c>
      <c r="D797">
        <v>0</v>
      </c>
      <c r="E797">
        <v>1</v>
      </c>
      <c r="F797">
        <v>0</v>
      </c>
      <c r="G797">
        <v>0</v>
      </c>
      <c r="H797">
        <v>0</v>
      </c>
      <c r="I797">
        <v>0</v>
      </c>
      <c r="J797">
        <v>1643.2069937798401</v>
      </c>
      <c r="K797">
        <v>1306.0738035248201</v>
      </c>
      <c r="L797">
        <v>85.688000000000002</v>
      </c>
      <c r="M797">
        <v>39.988999999999997</v>
      </c>
      <c r="N797">
        <v>337.54700000000003</v>
      </c>
    </row>
    <row r="798" spans="1:14" x14ac:dyDescent="0.45">
      <c r="A798">
        <v>1984</v>
      </c>
      <c r="B798" t="s">
        <v>196</v>
      </c>
      <c r="C798">
        <v>0</v>
      </c>
      <c r="D798">
        <v>0</v>
      </c>
      <c r="E798">
        <v>1</v>
      </c>
      <c r="F798">
        <v>0</v>
      </c>
      <c r="G798">
        <v>0</v>
      </c>
      <c r="H798">
        <v>0</v>
      </c>
      <c r="I798">
        <v>0</v>
      </c>
      <c r="J798">
        <v>3626.3397155293701</v>
      </c>
      <c r="K798">
        <v>3206.1730593059301</v>
      </c>
      <c r="L798">
        <v>75.128</v>
      </c>
      <c r="M798">
        <v>46.338999999999999</v>
      </c>
      <c r="N798">
        <v>208.44200000000001</v>
      </c>
    </row>
    <row r="799" spans="1:14" x14ac:dyDescent="0.45">
      <c r="A799">
        <v>1984</v>
      </c>
      <c r="B799" t="s">
        <v>197</v>
      </c>
      <c r="C799">
        <v>0</v>
      </c>
      <c r="D799">
        <v>1</v>
      </c>
      <c r="E799">
        <v>0</v>
      </c>
      <c r="F799">
        <v>1</v>
      </c>
      <c r="G799">
        <v>0</v>
      </c>
      <c r="H799">
        <v>0</v>
      </c>
      <c r="I799">
        <v>0</v>
      </c>
      <c r="J799">
        <v>6085.6535749754903</v>
      </c>
      <c r="K799">
        <v>5125.7339304000798</v>
      </c>
      <c r="L799">
        <v>48.594000000000001</v>
      </c>
      <c r="M799">
        <v>56.125999999999998</v>
      </c>
      <c r="N799">
        <v>108.67100000000001</v>
      </c>
    </row>
    <row r="800" spans="1:14" x14ac:dyDescent="0.45">
      <c r="A800">
        <v>1984</v>
      </c>
      <c r="B800" t="s">
        <v>198</v>
      </c>
      <c r="C800">
        <v>1</v>
      </c>
      <c r="D800">
        <v>0</v>
      </c>
      <c r="E800">
        <v>0</v>
      </c>
      <c r="F800">
        <v>0</v>
      </c>
      <c r="G800">
        <v>0</v>
      </c>
      <c r="H800">
        <v>1</v>
      </c>
      <c r="I800">
        <v>1</v>
      </c>
      <c r="J800">
        <v>36688.863188376999</v>
      </c>
      <c r="K800">
        <v>30970.647954870099</v>
      </c>
      <c r="L800">
        <v>33.680999999999997</v>
      </c>
      <c r="M800">
        <v>76.326999999999998</v>
      </c>
      <c r="N800">
        <v>10.164</v>
      </c>
    </row>
    <row r="801" spans="1:14" x14ac:dyDescent="0.45">
      <c r="A801">
        <v>1984</v>
      </c>
      <c r="B801" t="s">
        <v>199</v>
      </c>
      <c r="C801">
        <v>1</v>
      </c>
      <c r="D801">
        <v>0</v>
      </c>
      <c r="E801">
        <v>0</v>
      </c>
      <c r="F801">
        <v>0</v>
      </c>
      <c r="G801">
        <v>0</v>
      </c>
      <c r="H801">
        <v>1</v>
      </c>
      <c r="I801">
        <v>1</v>
      </c>
      <c r="J801">
        <v>48955.109286951301</v>
      </c>
      <c r="K801">
        <v>36172.323565749299</v>
      </c>
      <c r="L801">
        <v>28.82</v>
      </c>
      <c r="M801">
        <v>76.247</v>
      </c>
      <c r="N801">
        <v>10.430999999999999</v>
      </c>
    </row>
    <row r="802" spans="1:14" x14ac:dyDescent="0.45">
      <c r="A802">
        <v>1984</v>
      </c>
      <c r="B802" t="s">
        <v>200</v>
      </c>
      <c r="C802">
        <v>0</v>
      </c>
      <c r="D802">
        <v>0</v>
      </c>
      <c r="E802">
        <v>0</v>
      </c>
      <c r="F802">
        <v>0</v>
      </c>
      <c r="G802">
        <v>0</v>
      </c>
      <c r="H802">
        <v>0</v>
      </c>
      <c r="I802">
        <v>0</v>
      </c>
      <c r="J802">
        <v>1521.0656820746201</v>
      </c>
      <c r="K802">
        <v>1346.6099781862399</v>
      </c>
      <c r="L802">
        <v>92.879000000000005</v>
      </c>
      <c r="M802">
        <v>50.226999999999997</v>
      </c>
      <c r="N802">
        <v>180.71700000000001</v>
      </c>
    </row>
    <row r="803" spans="1:14" x14ac:dyDescent="0.45">
      <c r="A803">
        <v>1984</v>
      </c>
      <c r="B803" t="s">
        <v>201</v>
      </c>
      <c r="C803">
        <v>0</v>
      </c>
      <c r="D803">
        <v>0</v>
      </c>
      <c r="E803">
        <v>0</v>
      </c>
      <c r="F803">
        <v>0</v>
      </c>
      <c r="G803">
        <v>0</v>
      </c>
      <c r="H803">
        <v>1</v>
      </c>
      <c r="I803">
        <v>1</v>
      </c>
      <c r="J803">
        <v>41647.290588781201</v>
      </c>
      <c r="K803">
        <v>37679.1562908216</v>
      </c>
      <c r="L803">
        <v>0</v>
      </c>
      <c r="M803">
        <v>58.658000000000001</v>
      </c>
      <c r="N803">
        <v>64.23</v>
      </c>
    </row>
    <row r="804" spans="1:14" x14ac:dyDescent="0.45">
      <c r="A804">
        <v>1984</v>
      </c>
      <c r="B804" t="s">
        <v>202</v>
      </c>
      <c r="C804">
        <v>0</v>
      </c>
      <c r="D804">
        <v>0</v>
      </c>
      <c r="E804">
        <v>0</v>
      </c>
      <c r="F804">
        <v>0</v>
      </c>
      <c r="G804">
        <v>0</v>
      </c>
      <c r="H804">
        <v>1</v>
      </c>
      <c r="I804">
        <v>1</v>
      </c>
      <c r="J804">
        <v>27789.759972451498</v>
      </c>
      <c r="K804">
        <v>25276.231763571999</v>
      </c>
      <c r="L804">
        <v>16.367000000000001</v>
      </c>
      <c r="M804">
        <v>74.367000000000004</v>
      </c>
      <c r="N804">
        <v>14.071</v>
      </c>
    </row>
    <row r="805" spans="1:14" x14ac:dyDescent="0.45">
      <c r="A805">
        <v>1984</v>
      </c>
      <c r="B805" t="s">
        <v>203</v>
      </c>
      <c r="C805">
        <v>0</v>
      </c>
      <c r="D805">
        <v>0</v>
      </c>
      <c r="E805">
        <v>0</v>
      </c>
      <c r="F805">
        <v>0</v>
      </c>
      <c r="G805">
        <v>1</v>
      </c>
      <c r="H805">
        <v>0</v>
      </c>
      <c r="I805">
        <v>0</v>
      </c>
      <c r="J805">
        <v>32180.614407887799</v>
      </c>
      <c r="K805">
        <v>27962.398339819301</v>
      </c>
      <c r="L805">
        <v>44.802999999999997</v>
      </c>
      <c r="M805">
        <v>64.272000000000006</v>
      </c>
      <c r="N805">
        <v>73.046000000000006</v>
      </c>
    </row>
    <row r="806" spans="1:14" x14ac:dyDescent="0.45">
      <c r="A806">
        <v>1984</v>
      </c>
      <c r="B806" t="s">
        <v>204</v>
      </c>
      <c r="C806">
        <v>0</v>
      </c>
      <c r="D806">
        <v>0</v>
      </c>
      <c r="E806">
        <v>0</v>
      </c>
      <c r="F806">
        <v>0</v>
      </c>
      <c r="G806">
        <v>0</v>
      </c>
      <c r="H806">
        <v>0</v>
      </c>
      <c r="I806">
        <v>0</v>
      </c>
      <c r="J806">
        <v>2725.6424188742699</v>
      </c>
      <c r="K806">
        <v>2594.5356936292801</v>
      </c>
      <c r="L806">
        <v>70.899000000000001</v>
      </c>
      <c r="M806">
        <v>58.920999999999999</v>
      </c>
      <c r="N806">
        <v>155.548</v>
      </c>
    </row>
    <row r="807" spans="1:14" x14ac:dyDescent="0.45">
      <c r="A807">
        <v>1984</v>
      </c>
      <c r="B807" t="s">
        <v>205</v>
      </c>
      <c r="C807">
        <v>0</v>
      </c>
      <c r="D807">
        <v>1</v>
      </c>
      <c r="E807">
        <v>0</v>
      </c>
      <c r="F807">
        <v>0</v>
      </c>
      <c r="G807">
        <v>1</v>
      </c>
      <c r="H807">
        <v>0</v>
      </c>
      <c r="I807">
        <v>0</v>
      </c>
      <c r="J807">
        <v>14301.8626003191</v>
      </c>
      <c r="K807">
        <v>14996.6189339414</v>
      </c>
      <c r="L807">
        <v>48.195</v>
      </c>
      <c r="M807">
        <v>70.403000000000006</v>
      </c>
      <c r="N807">
        <v>37.503</v>
      </c>
    </row>
    <row r="808" spans="1:14" x14ac:dyDescent="0.45">
      <c r="A808">
        <v>1984</v>
      </c>
      <c r="B808" t="s">
        <v>206</v>
      </c>
      <c r="C808">
        <v>0</v>
      </c>
      <c r="D808">
        <v>1</v>
      </c>
      <c r="E808">
        <v>0</v>
      </c>
      <c r="F808">
        <v>1</v>
      </c>
      <c r="G808">
        <v>0</v>
      </c>
      <c r="H808">
        <v>0</v>
      </c>
      <c r="I808">
        <v>0</v>
      </c>
      <c r="J808">
        <v>7212.3528487748199</v>
      </c>
      <c r="K808">
        <v>6026.5282553577899</v>
      </c>
      <c r="L808">
        <v>33.551000000000002</v>
      </c>
      <c r="M808">
        <v>61.066000000000003</v>
      </c>
      <c r="N808">
        <v>108.672</v>
      </c>
    </row>
    <row r="809" spans="1:14" x14ac:dyDescent="0.45">
      <c r="A809">
        <v>1984</v>
      </c>
      <c r="B809" t="s">
        <v>207</v>
      </c>
      <c r="C809">
        <v>0</v>
      </c>
      <c r="D809">
        <v>0</v>
      </c>
      <c r="E809">
        <v>0</v>
      </c>
      <c r="F809">
        <v>1</v>
      </c>
      <c r="G809">
        <v>0</v>
      </c>
      <c r="H809">
        <v>0</v>
      </c>
      <c r="I809">
        <v>0</v>
      </c>
      <c r="J809">
        <v>4989.4336638334498</v>
      </c>
      <c r="K809">
        <v>4518.4339889432104</v>
      </c>
      <c r="L809">
        <v>58.734000000000002</v>
      </c>
      <c r="M809">
        <v>62.426000000000002</v>
      </c>
      <c r="N809">
        <v>74.540000000000006</v>
      </c>
    </row>
    <row r="810" spans="1:14" x14ac:dyDescent="0.45">
      <c r="A810">
        <v>1984</v>
      </c>
      <c r="B810" t="s">
        <v>208</v>
      </c>
      <c r="C810">
        <v>0</v>
      </c>
      <c r="D810">
        <v>0</v>
      </c>
      <c r="E810">
        <v>0</v>
      </c>
      <c r="F810">
        <v>0</v>
      </c>
      <c r="G810">
        <v>1</v>
      </c>
      <c r="H810">
        <v>0</v>
      </c>
      <c r="I810">
        <v>0</v>
      </c>
      <c r="J810">
        <v>15008.5451230705</v>
      </c>
      <c r="K810">
        <v>13578.537988791901</v>
      </c>
      <c r="L810">
        <v>33.591000000000001</v>
      </c>
      <c r="M810">
        <v>62.637999999999998</v>
      </c>
      <c r="N810">
        <v>40.406999999999996</v>
      </c>
    </row>
    <row r="811" spans="1:14" x14ac:dyDescent="0.45">
      <c r="A811">
        <v>1984</v>
      </c>
      <c r="B811" t="s">
        <v>209</v>
      </c>
      <c r="C811">
        <v>0</v>
      </c>
      <c r="D811">
        <v>0</v>
      </c>
      <c r="E811">
        <v>0</v>
      </c>
      <c r="F811">
        <v>1</v>
      </c>
      <c r="G811">
        <v>0</v>
      </c>
      <c r="H811">
        <v>0</v>
      </c>
      <c r="I811">
        <v>0</v>
      </c>
      <c r="J811">
        <v>3185.31270992902</v>
      </c>
      <c r="K811">
        <v>2881.4381645528601</v>
      </c>
      <c r="L811">
        <v>86.194000000000003</v>
      </c>
      <c r="M811">
        <v>58.582999999999998</v>
      </c>
      <c r="N811">
        <v>95.866</v>
      </c>
    </row>
    <row r="812" spans="1:14" x14ac:dyDescent="0.45">
      <c r="A812">
        <v>1984</v>
      </c>
      <c r="B812" t="s">
        <v>210</v>
      </c>
      <c r="C812">
        <v>1</v>
      </c>
      <c r="D812">
        <v>0</v>
      </c>
      <c r="E812">
        <v>0</v>
      </c>
      <c r="F812">
        <v>1</v>
      </c>
      <c r="G812">
        <v>0</v>
      </c>
      <c r="H812">
        <v>0</v>
      </c>
      <c r="I812">
        <v>0</v>
      </c>
      <c r="J812">
        <v>11328.8679519909</v>
      </c>
      <c r="K812">
        <v>9778.7509985494908</v>
      </c>
      <c r="L812">
        <v>40.427</v>
      </c>
      <c r="M812">
        <v>70.602000000000004</v>
      </c>
      <c r="N812">
        <v>24.963000000000001</v>
      </c>
    </row>
    <row r="813" spans="1:14" x14ac:dyDescent="0.45">
      <c r="A813">
        <v>1984</v>
      </c>
      <c r="B813" t="s">
        <v>211</v>
      </c>
      <c r="C813">
        <v>0</v>
      </c>
      <c r="D813">
        <v>1</v>
      </c>
      <c r="E813">
        <v>0</v>
      </c>
      <c r="F813">
        <v>0</v>
      </c>
      <c r="G813">
        <v>1</v>
      </c>
      <c r="H813">
        <v>0</v>
      </c>
      <c r="I813">
        <v>0</v>
      </c>
      <c r="J813">
        <v>20452.7527587312</v>
      </c>
      <c r="K813">
        <v>15712.637744326899</v>
      </c>
      <c r="L813">
        <v>18.315999999999999</v>
      </c>
      <c r="M813">
        <v>73.427000000000007</v>
      </c>
      <c r="N813">
        <v>24.141999999999999</v>
      </c>
    </row>
    <row r="814" spans="1:14" x14ac:dyDescent="0.45">
      <c r="A814">
        <v>1984</v>
      </c>
      <c r="B814" t="s">
        <v>212</v>
      </c>
      <c r="C814">
        <v>0</v>
      </c>
      <c r="D814">
        <v>0</v>
      </c>
      <c r="E814">
        <v>0</v>
      </c>
      <c r="F814">
        <v>1</v>
      </c>
      <c r="G814">
        <v>0</v>
      </c>
      <c r="H814">
        <v>0</v>
      </c>
      <c r="I814">
        <v>0</v>
      </c>
      <c r="L814">
        <v>42.505000000000003</v>
      </c>
      <c r="M814">
        <v>68.881</v>
      </c>
      <c r="N814">
        <v>37.246000000000002</v>
      </c>
    </row>
    <row r="815" spans="1:14" x14ac:dyDescent="0.45">
      <c r="A815">
        <v>1984</v>
      </c>
      <c r="B815" t="s">
        <v>213</v>
      </c>
      <c r="C815">
        <v>1</v>
      </c>
      <c r="D815">
        <v>0</v>
      </c>
      <c r="E815">
        <v>0</v>
      </c>
      <c r="F815">
        <v>0</v>
      </c>
      <c r="G815">
        <v>1</v>
      </c>
      <c r="H815">
        <v>0</v>
      </c>
      <c r="I815">
        <v>0</v>
      </c>
      <c r="J815">
        <v>21741.7099200952</v>
      </c>
      <c r="K815">
        <v>18793.166486519902</v>
      </c>
      <c r="L815">
        <v>55.222999999999999</v>
      </c>
      <c r="M815">
        <v>72.933999999999997</v>
      </c>
      <c r="N815">
        <v>20.721</v>
      </c>
    </row>
    <row r="816" spans="1:14" x14ac:dyDescent="0.45">
      <c r="A816">
        <v>1984</v>
      </c>
      <c r="B816" t="s">
        <v>214</v>
      </c>
      <c r="C816">
        <v>0</v>
      </c>
      <c r="D816">
        <v>1</v>
      </c>
      <c r="E816">
        <v>0</v>
      </c>
      <c r="F816">
        <v>1</v>
      </c>
      <c r="G816">
        <v>0</v>
      </c>
      <c r="H816">
        <v>0</v>
      </c>
      <c r="I816">
        <v>0</v>
      </c>
      <c r="J816">
        <v>8564.2087348452897</v>
      </c>
      <c r="K816">
        <v>7813.4619317795496</v>
      </c>
      <c r="L816">
        <v>55.753</v>
      </c>
      <c r="M816">
        <v>65.608999999999995</v>
      </c>
      <c r="N816">
        <v>56.570999999999998</v>
      </c>
    </row>
    <row r="817" spans="1:14" x14ac:dyDescent="0.45">
      <c r="A817">
        <v>1984</v>
      </c>
      <c r="B817" t="s">
        <v>215</v>
      </c>
      <c r="C817">
        <v>0</v>
      </c>
      <c r="D817">
        <v>0</v>
      </c>
      <c r="E817">
        <v>0</v>
      </c>
      <c r="F817">
        <v>1</v>
      </c>
      <c r="G817">
        <v>0</v>
      </c>
      <c r="H817">
        <v>0</v>
      </c>
      <c r="I817">
        <v>0</v>
      </c>
      <c r="L817">
        <v>35.439</v>
      </c>
      <c r="M817">
        <v>64.73</v>
      </c>
      <c r="N817">
        <v>62.012999999999998</v>
      </c>
    </row>
    <row r="818" spans="1:14" x14ac:dyDescent="0.45">
      <c r="A818">
        <v>1984</v>
      </c>
      <c r="B818" t="s">
        <v>216</v>
      </c>
      <c r="C818">
        <v>0</v>
      </c>
      <c r="D818">
        <v>0</v>
      </c>
      <c r="E818">
        <v>0</v>
      </c>
      <c r="F818">
        <v>0</v>
      </c>
      <c r="G818">
        <v>0</v>
      </c>
      <c r="H818">
        <v>1</v>
      </c>
      <c r="I818">
        <v>1</v>
      </c>
      <c r="L818">
        <v>41.256999999999998</v>
      </c>
      <c r="M818">
        <v>70.558999999999997</v>
      </c>
      <c r="N818">
        <v>31.997</v>
      </c>
    </row>
    <row r="819" spans="1:14" x14ac:dyDescent="0.45">
      <c r="A819">
        <v>1984</v>
      </c>
      <c r="B819" t="s">
        <v>217</v>
      </c>
      <c r="C819">
        <v>0</v>
      </c>
      <c r="D819">
        <v>0</v>
      </c>
      <c r="E819">
        <v>0</v>
      </c>
      <c r="F819">
        <v>0</v>
      </c>
      <c r="G819">
        <v>0</v>
      </c>
      <c r="H819">
        <v>1</v>
      </c>
      <c r="I819">
        <v>1</v>
      </c>
      <c r="J819">
        <v>76097.166619020994</v>
      </c>
      <c r="K819">
        <v>65709.740675805093</v>
      </c>
      <c r="L819">
        <v>10.044</v>
      </c>
      <c r="M819">
        <v>71.465000000000003</v>
      </c>
      <c r="N819">
        <v>29.643000000000001</v>
      </c>
    </row>
    <row r="820" spans="1:14" x14ac:dyDescent="0.45">
      <c r="A820">
        <v>1984</v>
      </c>
      <c r="B820" t="s">
        <v>218</v>
      </c>
      <c r="C820">
        <v>1</v>
      </c>
      <c r="D820">
        <v>0</v>
      </c>
      <c r="E820">
        <v>0</v>
      </c>
      <c r="F820">
        <v>0</v>
      </c>
      <c r="G820">
        <v>1</v>
      </c>
      <c r="H820">
        <v>0</v>
      </c>
      <c r="I820">
        <v>0</v>
      </c>
      <c r="J820">
        <v>16349.380987090601</v>
      </c>
      <c r="K820">
        <v>13289.366508945401</v>
      </c>
      <c r="L820">
        <v>51.073999999999998</v>
      </c>
      <c r="M820">
        <v>69.906999999999996</v>
      </c>
      <c r="N820">
        <v>31.161999999999999</v>
      </c>
    </row>
    <row r="821" spans="1:14" x14ac:dyDescent="0.45">
      <c r="A821">
        <v>1984</v>
      </c>
      <c r="B821" t="s">
        <v>219</v>
      </c>
      <c r="C821">
        <v>1</v>
      </c>
      <c r="D821">
        <v>0</v>
      </c>
      <c r="E821">
        <v>0</v>
      </c>
      <c r="F821">
        <v>0</v>
      </c>
      <c r="G821">
        <v>1</v>
      </c>
      <c r="H821">
        <v>0</v>
      </c>
      <c r="I821">
        <v>0</v>
      </c>
      <c r="L821">
        <v>28.503</v>
      </c>
      <c r="M821">
        <v>67.572000000000003</v>
      </c>
      <c r="N821">
        <v>25.978999999999999</v>
      </c>
    </row>
    <row r="822" spans="1:14" x14ac:dyDescent="0.45">
      <c r="A822">
        <v>1984</v>
      </c>
      <c r="B822" t="s">
        <v>220</v>
      </c>
      <c r="C822">
        <v>0</v>
      </c>
      <c r="D822">
        <v>0</v>
      </c>
      <c r="E822">
        <v>1</v>
      </c>
      <c r="F822">
        <v>0</v>
      </c>
      <c r="G822">
        <v>0</v>
      </c>
      <c r="H822">
        <v>0</v>
      </c>
      <c r="I822">
        <v>0</v>
      </c>
      <c r="J822">
        <v>1364.72449423583</v>
      </c>
      <c r="K822">
        <v>1142.0749568527399</v>
      </c>
      <c r="L822">
        <v>95.012</v>
      </c>
      <c r="M822">
        <v>51.445</v>
      </c>
      <c r="N822">
        <v>170.20099999999999</v>
      </c>
    </row>
    <row r="823" spans="1:14" x14ac:dyDescent="0.45">
      <c r="A823">
        <v>1984</v>
      </c>
      <c r="B823" t="s">
        <v>221</v>
      </c>
      <c r="C823">
        <v>0</v>
      </c>
      <c r="D823">
        <v>0</v>
      </c>
      <c r="E823">
        <v>0</v>
      </c>
      <c r="F823">
        <v>0</v>
      </c>
      <c r="G823">
        <v>0</v>
      </c>
      <c r="H823">
        <v>1</v>
      </c>
      <c r="I823">
        <v>1</v>
      </c>
      <c r="J823">
        <v>86101.849768141707</v>
      </c>
      <c r="K823">
        <v>78936.285132259494</v>
      </c>
      <c r="L823">
        <v>28.64</v>
      </c>
      <c r="M823">
        <v>65.391000000000005</v>
      </c>
      <c r="N823">
        <v>69.965999999999994</v>
      </c>
    </row>
    <row r="824" spans="1:14" x14ac:dyDescent="0.45">
      <c r="A824">
        <v>1984</v>
      </c>
      <c r="B824" t="s">
        <v>222</v>
      </c>
      <c r="C824">
        <v>0</v>
      </c>
      <c r="D824">
        <v>0</v>
      </c>
      <c r="E824">
        <v>1</v>
      </c>
      <c r="F824">
        <v>0</v>
      </c>
      <c r="G824">
        <v>0</v>
      </c>
      <c r="H824">
        <v>0</v>
      </c>
      <c r="I824">
        <v>0</v>
      </c>
      <c r="J824">
        <v>2337.9476084774501</v>
      </c>
      <c r="K824">
        <v>2448.13946117246</v>
      </c>
      <c r="L824">
        <v>78.096999999999994</v>
      </c>
      <c r="M824">
        <v>49.807000000000002</v>
      </c>
      <c r="N824">
        <v>180.33</v>
      </c>
    </row>
    <row r="825" spans="1:14" x14ac:dyDescent="0.45">
      <c r="A825">
        <v>1984</v>
      </c>
      <c r="B825" t="s">
        <v>223</v>
      </c>
      <c r="C825">
        <v>0</v>
      </c>
      <c r="D825">
        <v>0</v>
      </c>
      <c r="E825">
        <v>1</v>
      </c>
      <c r="F825">
        <v>1</v>
      </c>
      <c r="G825">
        <v>0</v>
      </c>
      <c r="H825">
        <v>0</v>
      </c>
      <c r="I825">
        <v>0</v>
      </c>
      <c r="J825">
        <v>2862.0277895654499</v>
      </c>
      <c r="K825">
        <v>2391.0496599797598</v>
      </c>
      <c r="L825">
        <v>62.808999999999997</v>
      </c>
      <c r="M825">
        <v>51.694000000000003</v>
      </c>
      <c r="N825">
        <v>178.63499999999999</v>
      </c>
    </row>
    <row r="826" spans="1:14" x14ac:dyDescent="0.45">
      <c r="A826">
        <v>1984</v>
      </c>
      <c r="B826" t="s">
        <v>224</v>
      </c>
      <c r="C826">
        <v>0</v>
      </c>
      <c r="D826">
        <v>0</v>
      </c>
      <c r="E826">
        <v>0</v>
      </c>
      <c r="F826">
        <v>0</v>
      </c>
      <c r="G826">
        <v>0</v>
      </c>
      <c r="H826">
        <v>1</v>
      </c>
      <c r="I826">
        <v>1</v>
      </c>
      <c r="J826">
        <v>33478.8221750987</v>
      </c>
      <c r="K826">
        <v>27520.841028703999</v>
      </c>
      <c r="L826">
        <v>0</v>
      </c>
      <c r="M826">
        <v>72.602999999999994</v>
      </c>
      <c r="N826">
        <v>11.68</v>
      </c>
    </row>
    <row r="827" spans="1:14" x14ac:dyDescent="0.45">
      <c r="A827">
        <v>1984</v>
      </c>
      <c r="B827" t="s">
        <v>225</v>
      </c>
      <c r="C827">
        <v>0</v>
      </c>
      <c r="D827">
        <v>0</v>
      </c>
      <c r="E827">
        <v>0</v>
      </c>
      <c r="F827">
        <v>0</v>
      </c>
      <c r="G827">
        <v>0</v>
      </c>
      <c r="H827">
        <v>0</v>
      </c>
      <c r="I827">
        <v>0</v>
      </c>
      <c r="J827">
        <v>2582.24828417355</v>
      </c>
      <c r="K827">
        <v>2335.8319736899798</v>
      </c>
      <c r="L827">
        <v>87.959000000000003</v>
      </c>
      <c r="M827">
        <v>65.049000000000007</v>
      </c>
      <c r="N827">
        <v>45.317</v>
      </c>
    </row>
    <row r="828" spans="1:14" x14ac:dyDescent="0.45">
      <c r="A828">
        <v>1984</v>
      </c>
      <c r="B828" t="s">
        <v>226</v>
      </c>
      <c r="C828">
        <v>0</v>
      </c>
      <c r="D828">
        <v>0</v>
      </c>
      <c r="E828">
        <v>1</v>
      </c>
      <c r="F828">
        <v>0</v>
      </c>
      <c r="G828">
        <v>0</v>
      </c>
      <c r="H828">
        <v>0</v>
      </c>
      <c r="I828">
        <v>0</v>
      </c>
      <c r="J828">
        <v>3130.14375099475</v>
      </c>
      <c r="K828">
        <v>2841.13939575513</v>
      </c>
      <c r="L828">
        <v>68.444999999999993</v>
      </c>
      <c r="M828">
        <v>43.561</v>
      </c>
      <c r="N828">
        <v>275.43200000000002</v>
      </c>
    </row>
    <row r="829" spans="1:14" x14ac:dyDescent="0.45">
      <c r="A829">
        <v>1984</v>
      </c>
      <c r="B829" t="s">
        <v>227</v>
      </c>
      <c r="C829">
        <v>0</v>
      </c>
      <c r="D829">
        <v>1</v>
      </c>
      <c r="E829">
        <v>0</v>
      </c>
      <c r="F829">
        <v>1</v>
      </c>
      <c r="G829">
        <v>0</v>
      </c>
      <c r="H829">
        <v>0</v>
      </c>
      <c r="I829">
        <v>0</v>
      </c>
      <c r="J829">
        <v>6245.3184926903596</v>
      </c>
      <c r="K829">
        <v>5563.0199166537896</v>
      </c>
      <c r="L829">
        <v>53.84</v>
      </c>
      <c r="M829">
        <v>56.570999999999998</v>
      </c>
      <c r="N829">
        <v>113.175</v>
      </c>
    </row>
    <row r="830" spans="1:14" x14ac:dyDescent="0.45">
      <c r="A830">
        <v>1984</v>
      </c>
      <c r="B830" t="s">
        <v>228</v>
      </c>
      <c r="C830">
        <v>1</v>
      </c>
      <c r="D830">
        <v>0</v>
      </c>
      <c r="E830">
        <v>0</v>
      </c>
      <c r="F830">
        <v>0</v>
      </c>
      <c r="G830">
        <v>0</v>
      </c>
      <c r="H830">
        <v>1</v>
      </c>
      <c r="I830">
        <v>1</v>
      </c>
      <c r="L830">
        <v>12.904999999999999</v>
      </c>
      <c r="M830">
        <v>77.162000000000006</v>
      </c>
      <c r="N830">
        <v>11.628</v>
      </c>
    </row>
    <row r="831" spans="1:14" x14ac:dyDescent="0.45">
      <c r="A831">
        <v>1984</v>
      </c>
      <c r="B831" t="s">
        <v>229</v>
      </c>
      <c r="C831">
        <v>0</v>
      </c>
      <c r="D831">
        <v>0</v>
      </c>
      <c r="E831">
        <v>1</v>
      </c>
      <c r="F831">
        <v>0</v>
      </c>
      <c r="G831">
        <v>0</v>
      </c>
      <c r="H831">
        <v>0</v>
      </c>
      <c r="I831">
        <v>0</v>
      </c>
      <c r="J831">
        <v>664.82839722281005</v>
      </c>
      <c r="K831">
        <v>616.65113091940998</v>
      </c>
      <c r="L831">
        <v>72.195999999999998</v>
      </c>
      <c r="M831">
        <v>48.438000000000002</v>
      </c>
      <c r="N831">
        <v>192.92</v>
      </c>
    </row>
    <row r="832" spans="1:14" x14ac:dyDescent="0.45">
      <c r="A832">
        <v>1984</v>
      </c>
      <c r="B832" t="s">
        <v>230</v>
      </c>
      <c r="C832">
        <v>1</v>
      </c>
      <c r="D832">
        <v>0</v>
      </c>
      <c r="E832">
        <v>0</v>
      </c>
      <c r="F832">
        <v>0</v>
      </c>
      <c r="G832">
        <v>1</v>
      </c>
      <c r="H832">
        <v>0</v>
      </c>
      <c r="I832">
        <v>0</v>
      </c>
      <c r="L832">
        <v>52.067999999999998</v>
      </c>
      <c r="M832">
        <v>71.156000000000006</v>
      </c>
      <c r="N832">
        <v>23.818999999999999</v>
      </c>
    </row>
    <row r="833" spans="1:14" x14ac:dyDescent="0.45">
      <c r="A833">
        <v>1984</v>
      </c>
      <c r="B833" t="s">
        <v>231</v>
      </c>
      <c r="C833">
        <v>0</v>
      </c>
      <c r="D833">
        <v>0</v>
      </c>
      <c r="E833">
        <v>1</v>
      </c>
      <c r="F833">
        <v>1</v>
      </c>
      <c r="G833">
        <v>0</v>
      </c>
      <c r="H833">
        <v>0</v>
      </c>
      <c r="I833">
        <v>0</v>
      </c>
      <c r="L833">
        <v>90.739000000000004</v>
      </c>
      <c r="M833">
        <v>31.788</v>
      </c>
      <c r="N833">
        <v>297.78899999999999</v>
      </c>
    </row>
    <row r="834" spans="1:14" x14ac:dyDescent="0.45">
      <c r="A834">
        <v>1984</v>
      </c>
      <c r="B834" t="s">
        <v>232</v>
      </c>
      <c r="C834">
        <v>0</v>
      </c>
      <c r="D834">
        <v>0</v>
      </c>
      <c r="E834">
        <v>1</v>
      </c>
      <c r="F834">
        <v>0</v>
      </c>
      <c r="G834">
        <v>0</v>
      </c>
      <c r="H834">
        <v>0</v>
      </c>
      <c r="I834">
        <v>0</v>
      </c>
      <c r="J834">
        <v>4627.1346609189604</v>
      </c>
      <c r="K834">
        <v>2879.8558821596198</v>
      </c>
      <c r="L834">
        <v>63.036999999999999</v>
      </c>
      <c r="M834">
        <v>59.893000000000001</v>
      </c>
      <c r="N834">
        <v>123.655</v>
      </c>
    </row>
    <row r="835" spans="1:14" x14ac:dyDescent="0.45">
      <c r="A835">
        <v>1984</v>
      </c>
      <c r="B835" t="s">
        <v>233</v>
      </c>
      <c r="C835">
        <v>0</v>
      </c>
      <c r="D835">
        <v>1</v>
      </c>
      <c r="E835">
        <v>0</v>
      </c>
      <c r="F835">
        <v>0</v>
      </c>
      <c r="G835">
        <v>1</v>
      </c>
      <c r="H835">
        <v>0</v>
      </c>
      <c r="I835">
        <v>0</v>
      </c>
      <c r="J835">
        <v>17389.196426747501</v>
      </c>
      <c r="K835">
        <v>13841.446074674501</v>
      </c>
      <c r="L835">
        <v>34.741</v>
      </c>
      <c r="M835">
        <v>61.210999999999999</v>
      </c>
      <c r="N835">
        <v>54.674999999999997</v>
      </c>
    </row>
    <row r="836" spans="1:14" x14ac:dyDescent="0.45">
      <c r="A836">
        <v>1984</v>
      </c>
      <c r="B836" t="s">
        <v>234</v>
      </c>
      <c r="C836">
        <v>1</v>
      </c>
      <c r="D836">
        <v>0</v>
      </c>
      <c r="E836">
        <v>0</v>
      </c>
      <c r="F836">
        <v>0</v>
      </c>
      <c r="G836">
        <v>1</v>
      </c>
      <c r="H836">
        <v>0</v>
      </c>
      <c r="I836">
        <v>0</v>
      </c>
      <c r="L836">
        <v>46.289000000000001</v>
      </c>
      <c r="M836">
        <v>70.709999999999994</v>
      </c>
      <c r="N836">
        <v>19.407</v>
      </c>
    </row>
    <row r="837" spans="1:14" x14ac:dyDescent="0.45">
      <c r="A837">
        <v>1984</v>
      </c>
      <c r="B837" t="s">
        <v>235</v>
      </c>
      <c r="C837">
        <v>1</v>
      </c>
      <c r="D837">
        <v>0</v>
      </c>
      <c r="E837">
        <v>0</v>
      </c>
      <c r="F837">
        <v>0</v>
      </c>
      <c r="G837">
        <v>1</v>
      </c>
      <c r="H837">
        <v>0</v>
      </c>
      <c r="I837">
        <v>0</v>
      </c>
      <c r="L837">
        <v>50.576000000000001</v>
      </c>
      <c r="M837">
        <v>71.332999999999998</v>
      </c>
      <c r="N837">
        <v>15.54</v>
      </c>
    </row>
    <row r="838" spans="1:14" x14ac:dyDescent="0.45">
      <c r="A838">
        <v>1984</v>
      </c>
      <c r="B838" t="s">
        <v>236</v>
      </c>
      <c r="C838">
        <v>1</v>
      </c>
      <c r="D838">
        <v>0</v>
      </c>
      <c r="E838">
        <v>0</v>
      </c>
      <c r="F838">
        <v>0</v>
      </c>
      <c r="G838">
        <v>0</v>
      </c>
      <c r="H838">
        <v>1</v>
      </c>
      <c r="I838">
        <v>1</v>
      </c>
      <c r="J838">
        <v>34314.325821423801</v>
      </c>
      <c r="K838">
        <v>29311.930279747699</v>
      </c>
      <c r="L838">
        <v>16.899999999999999</v>
      </c>
      <c r="M838">
        <v>76.840999999999994</v>
      </c>
      <c r="N838">
        <v>7.3680000000000003</v>
      </c>
    </row>
    <row r="839" spans="1:14" x14ac:dyDescent="0.45">
      <c r="A839">
        <v>1984</v>
      </c>
      <c r="B839" t="s">
        <v>237</v>
      </c>
      <c r="C839">
        <v>0</v>
      </c>
      <c r="D839">
        <v>0</v>
      </c>
      <c r="E839">
        <v>1</v>
      </c>
      <c r="F839">
        <v>1</v>
      </c>
      <c r="G839">
        <v>0</v>
      </c>
      <c r="H839">
        <v>0</v>
      </c>
      <c r="I839">
        <v>0</v>
      </c>
      <c r="J839">
        <v>4115.7297180491896</v>
      </c>
      <c r="K839">
        <v>3644.4794193306002</v>
      </c>
      <c r="L839">
        <v>82.102999999999994</v>
      </c>
      <c r="M839">
        <v>60.439</v>
      </c>
      <c r="N839">
        <v>92.141000000000005</v>
      </c>
    </row>
    <row r="840" spans="1:14" x14ac:dyDescent="0.45">
      <c r="A840">
        <v>1984</v>
      </c>
      <c r="B840" t="s">
        <v>238</v>
      </c>
      <c r="C840">
        <v>0</v>
      </c>
      <c r="D840">
        <v>1</v>
      </c>
      <c r="E840">
        <v>0</v>
      </c>
      <c r="F840">
        <v>0</v>
      </c>
      <c r="G840">
        <v>0</v>
      </c>
      <c r="H840">
        <v>1</v>
      </c>
      <c r="I840">
        <v>1</v>
      </c>
      <c r="L840">
        <v>0</v>
      </c>
      <c r="M840">
        <v>72.28</v>
      </c>
      <c r="N840">
        <v>25.881</v>
      </c>
    </row>
    <row r="841" spans="1:14" x14ac:dyDescent="0.45">
      <c r="A841">
        <v>1984</v>
      </c>
      <c r="B841" t="s">
        <v>239</v>
      </c>
      <c r="C841">
        <v>0</v>
      </c>
      <c r="D841">
        <v>0</v>
      </c>
      <c r="E841">
        <v>1</v>
      </c>
      <c r="F841">
        <v>0</v>
      </c>
      <c r="G841">
        <v>1</v>
      </c>
      <c r="H841">
        <v>0</v>
      </c>
      <c r="I841">
        <v>0</v>
      </c>
      <c r="J841">
        <v>11784.433178634399</v>
      </c>
      <c r="K841">
        <v>11440.915536946301</v>
      </c>
      <c r="L841">
        <v>50.692999999999998</v>
      </c>
      <c r="M841">
        <v>69.468000000000004</v>
      </c>
      <c r="N841">
        <v>21.981000000000002</v>
      </c>
    </row>
    <row r="842" spans="1:14" x14ac:dyDescent="0.45">
      <c r="A842">
        <v>1984</v>
      </c>
      <c r="B842" t="s">
        <v>240</v>
      </c>
      <c r="C842">
        <v>0</v>
      </c>
      <c r="D842">
        <v>0</v>
      </c>
      <c r="E842">
        <v>0</v>
      </c>
      <c r="F842">
        <v>1</v>
      </c>
      <c r="G842">
        <v>0</v>
      </c>
      <c r="H842">
        <v>0</v>
      </c>
      <c r="I842">
        <v>0</v>
      </c>
      <c r="J842">
        <v>7437.3659506382301</v>
      </c>
      <c r="K842">
        <v>4878.3723225921503</v>
      </c>
      <c r="L842">
        <v>52.316000000000003</v>
      </c>
      <c r="M842">
        <v>67.722999999999999</v>
      </c>
      <c r="N842">
        <v>48.512</v>
      </c>
    </row>
    <row r="843" spans="1:14" x14ac:dyDescent="0.45">
      <c r="A843">
        <v>1984</v>
      </c>
      <c r="B843" t="s">
        <v>241</v>
      </c>
      <c r="C843">
        <v>0</v>
      </c>
      <c r="D843">
        <v>1</v>
      </c>
      <c r="E843">
        <v>0</v>
      </c>
      <c r="F843">
        <v>0</v>
      </c>
      <c r="G843">
        <v>0</v>
      </c>
      <c r="H843">
        <v>1</v>
      </c>
      <c r="I843">
        <v>1</v>
      </c>
      <c r="L843">
        <v>36.515999999999998</v>
      </c>
      <c r="M843">
        <v>68.385999999999996</v>
      </c>
      <c r="N843">
        <v>27.28</v>
      </c>
    </row>
    <row r="844" spans="1:14" x14ac:dyDescent="0.45">
      <c r="A844">
        <v>1984</v>
      </c>
      <c r="B844" t="s">
        <v>242</v>
      </c>
      <c r="C844">
        <v>0</v>
      </c>
      <c r="D844">
        <v>0</v>
      </c>
      <c r="E844">
        <v>1</v>
      </c>
      <c r="F844">
        <v>0</v>
      </c>
      <c r="G844">
        <v>0</v>
      </c>
      <c r="H844">
        <v>0</v>
      </c>
      <c r="I844">
        <v>0</v>
      </c>
      <c r="J844">
        <v>1413.88718751737</v>
      </c>
      <c r="K844">
        <v>1187.71639000347</v>
      </c>
      <c r="L844">
        <v>80.421999999999997</v>
      </c>
      <c r="M844">
        <v>44.731999999999999</v>
      </c>
      <c r="N844">
        <v>231.584</v>
      </c>
    </row>
    <row r="845" spans="1:14" x14ac:dyDescent="0.45">
      <c r="A845">
        <v>1984</v>
      </c>
      <c r="B845" t="s">
        <v>243</v>
      </c>
      <c r="C845">
        <v>0</v>
      </c>
      <c r="D845">
        <v>0</v>
      </c>
      <c r="E845">
        <v>1</v>
      </c>
      <c r="F845">
        <v>0</v>
      </c>
      <c r="G845">
        <v>0</v>
      </c>
      <c r="H845">
        <v>0</v>
      </c>
      <c r="I845">
        <v>0</v>
      </c>
      <c r="J845">
        <v>2080.3771486760202</v>
      </c>
      <c r="K845">
        <v>1728.8719304357401</v>
      </c>
      <c r="L845">
        <v>73.831000000000003</v>
      </c>
      <c r="M845">
        <v>54.094000000000001</v>
      </c>
      <c r="N845">
        <v>164.44900000000001</v>
      </c>
    </row>
    <row r="846" spans="1:14" x14ac:dyDescent="0.45">
      <c r="A846">
        <v>1984</v>
      </c>
      <c r="B846" t="s">
        <v>244</v>
      </c>
      <c r="C846">
        <v>0</v>
      </c>
      <c r="D846">
        <v>0</v>
      </c>
      <c r="E846">
        <v>0</v>
      </c>
      <c r="F846">
        <v>1</v>
      </c>
      <c r="G846">
        <v>0</v>
      </c>
      <c r="H846">
        <v>0</v>
      </c>
      <c r="I846">
        <v>0</v>
      </c>
      <c r="J846">
        <v>5974.5162415570503</v>
      </c>
      <c r="K846">
        <v>5224.8762130400601</v>
      </c>
      <c r="L846">
        <v>72.168000000000006</v>
      </c>
      <c r="M846">
        <v>65.55</v>
      </c>
      <c r="N846">
        <v>50.561</v>
      </c>
    </row>
    <row r="847" spans="1:14" x14ac:dyDescent="0.45">
      <c r="A847">
        <v>1984</v>
      </c>
      <c r="B847" t="s">
        <v>245</v>
      </c>
      <c r="C847">
        <v>1</v>
      </c>
      <c r="D847">
        <v>0</v>
      </c>
      <c r="E847">
        <v>0</v>
      </c>
      <c r="F847">
        <v>1</v>
      </c>
      <c r="G847">
        <v>0</v>
      </c>
      <c r="H847">
        <v>0</v>
      </c>
      <c r="I847">
        <v>0</v>
      </c>
      <c r="L847">
        <v>66.555000000000007</v>
      </c>
      <c r="M847">
        <v>60.69</v>
      </c>
      <c r="N847">
        <v>121.955</v>
      </c>
    </row>
    <row r="848" spans="1:14" x14ac:dyDescent="0.45">
      <c r="A848">
        <v>1984</v>
      </c>
      <c r="B848" t="s">
        <v>246</v>
      </c>
      <c r="C848">
        <v>1</v>
      </c>
      <c r="D848">
        <v>0</v>
      </c>
      <c r="E848">
        <v>0</v>
      </c>
      <c r="F848">
        <v>1</v>
      </c>
      <c r="G848">
        <v>0</v>
      </c>
      <c r="H848">
        <v>0</v>
      </c>
      <c r="I848">
        <v>0</v>
      </c>
      <c r="L848">
        <v>53.804000000000002</v>
      </c>
      <c r="M848">
        <v>62.363999999999997</v>
      </c>
      <c r="N848">
        <v>97.436000000000007</v>
      </c>
    </row>
    <row r="849" spans="1:14" x14ac:dyDescent="0.45">
      <c r="A849">
        <v>1984</v>
      </c>
      <c r="B849" t="s">
        <v>247</v>
      </c>
      <c r="C849">
        <v>0</v>
      </c>
      <c r="D849">
        <v>0</v>
      </c>
      <c r="E849">
        <v>0</v>
      </c>
      <c r="F849">
        <v>0</v>
      </c>
      <c r="G849">
        <v>0</v>
      </c>
      <c r="H849">
        <v>0</v>
      </c>
      <c r="I849">
        <v>0</v>
      </c>
      <c r="L849">
        <v>81.867999999999995</v>
      </c>
      <c r="M849">
        <v>34.468000000000004</v>
      </c>
      <c r="N849">
        <v>248.446</v>
      </c>
    </row>
    <row r="850" spans="1:14" x14ac:dyDescent="0.45">
      <c r="A850">
        <v>1984</v>
      </c>
      <c r="B850" t="s">
        <v>248</v>
      </c>
      <c r="C850">
        <v>0</v>
      </c>
      <c r="D850">
        <v>0</v>
      </c>
      <c r="E850">
        <v>0</v>
      </c>
      <c r="F850">
        <v>1</v>
      </c>
      <c r="G850">
        <v>0</v>
      </c>
      <c r="H850">
        <v>0</v>
      </c>
      <c r="I850">
        <v>0</v>
      </c>
      <c r="J850">
        <v>4130.8716532997596</v>
      </c>
      <c r="K850">
        <v>3739.3941948799202</v>
      </c>
      <c r="L850">
        <v>77.957999999999998</v>
      </c>
      <c r="M850">
        <v>66.805999999999997</v>
      </c>
      <c r="N850">
        <v>26.521999999999998</v>
      </c>
    </row>
    <row r="851" spans="1:14" x14ac:dyDescent="0.45">
      <c r="A851">
        <v>1984</v>
      </c>
      <c r="B851" t="s">
        <v>249</v>
      </c>
      <c r="C851">
        <v>0</v>
      </c>
      <c r="D851">
        <v>1</v>
      </c>
      <c r="E851">
        <v>0</v>
      </c>
      <c r="F851">
        <v>0</v>
      </c>
      <c r="G851">
        <v>1</v>
      </c>
      <c r="H851">
        <v>0</v>
      </c>
      <c r="I851">
        <v>0</v>
      </c>
      <c r="J851">
        <v>15997.3855192458</v>
      </c>
      <c r="K851">
        <v>13351.3063743073</v>
      </c>
      <c r="L851">
        <v>46.978999999999999</v>
      </c>
      <c r="M851">
        <v>66.555999999999997</v>
      </c>
      <c r="N851">
        <v>34.805999999999997</v>
      </c>
    </row>
    <row r="852" spans="1:14" x14ac:dyDescent="0.45">
      <c r="A852">
        <v>1984</v>
      </c>
      <c r="B852" t="s">
        <v>250</v>
      </c>
      <c r="C852">
        <v>0</v>
      </c>
      <c r="D852">
        <v>0</v>
      </c>
      <c r="E852">
        <v>0</v>
      </c>
      <c r="F852">
        <v>1</v>
      </c>
      <c r="G852">
        <v>0</v>
      </c>
      <c r="H852">
        <v>0</v>
      </c>
      <c r="I852">
        <v>0</v>
      </c>
      <c r="J852">
        <v>6511.2121329538504</v>
      </c>
      <c r="K852">
        <v>5674.41260831002</v>
      </c>
      <c r="L852">
        <v>46.988999999999997</v>
      </c>
      <c r="M852">
        <v>66.293999999999997</v>
      </c>
      <c r="N852">
        <v>75.034999999999997</v>
      </c>
    </row>
    <row r="853" spans="1:14" x14ac:dyDescent="0.45">
      <c r="A853">
        <v>1984</v>
      </c>
      <c r="B853" t="s">
        <v>251</v>
      </c>
      <c r="C853">
        <v>1</v>
      </c>
      <c r="D853">
        <v>0</v>
      </c>
      <c r="E853">
        <v>0</v>
      </c>
      <c r="F853">
        <v>1</v>
      </c>
      <c r="G853">
        <v>0</v>
      </c>
      <c r="H853">
        <v>0</v>
      </c>
      <c r="I853">
        <v>0</v>
      </c>
      <c r="J853">
        <v>10190.494104948601</v>
      </c>
      <c r="K853">
        <v>10217.7553122482</v>
      </c>
      <c r="L853">
        <v>49.366</v>
      </c>
      <c r="M853">
        <v>64.81</v>
      </c>
      <c r="N853">
        <v>103.70399999999999</v>
      </c>
    </row>
    <row r="854" spans="1:14" x14ac:dyDescent="0.45">
      <c r="A854">
        <v>1984</v>
      </c>
      <c r="B854" t="s">
        <v>252</v>
      </c>
      <c r="C854">
        <v>0</v>
      </c>
      <c r="D854">
        <v>0</v>
      </c>
      <c r="E854">
        <v>0</v>
      </c>
      <c r="F854">
        <v>1</v>
      </c>
      <c r="G854">
        <v>0</v>
      </c>
      <c r="H854">
        <v>0</v>
      </c>
      <c r="I854">
        <v>0</v>
      </c>
      <c r="J854">
        <v>1822.3852276820101</v>
      </c>
      <c r="K854">
        <v>1648.62884368193</v>
      </c>
      <c r="L854">
        <v>66.680000000000007</v>
      </c>
      <c r="M854">
        <v>61.052</v>
      </c>
      <c r="N854">
        <v>57.923000000000002</v>
      </c>
    </row>
    <row r="855" spans="1:14" x14ac:dyDescent="0.45">
      <c r="A855">
        <v>1984</v>
      </c>
      <c r="B855" t="s">
        <v>253</v>
      </c>
      <c r="C855">
        <v>0</v>
      </c>
      <c r="D855">
        <v>0</v>
      </c>
      <c r="E855">
        <v>0</v>
      </c>
      <c r="F855">
        <v>0</v>
      </c>
      <c r="G855">
        <v>0</v>
      </c>
      <c r="H855">
        <v>1</v>
      </c>
      <c r="I855">
        <v>1</v>
      </c>
      <c r="L855">
        <v>77.796999999999997</v>
      </c>
      <c r="M855">
        <v>72.988</v>
      </c>
      <c r="N855">
        <v>11.643000000000001</v>
      </c>
    </row>
    <row r="856" spans="1:14" x14ac:dyDescent="0.45">
      <c r="A856">
        <v>1984</v>
      </c>
      <c r="B856" t="s">
        <v>254</v>
      </c>
      <c r="C856">
        <v>0</v>
      </c>
      <c r="D856">
        <v>0</v>
      </c>
      <c r="E856">
        <v>1</v>
      </c>
      <c r="F856">
        <v>0</v>
      </c>
      <c r="G856">
        <v>0</v>
      </c>
      <c r="H856">
        <v>0</v>
      </c>
      <c r="I856">
        <v>0</v>
      </c>
      <c r="J856">
        <v>1626.3508640047801</v>
      </c>
      <c r="K856">
        <v>1211.4146610544699</v>
      </c>
      <c r="L856">
        <v>83.694999999999993</v>
      </c>
      <c r="M856">
        <v>52.151000000000003</v>
      </c>
      <c r="N856">
        <v>177.46899999999999</v>
      </c>
    </row>
    <row r="857" spans="1:14" x14ac:dyDescent="0.45">
      <c r="A857">
        <v>1984</v>
      </c>
      <c r="B857" t="s">
        <v>255</v>
      </c>
      <c r="C857">
        <v>0</v>
      </c>
      <c r="D857">
        <v>0</v>
      </c>
      <c r="E857">
        <v>1</v>
      </c>
      <c r="F857">
        <v>0</v>
      </c>
      <c r="G857">
        <v>0</v>
      </c>
      <c r="H857">
        <v>0</v>
      </c>
      <c r="I857">
        <v>0</v>
      </c>
      <c r="J857">
        <v>1078.6325489263299</v>
      </c>
      <c r="K857">
        <v>915.00889947175199</v>
      </c>
      <c r="L857">
        <v>91.194999999999993</v>
      </c>
      <c r="M857">
        <v>43.706000000000003</v>
      </c>
      <c r="N857">
        <v>209.64599999999999</v>
      </c>
    </row>
    <row r="858" spans="1:14" x14ac:dyDescent="0.45">
      <c r="A858">
        <v>1984</v>
      </c>
      <c r="B858" t="s">
        <v>256</v>
      </c>
      <c r="C858">
        <v>1</v>
      </c>
      <c r="D858">
        <v>0</v>
      </c>
      <c r="E858">
        <v>0</v>
      </c>
      <c r="F858">
        <v>1</v>
      </c>
      <c r="G858">
        <v>0</v>
      </c>
      <c r="H858">
        <v>0</v>
      </c>
      <c r="I858">
        <v>0</v>
      </c>
      <c r="J858">
        <v>20114.726549964402</v>
      </c>
      <c r="K858">
        <v>14226.855092845</v>
      </c>
      <c r="L858">
        <v>35.9</v>
      </c>
      <c r="M858">
        <v>69.992000000000004</v>
      </c>
      <c r="N858">
        <v>20.469000000000001</v>
      </c>
    </row>
    <row r="859" spans="1:14" x14ac:dyDescent="0.45">
      <c r="A859">
        <v>1984</v>
      </c>
      <c r="B859" t="s">
        <v>257</v>
      </c>
      <c r="C859">
        <v>0</v>
      </c>
      <c r="D859">
        <v>1</v>
      </c>
      <c r="E859">
        <v>0</v>
      </c>
      <c r="F859">
        <v>0</v>
      </c>
      <c r="G859">
        <v>1</v>
      </c>
      <c r="H859">
        <v>0</v>
      </c>
      <c r="I859">
        <v>0</v>
      </c>
      <c r="J859">
        <v>12006.074820260799</v>
      </c>
      <c r="K859">
        <v>9522.8413049606806</v>
      </c>
      <c r="L859">
        <v>13.15</v>
      </c>
      <c r="M859">
        <v>71.707999999999998</v>
      </c>
      <c r="N859">
        <v>32.89</v>
      </c>
    </row>
    <row r="860" spans="1:14" x14ac:dyDescent="0.45">
      <c r="A860">
        <v>1984</v>
      </c>
      <c r="B860" t="s">
        <v>258</v>
      </c>
      <c r="C860">
        <v>0</v>
      </c>
      <c r="D860">
        <v>0</v>
      </c>
      <c r="E860">
        <v>0</v>
      </c>
      <c r="F860">
        <v>0</v>
      </c>
      <c r="G860">
        <v>0</v>
      </c>
      <c r="H860">
        <v>1</v>
      </c>
      <c r="I860">
        <v>1</v>
      </c>
      <c r="J860">
        <v>36280.335311495903</v>
      </c>
      <c r="K860">
        <v>32930.739106794899</v>
      </c>
      <c r="L860">
        <v>25.655999999999999</v>
      </c>
      <c r="M860">
        <v>74.674999999999997</v>
      </c>
      <c r="N860">
        <v>12.952999999999999</v>
      </c>
    </row>
    <row r="861" spans="1:14" x14ac:dyDescent="0.45">
      <c r="A861">
        <v>1984</v>
      </c>
      <c r="B861" t="s">
        <v>259</v>
      </c>
      <c r="C861">
        <v>1</v>
      </c>
      <c r="D861">
        <v>0</v>
      </c>
      <c r="E861">
        <v>0</v>
      </c>
      <c r="F861">
        <v>1</v>
      </c>
      <c r="G861">
        <v>0</v>
      </c>
      <c r="H861">
        <v>0</v>
      </c>
      <c r="I861">
        <v>0</v>
      </c>
      <c r="L861">
        <v>59.265999999999998</v>
      </c>
      <c r="M861">
        <v>64.108000000000004</v>
      </c>
      <c r="N861">
        <v>86.031000000000006</v>
      </c>
    </row>
    <row r="862" spans="1:14" x14ac:dyDescent="0.45">
      <c r="A862">
        <v>1984</v>
      </c>
      <c r="B862" t="s">
        <v>260</v>
      </c>
      <c r="C862">
        <v>0</v>
      </c>
      <c r="D862">
        <v>1</v>
      </c>
      <c r="E862">
        <v>0</v>
      </c>
      <c r="F862">
        <v>1</v>
      </c>
      <c r="G862">
        <v>0</v>
      </c>
      <c r="H862">
        <v>0</v>
      </c>
      <c r="I862">
        <v>0</v>
      </c>
      <c r="J862">
        <v>5601.1151716563199</v>
      </c>
      <c r="K862">
        <v>4895.15721595795</v>
      </c>
      <c r="L862">
        <v>61.95</v>
      </c>
      <c r="M862">
        <v>69.244</v>
      </c>
      <c r="N862">
        <v>39.6</v>
      </c>
    </row>
    <row r="863" spans="1:14" x14ac:dyDescent="0.45">
      <c r="A863">
        <v>1984</v>
      </c>
      <c r="B863" t="s">
        <v>261</v>
      </c>
      <c r="C863">
        <v>0</v>
      </c>
      <c r="D863">
        <v>1</v>
      </c>
      <c r="E863">
        <v>0</v>
      </c>
      <c r="F863">
        <v>0</v>
      </c>
      <c r="G863">
        <v>1</v>
      </c>
      <c r="H863">
        <v>0</v>
      </c>
      <c r="I863">
        <v>0</v>
      </c>
      <c r="L863">
        <v>18.577999999999999</v>
      </c>
      <c r="M863">
        <v>69.671999999999997</v>
      </c>
      <c r="N863">
        <v>37.853000000000002</v>
      </c>
    </row>
    <row r="864" spans="1:14" x14ac:dyDescent="0.45">
      <c r="A864">
        <v>1984</v>
      </c>
      <c r="B864" t="s">
        <v>262</v>
      </c>
      <c r="C864">
        <v>0</v>
      </c>
      <c r="D864">
        <v>1</v>
      </c>
      <c r="E864">
        <v>0</v>
      </c>
      <c r="F864">
        <v>0</v>
      </c>
      <c r="G864">
        <v>0</v>
      </c>
      <c r="H864">
        <v>1</v>
      </c>
      <c r="I864">
        <v>1</v>
      </c>
      <c r="L864">
        <v>71.763000000000005</v>
      </c>
      <c r="M864">
        <v>70.710999999999999</v>
      </c>
      <c r="N864">
        <v>29.797999999999998</v>
      </c>
    </row>
    <row r="865" spans="1:14" x14ac:dyDescent="0.45">
      <c r="A865">
        <v>1984</v>
      </c>
      <c r="B865" t="s">
        <v>263</v>
      </c>
      <c r="C865">
        <v>0</v>
      </c>
      <c r="D865">
        <v>1</v>
      </c>
      <c r="E865">
        <v>0</v>
      </c>
      <c r="F865">
        <v>0</v>
      </c>
      <c r="G865">
        <v>0</v>
      </c>
      <c r="H865">
        <v>1</v>
      </c>
      <c r="I865">
        <v>1</v>
      </c>
      <c r="L865">
        <v>16.486000000000001</v>
      </c>
      <c r="M865">
        <v>69.539000000000001</v>
      </c>
      <c r="N865">
        <v>23.597000000000001</v>
      </c>
    </row>
    <row r="866" spans="1:14" x14ac:dyDescent="0.45">
      <c r="A866">
        <v>1984</v>
      </c>
      <c r="B866" t="s">
        <v>264</v>
      </c>
      <c r="C866">
        <v>0</v>
      </c>
      <c r="D866">
        <v>0</v>
      </c>
      <c r="E866">
        <v>0</v>
      </c>
      <c r="F866">
        <v>0</v>
      </c>
      <c r="G866">
        <v>0</v>
      </c>
      <c r="H866">
        <v>0</v>
      </c>
      <c r="I866">
        <v>0</v>
      </c>
      <c r="J866">
        <v>2091.1053583860598</v>
      </c>
      <c r="K866">
        <v>1863.34820823316</v>
      </c>
      <c r="L866">
        <v>80.501999999999995</v>
      </c>
      <c r="M866">
        <v>66.929000000000002</v>
      </c>
      <c r="N866">
        <v>63.491999999999997</v>
      </c>
    </row>
    <row r="867" spans="1:14" x14ac:dyDescent="0.45">
      <c r="A867">
        <v>1984</v>
      </c>
      <c r="B867" t="s">
        <v>265</v>
      </c>
      <c r="C867">
        <v>0</v>
      </c>
      <c r="D867">
        <v>0</v>
      </c>
      <c r="E867">
        <v>0</v>
      </c>
      <c r="F867">
        <v>1</v>
      </c>
      <c r="G867">
        <v>0</v>
      </c>
      <c r="H867">
        <v>0</v>
      </c>
      <c r="I867">
        <v>0</v>
      </c>
      <c r="J867">
        <v>3372.1654578781399</v>
      </c>
      <c r="K867">
        <v>3050.4654118350199</v>
      </c>
      <c r="L867">
        <v>83.69</v>
      </c>
      <c r="M867">
        <v>63.518999999999998</v>
      </c>
      <c r="N867">
        <v>51.780999999999999</v>
      </c>
    </row>
    <row r="868" spans="1:14" x14ac:dyDescent="0.45">
      <c r="A868">
        <v>1984</v>
      </c>
      <c r="B868" t="s">
        <v>266</v>
      </c>
      <c r="C868">
        <v>0</v>
      </c>
      <c r="D868">
        <v>0</v>
      </c>
      <c r="E868">
        <v>0</v>
      </c>
      <c r="F868">
        <v>1</v>
      </c>
      <c r="G868">
        <v>0</v>
      </c>
      <c r="H868">
        <v>0</v>
      </c>
      <c r="I868">
        <v>0</v>
      </c>
      <c r="J868">
        <v>3621.5669370034202</v>
      </c>
      <c r="K868">
        <v>3276.0743255242201</v>
      </c>
      <c r="L868">
        <v>78.8</v>
      </c>
      <c r="M868">
        <v>66.284000000000006</v>
      </c>
      <c r="N868">
        <v>36.908999999999999</v>
      </c>
    </row>
    <row r="869" spans="1:14" x14ac:dyDescent="0.45">
      <c r="A869">
        <v>1984</v>
      </c>
      <c r="B869" t="s">
        <v>267</v>
      </c>
      <c r="C869">
        <v>1</v>
      </c>
      <c r="D869">
        <v>0</v>
      </c>
      <c r="E869">
        <v>0</v>
      </c>
      <c r="F869">
        <v>0</v>
      </c>
      <c r="G869">
        <v>1</v>
      </c>
      <c r="H869">
        <v>0</v>
      </c>
      <c r="I869">
        <v>0</v>
      </c>
      <c r="L869">
        <v>52.067999999999998</v>
      </c>
      <c r="M869">
        <v>61.459000000000003</v>
      </c>
      <c r="N869">
        <v>150.12899999999999</v>
      </c>
    </row>
    <row r="870" spans="1:14" x14ac:dyDescent="0.45">
      <c r="A870">
        <v>1984</v>
      </c>
      <c r="B870" t="s">
        <v>268</v>
      </c>
      <c r="C870">
        <v>0</v>
      </c>
      <c r="D870">
        <v>0</v>
      </c>
      <c r="E870">
        <v>0</v>
      </c>
      <c r="F870">
        <v>1</v>
      </c>
      <c r="G870">
        <v>0</v>
      </c>
      <c r="H870">
        <v>0</v>
      </c>
      <c r="I870">
        <v>0</v>
      </c>
      <c r="L870">
        <v>82.007000000000005</v>
      </c>
      <c r="M870">
        <v>54.585999999999999</v>
      </c>
      <c r="N870">
        <v>165.536</v>
      </c>
    </row>
    <row r="871" spans="1:14" x14ac:dyDescent="0.45">
      <c r="A871">
        <v>1984</v>
      </c>
      <c r="B871" t="s">
        <v>269</v>
      </c>
      <c r="C871">
        <v>0</v>
      </c>
      <c r="D871">
        <v>0</v>
      </c>
      <c r="E871">
        <v>1</v>
      </c>
      <c r="F871">
        <v>1</v>
      </c>
      <c r="G871">
        <v>0</v>
      </c>
      <c r="H871">
        <v>0</v>
      </c>
      <c r="I871">
        <v>0</v>
      </c>
      <c r="J871">
        <v>11582.0194985324</v>
      </c>
      <c r="K871">
        <v>10904.947763468201</v>
      </c>
      <c r="L871">
        <v>50.911999999999999</v>
      </c>
      <c r="M871">
        <v>61.837000000000003</v>
      </c>
      <c r="N871">
        <v>78.512</v>
      </c>
    </row>
    <row r="872" spans="1:14" x14ac:dyDescent="0.45">
      <c r="A872">
        <v>1984</v>
      </c>
      <c r="B872" t="s">
        <v>270</v>
      </c>
      <c r="C872">
        <v>0</v>
      </c>
      <c r="D872">
        <v>0</v>
      </c>
      <c r="E872">
        <v>1</v>
      </c>
      <c r="F872">
        <v>0</v>
      </c>
      <c r="G872">
        <v>0</v>
      </c>
      <c r="H872">
        <v>0</v>
      </c>
      <c r="I872">
        <v>0</v>
      </c>
      <c r="J872">
        <v>2617.9220185642498</v>
      </c>
      <c r="K872">
        <v>2457.8551115499599</v>
      </c>
      <c r="L872">
        <v>60.295000000000002</v>
      </c>
      <c r="M872">
        <v>52.877000000000002</v>
      </c>
      <c r="N872">
        <v>165.512</v>
      </c>
    </row>
    <row r="873" spans="1:14" x14ac:dyDescent="0.45">
      <c r="A873">
        <v>1984</v>
      </c>
      <c r="B873" t="s">
        <v>271</v>
      </c>
      <c r="C873">
        <v>0</v>
      </c>
      <c r="D873">
        <v>0</v>
      </c>
      <c r="E873">
        <v>1</v>
      </c>
      <c r="F873">
        <v>1</v>
      </c>
      <c r="G873">
        <v>0</v>
      </c>
      <c r="H873">
        <v>0</v>
      </c>
      <c r="I873">
        <v>0</v>
      </c>
      <c r="J873">
        <v>3626.2933445755202</v>
      </c>
      <c r="K873">
        <v>2414.5162467621799</v>
      </c>
      <c r="L873">
        <v>75.263999999999996</v>
      </c>
      <c r="M873">
        <v>60.622</v>
      </c>
      <c r="N873">
        <v>89.284999999999997</v>
      </c>
    </row>
    <row r="874" spans="1:14" x14ac:dyDescent="0.45">
      <c r="A874">
        <v>1985</v>
      </c>
      <c r="B874" t="s">
        <v>54</v>
      </c>
      <c r="C874">
        <v>0</v>
      </c>
      <c r="D874">
        <v>1</v>
      </c>
      <c r="E874">
        <v>0</v>
      </c>
      <c r="F874">
        <v>0</v>
      </c>
      <c r="G874">
        <v>0</v>
      </c>
      <c r="H874">
        <v>1</v>
      </c>
      <c r="I874">
        <v>1</v>
      </c>
      <c r="L874">
        <v>49.604999999999997</v>
      </c>
      <c r="M874">
        <v>71.792000000000002</v>
      </c>
      <c r="N874">
        <v>23.497</v>
      </c>
    </row>
    <row r="875" spans="1:14" x14ac:dyDescent="0.45">
      <c r="A875">
        <v>1985</v>
      </c>
      <c r="B875" t="s">
        <v>55</v>
      </c>
      <c r="C875">
        <v>0</v>
      </c>
      <c r="D875">
        <v>0</v>
      </c>
      <c r="E875">
        <v>0</v>
      </c>
      <c r="F875">
        <v>0</v>
      </c>
      <c r="G875">
        <v>0</v>
      </c>
      <c r="H875">
        <v>0</v>
      </c>
      <c r="I875">
        <v>0</v>
      </c>
      <c r="L875">
        <v>81.003</v>
      </c>
      <c r="M875">
        <v>32.131999999999998</v>
      </c>
      <c r="N875">
        <v>286.67500000000001</v>
      </c>
    </row>
    <row r="876" spans="1:14" x14ac:dyDescent="0.45">
      <c r="A876">
        <v>1985</v>
      </c>
      <c r="B876" t="s">
        <v>56</v>
      </c>
      <c r="C876">
        <v>0</v>
      </c>
      <c r="D876">
        <v>0</v>
      </c>
      <c r="E876">
        <v>1</v>
      </c>
      <c r="F876">
        <v>1</v>
      </c>
      <c r="G876">
        <v>0</v>
      </c>
      <c r="H876">
        <v>0</v>
      </c>
      <c r="I876">
        <v>0</v>
      </c>
      <c r="J876">
        <v>7488.3425277585202</v>
      </c>
      <c r="K876">
        <v>5791.1156505337703</v>
      </c>
      <c r="L876">
        <v>69.662000000000006</v>
      </c>
      <c r="M876">
        <v>42.494999999999997</v>
      </c>
      <c r="N876">
        <v>236.792</v>
      </c>
    </row>
    <row r="877" spans="1:14" x14ac:dyDescent="0.45">
      <c r="A877">
        <v>1985</v>
      </c>
      <c r="B877" t="s">
        <v>57</v>
      </c>
      <c r="C877">
        <v>1</v>
      </c>
      <c r="D877">
        <v>0</v>
      </c>
      <c r="E877">
        <v>0</v>
      </c>
      <c r="F877">
        <v>1</v>
      </c>
      <c r="G877">
        <v>0</v>
      </c>
      <c r="H877">
        <v>0</v>
      </c>
      <c r="I877">
        <v>0</v>
      </c>
      <c r="J877">
        <v>5350.5602523787502</v>
      </c>
      <c r="K877">
        <v>4847.3621708822802</v>
      </c>
      <c r="L877">
        <v>64.917000000000002</v>
      </c>
      <c r="M877">
        <v>71.281999999999996</v>
      </c>
      <c r="N877">
        <v>51.459000000000003</v>
      </c>
    </row>
    <row r="878" spans="1:14" x14ac:dyDescent="0.45">
      <c r="A878">
        <v>1985</v>
      </c>
      <c r="B878" t="s">
        <v>58</v>
      </c>
      <c r="C878">
        <v>1</v>
      </c>
      <c r="D878">
        <v>0</v>
      </c>
      <c r="E878">
        <v>0</v>
      </c>
      <c r="F878">
        <v>0</v>
      </c>
      <c r="G878">
        <v>0</v>
      </c>
      <c r="H878">
        <v>1</v>
      </c>
      <c r="I878">
        <v>1</v>
      </c>
      <c r="J878">
        <v>48194.976470481903</v>
      </c>
      <c r="K878">
        <v>40456.002267529999</v>
      </c>
      <c r="L878">
        <v>4.8409999999999904</v>
      </c>
      <c r="M878">
        <v>78.006</v>
      </c>
      <c r="N878">
        <v>12.016</v>
      </c>
    </row>
    <row r="879" spans="1:14" x14ac:dyDescent="0.45">
      <c r="A879">
        <v>1985</v>
      </c>
      <c r="B879" t="s">
        <v>59</v>
      </c>
      <c r="C879">
        <v>0</v>
      </c>
      <c r="D879">
        <v>0</v>
      </c>
      <c r="E879">
        <v>0</v>
      </c>
      <c r="F879">
        <v>0</v>
      </c>
      <c r="G879">
        <v>0</v>
      </c>
      <c r="H879">
        <v>1</v>
      </c>
      <c r="I879">
        <v>1</v>
      </c>
      <c r="J879">
        <v>159715.70207793999</v>
      </c>
      <c r="K879">
        <v>157794.112988034</v>
      </c>
      <c r="L879">
        <v>20.196000000000002</v>
      </c>
      <c r="M879">
        <v>70.123000000000005</v>
      </c>
      <c r="N879">
        <v>22.917000000000002</v>
      </c>
    </row>
    <row r="880" spans="1:14" x14ac:dyDescent="0.45">
      <c r="A880">
        <v>1985</v>
      </c>
      <c r="B880" t="s">
        <v>60</v>
      </c>
      <c r="C880">
        <v>0</v>
      </c>
      <c r="D880">
        <v>1</v>
      </c>
      <c r="E880">
        <v>0</v>
      </c>
      <c r="F880">
        <v>0</v>
      </c>
      <c r="G880">
        <v>1</v>
      </c>
      <c r="H880">
        <v>0</v>
      </c>
      <c r="I880">
        <v>0</v>
      </c>
      <c r="J880">
        <v>19361.479940094301</v>
      </c>
      <c r="K880">
        <v>15979.218961831501</v>
      </c>
      <c r="L880">
        <v>14.962</v>
      </c>
      <c r="M880">
        <v>69.879000000000005</v>
      </c>
      <c r="N880">
        <v>33.82</v>
      </c>
    </row>
    <row r="881" spans="1:14" x14ac:dyDescent="0.45">
      <c r="A881">
        <v>1985</v>
      </c>
      <c r="B881" t="s">
        <v>61</v>
      </c>
      <c r="C881">
        <v>1</v>
      </c>
      <c r="D881">
        <v>0</v>
      </c>
      <c r="E881">
        <v>0</v>
      </c>
      <c r="F881">
        <v>1</v>
      </c>
      <c r="G881">
        <v>0</v>
      </c>
      <c r="H881">
        <v>0</v>
      </c>
      <c r="I881">
        <v>0</v>
      </c>
      <c r="L881">
        <v>32.909999999999997</v>
      </c>
      <c r="M881">
        <v>67.132999999999996</v>
      </c>
      <c r="N881">
        <v>59.962000000000003</v>
      </c>
    </row>
    <row r="882" spans="1:14" x14ac:dyDescent="0.45">
      <c r="A882">
        <v>1985</v>
      </c>
      <c r="B882" t="s">
        <v>62</v>
      </c>
      <c r="C882">
        <v>0</v>
      </c>
      <c r="D882">
        <v>0</v>
      </c>
      <c r="E882">
        <v>0</v>
      </c>
      <c r="F882">
        <v>0</v>
      </c>
      <c r="G882">
        <v>0</v>
      </c>
      <c r="H882">
        <v>1</v>
      </c>
      <c r="I882">
        <v>1</v>
      </c>
      <c r="L882">
        <v>22.238</v>
      </c>
      <c r="M882">
        <v>70.531999999999996</v>
      </c>
      <c r="N882">
        <v>17.172999999999998</v>
      </c>
    </row>
    <row r="883" spans="1:14" x14ac:dyDescent="0.45">
      <c r="A883">
        <v>1985</v>
      </c>
      <c r="B883" t="s">
        <v>63</v>
      </c>
      <c r="C883">
        <v>0</v>
      </c>
      <c r="D883">
        <v>1</v>
      </c>
      <c r="E883">
        <v>0</v>
      </c>
      <c r="F883">
        <v>0</v>
      </c>
      <c r="G883">
        <v>1</v>
      </c>
      <c r="H883">
        <v>0</v>
      </c>
      <c r="I883">
        <v>0</v>
      </c>
      <c r="J883">
        <v>14514.5665256499</v>
      </c>
      <c r="K883">
        <v>11431.626600403601</v>
      </c>
      <c r="L883">
        <v>64.978999999999999</v>
      </c>
      <c r="M883">
        <v>73.873000000000005</v>
      </c>
      <c r="N883">
        <v>13.125</v>
      </c>
    </row>
    <row r="884" spans="1:14" x14ac:dyDescent="0.45">
      <c r="A884">
        <v>1985</v>
      </c>
      <c r="B884" t="s">
        <v>64</v>
      </c>
      <c r="C884">
        <v>0</v>
      </c>
      <c r="D884">
        <v>0</v>
      </c>
      <c r="E884">
        <v>0</v>
      </c>
      <c r="F884">
        <v>0</v>
      </c>
      <c r="G884">
        <v>0</v>
      </c>
      <c r="H884">
        <v>1</v>
      </c>
      <c r="I884">
        <v>1</v>
      </c>
      <c r="J884">
        <v>32230.4452211598</v>
      </c>
      <c r="K884">
        <v>27916.4514050951</v>
      </c>
      <c r="L884">
        <v>14.417999999999999</v>
      </c>
      <c r="M884">
        <v>75.430000000000007</v>
      </c>
      <c r="N884">
        <v>11.848000000000001</v>
      </c>
    </row>
    <row r="885" spans="1:14" x14ac:dyDescent="0.45">
      <c r="A885">
        <v>1985</v>
      </c>
      <c r="B885" t="s">
        <v>65</v>
      </c>
      <c r="C885">
        <v>1</v>
      </c>
      <c r="D885">
        <v>0</v>
      </c>
      <c r="E885">
        <v>0</v>
      </c>
      <c r="F885">
        <v>0</v>
      </c>
      <c r="G885">
        <v>0</v>
      </c>
      <c r="H885">
        <v>1</v>
      </c>
      <c r="I885">
        <v>1</v>
      </c>
      <c r="J885">
        <v>39110.072869275602</v>
      </c>
      <c r="K885">
        <v>33327.865035964402</v>
      </c>
      <c r="L885">
        <v>35.695</v>
      </c>
      <c r="M885">
        <v>73.986000000000004</v>
      </c>
      <c r="N885">
        <v>13.058999999999999</v>
      </c>
    </row>
    <row r="886" spans="1:14" x14ac:dyDescent="0.45">
      <c r="A886">
        <v>1985</v>
      </c>
      <c r="B886" t="s">
        <v>66</v>
      </c>
      <c r="C886">
        <v>1</v>
      </c>
      <c r="D886">
        <v>0</v>
      </c>
      <c r="E886">
        <v>0</v>
      </c>
      <c r="F886">
        <v>1</v>
      </c>
      <c r="G886">
        <v>0</v>
      </c>
      <c r="H886">
        <v>0</v>
      </c>
      <c r="I886">
        <v>0</v>
      </c>
      <c r="J886">
        <v>10810.2270193531</v>
      </c>
      <c r="K886">
        <v>7872.1408782484596</v>
      </c>
      <c r="L886">
        <v>46.502000000000002</v>
      </c>
      <c r="M886">
        <v>62.673999999999999</v>
      </c>
      <c r="N886">
        <v>103.821</v>
      </c>
    </row>
    <row r="887" spans="1:14" x14ac:dyDescent="0.45">
      <c r="A887">
        <v>1985</v>
      </c>
      <c r="B887" t="s">
        <v>67</v>
      </c>
      <c r="C887">
        <v>0</v>
      </c>
      <c r="D887">
        <v>0</v>
      </c>
      <c r="E887">
        <v>1</v>
      </c>
      <c r="F887">
        <v>0</v>
      </c>
      <c r="G887">
        <v>0</v>
      </c>
      <c r="H887">
        <v>0</v>
      </c>
      <c r="I887">
        <v>0</v>
      </c>
      <c r="J887">
        <v>1196.25894235019</v>
      </c>
      <c r="K887">
        <v>1033.69123175648</v>
      </c>
      <c r="L887">
        <v>94.778999999999996</v>
      </c>
      <c r="M887">
        <v>47.661999999999999</v>
      </c>
      <c r="N887">
        <v>182.941</v>
      </c>
    </row>
    <row r="888" spans="1:14" x14ac:dyDescent="0.45">
      <c r="A888">
        <v>1985</v>
      </c>
      <c r="B888" t="s">
        <v>68</v>
      </c>
      <c r="C888">
        <v>1</v>
      </c>
      <c r="D888">
        <v>0</v>
      </c>
      <c r="E888">
        <v>0</v>
      </c>
      <c r="F888">
        <v>0</v>
      </c>
      <c r="G888">
        <v>0</v>
      </c>
      <c r="H888">
        <v>1</v>
      </c>
      <c r="I888">
        <v>1</v>
      </c>
      <c r="J888">
        <v>36609.846325149003</v>
      </c>
      <c r="K888">
        <v>30807.794375239799</v>
      </c>
      <c r="L888">
        <v>4.0699999999999896</v>
      </c>
      <c r="M888">
        <v>74.468999999999994</v>
      </c>
      <c r="N888">
        <v>11.433</v>
      </c>
    </row>
    <row r="889" spans="1:14" x14ac:dyDescent="0.45">
      <c r="A889">
        <v>1985</v>
      </c>
      <c r="B889" t="s">
        <v>69</v>
      </c>
      <c r="C889">
        <v>0</v>
      </c>
      <c r="D889">
        <v>0</v>
      </c>
      <c r="E889">
        <v>1</v>
      </c>
      <c r="F889">
        <v>0</v>
      </c>
      <c r="G889">
        <v>0</v>
      </c>
      <c r="H889">
        <v>0</v>
      </c>
      <c r="I889">
        <v>0</v>
      </c>
      <c r="J889">
        <v>2360.0968916899501</v>
      </c>
      <c r="K889">
        <v>2239.1463736627802</v>
      </c>
      <c r="L889">
        <v>69.203999999999994</v>
      </c>
      <c r="M889">
        <v>49.959000000000003</v>
      </c>
      <c r="N889">
        <v>191.999</v>
      </c>
    </row>
    <row r="890" spans="1:14" x14ac:dyDescent="0.45">
      <c r="A890">
        <v>1985</v>
      </c>
      <c r="B890" t="s">
        <v>70</v>
      </c>
      <c r="C890">
        <v>0</v>
      </c>
      <c r="D890">
        <v>0</v>
      </c>
      <c r="E890">
        <v>1</v>
      </c>
      <c r="F890">
        <v>0</v>
      </c>
      <c r="G890">
        <v>0</v>
      </c>
      <c r="H890">
        <v>0</v>
      </c>
      <c r="I890">
        <v>0</v>
      </c>
      <c r="J890">
        <v>1006.7816532652899</v>
      </c>
      <c r="K890">
        <v>921.14187290172504</v>
      </c>
      <c r="L890">
        <v>87.665999999999997</v>
      </c>
      <c r="M890">
        <v>48.747999999999998</v>
      </c>
      <c r="N890">
        <v>214.89500000000001</v>
      </c>
    </row>
    <row r="891" spans="1:14" x14ac:dyDescent="0.45">
      <c r="A891">
        <v>1985</v>
      </c>
      <c r="B891" t="s">
        <v>71</v>
      </c>
      <c r="C891">
        <v>0</v>
      </c>
      <c r="D891">
        <v>0</v>
      </c>
      <c r="E891">
        <v>0</v>
      </c>
      <c r="F891">
        <v>0</v>
      </c>
      <c r="G891">
        <v>0</v>
      </c>
      <c r="H891">
        <v>0</v>
      </c>
      <c r="I891">
        <v>0</v>
      </c>
      <c r="J891">
        <v>1946.23694805073</v>
      </c>
      <c r="K891">
        <v>1582.28006081646</v>
      </c>
      <c r="L891">
        <v>82.504000000000005</v>
      </c>
      <c r="M891">
        <v>53.936999999999998</v>
      </c>
      <c r="N891">
        <v>178.33099999999999</v>
      </c>
    </row>
    <row r="892" spans="1:14" x14ac:dyDescent="0.45">
      <c r="A892">
        <v>1985</v>
      </c>
      <c r="B892" t="s">
        <v>72</v>
      </c>
      <c r="C892">
        <v>1</v>
      </c>
      <c r="D892">
        <v>0</v>
      </c>
      <c r="E892">
        <v>0</v>
      </c>
      <c r="F892">
        <v>1</v>
      </c>
      <c r="G892">
        <v>0</v>
      </c>
      <c r="H892">
        <v>0</v>
      </c>
      <c r="I892">
        <v>0</v>
      </c>
      <c r="J892">
        <v>12166.9066210988</v>
      </c>
      <c r="K892">
        <v>10096.092699036</v>
      </c>
      <c r="L892">
        <v>35.409999999999997</v>
      </c>
      <c r="M892">
        <v>71.048000000000002</v>
      </c>
      <c r="N892">
        <v>18.786000000000001</v>
      </c>
    </row>
    <row r="893" spans="1:14" x14ac:dyDescent="0.45">
      <c r="A893">
        <v>1985</v>
      </c>
      <c r="B893" t="s">
        <v>73</v>
      </c>
      <c r="C893">
        <v>0</v>
      </c>
      <c r="D893">
        <v>0</v>
      </c>
      <c r="E893">
        <v>0</v>
      </c>
      <c r="F893">
        <v>0</v>
      </c>
      <c r="G893">
        <v>0</v>
      </c>
      <c r="H893">
        <v>1</v>
      </c>
      <c r="I893">
        <v>1</v>
      </c>
      <c r="J893">
        <v>43886.953013691797</v>
      </c>
      <c r="K893">
        <v>40892.2060034194</v>
      </c>
      <c r="L893">
        <v>12.845000000000001</v>
      </c>
      <c r="M893">
        <v>72.091999999999999</v>
      </c>
      <c r="N893">
        <v>25.542999999999999</v>
      </c>
    </row>
    <row r="894" spans="1:14" x14ac:dyDescent="0.45">
      <c r="A894">
        <v>1985</v>
      </c>
      <c r="B894" t="s">
        <v>74</v>
      </c>
      <c r="C894">
        <v>0</v>
      </c>
      <c r="D894">
        <v>1</v>
      </c>
      <c r="E894">
        <v>0</v>
      </c>
      <c r="F894">
        <v>0</v>
      </c>
      <c r="G894">
        <v>0</v>
      </c>
      <c r="H894">
        <v>1</v>
      </c>
      <c r="I894">
        <v>1</v>
      </c>
      <c r="J894">
        <v>31104.256407830599</v>
      </c>
      <c r="K894">
        <v>32264.0092410164</v>
      </c>
      <c r="L894">
        <v>23.326000000000001</v>
      </c>
      <c r="M894">
        <v>70.289000000000001</v>
      </c>
      <c r="N894">
        <v>28.097999999999999</v>
      </c>
    </row>
    <row r="895" spans="1:14" x14ac:dyDescent="0.45">
      <c r="A895">
        <v>1985</v>
      </c>
      <c r="B895" t="s">
        <v>75</v>
      </c>
      <c r="C895">
        <v>1</v>
      </c>
      <c r="D895">
        <v>0</v>
      </c>
      <c r="E895">
        <v>0</v>
      </c>
      <c r="F895">
        <v>0</v>
      </c>
      <c r="G895">
        <v>1</v>
      </c>
      <c r="H895">
        <v>0</v>
      </c>
      <c r="I895">
        <v>0</v>
      </c>
      <c r="L895">
        <v>62.411000000000001</v>
      </c>
      <c r="M895">
        <v>70.581999999999994</v>
      </c>
      <c r="N895">
        <v>24.49</v>
      </c>
    </row>
    <row r="896" spans="1:14" x14ac:dyDescent="0.45">
      <c r="A896">
        <v>1985</v>
      </c>
      <c r="B896" t="s">
        <v>76</v>
      </c>
      <c r="C896">
        <v>1</v>
      </c>
      <c r="D896">
        <v>0</v>
      </c>
      <c r="E896">
        <v>0</v>
      </c>
      <c r="F896">
        <v>0</v>
      </c>
      <c r="G896">
        <v>1</v>
      </c>
      <c r="H896">
        <v>0</v>
      </c>
      <c r="I896">
        <v>0</v>
      </c>
      <c r="L896">
        <v>38.167000000000002</v>
      </c>
      <c r="M896">
        <v>71.191999999999993</v>
      </c>
      <c r="N896">
        <v>17.611000000000001</v>
      </c>
    </row>
    <row r="897" spans="1:14" x14ac:dyDescent="0.45">
      <c r="A897">
        <v>1985</v>
      </c>
      <c r="B897" t="s">
        <v>77</v>
      </c>
      <c r="C897">
        <v>0</v>
      </c>
      <c r="D897">
        <v>1</v>
      </c>
      <c r="E897">
        <v>0</v>
      </c>
      <c r="F897">
        <v>1</v>
      </c>
      <c r="G897">
        <v>0</v>
      </c>
      <c r="H897">
        <v>0</v>
      </c>
      <c r="I897">
        <v>0</v>
      </c>
      <c r="J897">
        <v>6359.2314021741704</v>
      </c>
      <c r="K897">
        <v>5011.6668807863898</v>
      </c>
      <c r="L897">
        <v>51.581000000000003</v>
      </c>
      <c r="M897">
        <v>68.346999999999994</v>
      </c>
      <c r="N897">
        <v>51.866</v>
      </c>
    </row>
    <row r="898" spans="1:14" x14ac:dyDescent="0.45">
      <c r="A898">
        <v>1985</v>
      </c>
      <c r="B898" t="s">
        <v>78</v>
      </c>
      <c r="C898">
        <v>0</v>
      </c>
      <c r="D898">
        <v>0</v>
      </c>
      <c r="E898">
        <v>0</v>
      </c>
      <c r="F898">
        <v>0</v>
      </c>
      <c r="G898">
        <v>0</v>
      </c>
      <c r="H898">
        <v>1</v>
      </c>
      <c r="I898">
        <v>1</v>
      </c>
      <c r="J898">
        <v>71429.558158664295</v>
      </c>
      <c r="K898">
        <v>63462.585120413401</v>
      </c>
      <c r="L898">
        <v>0</v>
      </c>
      <c r="M898">
        <v>73.373000000000005</v>
      </c>
      <c r="N898">
        <v>13.673</v>
      </c>
    </row>
    <row r="899" spans="1:14" x14ac:dyDescent="0.45">
      <c r="A899">
        <v>1985</v>
      </c>
      <c r="B899" t="s">
        <v>79</v>
      </c>
      <c r="C899">
        <v>0</v>
      </c>
      <c r="D899">
        <v>1</v>
      </c>
      <c r="E899">
        <v>0</v>
      </c>
      <c r="F899">
        <v>1</v>
      </c>
      <c r="G899">
        <v>0</v>
      </c>
      <c r="H899">
        <v>0</v>
      </c>
      <c r="I899">
        <v>0</v>
      </c>
      <c r="J899">
        <v>5432.6671830340101</v>
      </c>
      <c r="K899">
        <v>4794.6015779687896</v>
      </c>
      <c r="L899">
        <v>49.481000000000002</v>
      </c>
      <c r="M899">
        <v>53.777000000000001</v>
      </c>
      <c r="N899">
        <v>180.92400000000001</v>
      </c>
    </row>
    <row r="900" spans="1:14" x14ac:dyDescent="0.45">
      <c r="A900">
        <v>1985</v>
      </c>
      <c r="B900" t="s">
        <v>80</v>
      </c>
      <c r="C900">
        <v>0</v>
      </c>
      <c r="D900">
        <v>1</v>
      </c>
      <c r="E900">
        <v>0</v>
      </c>
      <c r="F900">
        <v>0</v>
      </c>
      <c r="G900">
        <v>1</v>
      </c>
      <c r="H900">
        <v>0</v>
      </c>
      <c r="I900">
        <v>0</v>
      </c>
      <c r="J900">
        <v>11262.8437867011</v>
      </c>
      <c r="K900">
        <v>9251.4028443559491</v>
      </c>
      <c r="L900">
        <v>30.138000000000002</v>
      </c>
      <c r="M900">
        <v>63.98</v>
      </c>
      <c r="N900">
        <v>76.966999999999999</v>
      </c>
    </row>
    <row r="901" spans="1:14" x14ac:dyDescent="0.45">
      <c r="A901">
        <v>1985</v>
      </c>
      <c r="B901" t="s">
        <v>81</v>
      </c>
      <c r="C901">
        <v>0</v>
      </c>
      <c r="D901">
        <v>1</v>
      </c>
      <c r="E901">
        <v>0</v>
      </c>
      <c r="F901">
        <v>0</v>
      </c>
      <c r="G901">
        <v>1</v>
      </c>
      <c r="H901">
        <v>0</v>
      </c>
      <c r="I901">
        <v>0</v>
      </c>
      <c r="J901">
        <v>14704.787429841501</v>
      </c>
      <c r="K901">
        <v>14044.5361427714</v>
      </c>
      <c r="L901">
        <v>61.264000000000003</v>
      </c>
      <c r="M901">
        <v>73.316000000000003</v>
      </c>
      <c r="N901">
        <v>21.887</v>
      </c>
    </row>
    <row r="902" spans="1:14" x14ac:dyDescent="0.45">
      <c r="A902">
        <v>1985</v>
      </c>
      <c r="B902" t="s">
        <v>82</v>
      </c>
      <c r="C902">
        <v>0</v>
      </c>
      <c r="D902">
        <v>0</v>
      </c>
      <c r="E902">
        <v>0</v>
      </c>
      <c r="F902">
        <v>0</v>
      </c>
      <c r="G902">
        <v>0</v>
      </c>
      <c r="H902">
        <v>1</v>
      </c>
      <c r="I902">
        <v>1</v>
      </c>
      <c r="J902">
        <v>143710.244997278</v>
      </c>
      <c r="K902">
        <v>112209.60221846</v>
      </c>
      <c r="L902">
        <v>34.302999999999997</v>
      </c>
      <c r="M902">
        <v>70.498999999999995</v>
      </c>
      <c r="N902">
        <v>15.398</v>
      </c>
    </row>
    <row r="903" spans="1:14" x14ac:dyDescent="0.45">
      <c r="A903">
        <v>1985</v>
      </c>
      <c r="B903" t="s">
        <v>83</v>
      </c>
      <c r="C903">
        <v>0</v>
      </c>
      <c r="D903">
        <v>0</v>
      </c>
      <c r="E903">
        <v>0</v>
      </c>
      <c r="F903">
        <v>0</v>
      </c>
      <c r="G903">
        <v>0</v>
      </c>
      <c r="H903">
        <v>0</v>
      </c>
      <c r="I903">
        <v>0</v>
      </c>
      <c r="J903">
        <v>2360.7072204248102</v>
      </c>
      <c r="K903">
        <v>2044.6709902648699</v>
      </c>
      <c r="L903">
        <v>87.058999999999997</v>
      </c>
      <c r="M903">
        <v>52.033000000000001</v>
      </c>
      <c r="N903">
        <v>159.685</v>
      </c>
    </row>
    <row r="904" spans="1:14" x14ac:dyDescent="0.45">
      <c r="A904">
        <v>1985</v>
      </c>
      <c r="B904" t="s">
        <v>84</v>
      </c>
      <c r="C904">
        <v>0</v>
      </c>
      <c r="D904">
        <v>0</v>
      </c>
      <c r="E904">
        <v>1</v>
      </c>
      <c r="F904">
        <v>1</v>
      </c>
      <c r="G904">
        <v>0</v>
      </c>
      <c r="H904">
        <v>0</v>
      </c>
      <c r="I904">
        <v>0</v>
      </c>
      <c r="J904">
        <v>7043.6021409509403</v>
      </c>
      <c r="K904">
        <v>6372.9556704467104</v>
      </c>
      <c r="L904">
        <v>73.275999999999996</v>
      </c>
      <c r="M904">
        <v>63.646999999999998</v>
      </c>
      <c r="N904">
        <v>55.453000000000003</v>
      </c>
    </row>
    <row r="905" spans="1:14" x14ac:dyDescent="0.45">
      <c r="A905">
        <v>1985</v>
      </c>
      <c r="B905" t="s">
        <v>85</v>
      </c>
      <c r="C905">
        <v>0</v>
      </c>
      <c r="D905">
        <v>0</v>
      </c>
      <c r="E905">
        <v>1</v>
      </c>
      <c r="F905">
        <v>0</v>
      </c>
      <c r="G905">
        <v>0</v>
      </c>
      <c r="H905">
        <v>0</v>
      </c>
      <c r="I905">
        <v>0</v>
      </c>
      <c r="J905">
        <v>1512.61563970149</v>
      </c>
      <c r="K905">
        <v>1211.0762016424601</v>
      </c>
      <c r="L905">
        <v>64.468000000000004</v>
      </c>
      <c r="M905">
        <v>50.463000000000001</v>
      </c>
      <c r="N905">
        <v>180.27199999999999</v>
      </c>
    </row>
    <row r="906" spans="1:14" x14ac:dyDescent="0.45">
      <c r="A906">
        <v>1985</v>
      </c>
      <c r="B906" t="s">
        <v>86</v>
      </c>
      <c r="C906">
        <v>0</v>
      </c>
      <c r="D906">
        <v>0</v>
      </c>
      <c r="E906">
        <v>0</v>
      </c>
      <c r="F906">
        <v>0</v>
      </c>
      <c r="G906">
        <v>0</v>
      </c>
      <c r="H906">
        <v>1</v>
      </c>
      <c r="I906">
        <v>1</v>
      </c>
      <c r="J906">
        <v>36248.320498247303</v>
      </c>
      <c r="K906">
        <v>31377.147058831099</v>
      </c>
      <c r="L906">
        <v>23.646000000000001</v>
      </c>
      <c r="M906">
        <v>76.347999999999999</v>
      </c>
      <c r="N906">
        <v>9.6809999999999992</v>
      </c>
    </row>
    <row r="907" spans="1:14" x14ac:dyDescent="0.45">
      <c r="A907">
        <v>1985</v>
      </c>
      <c r="B907" t="s">
        <v>87</v>
      </c>
      <c r="C907">
        <v>1</v>
      </c>
      <c r="D907">
        <v>0</v>
      </c>
      <c r="E907">
        <v>0</v>
      </c>
      <c r="F907">
        <v>0</v>
      </c>
      <c r="G907">
        <v>0</v>
      </c>
      <c r="H907">
        <v>1</v>
      </c>
      <c r="I907">
        <v>1</v>
      </c>
      <c r="J907">
        <v>57098.044660745298</v>
      </c>
      <c r="K907">
        <v>49673.408997975697</v>
      </c>
      <c r="L907">
        <v>25.773</v>
      </c>
      <c r="M907">
        <v>76.882000000000005</v>
      </c>
      <c r="N907">
        <v>8.7379999999999995</v>
      </c>
    </row>
    <row r="908" spans="1:14" x14ac:dyDescent="0.45">
      <c r="A908">
        <v>1985</v>
      </c>
      <c r="B908" t="s">
        <v>88</v>
      </c>
      <c r="C908">
        <v>1</v>
      </c>
      <c r="D908">
        <v>0</v>
      </c>
      <c r="E908">
        <v>0</v>
      </c>
      <c r="F908">
        <v>0</v>
      </c>
      <c r="G908">
        <v>0</v>
      </c>
      <c r="H908">
        <v>1</v>
      </c>
      <c r="I908">
        <v>1</v>
      </c>
      <c r="L908">
        <v>68.168000000000006</v>
      </c>
      <c r="M908">
        <v>75.264580591585499</v>
      </c>
      <c r="N908">
        <v>18.302545993018601</v>
      </c>
    </row>
    <row r="909" spans="1:14" x14ac:dyDescent="0.45">
      <c r="A909">
        <v>1985</v>
      </c>
      <c r="B909" t="s">
        <v>89</v>
      </c>
      <c r="C909">
        <v>0</v>
      </c>
      <c r="D909">
        <v>1</v>
      </c>
      <c r="E909">
        <v>0</v>
      </c>
      <c r="F909">
        <v>1</v>
      </c>
      <c r="G909">
        <v>0</v>
      </c>
      <c r="H909">
        <v>0</v>
      </c>
      <c r="I909">
        <v>0</v>
      </c>
      <c r="J909">
        <v>8611.2778940666394</v>
      </c>
      <c r="K909">
        <v>7501.1287141497096</v>
      </c>
      <c r="L909">
        <v>17.376000000000001</v>
      </c>
      <c r="M909">
        <v>71.614999999999995</v>
      </c>
      <c r="N909">
        <v>22.977</v>
      </c>
    </row>
    <row r="910" spans="1:14" x14ac:dyDescent="0.45">
      <c r="A910">
        <v>1985</v>
      </c>
      <c r="B910" t="s">
        <v>90</v>
      </c>
      <c r="C910">
        <v>0</v>
      </c>
      <c r="D910">
        <v>0</v>
      </c>
      <c r="E910">
        <v>0</v>
      </c>
      <c r="F910">
        <v>0</v>
      </c>
      <c r="G910">
        <v>0</v>
      </c>
      <c r="H910">
        <v>0</v>
      </c>
      <c r="I910">
        <v>0</v>
      </c>
      <c r="J910">
        <v>1124.5347417171499</v>
      </c>
      <c r="K910">
        <v>1008.07258276533</v>
      </c>
      <c r="L910">
        <v>77.126000000000005</v>
      </c>
      <c r="M910">
        <v>66.531999999999996</v>
      </c>
      <c r="N910">
        <v>55.496000000000002</v>
      </c>
    </row>
    <row r="911" spans="1:14" x14ac:dyDescent="0.45">
      <c r="A911">
        <v>1985</v>
      </c>
      <c r="B911" t="s">
        <v>91</v>
      </c>
      <c r="C911">
        <v>0</v>
      </c>
      <c r="D911">
        <v>0</v>
      </c>
      <c r="E911">
        <v>1</v>
      </c>
      <c r="F911">
        <v>1</v>
      </c>
      <c r="G911">
        <v>0</v>
      </c>
      <c r="H911">
        <v>0</v>
      </c>
      <c r="I911">
        <v>0</v>
      </c>
      <c r="J911">
        <v>5700.65972821175</v>
      </c>
      <c r="K911">
        <v>4812.1963598389802</v>
      </c>
      <c r="L911">
        <v>62.09</v>
      </c>
      <c r="M911">
        <v>52.860999999999997</v>
      </c>
      <c r="N911">
        <v>155.209</v>
      </c>
    </row>
    <row r="912" spans="1:14" x14ac:dyDescent="0.45">
      <c r="A912">
        <v>1985</v>
      </c>
      <c r="B912" t="s">
        <v>92</v>
      </c>
      <c r="C912">
        <v>0</v>
      </c>
      <c r="D912">
        <v>0</v>
      </c>
      <c r="E912">
        <v>1</v>
      </c>
      <c r="F912">
        <v>1</v>
      </c>
      <c r="G912">
        <v>0</v>
      </c>
      <c r="H912">
        <v>0</v>
      </c>
      <c r="I912">
        <v>0</v>
      </c>
      <c r="J912">
        <v>5156.3190904702396</v>
      </c>
      <c r="K912">
        <v>4048.8065384025499</v>
      </c>
      <c r="L912">
        <v>63.768000000000001</v>
      </c>
      <c r="M912">
        <v>53.465000000000003</v>
      </c>
      <c r="N912">
        <v>150.101</v>
      </c>
    </row>
    <row r="913" spans="1:14" x14ac:dyDescent="0.45">
      <c r="A913">
        <v>1985</v>
      </c>
      <c r="B913" t="s">
        <v>93</v>
      </c>
      <c r="C913">
        <v>0</v>
      </c>
      <c r="D913">
        <v>0</v>
      </c>
      <c r="E913">
        <v>1</v>
      </c>
      <c r="F913">
        <v>0</v>
      </c>
      <c r="G913">
        <v>0</v>
      </c>
      <c r="H913">
        <v>0</v>
      </c>
      <c r="I913">
        <v>0</v>
      </c>
      <c r="J913">
        <v>2378.2408968110099</v>
      </c>
      <c r="K913">
        <v>1903.9352712928701</v>
      </c>
      <c r="L913">
        <v>71.486999999999995</v>
      </c>
      <c r="M913">
        <v>46.662999999999997</v>
      </c>
      <c r="N913">
        <v>198.30799999999999</v>
      </c>
    </row>
    <row r="914" spans="1:14" x14ac:dyDescent="0.45">
      <c r="A914">
        <v>1985</v>
      </c>
      <c r="B914" t="s">
        <v>94</v>
      </c>
      <c r="C914">
        <v>0</v>
      </c>
      <c r="D914">
        <v>0</v>
      </c>
      <c r="E914">
        <v>1</v>
      </c>
      <c r="F914">
        <v>1</v>
      </c>
      <c r="G914">
        <v>0</v>
      </c>
      <c r="H914">
        <v>0</v>
      </c>
      <c r="I914">
        <v>0</v>
      </c>
      <c r="J914">
        <v>10468.8892948138</v>
      </c>
      <c r="K914">
        <v>6311.1197828411896</v>
      </c>
      <c r="L914">
        <v>47.779000000000003</v>
      </c>
      <c r="M914">
        <v>57.607999999999997</v>
      </c>
      <c r="N914">
        <v>94.641999999999996</v>
      </c>
    </row>
    <row r="915" spans="1:14" x14ac:dyDescent="0.45">
      <c r="A915">
        <v>1985</v>
      </c>
      <c r="B915" t="s">
        <v>95</v>
      </c>
      <c r="C915">
        <v>0</v>
      </c>
      <c r="D915">
        <v>1</v>
      </c>
      <c r="E915">
        <v>0</v>
      </c>
      <c r="F915">
        <v>1</v>
      </c>
      <c r="G915">
        <v>0</v>
      </c>
      <c r="H915">
        <v>0</v>
      </c>
      <c r="I915">
        <v>0</v>
      </c>
      <c r="J915">
        <v>8965.4263194369196</v>
      </c>
      <c r="K915">
        <v>7464.6989881906702</v>
      </c>
      <c r="L915">
        <v>32.966000000000001</v>
      </c>
      <c r="M915">
        <v>65.358999999999995</v>
      </c>
      <c r="N915">
        <v>49.695</v>
      </c>
    </row>
    <row r="916" spans="1:14" x14ac:dyDescent="0.45">
      <c r="A916">
        <v>1985</v>
      </c>
      <c r="B916" t="s">
        <v>96</v>
      </c>
      <c r="C916">
        <v>0</v>
      </c>
      <c r="D916">
        <v>0</v>
      </c>
      <c r="E916">
        <v>1</v>
      </c>
      <c r="F916">
        <v>0</v>
      </c>
      <c r="G916">
        <v>0</v>
      </c>
      <c r="H916">
        <v>0</v>
      </c>
      <c r="I916">
        <v>0</v>
      </c>
      <c r="J916">
        <v>2593.6407797557099</v>
      </c>
      <c r="K916">
        <v>2682.1555700908698</v>
      </c>
      <c r="L916">
        <v>74.531000000000006</v>
      </c>
      <c r="M916">
        <v>53.262999999999998</v>
      </c>
      <c r="N916">
        <v>148.71600000000001</v>
      </c>
    </row>
    <row r="917" spans="1:14" x14ac:dyDescent="0.45">
      <c r="A917">
        <v>1985</v>
      </c>
      <c r="B917" t="s">
        <v>97</v>
      </c>
      <c r="C917">
        <v>0</v>
      </c>
      <c r="D917">
        <v>0</v>
      </c>
      <c r="E917">
        <v>1</v>
      </c>
      <c r="F917">
        <v>1</v>
      </c>
      <c r="G917">
        <v>0</v>
      </c>
      <c r="H917">
        <v>0</v>
      </c>
      <c r="I917">
        <v>0</v>
      </c>
      <c r="J917">
        <v>1511.16901669252</v>
      </c>
      <c r="K917">
        <v>1456.3348986363001</v>
      </c>
      <c r="L917">
        <v>68.5</v>
      </c>
      <c r="M917">
        <v>62.280999999999999</v>
      </c>
      <c r="N917">
        <v>72.962999999999994</v>
      </c>
    </row>
    <row r="918" spans="1:14" x14ac:dyDescent="0.45">
      <c r="A918">
        <v>1985</v>
      </c>
      <c r="B918" t="s">
        <v>98</v>
      </c>
      <c r="C918">
        <v>0</v>
      </c>
      <c r="D918">
        <v>1</v>
      </c>
      <c r="E918">
        <v>0</v>
      </c>
      <c r="F918">
        <v>1</v>
      </c>
      <c r="G918">
        <v>0</v>
      </c>
      <c r="H918">
        <v>0</v>
      </c>
      <c r="I918">
        <v>0</v>
      </c>
      <c r="J918">
        <v>10030.2001103655</v>
      </c>
      <c r="K918">
        <v>8980.5842231167699</v>
      </c>
      <c r="L918">
        <v>54.555</v>
      </c>
      <c r="M918">
        <v>74.765000000000001</v>
      </c>
      <c r="N918">
        <v>21.454000000000001</v>
      </c>
    </row>
    <row r="919" spans="1:14" x14ac:dyDescent="0.45">
      <c r="A919">
        <v>1985</v>
      </c>
      <c r="B919" t="s">
        <v>99</v>
      </c>
      <c r="C919">
        <v>0</v>
      </c>
      <c r="D919">
        <v>1</v>
      </c>
      <c r="E919">
        <v>0</v>
      </c>
      <c r="F919">
        <v>1</v>
      </c>
      <c r="G919">
        <v>0</v>
      </c>
      <c r="H919">
        <v>0</v>
      </c>
      <c r="I919">
        <v>0</v>
      </c>
      <c r="L919">
        <v>29.067</v>
      </c>
      <c r="M919">
        <v>73.463999999999999</v>
      </c>
      <c r="N919">
        <v>17.486999999999998</v>
      </c>
    </row>
    <row r="920" spans="1:14" x14ac:dyDescent="0.45">
      <c r="A920">
        <v>1985</v>
      </c>
      <c r="B920" t="s">
        <v>100</v>
      </c>
      <c r="C920">
        <v>0</v>
      </c>
      <c r="D920">
        <v>1</v>
      </c>
      <c r="E920">
        <v>0</v>
      </c>
      <c r="F920">
        <v>0</v>
      </c>
      <c r="G920">
        <v>0</v>
      </c>
      <c r="H920">
        <v>1</v>
      </c>
      <c r="I920">
        <v>1</v>
      </c>
      <c r="L920">
        <v>16.725999999999999</v>
      </c>
      <c r="M920">
        <v>71.867000000000004</v>
      </c>
      <c r="N920">
        <v>20.414999999999999</v>
      </c>
    </row>
    <row r="921" spans="1:14" x14ac:dyDescent="0.45">
      <c r="A921">
        <v>1985</v>
      </c>
      <c r="B921" t="s">
        <v>101</v>
      </c>
      <c r="C921">
        <v>0</v>
      </c>
      <c r="D921">
        <v>1</v>
      </c>
      <c r="E921">
        <v>0</v>
      </c>
      <c r="F921">
        <v>0</v>
      </c>
      <c r="G921">
        <v>0</v>
      </c>
      <c r="H921">
        <v>1</v>
      </c>
      <c r="I921">
        <v>1</v>
      </c>
      <c r="L921">
        <v>0</v>
      </c>
      <c r="M921">
        <v>71.558000000000007</v>
      </c>
      <c r="N921">
        <v>12.975</v>
      </c>
    </row>
    <row r="922" spans="1:14" x14ac:dyDescent="0.45">
      <c r="A922">
        <v>1985</v>
      </c>
      <c r="B922" t="s">
        <v>102</v>
      </c>
      <c r="C922">
        <v>1</v>
      </c>
      <c r="D922">
        <v>0</v>
      </c>
      <c r="E922">
        <v>0</v>
      </c>
      <c r="F922">
        <v>0</v>
      </c>
      <c r="G922">
        <v>1</v>
      </c>
      <c r="H922">
        <v>0</v>
      </c>
      <c r="I922">
        <v>0</v>
      </c>
      <c r="J922">
        <v>21971.049326978002</v>
      </c>
      <c r="K922">
        <v>19572.7368698112</v>
      </c>
      <c r="L922">
        <v>35.322000000000003</v>
      </c>
      <c r="M922">
        <v>74.64</v>
      </c>
      <c r="N922">
        <v>13.983000000000001</v>
      </c>
    </row>
    <row r="923" spans="1:14" x14ac:dyDescent="0.45">
      <c r="A923">
        <v>1985</v>
      </c>
      <c r="B923" t="s">
        <v>103</v>
      </c>
      <c r="C923">
        <v>1</v>
      </c>
      <c r="D923">
        <v>0</v>
      </c>
      <c r="E923">
        <v>0</v>
      </c>
      <c r="F923">
        <v>0</v>
      </c>
      <c r="G923">
        <v>1</v>
      </c>
      <c r="H923">
        <v>0</v>
      </c>
      <c r="I923">
        <v>0</v>
      </c>
      <c r="L923">
        <v>24.635000000000002</v>
      </c>
      <c r="M923">
        <v>71.102000000000004</v>
      </c>
      <c r="N923">
        <v>14.241</v>
      </c>
    </row>
    <row r="924" spans="1:14" x14ac:dyDescent="0.45">
      <c r="A924">
        <v>1985</v>
      </c>
      <c r="B924" t="s">
        <v>104</v>
      </c>
      <c r="C924">
        <v>1</v>
      </c>
      <c r="D924">
        <v>0</v>
      </c>
      <c r="E924">
        <v>0</v>
      </c>
      <c r="F924">
        <v>0</v>
      </c>
      <c r="G924">
        <v>0</v>
      </c>
      <c r="H924">
        <v>1</v>
      </c>
      <c r="I924">
        <v>1</v>
      </c>
      <c r="J924">
        <v>37438.7362025947</v>
      </c>
      <c r="K924">
        <v>32461.3360833103</v>
      </c>
      <c r="L924">
        <v>27.289000000000001</v>
      </c>
      <c r="M924">
        <v>74.492000000000004</v>
      </c>
      <c r="N924">
        <v>11.02</v>
      </c>
    </row>
    <row r="925" spans="1:14" x14ac:dyDescent="0.45">
      <c r="A925">
        <v>1985</v>
      </c>
      <c r="B925" t="s">
        <v>105</v>
      </c>
      <c r="C925">
        <v>0</v>
      </c>
      <c r="D925">
        <v>0</v>
      </c>
      <c r="E925">
        <v>0</v>
      </c>
      <c r="F925">
        <v>1</v>
      </c>
      <c r="G925">
        <v>0</v>
      </c>
      <c r="H925">
        <v>0</v>
      </c>
      <c r="I925">
        <v>0</v>
      </c>
      <c r="L925">
        <v>25.074999999999999</v>
      </c>
      <c r="M925">
        <v>54.075000000000003</v>
      </c>
      <c r="N925">
        <v>133.12700000000001</v>
      </c>
    </row>
    <row r="926" spans="1:14" x14ac:dyDescent="0.45">
      <c r="A926">
        <v>1985</v>
      </c>
      <c r="B926" t="s">
        <v>106</v>
      </c>
      <c r="C926">
        <v>0</v>
      </c>
      <c r="D926">
        <v>1</v>
      </c>
      <c r="E926">
        <v>0</v>
      </c>
      <c r="F926">
        <v>1</v>
      </c>
      <c r="G926">
        <v>0</v>
      </c>
      <c r="H926">
        <v>0</v>
      </c>
      <c r="I926">
        <v>0</v>
      </c>
      <c r="J926">
        <v>8720.9407291134703</v>
      </c>
      <c r="K926">
        <v>6786.8831429171996</v>
      </c>
      <c r="L926">
        <v>45.29</v>
      </c>
      <c r="M926">
        <v>71.918000000000006</v>
      </c>
      <c r="N926">
        <v>19.751000000000001</v>
      </c>
    </row>
    <row r="927" spans="1:14" x14ac:dyDescent="0.45">
      <c r="A927">
        <v>1985</v>
      </c>
      <c r="B927" t="s">
        <v>107</v>
      </c>
      <c r="C927">
        <v>1</v>
      </c>
      <c r="D927">
        <v>0</v>
      </c>
      <c r="E927">
        <v>0</v>
      </c>
      <c r="F927">
        <v>0</v>
      </c>
      <c r="G927">
        <v>0</v>
      </c>
      <c r="H927">
        <v>1</v>
      </c>
      <c r="I927">
        <v>1</v>
      </c>
      <c r="J927">
        <v>41579.535002250501</v>
      </c>
      <c r="K927">
        <v>35140.822950806301</v>
      </c>
      <c r="L927">
        <v>15.648999999999999</v>
      </c>
      <c r="M927">
        <v>74.48</v>
      </c>
      <c r="N927">
        <v>9.6280000000000001</v>
      </c>
    </row>
    <row r="928" spans="1:14" x14ac:dyDescent="0.45">
      <c r="A928">
        <v>1985</v>
      </c>
      <c r="B928" t="s">
        <v>108</v>
      </c>
      <c r="C928">
        <v>0</v>
      </c>
      <c r="D928">
        <v>1</v>
      </c>
      <c r="E928">
        <v>0</v>
      </c>
      <c r="F928">
        <v>1</v>
      </c>
      <c r="G928">
        <v>0</v>
      </c>
      <c r="H928">
        <v>0</v>
      </c>
      <c r="I928">
        <v>0</v>
      </c>
      <c r="J928">
        <v>6929.4285476117002</v>
      </c>
      <c r="K928">
        <v>5985.8135935196697</v>
      </c>
      <c r="L928">
        <v>46.131999999999998</v>
      </c>
      <c r="M928">
        <v>65.614000000000004</v>
      </c>
      <c r="N928">
        <v>77.894999999999996</v>
      </c>
    </row>
    <row r="929" spans="1:14" x14ac:dyDescent="0.45">
      <c r="A929">
        <v>1985</v>
      </c>
      <c r="B929" t="s">
        <v>109</v>
      </c>
      <c r="C929">
        <v>0</v>
      </c>
      <c r="D929">
        <v>0</v>
      </c>
      <c r="E929">
        <v>0</v>
      </c>
      <c r="F929">
        <v>0</v>
      </c>
      <c r="G929">
        <v>1</v>
      </c>
      <c r="H929">
        <v>0</v>
      </c>
      <c r="I929">
        <v>0</v>
      </c>
      <c r="J929">
        <v>12773.0008831491</v>
      </c>
      <c r="K929">
        <v>11171.7024228666</v>
      </c>
      <c r="L929">
        <v>52.031999999999996</v>
      </c>
      <c r="M929">
        <v>64.155000000000001</v>
      </c>
      <c r="N929">
        <v>77.432000000000002</v>
      </c>
    </row>
    <row r="930" spans="1:14" x14ac:dyDescent="0.45">
      <c r="A930">
        <v>1985</v>
      </c>
      <c r="B930" t="s">
        <v>110</v>
      </c>
      <c r="C930">
        <v>0</v>
      </c>
      <c r="D930">
        <v>1</v>
      </c>
      <c r="E930">
        <v>0</v>
      </c>
      <c r="F930">
        <v>1</v>
      </c>
      <c r="G930">
        <v>0</v>
      </c>
      <c r="H930">
        <v>0</v>
      </c>
      <c r="I930">
        <v>0</v>
      </c>
      <c r="J930">
        <v>8957.4153983835404</v>
      </c>
      <c r="K930">
        <v>7450.31033804044</v>
      </c>
      <c r="L930">
        <v>48.784999999999997</v>
      </c>
      <c r="M930">
        <v>65.625</v>
      </c>
      <c r="N930">
        <v>69.411000000000001</v>
      </c>
    </row>
    <row r="931" spans="1:14" x14ac:dyDescent="0.45">
      <c r="A931">
        <v>1985</v>
      </c>
      <c r="B931" t="s">
        <v>111</v>
      </c>
      <c r="C931">
        <v>0</v>
      </c>
      <c r="D931">
        <v>0</v>
      </c>
      <c r="E931">
        <v>0</v>
      </c>
      <c r="F931">
        <v>1</v>
      </c>
      <c r="G931">
        <v>0</v>
      </c>
      <c r="H931">
        <v>0</v>
      </c>
      <c r="I931">
        <v>0</v>
      </c>
      <c r="J931">
        <v>7074.6691919350396</v>
      </c>
      <c r="K931">
        <v>5614.3382722596898</v>
      </c>
      <c r="L931">
        <v>56.061999999999998</v>
      </c>
      <c r="M931">
        <v>59.405000000000001</v>
      </c>
      <c r="N931">
        <v>119.32599999999999</v>
      </c>
    </row>
    <row r="932" spans="1:14" x14ac:dyDescent="0.45">
      <c r="A932">
        <v>1985</v>
      </c>
      <c r="B932" t="s">
        <v>112</v>
      </c>
      <c r="C932">
        <v>0</v>
      </c>
      <c r="D932">
        <v>0</v>
      </c>
      <c r="E932">
        <v>1</v>
      </c>
      <c r="F932">
        <v>0</v>
      </c>
      <c r="G932">
        <v>0</v>
      </c>
      <c r="H932">
        <v>0</v>
      </c>
      <c r="I932">
        <v>0</v>
      </c>
      <c r="L932">
        <v>84.242999999999995</v>
      </c>
      <c r="M932">
        <v>38.585999999999999</v>
      </c>
      <c r="N932">
        <v>258.72699999999998</v>
      </c>
    </row>
    <row r="933" spans="1:14" x14ac:dyDescent="0.45">
      <c r="A933">
        <v>1985</v>
      </c>
      <c r="B933" t="s">
        <v>113</v>
      </c>
      <c r="C933">
        <v>1</v>
      </c>
      <c r="D933">
        <v>0</v>
      </c>
      <c r="E933">
        <v>0</v>
      </c>
      <c r="F933">
        <v>0</v>
      </c>
      <c r="G933">
        <v>0</v>
      </c>
      <c r="H933">
        <v>1</v>
      </c>
      <c r="I933">
        <v>1</v>
      </c>
      <c r="J933">
        <v>26012.755691733099</v>
      </c>
      <c r="K933">
        <v>22891.916846841701</v>
      </c>
      <c r="L933">
        <v>25.786999999999999</v>
      </c>
      <c r="M933">
        <v>76.41</v>
      </c>
      <c r="N933">
        <v>10.71</v>
      </c>
    </row>
    <row r="934" spans="1:14" x14ac:dyDescent="0.45">
      <c r="A934">
        <v>1985</v>
      </c>
      <c r="B934" t="s">
        <v>114</v>
      </c>
      <c r="C934">
        <v>1</v>
      </c>
      <c r="D934">
        <v>0</v>
      </c>
      <c r="E934">
        <v>0</v>
      </c>
      <c r="F934">
        <v>0</v>
      </c>
      <c r="G934">
        <v>1</v>
      </c>
      <c r="H934">
        <v>0</v>
      </c>
      <c r="I934">
        <v>0</v>
      </c>
      <c r="L934">
        <v>29.233000000000001</v>
      </c>
      <c r="M934">
        <v>69.774000000000001</v>
      </c>
      <c r="N934">
        <v>18.192</v>
      </c>
    </row>
    <row r="935" spans="1:14" x14ac:dyDescent="0.45">
      <c r="A935">
        <v>1985</v>
      </c>
      <c r="B935" t="s">
        <v>115</v>
      </c>
      <c r="C935">
        <v>0</v>
      </c>
      <c r="D935">
        <v>0</v>
      </c>
      <c r="E935">
        <v>1</v>
      </c>
      <c r="F935">
        <v>0</v>
      </c>
      <c r="G935">
        <v>0</v>
      </c>
      <c r="H935">
        <v>0</v>
      </c>
      <c r="I935">
        <v>0</v>
      </c>
      <c r="J935">
        <v>868.34658898122404</v>
      </c>
      <c r="K935">
        <v>783.15345498014904</v>
      </c>
      <c r="L935">
        <v>88.546999999999997</v>
      </c>
      <c r="M935">
        <v>37.747</v>
      </c>
      <c r="N935">
        <v>297.69099999999997</v>
      </c>
    </row>
    <row r="936" spans="1:14" x14ac:dyDescent="0.45">
      <c r="A936">
        <v>1985</v>
      </c>
      <c r="B936" t="s">
        <v>116</v>
      </c>
      <c r="C936">
        <v>1</v>
      </c>
      <c r="D936">
        <v>0</v>
      </c>
      <c r="E936">
        <v>0</v>
      </c>
      <c r="F936">
        <v>0</v>
      </c>
      <c r="G936">
        <v>0</v>
      </c>
      <c r="H936">
        <v>1</v>
      </c>
      <c r="I936">
        <v>1</v>
      </c>
      <c r="J936">
        <v>32405.692360273199</v>
      </c>
      <c r="K936">
        <v>27242.908573644301</v>
      </c>
      <c r="L936">
        <v>24.192</v>
      </c>
      <c r="M936">
        <v>74.424000000000007</v>
      </c>
      <c r="N936">
        <v>7.2439999999999998</v>
      </c>
    </row>
    <row r="937" spans="1:14" x14ac:dyDescent="0.45">
      <c r="A937">
        <v>1985</v>
      </c>
      <c r="B937" t="s">
        <v>117</v>
      </c>
      <c r="C937">
        <v>0</v>
      </c>
      <c r="D937">
        <v>0</v>
      </c>
      <c r="E937">
        <v>0</v>
      </c>
      <c r="F937">
        <v>1</v>
      </c>
      <c r="G937">
        <v>0</v>
      </c>
      <c r="H937">
        <v>0</v>
      </c>
      <c r="I937">
        <v>0</v>
      </c>
      <c r="J937">
        <v>8489.1395765680609</v>
      </c>
      <c r="K937">
        <v>8313.4372895495708</v>
      </c>
      <c r="L937">
        <v>61.476999999999997</v>
      </c>
      <c r="M937">
        <v>63.997999999999998</v>
      </c>
      <c r="N937">
        <v>35.970999999999997</v>
      </c>
    </row>
    <row r="938" spans="1:14" x14ac:dyDescent="0.45">
      <c r="A938">
        <v>1985</v>
      </c>
      <c r="B938" t="s">
        <v>118</v>
      </c>
      <c r="C938">
        <v>1</v>
      </c>
      <c r="D938">
        <v>0</v>
      </c>
      <c r="E938">
        <v>0</v>
      </c>
      <c r="F938">
        <v>0</v>
      </c>
      <c r="G938">
        <v>0</v>
      </c>
      <c r="H938">
        <v>1</v>
      </c>
      <c r="I938">
        <v>1</v>
      </c>
      <c r="J938">
        <v>34008.923802600897</v>
      </c>
      <c r="K938">
        <v>28394.009257258502</v>
      </c>
      <c r="L938">
        <v>26.35</v>
      </c>
      <c r="M938">
        <v>75.308999999999997</v>
      </c>
      <c r="N938">
        <v>10.255000000000001</v>
      </c>
    </row>
    <row r="939" spans="1:14" x14ac:dyDescent="0.45">
      <c r="A939">
        <v>1985</v>
      </c>
      <c r="B939" t="s">
        <v>119</v>
      </c>
      <c r="C939">
        <v>1</v>
      </c>
      <c r="D939">
        <v>0</v>
      </c>
      <c r="E939">
        <v>0</v>
      </c>
      <c r="F939">
        <v>0</v>
      </c>
      <c r="G939">
        <v>0</v>
      </c>
      <c r="H939">
        <v>1</v>
      </c>
      <c r="I939">
        <v>1</v>
      </c>
      <c r="L939">
        <v>69.233999999999995</v>
      </c>
      <c r="M939">
        <v>76.049000000000007</v>
      </c>
      <c r="N939">
        <v>12.958</v>
      </c>
    </row>
    <row r="940" spans="1:14" x14ac:dyDescent="0.45">
      <c r="A940">
        <v>1985</v>
      </c>
      <c r="B940" t="s">
        <v>120</v>
      </c>
      <c r="C940">
        <v>0</v>
      </c>
      <c r="D940">
        <v>0</v>
      </c>
      <c r="E940">
        <v>0</v>
      </c>
      <c r="F940">
        <v>1</v>
      </c>
      <c r="G940">
        <v>0</v>
      </c>
      <c r="H940">
        <v>0</v>
      </c>
      <c r="I940">
        <v>0</v>
      </c>
      <c r="J940">
        <v>2718.3846355135702</v>
      </c>
      <c r="K940">
        <v>2460.51320674615</v>
      </c>
      <c r="L940">
        <v>73.850999999999999</v>
      </c>
      <c r="M940">
        <v>63.027999999999999</v>
      </c>
      <c r="N940">
        <v>55.207999999999998</v>
      </c>
    </row>
    <row r="941" spans="1:14" x14ac:dyDescent="0.45">
      <c r="A941">
        <v>1985</v>
      </c>
      <c r="B941" t="s">
        <v>121</v>
      </c>
      <c r="C941">
        <v>0</v>
      </c>
      <c r="D941">
        <v>0</v>
      </c>
      <c r="E941">
        <v>1</v>
      </c>
      <c r="F941">
        <v>0</v>
      </c>
      <c r="G941">
        <v>1</v>
      </c>
      <c r="H941">
        <v>0</v>
      </c>
      <c r="I941">
        <v>0</v>
      </c>
      <c r="J941">
        <v>27895.758278494399</v>
      </c>
      <c r="K941">
        <v>21107.044256352499</v>
      </c>
      <c r="L941">
        <v>37.597999999999999</v>
      </c>
      <c r="M941">
        <v>59.664999999999999</v>
      </c>
      <c r="N941">
        <v>103.114</v>
      </c>
    </row>
    <row r="942" spans="1:14" x14ac:dyDescent="0.45">
      <c r="A942">
        <v>1985</v>
      </c>
      <c r="B942" t="s">
        <v>122</v>
      </c>
      <c r="C942">
        <v>1</v>
      </c>
      <c r="D942">
        <v>0</v>
      </c>
      <c r="E942">
        <v>0</v>
      </c>
      <c r="F942">
        <v>0</v>
      </c>
      <c r="G942">
        <v>0</v>
      </c>
      <c r="H942">
        <v>1</v>
      </c>
      <c r="I942">
        <v>1</v>
      </c>
      <c r="J942">
        <v>28427.520399848501</v>
      </c>
      <c r="K942">
        <v>24491.166109352002</v>
      </c>
      <c r="L942">
        <v>21.61</v>
      </c>
      <c r="M942">
        <v>74.536000000000001</v>
      </c>
      <c r="N942">
        <v>11.21</v>
      </c>
    </row>
    <row r="943" spans="1:14" x14ac:dyDescent="0.45">
      <c r="A943">
        <v>1985</v>
      </c>
      <c r="B943" t="s">
        <v>123</v>
      </c>
      <c r="C943">
        <v>1</v>
      </c>
      <c r="D943">
        <v>0</v>
      </c>
      <c r="E943">
        <v>0</v>
      </c>
      <c r="F943">
        <v>1</v>
      </c>
      <c r="G943">
        <v>0</v>
      </c>
      <c r="H943">
        <v>0</v>
      </c>
      <c r="I943">
        <v>0</v>
      </c>
      <c r="J943">
        <v>14039.906552549801</v>
      </c>
      <c r="K943">
        <v>11862.115991734199</v>
      </c>
      <c r="L943">
        <v>45.805999999999997</v>
      </c>
      <c r="M943">
        <v>69.006</v>
      </c>
      <c r="N943">
        <v>50.837000000000003</v>
      </c>
    </row>
    <row r="944" spans="1:14" x14ac:dyDescent="0.45">
      <c r="A944">
        <v>1985</v>
      </c>
      <c r="B944" t="s">
        <v>124</v>
      </c>
      <c r="C944">
        <v>0</v>
      </c>
      <c r="D944">
        <v>0</v>
      </c>
      <c r="E944">
        <v>1</v>
      </c>
      <c r="F944">
        <v>0</v>
      </c>
      <c r="G944">
        <v>0</v>
      </c>
      <c r="H944">
        <v>0</v>
      </c>
      <c r="I944">
        <v>0</v>
      </c>
      <c r="J944">
        <v>2431.0186197326202</v>
      </c>
      <c r="K944">
        <v>2097.3436321837298</v>
      </c>
      <c r="L944">
        <v>67.103999999999999</v>
      </c>
      <c r="M944">
        <v>52.731999999999999</v>
      </c>
      <c r="N944">
        <v>153.262</v>
      </c>
    </row>
    <row r="945" spans="1:14" x14ac:dyDescent="0.45">
      <c r="A945">
        <v>1985</v>
      </c>
      <c r="B945" t="s">
        <v>125</v>
      </c>
      <c r="C945">
        <v>1</v>
      </c>
      <c r="D945">
        <v>0</v>
      </c>
      <c r="E945">
        <v>0</v>
      </c>
      <c r="F945">
        <v>0</v>
      </c>
      <c r="G945">
        <v>1</v>
      </c>
      <c r="H945">
        <v>0</v>
      </c>
      <c r="I945">
        <v>0</v>
      </c>
      <c r="L945">
        <v>0</v>
      </c>
      <c r="M945">
        <v>75.231999999999999</v>
      </c>
      <c r="N945">
        <v>23.759</v>
      </c>
    </row>
    <row r="946" spans="1:14" x14ac:dyDescent="0.45">
      <c r="A946">
        <v>1985</v>
      </c>
      <c r="B946" t="s">
        <v>126</v>
      </c>
      <c r="C946">
        <v>0</v>
      </c>
      <c r="D946">
        <v>0</v>
      </c>
      <c r="E946">
        <v>1</v>
      </c>
      <c r="F946">
        <v>0</v>
      </c>
      <c r="G946">
        <v>0</v>
      </c>
      <c r="H946">
        <v>0</v>
      </c>
      <c r="I946">
        <v>0</v>
      </c>
      <c r="J946">
        <v>1934.2868648666999</v>
      </c>
      <c r="K946">
        <v>1559.54936861177</v>
      </c>
      <c r="L946">
        <v>73.379000000000005</v>
      </c>
      <c r="M946">
        <v>45.31</v>
      </c>
      <c r="N946">
        <v>257.96699999999998</v>
      </c>
    </row>
    <row r="947" spans="1:14" x14ac:dyDescent="0.45">
      <c r="A947">
        <v>1985</v>
      </c>
      <c r="B947" t="s">
        <v>127</v>
      </c>
      <c r="C947">
        <v>0</v>
      </c>
      <c r="D947">
        <v>0</v>
      </c>
      <c r="E947">
        <v>1</v>
      </c>
      <c r="F947">
        <v>0</v>
      </c>
      <c r="G947">
        <v>0</v>
      </c>
      <c r="H947">
        <v>0</v>
      </c>
      <c r="I947">
        <v>0</v>
      </c>
      <c r="J947">
        <v>2792.9113612102801</v>
      </c>
      <c r="K947">
        <v>2248.0058787320299</v>
      </c>
      <c r="L947">
        <v>66.980999999999995</v>
      </c>
      <c r="M947">
        <v>48.151000000000003</v>
      </c>
      <c r="N947">
        <v>197.04</v>
      </c>
    </row>
    <row r="948" spans="1:14" x14ac:dyDescent="0.45">
      <c r="A948">
        <v>1985</v>
      </c>
      <c r="B948" t="s">
        <v>128</v>
      </c>
      <c r="C948">
        <v>0</v>
      </c>
      <c r="D948">
        <v>0</v>
      </c>
      <c r="E948">
        <v>1</v>
      </c>
      <c r="F948">
        <v>0</v>
      </c>
      <c r="G948">
        <v>0</v>
      </c>
      <c r="H948">
        <v>0</v>
      </c>
      <c r="I948">
        <v>0</v>
      </c>
      <c r="J948">
        <v>1841.9254362638001</v>
      </c>
      <c r="K948">
        <v>1656.9932650875601</v>
      </c>
      <c r="L948">
        <v>76.296000000000006</v>
      </c>
      <c r="M948">
        <v>45.265999999999998</v>
      </c>
      <c r="N948">
        <v>242.26900000000001</v>
      </c>
    </row>
    <row r="949" spans="1:14" x14ac:dyDescent="0.45">
      <c r="A949">
        <v>1985</v>
      </c>
      <c r="B949" t="s">
        <v>129</v>
      </c>
      <c r="C949">
        <v>0</v>
      </c>
      <c r="D949">
        <v>0</v>
      </c>
      <c r="E949">
        <v>1</v>
      </c>
      <c r="F949">
        <v>0</v>
      </c>
      <c r="G949">
        <v>0</v>
      </c>
      <c r="H949">
        <v>0</v>
      </c>
      <c r="I949">
        <v>0</v>
      </c>
      <c r="J949">
        <v>1203.7450047116299</v>
      </c>
      <c r="K949">
        <v>997.31809438139101</v>
      </c>
      <c r="L949">
        <v>70.06</v>
      </c>
      <c r="M949">
        <v>50.598999999999997</v>
      </c>
      <c r="N949">
        <v>190.25</v>
      </c>
    </row>
    <row r="950" spans="1:14" x14ac:dyDescent="0.45">
      <c r="A950">
        <v>1985</v>
      </c>
      <c r="B950" t="s">
        <v>130</v>
      </c>
      <c r="C950">
        <v>1</v>
      </c>
      <c r="D950">
        <v>0</v>
      </c>
      <c r="E950">
        <v>0</v>
      </c>
      <c r="F950">
        <v>0</v>
      </c>
      <c r="G950">
        <v>1</v>
      </c>
      <c r="H950">
        <v>0</v>
      </c>
      <c r="I950">
        <v>0</v>
      </c>
      <c r="J950">
        <v>25171.596874208899</v>
      </c>
      <c r="K950">
        <v>22533.465316705198</v>
      </c>
      <c r="L950">
        <v>29.481999999999999</v>
      </c>
      <c r="M950">
        <v>76.14</v>
      </c>
      <c r="N950">
        <v>14.45</v>
      </c>
    </row>
    <row r="951" spans="1:14" x14ac:dyDescent="0.45">
      <c r="A951">
        <v>1985</v>
      </c>
      <c r="B951" t="s">
        <v>131</v>
      </c>
      <c r="C951">
        <v>0</v>
      </c>
      <c r="D951">
        <v>1</v>
      </c>
      <c r="E951">
        <v>0</v>
      </c>
      <c r="F951">
        <v>1</v>
      </c>
      <c r="G951">
        <v>0</v>
      </c>
      <c r="H951">
        <v>0</v>
      </c>
      <c r="I951">
        <v>0</v>
      </c>
      <c r="J951">
        <v>6967.4079665582203</v>
      </c>
      <c r="K951">
        <v>6428.8626710611197</v>
      </c>
      <c r="L951">
        <v>66.822999999999993</v>
      </c>
      <c r="M951">
        <v>69.337999999999994</v>
      </c>
      <c r="N951">
        <v>28.782</v>
      </c>
    </row>
    <row r="952" spans="1:14" x14ac:dyDescent="0.45">
      <c r="A952">
        <v>1985</v>
      </c>
      <c r="B952" t="s">
        <v>132</v>
      </c>
      <c r="C952">
        <v>1</v>
      </c>
      <c r="D952">
        <v>0</v>
      </c>
      <c r="E952">
        <v>0</v>
      </c>
      <c r="F952">
        <v>0</v>
      </c>
      <c r="G952">
        <v>0</v>
      </c>
      <c r="H952">
        <v>1</v>
      </c>
      <c r="I952">
        <v>1</v>
      </c>
      <c r="J952">
        <v>35471.261708995997</v>
      </c>
      <c r="K952">
        <v>32107.457054801602</v>
      </c>
      <c r="L952">
        <v>22.039000000000001</v>
      </c>
      <c r="M952">
        <v>62.823999999999998</v>
      </c>
      <c r="N952">
        <v>39.764000000000003</v>
      </c>
    </row>
    <row r="953" spans="1:14" x14ac:dyDescent="0.45">
      <c r="A953">
        <v>1985</v>
      </c>
      <c r="B953" t="s">
        <v>133</v>
      </c>
      <c r="C953">
        <v>0</v>
      </c>
      <c r="D953">
        <v>1</v>
      </c>
      <c r="E953">
        <v>0</v>
      </c>
      <c r="F953">
        <v>1</v>
      </c>
      <c r="G953">
        <v>0</v>
      </c>
      <c r="H953">
        <v>0</v>
      </c>
      <c r="I953">
        <v>0</v>
      </c>
      <c r="J953">
        <v>7847.9187690922299</v>
      </c>
      <c r="K953">
        <v>6817.2960142355196</v>
      </c>
      <c r="L953">
        <v>59.652999999999999</v>
      </c>
      <c r="M953">
        <v>59.787999999999997</v>
      </c>
      <c r="N953">
        <v>99.828000000000003</v>
      </c>
    </row>
    <row r="954" spans="1:14" x14ac:dyDescent="0.45">
      <c r="A954">
        <v>1985</v>
      </c>
      <c r="B954" t="s">
        <v>134</v>
      </c>
      <c r="C954">
        <v>0</v>
      </c>
      <c r="D954">
        <v>0</v>
      </c>
      <c r="E954">
        <v>0</v>
      </c>
      <c r="F954">
        <v>0</v>
      </c>
      <c r="G954">
        <v>0</v>
      </c>
      <c r="H954">
        <v>1</v>
      </c>
      <c r="I954">
        <v>1</v>
      </c>
      <c r="L954">
        <v>7.6609999999999996</v>
      </c>
      <c r="M954">
        <v>73.069999999999993</v>
      </c>
      <c r="N954">
        <v>14.068</v>
      </c>
    </row>
    <row r="955" spans="1:14" x14ac:dyDescent="0.45">
      <c r="A955">
        <v>1985</v>
      </c>
      <c r="B955" t="s">
        <v>135</v>
      </c>
      <c r="C955">
        <v>0</v>
      </c>
      <c r="D955">
        <v>1</v>
      </c>
      <c r="E955">
        <v>0</v>
      </c>
      <c r="F955">
        <v>0</v>
      </c>
      <c r="G955">
        <v>0</v>
      </c>
      <c r="H955">
        <v>0</v>
      </c>
      <c r="I955">
        <v>0</v>
      </c>
      <c r="J955">
        <v>5279.1280553341303</v>
      </c>
      <c r="K955">
        <v>5048.8479405820499</v>
      </c>
      <c r="L955">
        <v>69.966999999999999</v>
      </c>
      <c r="M955">
        <v>61.378999999999998</v>
      </c>
      <c r="N955">
        <v>66.558000000000007</v>
      </c>
    </row>
    <row r="956" spans="1:14" x14ac:dyDescent="0.45">
      <c r="A956">
        <v>1985</v>
      </c>
      <c r="B956" t="s">
        <v>136</v>
      </c>
      <c r="C956">
        <v>0</v>
      </c>
      <c r="D956">
        <v>0</v>
      </c>
      <c r="E956">
        <v>0</v>
      </c>
      <c r="F956">
        <v>0</v>
      </c>
      <c r="G956">
        <v>0</v>
      </c>
      <c r="H956">
        <v>1</v>
      </c>
      <c r="I956">
        <v>1</v>
      </c>
      <c r="J956">
        <v>23637.253326040998</v>
      </c>
      <c r="K956">
        <v>21332.702625349601</v>
      </c>
      <c r="L956">
        <v>7.08</v>
      </c>
      <c r="M956">
        <v>76.248999999999995</v>
      </c>
      <c r="N956">
        <v>10.260999999999999</v>
      </c>
    </row>
    <row r="957" spans="1:14" x14ac:dyDescent="0.45">
      <c r="A957">
        <v>1985</v>
      </c>
      <c r="B957" t="s">
        <v>137</v>
      </c>
      <c r="C957">
        <v>0</v>
      </c>
      <c r="D957">
        <v>1</v>
      </c>
      <c r="E957">
        <v>0</v>
      </c>
      <c r="F957">
        <v>1</v>
      </c>
      <c r="G957">
        <v>0</v>
      </c>
      <c r="H957">
        <v>0</v>
      </c>
      <c r="I957">
        <v>0</v>
      </c>
      <c r="J957">
        <v>4154.6571812130696</v>
      </c>
      <c r="K957">
        <v>3828.42532461472</v>
      </c>
      <c r="L957">
        <v>62.265000000000001</v>
      </c>
      <c r="M957">
        <v>63.222999999999999</v>
      </c>
      <c r="N957">
        <v>74.236000000000004</v>
      </c>
    </row>
    <row r="958" spans="1:14" x14ac:dyDescent="0.45">
      <c r="A958">
        <v>1985</v>
      </c>
      <c r="B958" t="s">
        <v>138</v>
      </c>
      <c r="C958">
        <v>1</v>
      </c>
      <c r="D958">
        <v>0</v>
      </c>
      <c r="E958">
        <v>0</v>
      </c>
      <c r="F958">
        <v>0</v>
      </c>
      <c r="G958">
        <v>1</v>
      </c>
      <c r="H958">
        <v>0</v>
      </c>
      <c r="I958">
        <v>0</v>
      </c>
      <c r="L958">
        <v>50.713000000000001</v>
      </c>
      <c r="M958">
        <v>71.528000000000006</v>
      </c>
      <c r="N958">
        <v>17.905000000000001</v>
      </c>
    </row>
    <row r="959" spans="1:14" x14ac:dyDescent="0.45">
      <c r="A959">
        <v>1985</v>
      </c>
      <c r="B959" t="s">
        <v>139</v>
      </c>
      <c r="C959">
        <v>0</v>
      </c>
      <c r="D959">
        <v>1</v>
      </c>
      <c r="E959">
        <v>0</v>
      </c>
      <c r="F959">
        <v>0</v>
      </c>
      <c r="G959">
        <v>0</v>
      </c>
      <c r="H959">
        <v>0</v>
      </c>
      <c r="I959">
        <v>0</v>
      </c>
      <c r="J959">
        <v>4514.4587663631801</v>
      </c>
      <c r="K959">
        <v>4339.0980460418796</v>
      </c>
      <c r="L959">
        <v>76.739000000000004</v>
      </c>
      <c r="M959">
        <v>51.582999999999998</v>
      </c>
      <c r="N959">
        <v>166.32599999999999</v>
      </c>
    </row>
    <row r="960" spans="1:14" x14ac:dyDescent="0.45">
      <c r="A960">
        <v>1985</v>
      </c>
      <c r="B960" t="s">
        <v>140</v>
      </c>
      <c r="C960">
        <v>1</v>
      </c>
      <c r="D960">
        <v>0</v>
      </c>
      <c r="E960">
        <v>0</v>
      </c>
      <c r="F960">
        <v>0</v>
      </c>
      <c r="G960">
        <v>1</v>
      </c>
      <c r="H960">
        <v>0</v>
      </c>
      <c r="I960">
        <v>0</v>
      </c>
      <c r="J960">
        <v>19724.172378495801</v>
      </c>
      <c r="K960">
        <v>17187.9885871728</v>
      </c>
      <c r="L960">
        <v>34.905000000000001</v>
      </c>
      <c r="M960">
        <v>68.902000000000001</v>
      </c>
      <c r="N960">
        <v>22.963999999999999</v>
      </c>
    </row>
    <row r="961" spans="1:14" x14ac:dyDescent="0.45">
      <c r="A961">
        <v>1985</v>
      </c>
      <c r="B961" t="s">
        <v>141</v>
      </c>
      <c r="C961">
        <v>0</v>
      </c>
      <c r="D961">
        <v>0</v>
      </c>
      <c r="E961">
        <v>0</v>
      </c>
      <c r="F961">
        <v>0</v>
      </c>
      <c r="G961">
        <v>0</v>
      </c>
      <c r="H961">
        <v>0</v>
      </c>
      <c r="I961">
        <v>0</v>
      </c>
      <c r="J961">
        <v>4155.44359938667</v>
      </c>
      <c r="K961">
        <v>3772.4878350430799</v>
      </c>
      <c r="L961">
        <v>73.911000000000001</v>
      </c>
      <c r="M961">
        <v>61.387</v>
      </c>
      <c r="N961">
        <v>102.164</v>
      </c>
    </row>
    <row r="962" spans="1:14" x14ac:dyDescent="0.45">
      <c r="A962">
        <v>1985</v>
      </c>
      <c r="B962" t="s">
        <v>142</v>
      </c>
      <c r="C962">
        <v>1</v>
      </c>
      <c r="D962">
        <v>0</v>
      </c>
      <c r="E962">
        <v>0</v>
      </c>
      <c r="F962">
        <v>0</v>
      </c>
      <c r="G962">
        <v>0</v>
      </c>
      <c r="H962">
        <v>1</v>
      </c>
      <c r="I962">
        <v>1</v>
      </c>
      <c r="L962">
        <v>48.234999999999999</v>
      </c>
      <c r="M962">
        <v>70.02</v>
      </c>
      <c r="N962">
        <v>44.573999999999998</v>
      </c>
    </row>
    <row r="963" spans="1:14" x14ac:dyDescent="0.45">
      <c r="A963">
        <v>1985</v>
      </c>
      <c r="B963" t="s">
        <v>143</v>
      </c>
      <c r="C963">
        <v>0</v>
      </c>
      <c r="D963">
        <v>0</v>
      </c>
      <c r="E963">
        <v>0</v>
      </c>
      <c r="F963">
        <v>0</v>
      </c>
      <c r="G963">
        <v>0</v>
      </c>
      <c r="H963">
        <v>0</v>
      </c>
      <c r="I963">
        <v>0</v>
      </c>
      <c r="J963">
        <v>1850.4682006662599</v>
      </c>
      <c r="K963">
        <v>1551.9605650352501</v>
      </c>
      <c r="L963">
        <v>75.652000000000001</v>
      </c>
      <c r="M963">
        <v>56.323999999999998</v>
      </c>
      <c r="N963">
        <v>146.02099999999999</v>
      </c>
    </row>
    <row r="964" spans="1:14" x14ac:dyDescent="0.45">
      <c r="A964">
        <v>1985</v>
      </c>
      <c r="B964" t="s">
        <v>144</v>
      </c>
      <c r="C964">
        <v>1</v>
      </c>
      <c r="D964">
        <v>0</v>
      </c>
      <c r="E964">
        <v>0</v>
      </c>
      <c r="F964">
        <v>0</v>
      </c>
      <c r="G964">
        <v>0</v>
      </c>
      <c r="H964">
        <v>1</v>
      </c>
      <c r="I964">
        <v>1</v>
      </c>
      <c r="J964">
        <v>25483.9165928931</v>
      </c>
      <c r="K964">
        <v>23431.131751059002</v>
      </c>
      <c r="L964">
        <v>43.725000000000001</v>
      </c>
      <c r="M964">
        <v>73.561000000000007</v>
      </c>
      <c r="N964">
        <v>10.536</v>
      </c>
    </row>
    <row r="965" spans="1:14" x14ac:dyDescent="0.45">
      <c r="A965">
        <v>1985</v>
      </c>
      <c r="B965" t="s">
        <v>145</v>
      </c>
      <c r="C965">
        <v>0</v>
      </c>
      <c r="D965">
        <v>0</v>
      </c>
      <c r="E965">
        <v>0</v>
      </c>
      <c r="F965">
        <v>0</v>
      </c>
      <c r="G965">
        <v>1</v>
      </c>
      <c r="H965">
        <v>0</v>
      </c>
      <c r="I965">
        <v>0</v>
      </c>
      <c r="J965">
        <v>10762.6027973033</v>
      </c>
      <c r="K965">
        <v>10735.6389462141</v>
      </c>
      <c r="L965">
        <v>46.604999999999997</v>
      </c>
      <c r="M965">
        <v>61.536999999999999</v>
      </c>
      <c r="N965">
        <v>76.757000000000005</v>
      </c>
    </row>
    <row r="966" spans="1:14" x14ac:dyDescent="0.45">
      <c r="A966">
        <v>1985</v>
      </c>
      <c r="B966" t="s">
        <v>146</v>
      </c>
      <c r="C966">
        <v>0</v>
      </c>
      <c r="D966">
        <v>0</v>
      </c>
      <c r="E966">
        <v>0</v>
      </c>
      <c r="F966">
        <v>0</v>
      </c>
      <c r="G966">
        <v>1</v>
      </c>
      <c r="H966">
        <v>0</v>
      </c>
      <c r="I966">
        <v>0</v>
      </c>
      <c r="J966">
        <v>6882.2273238876596</v>
      </c>
      <c r="K966">
        <v>4864.9691881010804</v>
      </c>
      <c r="L966">
        <v>31.233000000000001</v>
      </c>
      <c r="M966">
        <v>59.8</v>
      </c>
      <c r="N966">
        <v>61.11</v>
      </c>
    </row>
    <row r="967" spans="1:14" x14ac:dyDescent="0.45">
      <c r="A967">
        <v>1985</v>
      </c>
      <c r="B967" t="s">
        <v>147</v>
      </c>
      <c r="C967">
        <v>1</v>
      </c>
      <c r="D967">
        <v>0</v>
      </c>
      <c r="E967">
        <v>0</v>
      </c>
      <c r="F967">
        <v>0</v>
      </c>
      <c r="G967">
        <v>0</v>
      </c>
      <c r="H967">
        <v>1</v>
      </c>
      <c r="I967">
        <v>1</v>
      </c>
      <c r="J967">
        <v>35484.522260729798</v>
      </c>
      <c r="K967">
        <v>30704.362729932502</v>
      </c>
      <c r="L967">
        <v>10.43</v>
      </c>
      <c r="M967">
        <v>77.39</v>
      </c>
      <c r="N967">
        <v>7.8739999999999997</v>
      </c>
    </row>
    <row r="968" spans="1:14" x14ac:dyDescent="0.45">
      <c r="A968">
        <v>1985</v>
      </c>
      <c r="B968" t="s">
        <v>148</v>
      </c>
      <c r="C968">
        <v>0</v>
      </c>
      <c r="D968">
        <v>0</v>
      </c>
      <c r="E968">
        <v>0</v>
      </c>
      <c r="F968">
        <v>0</v>
      </c>
      <c r="G968">
        <v>0</v>
      </c>
      <c r="H968">
        <v>1</v>
      </c>
      <c r="I968">
        <v>1</v>
      </c>
      <c r="J968">
        <v>22538.244149195201</v>
      </c>
      <c r="K968">
        <v>20673.816912574799</v>
      </c>
      <c r="L968">
        <v>10.172000000000001</v>
      </c>
      <c r="M968">
        <v>75.968999999999994</v>
      </c>
      <c r="N968">
        <v>14.037000000000001</v>
      </c>
    </row>
    <row r="969" spans="1:14" x14ac:dyDescent="0.45">
      <c r="A969">
        <v>1985</v>
      </c>
      <c r="B969" t="s">
        <v>149</v>
      </c>
      <c r="C969">
        <v>1</v>
      </c>
      <c r="D969">
        <v>0</v>
      </c>
      <c r="E969">
        <v>0</v>
      </c>
      <c r="F969">
        <v>0</v>
      </c>
      <c r="G969">
        <v>0</v>
      </c>
      <c r="H969">
        <v>1</v>
      </c>
      <c r="I969">
        <v>1</v>
      </c>
      <c r="J969">
        <v>36351.527583884497</v>
      </c>
      <c r="K969">
        <v>30963.035814109098</v>
      </c>
      <c r="L969">
        <v>33.173999999999999</v>
      </c>
      <c r="M969">
        <v>75.606999999999999</v>
      </c>
      <c r="N969">
        <v>11.711</v>
      </c>
    </row>
    <row r="970" spans="1:14" x14ac:dyDescent="0.45">
      <c r="A970">
        <v>1985</v>
      </c>
      <c r="B970" t="s">
        <v>150</v>
      </c>
      <c r="C970">
        <v>0</v>
      </c>
      <c r="D970">
        <v>1</v>
      </c>
      <c r="E970">
        <v>0</v>
      </c>
      <c r="F970">
        <v>1</v>
      </c>
      <c r="G970">
        <v>0</v>
      </c>
      <c r="H970">
        <v>0</v>
      </c>
      <c r="I970">
        <v>0</v>
      </c>
      <c r="J970">
        <v>7672.5741830371298</v>
      </c>
      <c r="K970">
        <v>7561.5532432516702</v>
      </c>
      <c r="L970">
        <v>51.576000000000001</v>
      </c>
      <c r="M970">
        <v>70.100999999999999</v>
      </c>
      <c r="N970">
        <v>32.124000000000002</v>
      </c>
    </row>
    <row r="971" spans="1:14" x14ac:dyDescent="0.45">
      <c r="A971">
        <v>1985</v>
      </c>
      <c r="B971" t="s">
        <v>151</v>
      </c>
      <c r="C971">
        <v>0</v>
      </c>
      <c r="D971">
        <v>0</v>
      </c>
      <c r="E971">
        <v>0</v>
      </c>
      <c r="F971">
        <v>1</v>
      </c>
      <c r="G971">
        <v>0</v>
      </c>
      <c r="H971">
        <v>0</v>
      </c>
      <c r="I971">
        <v>0</v>
      </c>
      <c r="J971">
        <v>10043.7913660044</v>
      </c>
      <c r="K971">
        <v>9963.8959297391193</v>
      </c>
      <c r="L971">
        <v>33.003999999999998</v>
      </c>
      <c r="M971">
        <v>68.587000000000003</v>
      </c>
      <c r="N971">
        <v>44.046999999999997</v>
      </c>
    </row>
    <row r="972" spans="1:14" x14ac:dyDescent="0.45">
      <c r="A972">
        <v>1985</v>
      </c>
      <c r="B972" t="s">
        <v>152</v>
      </c>
      <c r="C972">
        <v>0</v>
      </c>
      <c r="D972">
        <v>0</v>
      </c>
      <c r="E972">
        <v>0</v>
      </c>
      <c r="F972">
        <v>0</v>
      </c>
      <c r="G972">
        <v>0</v>
      </c>
      <c r="H972">
        <v>1</v>
      </c>
      <c r="I972">
        <v>1</v>
      </c>
      <c r="J972">
        <v>28415.3017467887</v>
      </c>
      <c r="K972">
        <v>26322.0124861966</v>
      </c>
      <c r="L972">
        <v>23.288</v>
      </c>
      <c r="M972">
        <v>77.799000000000007</v>
      </c>
      <c r="N972">
        <v>7.3840000000000003</v>
      </c>
    </row>
    <row r="973" spans="1:14" x14ac:dyDescent="0.45">
      <c r="A973">
        <v>1985</v>
      </c>
      <c r="B973" t="s">
        <v>153</v>
      </c>
      <c r="C973">
        <v>1</v>
      </c>
      <c r="D973">
        <v>0</v>
      </c>
      <c r="E973">
        <v>0</v>
      </c>
      <c r="F973">
        <v>1</v>
      </c>
      <c r="G973">
        <v>0</v>
      </c>
      <c r="H973">
        <v>0</v>
      </c>
      <c r="I973">
        <v>0</v>
      </c>
      <c r="L973">
        <v>43.99</v>
      </c>
      <c r="M973">
        <v>65.376000000000005</v>
      </c>
      <c r="N973">
        <v>59.487000000000002</v>
      </c>
    </row>
    <row r="974" spans="1:14" x14ac:dyDescent="0.45">
      <c r="A974">
        <v>1985</v>
      </c>
      <c r="B974" t="s">
        <v>154</v>
      </c>
      <c r="C974">
        <v>0</v>
      </c>
      <c r="D974">
        <v>0</v>
      </c>
      <c r="E974">
        <v>1</v>
      </c>
      <c r="F974">
        <v>0</v>
      </c>
      <c r="G974">
        <v>0</v>
      </c>
      <c r="H974">
        <v>0</v>
      </c>
      <c r="I974">
        <v>0</v>
      </c>
      <c r="J974">
        <v>3790.2261369156099</v>
      </c>
      <c r="K974">
        <v>3266.5921418161802</v>
      </c>
      <c r="L974">
        <v>83.921000000000006</v>
      </c>
      <c r="M974">
        <v>60.856000000000002</v>
      </c>
      <c r="N974">
        <v>97.075000000000003</v>
      </c>
    </row>
    <row r="975" spans="1:14" x14ac:dyDescent="0.45">
      <c r="A975">
        <v>1985</v>
      </c>
      <c r="B975" t="s">
        <v>155</v>
      </c>
      <c r="C975">
        <v>1</v>
      </c>
      <c r="D975">
        <v>0</v>
      </c>
      <c r="E975">
        <v>0</v>
      </c>
      <c r="F975">
        <v>1</v>
      </c>
      <c r="G975">
        <v>0</v>
      </c>
      <c r="H975">
        <v>0</v>
      </c>
      <c r="I975">
        <v>0</v>
      </c>
      <c r="J975">
        <v>5474.3344136019596</v>
      </c>
      <c r="K975">
        <v>4626.7324620058898</v>
      </c>
      <c r="L975">
        <v>61.622999999999998</v>
      </c>
      <c r="M975">
        <v>63.685000000000002</v>
      </c>
      <c r="N975">
        <v>79.444999999999993</v>
      </c>
    </row>
    <row r="976" spans="1:14" x14ac:dyDescent="0.45">
      <c r="A976">
        <v>1985</v>
      </c>
      <c r="B976" t="s">
        <v>156</v>
      </c>
      <c r="C976">
        <v>0</v>
      </c>
      <c r="D976">
        <v>0</v>
      </c>
      <c r="E976">
        <v>0</v>
      </c>
      <c r="F976">
        <v>0</v>
      </c>
      <c r="G976">
        <v>0</v>
      </c>
      <c r="H976">
        <v>0</v>
      </c>
      <c r="I976">
        <v>0</v>
      </c>
      <c r="J976">
        <v>2092.9099943843498</v>
      </c>
      <c r="K976">
        <v>1876.6460197967299</v>
      </c>
      <c r="L976">
        <v>86.069000000000003</v>
      </c>
      <c r="M976">
        <v>50.798999999999999</v>
      </c>
      <c r="N976">
        <v>136.91300000000001</v>
      </c>
    </row>
    <row r="977" spans="1:14" x14ac:dyDescent="0.45">
      <c r="A977">
        <v>1985</v>
      </c>
      <c r="B977" t="s">
        <v>157</v>
      </c>
      <c r="C977">
        <v>0</v>
      </c>
      <c r="D977">
        <v>0</v>
      </c>
      <c r="E977">
        <v>0</v>
      </c>
      <c r="F977">
        <v>1</v>
      </c>
      <c r="G977">
        <v>0</v>
      </c>
      <c r="H977">
        <v>0</v>
      </c>
      <c r="I977">
        <v>0</v>
      </c>
      <c r="J977">
        <v>2417.5199168029299</v>
      </c>
      <c r="K977">
        <v>2186.8868181410999</v>
      </c>
      <c r="L977">
        <v>66.459000000000003</v>
      </c>
      <c r="M977">
        <v>58.719000000000001</v>
      </c>
      <c r="N977">
        <v>107.44799999999999</v>
      </c>
    </row>
    <row r="978" spans="1:14" x14ac:dyDescent="0.45">
      <c r="A978">
        <v>1985</v>
      </c>
      <c r="B978" t="s">
        <v>158</v>
      </c>
      <c r="C978">
        <v>0</v>
      </c>
      <c r="D978">
        <v>1</v>
      </c>
      <c r="E978">
        <v>0</v>
      </c>
      <c r="F978">
        <v>0</v>
      </c>
      <c r="G978">
        <v>1</v>
      </c>
      <c r="H978">
        <v>0</v>
      </c>
      <c r="I978">
        <v>0</v>
      </c>
      <c r="J978">
        <v>9386.0309453356895</v>
      </c>
      <c r="K978">
        <v>9269.9822297611499</v>
      </c>
      <c r="L978">
        <v>64.757000000000005</v>
      </c>
      <c r="M978">
        <v>65.481999999999999</v>
      </c>
      <c r="N978">
        <v>37.68</v>
      </c>
    </row>
    <row r="979" spans="1:14" x14ac:dyDescent="0.45">
      <c r="A979">
        <v>1985</v>
      </c>
      <c r="B979" t="s">
        <v>159</v>
      </c>
      <c r="C979">
        <v>0</v>
      </c>
      <c r="D979">
        <v>0</v>
      </c>
      <c r="E979">
        <v>0</v>
      </c>
      <c r="F979">
        <v>0</v>
      </c>
      <c r="G979">
        <v>1</v>
      </c>
      <c r="H979">
        <v>0</v>
      </c>
      <c r="I979">
        <v>0</v>
      </c>
      <c r="J979">
        <v>8960.17226362363</v>
      </c>
      <c r="K979">
        <v>8168.2946083427796</v>
      </c>
      <c r="L979">
        <v>35.124000000000002</v>
      </c>
      <c r="M979">
        <v>68.408000000000001</v>
      </c>
      <c r="N979">
        <v>24.550999999999998</v>
      </c>
    </row>
    <row r="980" spans="1:14" x14ac:dyDescent="0.45">
      <c r="A980">
        <v>1985</v>
      </c>
      <c r="B980" t="s">
        <v>160</v>
      </c>
      <c r="C980">
        <v>0</v>
      </c>
      <c r="D980">
        <v>0</v>
      </c>
      <c r="E980">
        <v>0</v>
      </c>
      <c r="F980">
        <v>0</v>
      </c>
      <c r="G980">
        <v>0</v>
      </c>
      <c r="H980">
        <v>1</v>
      </c>
      <c r="I980">
        <v>1</v>
      </c>
      <c r="J980">
        <v>37250.641686502502</v>
      </c>
      <c r="K980">
        <v>33175.426150312698</v>
      </c>
      <c r="L980">
        <v>2.0969999999999902</v>
      </c>
      <c r="M980">
        <v>73.316000000000003</v>
      </c>
      <c r="N980">
        <v>23.812999999999999</v>
      </c>
    </row>
    <row r="981" spans="1:14" x14ac:dyDescent="0.45">
      <c r="A981">
        <v>1985</v>
      </c>
      <c r="B981" t="s">
        <v>161</v>
      </c>
      <c r="C981">
        <v>0</v>
      </c>
      <c r="D981">
        <v>0</v>
      </c>
      <c r="E981">
        <v>0</v>
      </c>
      <c r="F981">
        <v>0</v>
      </c>
      <c r="G981">
        <v>0</v>
      </c>
      <c r="H981">
        <v>0</v>
      </c>
      <c r="I981">
        <v>0</v>
      </c>
      <c r="J981">
        <v>1900.75776148195</v>
      </c>
      <c r="K981">
        <v>1826.4525702563601</v>
      </c>
      <c r="L981">
        <v>86.195999999999998</v>
      </c>
      <c r="M981">
        <v>51.579000000000001</v>
      </c>
      <c r="N981">
        <v>178.39099999999999</v>
      </c>
    </row>
    <row r="982" spans="1:14" x14ac:dyDescent="0.45">
      <c r="A982">
        <v>1985</v>
      </c>
      <c r="B982" t="s">
        <v>162</v>
      </c>
      <c r="C982">
        <v>0</v>
      </c>
      <c r="D982">
        <v>0</v>
      </c>
      <c r="E982">
        <v>0</v>
      </c>
      <c r="F982">
        <v>1</v>
      </c>
      <c r="G982">
        <v>0</v>
      </c>
      <c r="H982">
        <v>0</v>
      </c>
      <c r="I982">
        <v>0</v>
      </c>
      <c r="J982">
        <v>14487.7484878177</v>
      </c>
      <c r="K982">
        <v>18831.0799894349</v>
      </c>
      <c r="L982">
        <v>20.577999999999999</v>
      </c>
      <c r="M982">
        <v>61.573999999999998</v>
      </c>
      <c r="N982">
        <v>49.951000000000001</v>
      </c>
    </row>
    <row r="983" spans="1:14" x14ac:dyDescent="0.45">
      <c r="A983">
        <v>1985</v>
      </c>
      <c r="B983" t="s">
        <v>163</v>
      </c>
      <c r="C983">
        <v>0</v>
      </c>
      <c r="D983">
        <v>0</v>
      </c>
      <c r="E983">
        <v>1</v>
      </c>
      <c r="F983">
        <v>0</v>
      </c>
      <c r="G983">
        <v>0</v>
      </c>
      <c r="H983">
        <v>0</v>
      </c>
      <c r="I983">
        <v>0</v>
      </c>
      <c r="J983">
        <v>3118.7866568599302</v>
      </c>
      <c r="K983">
        <v>4607.8371496930404</v>
      </c>
      <c r="L983">
        <v>57.627000000000002</v>
      </c>
      <c r="M983">
        <v>44.026000000000003</v>
      </c>
      <c r="N983">
        <v>246.94</v>
      </c>
    </row>
    <row r="984" spans="1:14" x14ac:dyDescent="0.45">
      <c r="A984">
        <v>1985</v>
      </c>
      <c r="B984" t="s">
        <v>164</v>
      </c>
      <c r="C984">
        <v>0</v>
      </c>
      <c r="D984">
        <v>0</v>
      </c>
      <c r="E984">
        <v>0</v>
      </c>
      <c r="F984">
        <v>0</v>
      </c>
      <c r="G984">
        <v>1</v>
      </c>
      <c r="H984">
        <v>0</v>
      </c>
      <c r="I984">
        <v>0</v>
      </c>
      <c r="J984">
        <v>23933.0216332298</v>
      </c>
      <c r="K984">
        <v>27970.406171774001</v>
      </c>
      <c r="L984">
        <v>24.55</v>
      </c>
      <c r="M984">
        <v>67.284999999999997</v>
      </c>
      <c r="N984">
        <v>54.526000000000003</v>
      </c>
    </row>
    <row r="985" spans="1:14" x14ac:dyDescent="0.45">
      <c r="A985">
        <v>1985</v>
      </c>
      <c r="B985" t="s">
        <v>165</v>
      </c>
      <c r="C985">
        <v>0</v>
      </c>
      <c r="D985">
        <v>1</v>
      </c>
      <c r="E985">
        <v>0</v>
      </c>
      <c r="F985">
        <v>1</v>
      </c>
      <c r="G985">
        <v>0</v>
      </c>
      <c r="H985">
        <v>0</v>
      </c>
      <c r="I985">
        <v>0</v>
      </c>
      <c r="J985">
        <v>11540.5425419453</v>
      </c>
      <c r="K985">
        <v>8302.3471732563394</v>
      </c>
      <c r="L985">
        <v>72.076999999999998</v>
      </c>
      <c r="M985">
        <v>70.308000000000007</v>
      </c>
      <c r="N985">
        <v>24.385999999999999</v>
      </c>
    </row>
    <row r="986" spans="1:14" x14ac:dyDescent="0.45">
      <c r="A986">
        <v>1985</v>
      </c>
      <c r="B986" t="s">
        <v>166</v>
      </c>
      <c r="C986">
        <v>1</v>
      </c>
      <c r="D986">
        <v>0</v>
      </c>
      <c r="E986">
        <v>0</v>
      </c>
      <c r="F986">
        <v>0</v>
      </c>
      <c r="G986">
        <v>0</v>
      </c>
      <c r="H986">
        <v>1</v>
      </c>
      <c r="I986">
        <v>1</v>
      </c>
      <c r="L986">
        <v>82.381</v>
      </c>
      <c r="M986">
        <v>76.734999999999999</v>
      </c>
      <c r="N986">
        <v>15.348000000000001</v>
      </c>
    </row>
    <row r="987" spans="1:14" x14ac:dyDescent="0.45">
      <c r="A987">
        <v>1985</v>
      </c>
      <c r="B987" t="s">
        <v>167</v>
      </c>
      <c r="C987">
        <v>0</v>
      </c>
      <c r="D987">
        <v>0</v>
      </c>
      <c r="E987">
        <v>0</v>
      </c>
      <c r="F987">
        <v>0</v>
      </c>
      <c r="G987">
        <v>0</v>
      </c>
      <c r="H987">
        <v>0</v>
      </c>
      <c r="I987">
        <v>0</v>
      </c>
      <c r="J987">
        <v>4107.87192434805</v>
      </c>
      <c r="K987">
        <v>3836.6874520125102</v>
      </c>
      <c r="L987">
        <v>81.387</v>
      </c>
      <c r="M987">
        <v>68.881</v>
      </c>
      <c r="N987">
        <v>30.468</v>
      </c>
    </row>
    <row r="988" spans="1:14" x14ac:dyDescent="0.45">
      <c r="A988">
        <v>1985</v>
      </c>
      <c r="B988" t="s">
        <v>168</v>
      </c>
      <c r="C988">
        <v>0</v>
      </c>
      <c r="D988">
        <v>0</v>
      </c>
      <c r="E988">
        <v>1</v>
      </c>
      <c r="F988">
        <v>0</v>
      </c>
      <c r="G988">
        <v>0</v>
      </c>
      <c r="H988">
        <v>0</v>
      </c>
      <c r="I988">
        <v>0</v>
      </c>
      <c r="J988">
        <v>1285.1075798092299</v>
      </c>
      <c r="K988">
        <v>1150.71128067065</v>
      </c>
      <c r="L988">
        <v>88.248000000000005</v>
      </c>
      <c r="M988">
        <v>59.210999999999999</v>
      </c>
      <c r="N988">
        <v>98.42</v>
      </c>
    </row>
    <row r="989" spans="1:14" x14ac:dyDescent="0.45">
      <c r="A989">
        <v>1985</v>
      </c>
      <c r="B989" t="s">
        <v>169</v>
      </c>
      <c r="C989">
        <v>1</v>
      </c>
      <c r="D989">
        <v>0</v>
      </c>
      <c r="E989">
        <v>0</v>
      </c>
      <c r="F989">
        <v>0</v>
      </c>
      <c r="G989">
        <v>1</v>
      </c>
      <c r="H989">
        <v>0</v>
      </c>
      <c r="I989">
        <v>0</v>
      </c>
      <c r="L989">
        <v>34.962000000000003</v>
      </c>
      <c r="M989">
        <v>70.739999999999995</v>
      </c>
      <c r="N989">
        <v>18.542999999999999</v>
      </c>
    </row>
    <row r="990" spans="1:14" x14ac:dyDescent="0.45">
      <c r="A990">
        <v>1985</v>
      </c>
      <c r="B990" t="s">
        <v>170</v>
      </c>
      <c r="C990">
        <v>1</v>
      </c>
      <c r="D990">
        <v>0</v>
      </c>
      <c r="E990">
        <v>0</v>
      </c>
      <c r="F990">
        <v>0</v>
      </c>
      <c r="G990">
        <v>0</v>
      </c>
      <c r="H990">
        <v>1</v>
      </c>
      <c r="I990">
        <v>1</v>
      </c>
      <c r="J990">
        <v>58370.256039282802</v>
      </c>
      <c r="K990">
        <v>49880.962651732902</v>
      </c>
      <c r="L990">
        <v>19.331</v>
      </c>
      <c r="M990">
        <v>73.284000000000006</v>
      </c>
      <c r="N990">
        <v>13.444000000000001</v>
      </c>
    </row>
    <row r="991" spans="1:14" x14ac:dyDescent="0.45">
      <c r="A991">
        <v>1985</v>
      </c>
      <c r="B991" t="s">
        <v>171</v>
      </c>
      <c r="C991">
        <v>1</v>
      </c>
      <c r="D991">
        <v>0</v>
      </c>
      <c r="E991">
        <v>0</v>
      </c>
      <c r="F991">
        <v>0</v>
      </c>
      <c r="G991">
        <v>1</v>
      </c>
      <c r="H991">
        <v>0</v>
      </c>
      <c r="I991">
        <v>0</v>
      </c>
      <c r="L991">
        <v>31.44</v>
      </c>
      <c r="M991">
        <v>69.596000000000004</v>
      </c>
      <c r="N991">
        <v>16.748000000000001</v>
      </c>
    </row>
    <row r="992" spans="1:14" x14ac:dyDescent="0.45">
      <c r="A992">
        <v>1985</v>
      </c>
      <c r="B992" t="s">
        <v>172</v>
      </c>
      <c r="C992">
        <v>0</v>
      </c>
      <c r="D992">
        <v>0</v>
      </c>
      <c r="E992">
        <v>0</v>
      </c>
      <c r="F992">
        <v>0</v>
      </c>
      <c r="G992">
        <v>1</v>
      </c>
      <c r="H992">
        <v>0</v>
      </c>
      <c r="I992">
        <v>0</v>
      </c>
      <c r="J992">
        <v>42840.391032146603</v>
      </c>
      <c r="K992">
        <v>38823.739616778097</v>
      </c>
      <c r="L992">
        <v>0.62300000000000499</v>
      </c>
      <c r="M992">
        <v>74.701999999999998</v>
      </c>
      <c r="N992">
        <v>17.468</v>
      </c>
    </row>
    <row r="993" spans="1:14" x14ac:dyDescent="0.45">
      <c r="A993">
        <v>1985</v>
      </c>
      <c r="B993" t="s">
        <v>173</v>
      </c>
      <c r="C993">
        <v>0</v>
      </c>
      <c r="D993">
        <v>1</v>
      </c>
      <c r="E993">
        <v>0</v>
      </c>
      <c r="F993">
        <v>0</v>
      </c>
      <c r="G993">
        <v>0</v>
      </c>
      <c r="H993">
        <v>1</v>
      </c>
      <c r="I993">
        <v>1</v>
      </c>
      <c r="L993">
        <v>0</v>
      </c>
      <c r="M993">
        <v>72.942999999999998</v>
      </c>
      <c r="N993">
        <v>25.766999999999999</v>
      </c>
    </row>
    <row r="994" spans="1:14" x14ac:dyDescent="0.45">
      <c r="A994">
        <v>1985</v>
      </c>
      <c r="B994" t="s">
        <v>174</v>
      </c>
      <c r="C994">
        <v>0</v>
      </c>
      <c r="D994">
        <v>0</v>
      </c>
      <c r="E994">
        <v>0</v>
      </c>
      <c r="F994">
        <v>1</v>
      </c>
      <c r="G994">
        <v>0</v>
      </c>
      <c r="H994">
        <v>0</v>
      </c>
      <c r="I994">
        <v>0</v>
      </c>
      <c r="J994">
        <v>3730.95567612075</v>
      </c>
      <c r="K994">
        <v>3583.0920812269901</v>
      </c>
      <c r="L994">
        <v>55.220999999999997</v>
      </c>
      <c r="M994">
        <v>59.207999999999998</v>
      </c>
      <c r="N994">
        <v>103.214</v>
      </c>
    </row>
    <row r="995" spans="1:14" x14ac:dyDescent="0.45">
      <c r="A995">
        <v>1985</v>
      </c>
      <c r="B995" t="s">
        <v>175</v>
      </c>
      <c r="C995">
        <v>1</v>
      </c>
      <c r="D995">
        <v>0</v>
      </c>
      <c r="E995">
        <v>0</v>
      </c>
      <c r="F995">
        <v>0</v>
      </c>
      <c r="G995">
        <v>0</v>
      </c>
      <c r="H995">
        <v>1</v>
      </c>
      <c r="I995">
        <v>1</v>
      </c>
      <c r="L995">
        <v>0</v>
      </c>
      <c r="M995">
        <v>77.363</v>
      </c>
      <c r="N995">
        <v>13.79</v>
      </c>
    </row>
    <row r="996" spans="1:14" x14ac:dyDescent="0.45">
      <c r="A996">
        <v>1985</v>
      </c>
      <c r="B996" t="s">
        <v>176</v>
      </c>
      <c r="C996">
        <v>1</v>
      </c>
      <c r="D996">
        <v>0</v>
      </c>
      <c r="E996">
        <v>0</v>
      </c>
      <c r="F996">
        <v>1</v>
      </c>
      <c r="G996">
        <v>0</v>
      </c>
      <c r="H996">
        <v>0</v>
      </c>
      <c r="I996">
        <v>0</v>
      </c>
      <c r="L996">
        <v>55.823999999999998</v>
      </c>
      <c r="M996">
        <v>66.882000000000005</v>
      </c>
      <c r="N996">
        <v>40.465000000000003</v>
      </c>
    </row>
    <row r="997" spans="1:14" x14ac:dyDescent="0.45">
      <c r="A997">
        <v>1985</v>
      </c>
      <c r="B997" t="s">
        <v>177</v>
      </c>
      <c r="C997">
        <v>0</v>
      </c>
      <c r="D997">
        <v>0</v>
      </c>
      <c r="E997">
        <v>1</v>
      </c>
      <c r="F997">
        <v>0</v>
      </c>
      <c r="G997">
        <v>0</v>
      </c>
      <c r="H997">
        <v>0</v>
      </c>
      <c r="I997">
        <v>0</v>
      </c>
      <c r="J997">
        <v>2024.2294821610999</v>
      </c>
      <c r="K997">
        <v>1875.29992408364</v>
      </c>
      <c r="L997">
        <v>79.066999999999993</v>
      </c>
      <c r="M997">
        <v>50.405999999999999</v>
      </c>
      <c r="N997">
        <v>174.80699999999999</v>
      </c>
    </row>
    <row r="998" spans="1:14" x14ac:dyDescent="0.45">
      <c r="A998">
        <v>1985</v>
      </c>
      <c r="B998" t="s">
        <v>178</v>
      </c>
      <c r="C998">
        <v>0</v>
      </c>
      <c r="D998">
        <v>0</v>
      </c>
      <c r="E998">
        <v>0</v>
      </c>
      <c r="F998">
        <v>0</v>
      </c>
      <c r="G998">
        <v>0</v>
      </c>
      <c r="H998">
        <v>0</v>
      </c>
      <c r="I998">
        <v>0</v>
      </c>
      <c r="J998">
        <v>6614.6841008352203</v>
      </c>
      <c r="K998">
        <v>6525.9368587454801</v>
      </c>
      <c r="L998">
        <v>74.509</v>
      </c>
      <c r="M998">
        <v>59.18</v>
      </c>
      <c r="N998">
        <v>113.97199999999999</v>
      </c>
    </row>
    <row r="999" spans="1:14" x14ac:dyDescent="0.45">
      <c r="A999">
        <v>1985</v>
      </c>
      <c r="B999" t="s">
        <v>179</v>
      </c>
      <c r="C999">
        <v>0</v>
      </c>
      <c r="D999">
        <v>1</v>
      </c>
      <c r="E999">
        <v>0</v>
      </c>
      <c r="F999">
        <v>1</v>
      </c>
      <c r="G999">
        <v>0</v>
      </c>
      <c r="H999">
        <v>0</v>
      </c>
      <c r="I999">
        <v>0</v>
      </c>
      <c r="J999">
        <v>18105.117664826099</v>
      </c>
      <c r="K999">
        <v>16831.878730300901</v>
      </c>
      <c r="L999">
        <v>31.05</v>
      </c>
      <c r="M999">
        <v>66.775000000000006</v>
      </c>
      <c r="N999">
        <v>56.920999999999999</v>
      </c>
    </row>
    <row r="1000" spans="1:14" x14ac:dyDescent="0.45">
      <c r="A1000">
        <v>1985</v>
      </c>
      <c r="B1000" t="s">
        <v>180</v>
      </c>
      <c r="C1000">
        <v>0</v>
      </c>
      <c r="D1000">
        <v>0</v>
      </c>
      <c r="E1000">
        <v>0</v>
      </c>
      <c r="F1000">
        <v>1</v>
      </c>
      <c r="G1000">
        <v>0</v>
      </c>
      <c r="H1000">
        <v>0</v>
      </c>
      <c r="I1000">
        <v>0</v>
      </c>
      <c r="J1000">
        <v>3114.8251231314498</v>
      </c>
      <c r="K1000">
        <v>2817.3122493184201</v>
      </c>
      <c r="L1000">
        <v>38.055</v>
      </c>
      <c r="M1000">
        <v>61.712000000000003</v>
      </c>
      <c r="N1000">
        <v>56.241</v>
      </c>
    </row>
    <row r="1001" spans="1:14" x14ac:dyDescent="0.45">
      <c r="A1001">
        <v>1985</v>
      </c>
      <c r="B1001" t="s">
        <v>181</v>
      </c>
      <c r="C1001">
        <v>1</v>
      </c>
      <c r="D1001">
        <v>0</v>
      </c>
      <c r="E1001">
        <v>0</v>
      </c>
      <c r="F1001">
        <v>0</v>
      </c>
      <c r="G1001">
        <v>1</v>
      </c>
      <c r="H1001">
        <v>0</v>
      </c>
      <c r="I1001">
        <v>0</v>
      </c>
      <c r="L1001">
        <v>44.304000000000002</v>
      </c>
      <c r="M1001">
        <v>70.224999999999994</v>
      </c>
      <c r="N1001">
        <v>45.289000000000001</v>
      </c>
    </row>
    <row r="1002" spans="1:14" x14ac:dyDescent="0.45">
      <c r="A1002">
        <v>1985</v>
      </c>
      <c r="B1002" t="s">
        <v>182</v>
      </c>
      <c r="C1002">
        <v>0</v>
      </c>
      <c r="D1002">
        <v>0</v>
      </c>
      <c r="E1002">
        <v>1</v>
      </c>
      <c r="F1002">
        <v>0</v>
      </c>
      <c r="G1002">
        <v>0</v>
      </c>
      <c r="H1002">
        <v>0</v>
      </c>
      <c r="I1002">
        <v>0</v>
      </c>
      <c r="J1002">
        <v>1283.8139960293499</v>
      </c>
      <c r="K1002">
        <v>1188.3107927352401</v>
      </c>
      <c r="L1002">
        <v>78.986999999999995</v>
      </c>
      <c r="M1002">
        <v>43.920999999999999</v>
      </c>
      <c r="N1002">
        <v>265.00599999999997</v>
      </c>
    </row>
    <row r="1003" spans="1:14" x14ac:dyDescent="0.45">
      <c r="A1003">
        <v>1985</v>
      </c>
      <c r="B1003" t="s">
        <v>183</v>
      </c>
      <c r="C1003">
        <v>0</v>
      </c>
      <c r="D1003">
        <v>0</v>
      </c>
      <c r="E1003">
        <v>0</v>
      </c>
      <c r="F1003">
        <v>0</v>
      </c>
      <c r="G1003">
        <v>1</v>
      </c>
      <c r="H1003">
        <v>0</v>
      </c>
      <c r="I1003">
        <v>0</v>
      </c>
      <c r="J1003">
        <v>15016.1163159556</v>
      </c>
      <c r="K1003">
        <v>12989.6755885945</v>
      </c>
      <c r="L1003">
        <v>10.172000000000001</v>
      </c>
      <c r="M1003">
        <v>73.849999999999994</v>
      </c>
      <c r="N1003">
        <v>13.497</v>
      </c>
    </row>
    <row r="1004" spans="1:14" x14ac:dyDescent="0.45">
      <c r="A1004">
        <v>1985</v>
      </c>
      <c r="B1004" t="s">
        <v>184</v>
      </c>
      <c r="C1004">
        <v>0</v>
      </c>
      <c r="D1004">
        <v>0</v>
      </c>
      <c r="E1004">
        <v>0</v>
      </c>
      <c r="F1004">
        <v>0</v>
      </c>
      <c r="G1004">
        <v>0</v>
      </c>
      <c r="H1004">
        <v>0</v>
      </c>
      <c r="I1004">
        <v>0</v>
      </c>
      <c r="J1004">
        <v>934.89082575364705</v>
      </c>
      <c r="K1004">
        <v>748.57001235174005</v>
      </c>
      <c r="L1004">
        <v>75.619</v>
      </c>
      <c r="M1004">
        <v>55.816000000000003</v>
      </c>
      <c r="N1004">
        <v>127.10599999999999</v>
      </c>
    </row>
    <row r="1005" spans="1:14" x14ac:dyDescent="0.45">
      <c r="A1005">
        <v>1985</v>
      </c>
      <c r="B1005" t="s">
        <v>185</v>
      </c>
      <c r="C1005">
        <v>1</v>
      </c>
      <c r="D1005">
        <v>0</v>
      </c>
      <c r="E1005">
        <v>0</v>
      </c>
      <c r="F1005">
        <v>0</v>
      </c>
      <c r="G1005">
        <v>1</v>
      </c>
      <c r="H1005">
        <v>0</v>
      </c>
      <c r="I1005">
        <v>0</v>
      </c>
      <c r="L1005">
        <v>57.674999999999997</v>
      </c>
      <c r="M1005">
        <v>72.430000000000007</v>
      </c>
      <c r="N1005">
        <v>25.655000000000001</v>
      </c>
    </row>
    <row r="1006" spans="1:14" x14ac:dyDescent="0.45">
      <c r="A1006">
        <v>1985</v>
      </c>
      <c r="B1006" t="s">
        <v>186</v>
      </c>
      <c r="C1006">
        <v>0</v>
      </c>
      <c r="D1006">
        <v>0</v>
      </c>
      <c r="E1006">
        <v>0</v>
      </c>
      <c r="F1006">
        <v>1</v>
      </c>
      <c r="G1006">
        <v>0</v>
      </c>
      <c r="H1006">
        <v>0</v>
      </c>
      <c r="I1006">
        <v>0</v>
      </c>
      <c r="J1006">
        <v>5743.04330855853</v>
      </c>
      <c r="K1006">
        <v>4424.8764707965101</v>
      </c>
      <c r="L1006">
        <v>44.96</v>
      </c>
      <c r="M1006">
        <v>56.441000000000003</v>
      </c>
      <c r="N1006">
        <v>132.26599999999999</v>
      </c>
    </row>
    <row r="1007" spans="1:14" x14ac:dyDescent="0.45">
      <c r="A1007">
        <v>1985</v>
      </c>
      <c r="B1007" t="s">
        <v>187</v>
      </c>
      <c r="C1007">
        <v>0</v>
      </c>
      <c r="D1007">
        <v>0</v>
      </c>
      <c r="E1007">
        <v>0</v>
      </c>
      <c r="F1007">
        <v>1</v>
      </c>
      <c r="G1007">
        <v>0</v>
      </c>
      <c r="H1007">
        <v>0</v>
      </c>
      <c r="I1007">
        <v>0</v>
      </c>
      <c r="L1007">
        <v>11.619</v>
      </c>
      <c r="M1007">
        <v>69.230999999999995</v>
      </c>
      <c r="N1007">
        <v>12.005000000000001</v>
      </c>
    </row>
    <row r="1008" spans="1:14" x14ac:dyDescent="0.45">
      <c r="A1008">
        <v>1985</v>
      </c>
      <c r="B1008" t="s">
        <v>188</v>
      </c>
      <c r="C1008">
        <v>0</v>
      </c>
      <c r="D1008">
        <v>0</v>
      </c>
      <c r="E1008">
        <v>1</v>
      </c>
      <c r="F1008">
        <v>0</v>
      </c>
      <c r="G1008">
        <v>0</v>
      </c>
      <c r="H1008">
        <v>0</v>
      </c>
      <c r="I1008">
        <v>0</v>
      </c>
      <c r="J1008">
        <v>501.20477309221798</v>
      </c>
      <c r="K1008">
        <v>419.65870915435102</v>
      </c>
      <c r="L1008">
        <v>81.674000000000007</v>
      </c>
      <c r="M1008">
        <v>38.984000000000002</v>
      </c>
      <c r="N1008">
        <v>276.89100000000002</v>
      </c>
    </row>
    <row r="1009" spans="1:14" x14ac:dyDescent="0.45">
      <c r="A1009">
        <v>1985</v>
      </c>
      <c r="B1009" t="s">
        <v>189</v>
      </c>
      <c r="C1009">
        <v>0</v>
      </c>
      <c r="D1009">
        <v>0</v>
      </c>
      <c r="E1009">
        <v>1</v>
      </c>
      <c r="F1009">
        <v>0</v>
      </c>
      <c r="G1009">
        <v>0</v>
      </c>
      <c r="H1009">
        <v>0</v>
      </c>
      <c r="I1009">
        <v>0</v>
      </c>
      <c r="J1009">
        <v>5371.6178283091904</v>
      </c>
      <c r="K1009">
        <v>4752.3421149463002</v>
      </c>
      <c r="L1009">
        <v>65.006</v>
      </c>
      <c r="M1009">
        <v>55.808</v>
      </c>
      <c r="N1009">
        <v>138.535</v>
      </c>
    </row>
    <row r="1010" spans="1:14" x14ac:dyDescent="0.45">
      <c r="A1010">
        <v>1985</v>
      </c>
      <c r="B1010" t="s">
        <v>190</v>
      </c>
      <c r="C1010">
        <v>0</v>
      </c>
      <c r="D1010">
        <v>0</v>
      </c>
      <c r="E1010">
        <v>1</v>
      </c>
      <c r="F1010">
        <v>1</v>
      </c>
      <c r="G1010">
        <v>0</v>
      </c>
      <c r="H1010">
        <v>0</v>
      </c>
      <c r="I1010">
        <v>0</v>
      </c>
      <c r="J1010">
        <v>6520.0532822737496</v>
      </c>
      <c r="K1010">
        <v>6119.8829471829004</v>
      </c>
      <c r="L1010">
        <v>57.674999999999997</v>
      </c>
      <c r="M1010">
        <v>68.724999999999994</v>
      </c>
      <c r="N1010">
        <v>25.280999999999999</v>
      </c>
    </row>
    <row r="1011" spans="1:14" x14ac:dyDescent="0.45">
      <c r="A1011">
        <v>1985</v>
      </c>
      <c r="B1011" t="s">
        <v>191</v>
      </c>
      <c r="C1011">
        <v>0</v>
      </c>
      <c r="D1011">
        <v>0</v>
      </c>
      <c r="E1011">
        <v>1</v>
      </c>
      <c r="F1011">
        <v>0</v>
      </c>
      <c r="G1011">
        <v>0</v>
      </c>
      <c r="H1011">
        <v>0</v>
      </c>
      <c r="I1011">
        <v>0</v>
      </c>
      <c r="J1011">
        <v>1182.1392373497299</v>
      </c>
      <c r="K1011">
        <v>1011.51087783656</v>
      </c>
      <c r="L1011">
        <v>89.837000000000003</v>
      </c>
      <c r="M1011">
        <v>44.567999999999998</v>
      </c>
      <c r="N1011">
        <v>250.547</v>
      </c>
    </row>
    <row r="1012" spans="1:14" x14ac:dyDescent="0.45">
      <c r="A1012">
        <v>1985</v>
      </c>
      <c r="B1012" t="s">
        <v>192</v>
      </c>
      <c r="C1012">
        <v>0</v>
      </c>
      <c r="D1012">
        <v>0</v>
      </c>
      <c r="E1012">
        <v>0</v>
      </c>
      <c r="F1012">
        <v>1</v>
      </c>
      <c r="G1012">
        <v>0</v>
      </c>
      <c r="H1012">
        <v>0</v>
      </c>
      <c r="I1012">
        <v>0</v>
      </c>
      <c r="J1012">
        <v>11152.3845508868</v>
      </c>
      <c r="K1012">
        <v>9968.9159037815898</v>
      </c>
      <c r="L1012">
        <v>54.106999999999999</v>
      </c>
      <c r="M1012">
        <v>69.863</v>
      </c>
      <c r="N1012">
        <v>21.885999999999999</v>
      </c>
    </row>
    <row r="1013" spans="1:14" x14ac:dyDescent="0.45">
      <c r="A1013">
        <v>1985</v>
      </c>
      <c r="B1013" t="s">
        <v>193</v>
      </c>
      <c r="C1013">
        <v>0</v>
      </c>
      <c r="D1013">
        <v>0</v>
      </c>
      <c r="E1013">
        <v>1</v>
      </c>
      <c r="F1013">
        <v>1</v>
      </c>
      <c r="G1013">
        <v>0</v>
      </c>
      <c r="H1013">
        <v>0</v>
      </c>
      <c r="I1013">
        <v>0</v>
      </c>
      <c r="J1013">
        <v>7866.8681029450199</v>
      </c>
      <c r="K1013">
        <v>6818.2130461215002</v>
      </c>
      <c r="L1013">
        <v>73.634</v>
      </c>
      <c r="M1013">
        <v>58.472000000000001</v>
      </c>
      <c r="N1013">
        <v>90.412000000000006</v>
      </c>
    </row>
    <row r="1014" spans="1:14" x14ac:dyDescent="0.45">
      <c r="A1014">
        <v>1985</v>
      </c>
      <c r="B1014" t="s">
        <v>194</v>
      </c>
      <c r="C1014">
        <v>0</v>
      </c>
      <c r="D1014">
        <v>0</v>
      </c>
      <c r="E1014">
        <v>0</v>
      </c>
      <c r="F1014">
        <v>0</v>
      </c>
      <c r="G1014">
        <v>1</v>
      </c>
      <c r="H1014">
        <v>0</v>
      </c>
      <c r="I1014">
        <v>0</v>
      </c>
      <c r="L1014">
        <v>41.165999999999997</v>
      </c>
      <c r="M1014">
        <v>67.843000000000004</v>
      </c>
      <c r="N1014">
        <v>39.816000000000003</v>
      </c>
    </row>
    <row r="1015" spans="1:14" x14ac:dyDescent="0.45">
      <c r="A1015">
        <v>1985</v>
      </c>
      <c r="B1015" t="s">
        <v>195</v>
      </c>
      <c r="C1015">
        <v>0</v>
      </c>
      <c r="D1015">
        <v>0</v>
      </c>
      <c r="E1015">
        <v>1</v>
      </c>
      <c r="F1015">
        <v>0</v>
      </c>
      <c r="G1015">
        <v>0</v>
      </c>
      <c r="H1015">
        <v>0</v>
      </c>
      <c r="I1015">
        <v>0</v>
      </c>
      <c r="J1015">
        <v>1326.9987399895399</v>
      </c>
      <c r="K1015">
        <v>1054.7413065861101</v>
      </c>
      <c r="L1015">
        <v>85.463999999999999</v>
      </c>
      <c r="M1015">
        <v>40.119999999999997</v>
      </c>
      <c r="N1015">
        <v>339.851</v>
      </c>
    </row>
    <row r="1016" spans="1:14" x14ac:dyDescent="0.45">
      <c r="A1016">
        <v>1985</v>
      </c>
      <c r="B1016" t="s">
        <v>196</v>
      </c>
      <c r="C1016">
        <v>0</v>
      </c>
      <c r="D1016">
        <v>0</v>
      </c>
      <c r="E1016">
        <v>1</v>
      </c>
      <c r="F1016">
        <v>0</v>
      </c>
      <c r="G1016">
        <v>0</v>
      </c>
      <c r="H1016">
        <v>0</v>
      </c>
      <c r="I1016">
        <v>0</v>
      </c>
      <c r="J1016">
        <v>3495.1493480388499</v>
      </c>
      <c r="K1016">
        <v>3090.1830928702602</v>
      </c>
      <c r="L1016">
        <v>74.364999999999995</v>
      </c>
      <c r="M1016">
        <v>46.192999999999998</v>
      </c>
      <c r="N1016">
        <v>208.51</v>
      </c>
    </row>
    <row r="1017" spans="1:14" x14ac:dyDescent="0.45">
      <c r="A1017">
        <v>1985</v>
      </c>
      <c r="B1017" t="s">
        <v>197</v>
      </c>
      <c r="C1017">
        <v>0</v>
      </c>
      <c r="D1017">
        <v>1</v>
      </c>
      <c r="E1017">
        <v>0</v>
      </c>
      <c r="F1017">
        <v>1</v>
      </c>
      <c r="G1017">
        <v>0</v>
      </c>
      <c r="H1017">
        <v>0</v>
      </c>
      <c r="I1017">
        <v>0</v>
      </c>
      <c r="J1017">
        <v>5843.3285397060499</v>
      </c>
      <c r="K1017">
        <v>4921.6319978527699</v>
      </c>
      <c r="L1017">
        <v>48.316000000000003</v>
      </c>
      <c r="M1017">
        <v>56.4</v>
      </c>
      <c r="N1017">
        <v>103.25700000000001</v>
      </c>
    </row>
    <row r="1018" spans="1:14" x14ac:dyDescent="0.45">
      <c r="A1018">
        <v>1985</v>
      </c>
      <c r="B1018" t="s">
        <v>198</v>
      </c>
      <c r="C1018">
        <v>1</v>
      </c>
      <c r="D1018">
        <v>0</v>
      </c>
      <c r="E1018">
        <v>0</v>
      </c>
      <c r="F1018">
        <v>0</v>
      </c>
      <c r="G1018">
        <v>0</v>
      </c>
      <c r="H1018">
        <v>1</v>
      </c>
      <c r="I1018">
        <v>1</v>
      </c>
      <c r="J1018">
        <v>37682.947716332899</v>
      </c>
      <c r="K1018">
        <v>31809.797475383399</v>
      </c>
      <c r="L1018">
        <v>33.280999999999999</v>
      </c>
      <c r="M1018">
        <v>76.376000000000005</v>
      </c>
      <c r="N1018">
        <v>9.7509999999999994</v>
      </c>
    </row>
    <row r="1019" spans="1:14" x14ac:dyDescent="0.45">
      <c r="A1019">
        <v>1985</v>
      </c>
      <c r="B1019" t="s">
        <v>199</v>
      </c>
      <c r="C1019">
        <v>1</v>
      </c>
      <c r="D1019">
        <v>0</v>
      </c>
      <c r="E1019">
        <v>0</v>
      </c>
      <c r="F1019">
        <v>0</v>
      </c>
      <c r="G1019">
        <v>0</v>
      </c>
      <c r="H1019">
        <v>1</v>
      </c>
      <c r="I1019">
        <v>1</v>
      </c>
      <c r="J1019">
        <v>51771.741499775999</v>
      </c>
      <c r="K1019">
        <v>38253.498202104704</v>
      </c>
      <c r="L1019">
        <v>28.69</v>
      </c>
      <c r="M1019">
        <v>75.933000000000007</v>
      </c>
      <c r="N1019">
        <v>10.420999999999999</v>
      </c>
    </row>
    <row r="1020" spans="1:14" x14ac:dyDescent="0.45">
      <c r="A1020">
        <v>1985</v>
      </c>
      <c r="B1020" t="s">
        <v>200</v>
      </c>
      <c r="C1020">
        <v>0</v>
      </c>
      <c r="D1020">
        <v>0</v>
      </c>
      <c r="E1020">
        <v>0</v>
      </c>
      <c r="F1020">
        <v>0</v>
      </c>
      <c r="G1020">
        <v>0</v>
      </c>
      <c r="H1020">
        <v>0</v>
      </c>
      <c r="I1020">
        <v>0</v>
      </c>
      <c r="J1020">
        <v>1602.1581457452601</v>
      </c>
      <c r="K1020">
        <v>1418.4016976507501</v>
      </c>
      <c r="L1020">
        <v>92.614000000000004</v>
      </c>
      <c r="M1020">
        <v>50.921999999999997</v>
      </c>
      <c r="N1020">
        <v>173.66200000000001</v>
      </c>
    </row>
    <row r="1021" spans="1:14" x14ac:dyDescent="0.45">
      <c r="A1021">
        <v>1985</v>
      </c>
      <c r="B1021" t="s">
        <v>201</v>
      </c>
      <c r="C1021">
        <v>0</v>
      </c>
      <c r="D1021">
        <v>0</v>
      </c>
      <c r="E1021">
        <v>0</v>
      </c>
      <c r="F1021">
        <v>0</v>
      </c>
      <c r="G1021">
        <v>0</v>
      </c>
      <c r="H1021">
        <v>1</v>
      </c>
      <c r="I1021">
        <v>1</v>
      </c>
      <c r="J1021">
        <v>39650.602860444902</v>
      </c>
      <c r="K1021">
        <v>35872.712031991097</v>
      </c>
      <c r="L1021">
        <v>0</v>
      </c>
      <c r="M1021">
        <v>58.597999999999999</v>
      </c>
      <c r="N1021">
        <v>64.180000000000007</v>
      </c>
    </row>
    <row r="1022" spans="1:14" x14ac:dyDescent="0.45">
      <c r="A1022">
        <v>1985</v>
      </c>
      <c r="B1022" t="s">
        <v>202</v>
      </c>
      <c r="C1022">
        <v>0</v>
      </c>
      <c r="D1022">
        <v>0</v>
      </c>
      <c r="E1022">
        <v>0</v>
      </c>
      <c r="F1022">
        <v>0</v>
      </c>
      <c r="G1022">
        <v>0</v>
      </c>
      <c r="H1022">
        <v>1</v>
      </c>
      <c r="I1022">
        <v>1</v>
      </c>
      <c r="J1022">
        <v>29439.7204186542</v>
      </c>
      <c r="K1022">
        <v>26776.956587402499</v>
      </c>
      <c r="L1022">
        <v>16.327000000000002</v>
      </c>
      <c r="M1022">
        <v>73.876000000000005</v>
      </c>
      <c r="N1022">
        <v>13.08</v>
      </c>
    </row>
    <row r="1023" spans="1:14" x14ac:dyDescent="0.45">
      <c r="A1023">
        <v>1985</v>
      </c>
      <c r="B1023" t="s">
        <v>203</v>
      </c>
      <c r="C1023">
        <v>0</v>
      </c>
      <c r="D1023">
        <v>0</v>
      </c>
      <c r="E1023">
        <v>0</v>
      </c>
      <c r="F1023">
        <v>0</v>
      </c>
      <c r="G1023">
        <v>1</v>
      </c>
      <c r="H1023">
        <v>0</v>
      </c>
      <c r="I1023">
        <v>0</v>
      </c>
      <c r="J1023">
        <v>35564.0407629037</v>
      </c>
      <c r="K1023">
        <v>30902.327152030201</v>
      </c>
      <c r="L1023">
        <v>42.920999999999999</v>
      </c>
      <c r="M1023">
        <v>65.281000000000006</v>
      </c>
      <c r="N1023">
        <v>65.778999999999996</v>
      </c>
    </row>
    <row r="1024" spans="1:14" x14ac:dyDescent="0.45">
      <c r="A1024">
        <v>1985</v>
      </c>
      <c r="B1024" t="s">
        <v>204</v>
      </c>
      <c r="C1024">
        <v>0</v>
      </c>
      <c r="D1024">
        <v>0</v>
      </c>
      <c r="E1024">
        <v>0</v>
      </c>
      <c r="F1024">
        <v>0</v>
      </c>
      <c r="G1024">
        <v>0</v>
      </c>
      <c r="H1024">
        <v>0</v>
      </c>
      <c r="I1024">
        <v>0</v>
      </c>
      <c r="J1024">
        <v>2809.5137859175702</v>
      </c>
      <c r="K1024">
        <v>2674.3727456066199</v>
      </c>
      <c r="L1024">
        <v>70.656000000000006</v>
      </c>
      <c r="M1024">
        <v>59.075000000000003</v>
      </c>
      <c r="N1024">
        <v>152.98599999999999</v>
      </c>
    </row>
    <row r="1025" spans="1:14" x14ac:dyDescent="0.45">
      <c r="A1025">
        <v>1985</v>
      </c>
      <c r="B1025" t="s">
        <v>205</v>
      </c>
      <c r="C1025">
        <v>0</v>
      </c>
      <c r="D1025">
        <v>1</v>
      </c>
      <c r="E1025">
        <v>0</v>
      </c>
      <c r="F1025">
        <v>0</v>
      </c>
      <c r="G1025">
        <v>1</v>
      </c>
      <c r="H1025">
        <v>0</v>
      </c>
      <c r="I1025">
        <v>0</v>
      </c>
      <c r="J1025">
        <v>13344.038444174699</v>
      </c>
      <c r="K1025">
        <v>13992.265565653501</v>
      </c>
      <c r="L1025">
        <v>47.856999999999999</v>
      </c>
      <c r="M1025">
        <v>70.543999999999997</v>
      </c>
      <c r="N1025">
        <v>36.113</v>
      </c>
    </row>
    <row r="1026" spans="1:14" x14ac:dyDescent="0.45">
      <c r="A1026">
        <v>1985</v>
      </c>
      <c r="B1026" t="s">
        <v>206</v>
      </c>
      <c r="C1026">
        <v>0</v>
      </c>
      <c r="D1026">
        <v>1</v>
      </c>
      <c r="E1026">
        <v>0</v>
      </c>
      <c r="F1026">
        <v>1</v>
      </c>
      <c r="G1026">
        <v>0</v>
      </c>
      <c r="H1026">
        <v>0</v>
      </c>
      <c r="I1026">
        <v>0</v>
      </c>
      <c r="J1026">
        <v>7289.9145634340703</v>
      </c>
      <c r="K1026">
        <v>6091.3376004811898</v>
      </c>
      <c r="L1026">
        <v>33.136000000000003</v>
      </c>
      <c r="M1026">
        <v>61.71</v>
      </c>
      <c r="N1026">
        <v>103.94499999999999</v>
      </c>
    </row>
    <row r="1027" spans="1:14" x14ac:dyDescent="0.45">
      <c r="A1027">
        <v>1985</v>
      </c>
      <c r="B1027" t="s">
        <v>207</v>
      </c>
      <c r="C1027">
        <v>0</v>
      </c>
      <c r="D1027">
        <v>0</v>
      </c>
      <c r="E1027">
        <v>0</v>
      </c>
      <c r="F1027">
        <v>1</v>
      </c>
      <c r="G1027">
        <v>0</v>
      </c>
      <c r="H1027">
        <v>0</v>
      </c>
      <c r="I1027">
        <v>0</v>
      </c>
      <c r="J1027">
        <v>4505.98768297675</v>
      </c>
      <c r="K1027">
        <v>4080.62503127434</v>
      </c>
      <c r="L1027">
        <v>57.765000000000001</v>
      </c>
      <c r="M1027">
        <v>62.734999999999999</v>
      </c>
      <c r="N1027">
        <v>71.926000000000002</v>
      </c>
    </row>
    <row r="1028" spans="1:14" x14ac:dyDescent="0.45">
      <c r="A1028">
        <v>1985</v>
      </c>
      <c r="B1028" t="s">
        <v>208</v>
      </c>
      <c r="C1028">
        <v>0</v>
      </c>
      <c r="D1028">
        <v>0</v>
      </c>
      <c r="E1028">
        <v>0</v>
      </c>
      <c r="F1028">
        <v>0</v>
      </c>
      <c r="G1028">
        <v>1</v>
      </c>
      <c r="H1028">
        <v>0</v>
      </c>
      <c r="I1028">
        <v>0</v>
      </c>
      <c r="J1028">
        <v>15343.8594494589</v>
      </c>
      <c r="K1028">
        <v>13881.903723559401</v>
      </c>
      <c r="L1028">
        <v>32.619999999999997</v>
      </c>
      <c r="M1028">
        <v>62.72</v>
      </c>
      <c r="N1028">
        <v>39.308</v>
      </c>
    </row>
    <row r="1029" spans="1:14" x14ac:dyDescent="0.45">
      <c r="A1029">
        <v>1985</v>
      </c>
      <c r="B1029" t="s">
        <v>209</v>
      </c>
      <c r="C1029">
        <v>0</v>
      </c>
      <c r="D1029">
        <v>0</v>
      </c>
      <c r="E1029">
        <v>0</v>
      </c>
      <c r="F1029">
        <v>1</v>
      </c>
      <c r="G1029">
        <v>0</v>
      </c>
      <c r="H1029">
        <v>0</v>
      </c>
      <c r="I1029">
        <v>0</v>
      </c>
      <c r="J1029">
        <v>3107.3067683501999</v>
      </c>
      <c r="K1029">
        <v>2810.8738848115099</v>
      </c>
      <c r="L1029">
        <v>86.001999999999995</v>
      </c>
      <c r="M1029">
        <v>58.804000000000002</v>
      </c>
      <c r="N1029">
        <v>93.831999999999994</v>
      </c>
    </row>
    <row r="1030" spans="1:14" x14ac:dyDescent="0.45">
      <c r="A1030">
        <v>1985</v>
      </c>
      <c r="B1030" t="s">
        <v>210</v>
      </c>
      <c r="C1030">
        <v>1</v>
      </c>
      <c r="D1030">
        <v>0</v>
      </c>
      <c r="E1030">
        <v>0</v>
      </c>
      <c r="F1030">
        <v>1</v>
      </c>
      <c r="G1030">
        <v>0</v>
      </c>
      <c r="H1030">
        <v>0</v>
      </c>
      <c r="I1030">
        <v>0</v>
      </c>
      <c r="J1030">
        <v>11185.7599133891</v>
      </c>
      <c r="K1030">
        <v>9655.2242806719005</v>
      </c>
      <c r="L1030">
        <v>40.058</v>
      </c>
      <c r="M1030">
        <v>70.531000000000006</v>
      </c>
      <c r="N1030">
        <v>24.012</v>
      </c>
    </row>
    <row r="1031" spans="1:14" x14ac:dyDescent="0.45">
      <c r="A1031">
        <v>1985</v>
      </c>
      <c r="B1031" t="s">
        <v>211</v>
      </c>
      <c r="C1031">
        <v>0</v>
      </c>
      <c r="D1031">
        <v>1</v>
      </c>
      <c r="E1031">
        <v>0</v>
      </c>
      <c r="F1031">
        <v>0</v>
      </c>
      <c r="G1031">
        <v>1</v>
      </c>
      <c r="H1031">
        <v>0</v>
      </c>
      <c r="I1031">
        <v>0</v>
      </c>
      <c r="J1031">
        <v>21747.555975285599</v>
      </c>
      <c r="K1031">
        <v>16707.358314799902</v>
      </c>
      <c r="L1031">
        <v>15.683</v>
      </c>
      <c r="M1031">
        <v>72.632999999999996</v>
      </c>
      <c r="N1031">
        <v>27.074999999999999</v>
      </c>
    </row>
    <row r="1032" spans="1:14" x14ac:dyDescent="0.45">
      <c r="A1032">
        <v>1985</v>
      </c>
      <c r="B1032" t="s">
        <v>212</v>
      </c>
      <c r="C1032">
        <v>0</v>
      </c>
      <c r="D1032">
        <v>0</v>
      </c>
      <c r="E1032">
        <v>0</v>
      </c>
      <c r="F1032">
        <v>1</v>
      </c>
      <c r="G1032">
        <v>0</v>
      </c>
      <c r="H1032">
        <v>0</v>
      </c>
      <c r="I1032">
        <v>0</v>
      </c>
      <c r="L1032">
        <v>42.356000000000002</v>
      </c>
      <c r="M1032">
        <v>69.230999999999995</v>
      </c>
      <c r="N1032">
        <v>36.856000000000002</v>
      </c>
    </row>
    <row r="1033" spans="1:14" x14ac:dyDescent="0.45">
      <c r="A1033">
        <v>1985</v>
      </c>
      <c r="B1033" t="s">
        <v>213</v>
      </c>
      <c r="C1033">
        <v>1</v>
      </c>
      <c r="D1033">
        <v>0</v>
      </c>
      <c r="E1033">
        <v>0</v>
      </c>
      <c r="F1033">
        <v>0</v>
      </c>
      <c r="G1033">
        <v>1</v>
      </c>
      <c r="H1033">
        <v>0</v>
      </c>
      <c r="I1033">
        <v>0</v>
      </c>
      <c r="J1033">
        <v>21432.6088346045</v>
      </c>
      <c r="K1033">
        <v>18525.984733928199</v>
      </c>
      <c r="L1033">
        <v>54.701999999999998</v>
      </c>
      <c r="M1033">
        <v>73.215999999999994</v>
      </c>
      <c r="N1033">
        <v>20.853000000000002</v>
      </c>
    </row>
    <row r="1034" spans="1:14" x14ac:dyDescent="0.45">
      <c r="A1034">
        <v>1985</v>
      </c>
      <c r="B1034" t="s">
        <v>214</v>
      </c>
      <c r="C1034">
        <v>0</v>
      </c>
      <c r="D1034">
        <v>1</v>
      </c>
      <c r="E1034">
        <v>0</v>
      </c>
      <c r="F1034">
        <v>1</v>
      </c>
      <c r="G1034">
        <v>0</v>
      </c>
      <c r="H1034">
        <v>0</v>
      </c>
      <c r="I1034">
        <v>0</v>
      </c>
      <c r="J1034">
        <v>8562.7738925380199</v>
      </c>
      <c r="K1034">
        <v>7812.1528691337098</v>
      </c>
      <c r="L1034">
        <v>55.017000000000003</v>
      </c>
      <c r="M1034">
        <v>65.893000000000001</v>
      </c>
      <c r="N1034">
        <v>54.627000000000002</v>
      </c>
    </row>
    <row r="1035" spans="1:14" x14ac:dyDescent="0.45">
      <c r="A1035">
        <v>1985</v>
      </c>
      <c r="B1035" t="s">
        <v>215</v>
      </c>
      <c r="C1035">
        <v>0</v>
      </c>
      <c r="D1035">
        <v>0</v>
      </c>
      <c r="E1035">
        <v>0</v>
      </c>
      <c r="F1035">
        <v>1</v>
      </c>
      <c r="G1035">
        <v>0</v>
      </c>
      <c r="H1035">
        <v>0</v>
      </c>
      <c r="I1035">
        <v>0</v>
      </c>
      <c r="L1035">
        <v>34.905000000000001</v>
      </c>
      <c r="M1035">
        <v>65.262</v>
      </c>
      <c r="N1035">
        <v>58.692</v>
      </c>
    </row>
    <row r="1036" spans="1:14" x14ac:dyDescent="0.45">
      <c r="A1036">
        <v>1985</v>
      </c>
      <c r="B1036" t="s">
        <v>216</v>
      </c>
      <c r="C1036">
        <v>0</v>
      </c>
      <c r="D1036">
        <v>0</v>
      </c>
      <c r="E1036">
        <v>0</v>
      </c>
      <c r="F1036">
        <v>0</v>
      </c>
      <c r="G1036">
        <v>0</v>
      </c>
      <c r="H1036">
        <v>1</v>
      </c>
      <c r="I1036">
        <v>1</v>
      </c>
      <c r="L1036">
        <v>41.365000000000002</v>
      </c>
      <c r="M1036">
        <v>71.203000000000003</v>
      </c>
      <c r="N1036">
        <v>29.187999999999999</v>
      </c>
    </row>
    <row r="1037" spans="1:14" x14ac:dyDescent="0.45">
      <c r="A1037">
        <v>1985</v>
      </c>
      <c r="B1037" t="s">
        <v>217</v>
      </c>
      <c r="C1037">
        <v>0</v>
      </c>
      <c r="D1037">
        <v>0</v>
      </c>
      <c r="E1037">
        <v>0</v>
      </c>
      <c r="F1037">
        <v>0</v>
      </c>
      <c r="G1037">
        <v>0</v>
      </c>
      <c r="H1037">
        <v>1</v>
      </c>
      <c r="I1037">
        <v>1</v>
      </c>
      <c r="J1037">
        <v>75482.354803585098</v>
      </c>
      <c r="K1037">
        <v>65178.851987675996</v>
      </c>
      <c r="L1037">
        <v>9.9000000000000092</v>
      </c>
      <c r="M1037">
        <v>71.831000000000003</v>
      </c>
      <c r="N1037">
        <v>28.111000000000001</v>
      </c>
    </row>
    <row r="1038" spans="1:14" x14ac:dyDescent="0.45">
      <c r="A1038">
        <v>1985</v>
      </c>
      <c r="B1038" t="s">
        <v>218</v>
      </c>
      <c r="C1038">
        <v>1</v>
      </c>
      <c r="D1038">
        <v>0</v>
      </c>
      <c r="E1038">
        <v>0</v>
      </c>
      <c r="F1038">
        <v>0</v>
      </c>
      <c r="G1038">
        <v>1</v>
      </c>
      <c r="H1038">
        <v>0</v>
      </c>
      <c r="I1038">
        <v>0</v>
      </c>
      <c r="J1038">
        <v>17269.0545294246</v>
      </c>
      <c r="K1038">
        <v>14036.9103323053</v>
      </c>
      <c r="L1038">
        <v>50.359000000000002</v>
      </c>
      <c r="M1038">
        <v>69.406999999999996</v>
      </c>
      <c r="N1038">
        <v>32.488999999999997</v>
      </c>
    </row>
    <row r="1039" spans="1:14" x14ac:dyDescent="0.45">
      <c r="A1039">
        <v>1985</v>
      </c>
      <c r="B1039" t="s">
        <v>219</v>
      </c>
      <c r="C1039">
        <v>1</v>
      </c>
      <c r="D1039">
        <v>0</v>
      </c>
      <c r="E1039">
        <v>0</v>
      </c>
      <c r="F1039">
        <v>0</v>
      </c>
      <c r="G1039">
        <v>1</v>
      </c>
      <c r="H1039">
        <v>0</v>
      </c>
      <c r="I1039">
        <v>0</v>
      </c>
      <c r="L1039">
        <v>28.077000000000002</v>
      </c>
      <c r="M1039">
        <v>68.299000000000007</v>
      </c>
      <c r="N1039">
        <v>25.463000000000001</v>
      </c>
    </row>
    <row r="1040" spans="1:14" x14ac:dyDescent="0.45">
      <c r="A1040">
        <v>1985</v>
      </c>
      <c r="B1040" t="s">
        <v>220</v>
      </c>
      <c r="C1040">
        <v>0</v>
      </c>
      <c r="D1040">
        <v>0</v>
      </c>
      <c r="E1040">
        <v>1</v>
      </c>
      <c r="F1040">
        <v>0</v>
      </c>
      <c r="G1040">
        <v>0</v>
      </c>
      <c r="H1040">
        <v>0</v>
      </c>
      <c r="I1040">
        <v>0</v>
      </c>
      <c r="J1040">
        <v>1263.5600932080499</v>
      </c>
      <c r="K1040">
        <v>1057.4151376534601</v>
      </c>
      <c r="L1040">
        <v>94.942999999999998</v>
      </c>
      <c r="M1040">
        <v>51.704000000000001</v>
      </c>
      <c r="N1040">
        <v>162.99799999999999</v>
      </c>
    </row>
    <row r="1041" spans="1:14" x14ac:dyDescent="0.45">
      <c r="A1041">
        <v>1985</v>
      </c>
      <c r="B1041" t="s">
        <v>221</v>
      </c>
      <c r="C1041">
        <v>0</v>
      </c>
      <c r="D1041">
        <v>0</v>
      </c>
      <c r="E1041">
        <v>0</v>
      </c>
      <c r="F1041">
        <v>0</v>
      </c>
      <c r="G1041">
        <v>0</v>
      </c>
      <c r="H1041">
        <v>1</v>
      </c>
      <c r="I1041">
        <v>1</v>
      </c>
      <c r="J1041">
        <v>77349.293660698997</v>
      </c>
      <c r="K1041">
        <v>70912.133892841593</v>
      </c>
      <c r="L1041">
        <v>27.353000000000002</v>
      </c>
      <c r="M1041">
        <v>66.027000000000001</v>
      </c>
      <c r="N1041">
        <v>65.034000000000006</v>
      </c>
    </row>
    <row r="1042" spans="1:14" x14ac:dyDescent="0.45">
      <c r="A1042">
        <v>1985</v>
      </c>
      <c r="B1042" t="s">
        <v>222</v>
      </c>
      <c r="C1042">
        <v>0</v>
      </c>
      <c r="D1042">
        <v>0</v>
      </c>
      <c r="E1042">
        <v>1</v>
      </c>
      <c r="F1042">
        <v>0</v>
      </c>
      <c r="G1042">
        <v>0</v>
      </c>
      <c r="H1042">
        <v>0</v>
      </c>
      <c r="I1042">
        <v>0</v>
      </c>
      <c r="J1042">
        <v>2170.8022350946198</v>
      </c>
      <c r="K1042">
        <v>2273.1162130692301</v>
      </c>
      <c r="L1042">
        <v>77.063000000000002</v>
      </c>
      <c r="M1042">
        <v>50.014000000000003</v>
      </c>
      <c r="N1042">
        <v>178.47800000000001</v>
      </c>
    </row>
    <row r="1043" spans="1:14" x14ac:dyDescent="0.45">
      <c r="A1043">
        <v>1985</v>
      </c>
      <c r="B1043" t="s">
        <v>223</v>
      </c>
      <c r="C1043">
        <v>0</v>
      </c>
      <c r="D1043">
        <v>0</v>
      </c>
      <c r="E1043">
        <v>1</v>
      </c>
      <c r="F1043">
        <v>1</v>
      </c>
      <c r="G1043">
        <v>0</v>
      </c>
      <c r="H1043">
        <v>0</v>
      </c>
      <c r="I1043">
        <v>0</v>
      </c>
      <c r="J1043">
        <v>2889.3478980355899</v>
      </c>
      <c r="K1043">
        <v>2413.8739443232998</v>
      </c>
      <c r="L1043">
        <v>62.451000000000001</v>
      </c>
      <c r="M1043">
        <v>52.585999999999999</v>
      </c>
      <c r="N1043">
        <v>171.70099999999999</v>
      </c>
    </row>
    <row r="1044" spans="1:14" x14ac:dyDescent="0.45">
      <c r="A1044">
        <v>1985</v>
      </c>
      <c r="B1044" t="s">
        <v>224</v>
      </c>
      <c r="C1044">
        <v>0</v>
      </c>
      <c r="D1044">
        <v>0</v>
      </c>
      <c r="E1044">
        <v>0</v>
      </c>
      <c r="F1044">
        <v>0</v>
      </c>
      <c r="G1044">
        <v>0</v>
      </c>
      <c r="H1044">
        <v>1</v>
      </c>
      <c r="I1044">
        <v>1</v>
      </c>
      <c r="J1044">
        <v>35740.377109258297</v>
      </c>
      <c r="K1044">
        <v>29379.923570352701</v>
      </c>
      <c r="L1044">
        <v>0</v>
      </c>
      <c r="M1044">
        <v>73.123999999999995</v>
      </c>
      <c r="N1044">
        <v>10.958</v>
      </c>
    </row>
    <row r="1045" spans="1:14" x14ac:dyDescent="0.45">
      <c r="A1045">
        <v>1985</v>
      </c>
      <c r="B1045" t="s">
        <v>225</v>
      </c>
      <c r="C1045">
        <v>0</v>
      </c>
      <c r="D1045">
        <v>0</v>
      </c>
      <c r="E1045">
        <v>0</v>
      </c>
      <c r="F1045">
        <v>0</v>
      </c>
      <c r="G1045">
        <v>0</v>
      </c>
      <c r="H1045">
        <v>0</v>
      </c>
      <c r="I1045">
        <v>0</v>
      </c>
      <c r="J1045">
        <v>2500.5209161474299</v>
      </c>
      <c r="K1045">
        <v>2261.9036064872698</v>
      </c>
      <c r="L1045">
        <v>87.566999999999993</v>
      </c>
      <c r="M1045">
        <v>65.287999999999997</v>
      </c>
      <c r="N1045">
        <v>43.877000000000002</v>
      </c>
    </row>
    <row r="1046" spans="1:14" x14ac:dyDescent="0.45">
      <c r="A1046">
        <v>1985</v>
      </c>
      <c r="B1046" t="s">
        <v>226</v>
      </c>
      <c r="C1046">
        <v>0</v>
      </c>
      <c r="D1046">
        <v>0</v>
      </c>
      <c r="E1046">
        <v>1</v>
      </c>
      <c r="F1046">
        <v>0</v>
      </c>
      <c r="G1046">
        <v>0</v>
      </c>
      <c r="H1046">
        <v>0</v>
      </c>
      <c r="I1046">
        <v>0</v>
      </c>
      <c r="J1046">
        <v>3187.4680486274201</v>
      </c>
      <c r="K1046">
        <v>2893.1709742685598</v>
      </c>
      <c r="L1046">
        <v>68.003</v>
      </c>
      <c r="M1046">
        <v>43.555999999999997</v>
      </c>
      <c r="N1046">
        <v>272.94299999999998</v>
      </c>
    </row>
    <row r="1047" spans="1:14" x14ac:dyDescent="0.45">
      <c r="A1047">
        <v>1985</v>
      </c>
      <c r="B1047" t="s">
        <v>227</v>
      </c>
      <c r="C1047">
        <v>0</v>
      </c>
      <c r="D1047">
        <v>1</v>
      </c>
      <c r="E1047">
        <v>0</v>
      </c>
      <c r="F1047">
        <v>1</v>
      </c>
      <c r="G1047">
        <v>0</v>
      </c>
      <c r="H1047">
        <v>0</v>
      </c>
      <c r="I1047">
        <v>0</v>
      </c>
      <c r="J1047">
        <v>6209.1576108583104</v>
      </c>
      <c r="K1047">
        <v>5530.8095968645102</v>
      </c>
      <c r="L1047">
        <v>53.323</v>
      </c>
      <c r="M1047">
        <v>58.030999999999999</v>
      </c>
      <c r="N1047">
        <v>106.264</v>
      </c>
    </row>
    <row r="1048" spans="1:14" x14ac:dyDescent="0.45">
      <c r="A1048">
        <v>1985</v>
      </c>
      <c r="B1048" t="s">
        <v>228</v>
      </c>
      <c r="C1048">
        <v>1</v>
      </c>
      <c r="D1048">
        <v>0</v>
      </c>
      <c r="E1048">
        <v>0</v>
      </c>
      <c r="F1048">
        <v>0</v>
      </c>
      <c r="G1048">
        <v>0</v>
      </c>
      <c r="H1048">
        <v>1</v>
      </c>
      <c r="I1048">
        <v>1</v>
      </c>
      <c r="L1048">
        <v>11.709</v>
      </c>
      <c r="M1048">
        <v>77.27</v>
      </c>
      <c r="N1048">
        <v>11.718999999999999</v>
      </c>
    </row>
    <row r="1049" spans="1:14" x14ac:dyDescent="0.45">
      <c r="A1049">
        <v>1985</v>
      </c>
      <c r="B1049" t="s">
        <v>229</v>
      </c>
      <c r="C1049">
        <v>0</v>
      </c>
      <c r="D1049">
        <v>0</v>
      </c>
      <c r="E1049">
        <v>1</v>
      </c>
      <c r="F1049">
        <v>0</v>
      </c>
      <c r="G1049">
        <v>0</v>
      </c>
      <c r="H1049">
        <v>0</v>
      </c>
      <c r="I1049">
        <v>0</v>
      </c>
      <c r="J1049">
        <v>699.36659140869199</v>
      </c>
      <c r="K1049">
        <v>648.68649010925003</v>
      </c>
      <c r="L1049">
        <v>71.933000000000007</v>
      </c>
      <c r="M1049">
        <v>48.279000000000003</v>
      </c>
      <c r="N1049">
        <v>192.75700000000001</v>
      </c>
    </row>
    <row r="1050" spans="1:14" x14ac:dyDescent="0.45">
      <c r="A1050">
        <v>1985</v>
      </c>
      <c r="B1050" t="s">
        <v>230</v>
      </c>
      <c r="C1050">
        <v>1</v>
      </c>
      <c r="D1050">
        <v>0</v>
      </c>
      <c r="E1050">
        <v>0</v>
      </c>
      <c r="F1050">
        <v>0</v>
      </c>
      <c r="G1050">
        <v>1</v>
      </c>
      <c r="H1050">
        <v>0</v>
      </c>
      <c r="I1050">
        <v>0</v>
      </c>
      <c r="L1050">
        <v>51.658999999999999</v>
      </c>
      <c r="M1050">
        <v>71.441000000000003</v>
      </c>
      <c r="N1050">
        <v>23.103999999999999</v>
      </c>
    </row>
    <row r="1051" spans="1:14" x14ac:dyDescent="0.45">
      <c r="A1051">
        <v>1985</v>
      </c>
      <c r="B1051" t="s">
        <v>231</v>
      </c>
      <c r="C1051">
        <v>0</v>
      </c>
      <c r="D1051">
        <v>0</v>
      </c>
      <c r="E1051">
        <v>1</v>
      </c>
      <c r="F1051">
        <v>1</v>
      </c>
      <c r="G1051">
        <v>0</v>
      </c>
      <c r="H1051">
        <v>0</v>
      </c>
      <c r="I1051">
        <v>0</v>
      </c>
      <c r="L1051">
        <v>90.156000000000006</v>
      </c>
      <c r="M1051">
        <v>32.36</v>
      </c>
      <c r="N1051">
        <v>293.096</v>
      </c>
    </row>
    <row r="1052" spans="1:14" x14ac:dyDescent="0.45">
      <c r="A1052">
        <v>1985</v>
      </c>
      <c r="B1052" t="s">
        <v>232</v>
      </c>
      <c r="C1052">
        <v>0</v>
      </c>
      <c r="D1052">
        <v>0</v>
      </c>
      <c r="E1052">
        <v>1</v>
      </c>
      <c r="F1052">
        <v>0</v>
      </c>
      <c r="G1052">
        <v>0</v>
      </c>
      <c r="H1052">
        <v>0</v>
      </c>
      <c r="I1052">
        <v>0</v>
      </c>
      <c r="J1052">
        <v>4240.9571948415796</v>
      </c>
      <c r="K1052">
        <v>2639.5050973351399</v>
      </c>
      <c r="L1052">
        <v>61.951000000000001</v>
      </c>
      <c r="M1052">
        <v>60.139000000000003</v>
      </c>
      <c r="N1052">
        <v>121.858</v>
      </c>
    </row>
    <row r="1053" spans="1:14" x14ac:dyDescent="0.45">
      <c r="A1053">
        <v>1985</v>
      </c>
      <c r="B1053" t="s">
        <v>233</v>
      </c>
      <c r="C1053">
        <v>0</v>
      </c>
      <c r="D1053">
        <v>1</v>
      </c>
      <c r="E1053">
        <v>0</v>
      </c>
      <c r="F1053">
        <v>0</v>
      </c>
      <c r="G1053">
        <v>1</v>
      </c>
      <c r="H1053">
        <v>0</v>
      </c>
      <c r="I1053">
        <v>0</v>
      </c>
      <c r="J1053">
        <v>16904.9483099877</v>
      </c>
      <c r="K1053">
        <v>13455.994439624599</v>
      </c>
      <c r="L1053">
        <v>34.665999999999997</v>
      </c>
      <c r="M1053">
        <v>61.357999999999997</v>
      </c>
      <c r="N1053">
        <v>53.067</v>
      </c>
    </row>
    <row r="1054" spans="1:14" x14ac:dyDescent="0.45">
      <c r="A1054">
        <v>1985</v>
      </c>
      <c r="B1054" t="s">
        <v>234</v>
      </c>
      <c r="C1054">
        <v>1</v>
      </c>
      <c r="D1054">
        <v>0</v>
      </c>
      <c r="E1054">
        <v>0</v>
      </c>
      <c r="F1054">
        <v>0</v>
      </c>
      <c r="G1054">
        <v>1</v>
      </c>
      <c r="H1054">
        <v>0</v>
      </c>
      <c r="I1054">
        <v>0</v>
      </c>
      <c r="L1054">
        <v>45.823999999999998</v>
      </c>
      <c r="M1054">
        <v>70.721000000000004</v>
      </c>
      <c r="N1054">
        <v>18.507999999999999</v>
      </c>
    </row>
    <row r="1055" spans="1:14" x14ac:dyDescent="0.45">
      <c r="A1055">
        <v>1985</v>
      </c>
      <c r="B1055" t="s">
        <v>235</v>
      </c>
      <c r="C1055">
        <v>1</v>
      </c>
      <c r="D1055">
        <v>0</v>
      </c>
      <c r="E1055">
        <v>0</v>
      </c>
      <c r="F1055">
        <v>0</v>
      </c>
      <c r="G1055">
        <v>1</v>
      </c>
      <c r="H1055">
        <v>0</v>
      </c>
      <c r="I1055">
        <v>0</v>
      </c>
      <c r="L1055">
        <v>50.415999999999997</v>
      </c>
      <c r="M1055">
        <v>71.802000000000007</v>
      </c>
      <c r="N1055">
        <v>14.866</v>
      </c>
    </row>
    <row r="1056" spans="1:14" x14ac:dyDescent="0.45">
      <c r="A1056">
        <v>1985</v>
      </c>
      <c r="B1056" t="s">
        <v>236</v>
      </c>
      <c r="C1056">
        <v>1</v>
      </c>
      <c r="D1056">
        <v>0</v>
      </c>
      <c r="E1056">
        <v>0</v>
      </c>
      <c r="F1056">
        <v>0</v>
      </c>
      <c r="G1056">
        <v>0</v>
      </c>
      <c r="H1056">
        <v>1</v>
      </c>
      <c r="I1056">
        <v>1</v>
      </c>
      <c r="J1056">
        <v>35773.607621256</v>
      </c>
      <c r="K1056">
        <v>30558.475719625701</v>
      </c>
      <c r="L1056">
        <v>16.899999999999999</v>
      </c>
      <c r="M1056">
        <v>76.691000000000003</v>
      </c>
      <c r="N1056">
        <v>8.0449999999999999</v>
      </c>
    </row>
    <row r="1057" spans="1:14" x14ac:dyDescent="0.45">
      <c r="A1057">
        <v>1985</v>
      </c>
      <c r="B1057" t="s">
        <v>237</v>
      </c>
      <c r="C1057">
        <v>0</v>
      </c>
      <c r="D1057">
        <v>0</v>
      </c>
      <c r="E1057">
        <v>1</v>
      </c>
      <c r="F1057">
        <v>1</v>
      </c>
      <c r="G1057">
        <v>0</v>
      </c>
      <c r="H1057">
        <v>0</v>
      </c>
      <c r="I1057">
        <v>0</v>
      </c>
      <c r="J1057">
        <v>4229.2475485226396</v>
      </c>
      <c r="K1057">
        <v>3744.99947901121</v>
      </c>
      <c r="L1057">
        <v>81.733999999999995</v>
      </c>
      <c r="M1057">
        <v>61.164999999999999</v>
      </c>
      <c r="N1057">
        <v>86.581000000000003</v>
      </c>
    </row>
    <row r="1058" spans="1:14" x14ac:dyDescent="0.45">
      <c r="A1058">
        <v>1985</v>
      </c>
      <c r="B1058" t="s">
        <v>238</v>
      </c>
      <c r="C1058">
        <v>0</v>
      </c>
      <c r="D1058">
        <v>1</v>
      </c>
      <c r="E1058">
        <v>0</v>
      </c>
      <c r="F1058">
        <v>0</v>
      </c>
      <c r="G1058">
        <v>0</v>
      </c>
      <c r="H1058">
        <v>1</v>
      </c>
      <c r="I1058">
        <v>1</v>
      </c>
      <c r="L1058">
        <v>0</v>
      </c>
      <c r="M1058">
        <v>72.385000000000005</v>
      </c>
      <c r="N1058">
        <v>25.454000000000001</v>
      </c>
    </row>
    <row r="1059" spans="1:14" x14ac:dyDescent="0.45">
      <c r="A1059">
        <v>1985</v>
      </c>
      <c r="B1059" t="s">
        <v>239</v>
      </c>
      <c r="C1059">
        <v>0</v>
      </c>
      <c r="D1059">
        <v>0</v>
      </c>
      <c r="E1059">
        <v>1</v>
      </c>
      <c r="F1059">
        <v>0</v>
      </c>
      <c r="G1059">
        <v>1</v>
      </c>
      <c r="H1059">
        <v>0</v>
      </c>
      <c r="I1059">
        <v>0</v>
      </c>
      <c r="J1059">
        <v>12219.2723875477</v>
      </c>
      <c r="K1059">
        <v>11863.0791307243</v>
      </c>
      <c r="L1059">
        <v>50.707999999999998</v>
      </c>
      <c r="M1059">
        <v>69.623999999999995</v>
      </c>
      <c r="N1059">
        <v>20.652999999999999</v>
      </c>
    </row>
    <row r="1060" spans="1:14" x14ac:dyDescent="0.45">
      <c r="A1060">
        <v>1985</v>
      </c>
      <c r="B1060" t="s">
        <v>240</v>
      </c>
      <c r="C1060">
        <v>0</v>
      </c>
      <c r="D1060">
        <v>0</v>
      </c>
      <c r="E1060">
        <v>0</v>
      </c>
      <c r="F1060">
        <v>1</v>
      </c>
      <c r="G1060">
        <v>0</v>
      </c>
      <c r="H1060">
        <v>0</v>
      </c>
      <c r="I1060">
        <v>0</v>
      </c>
      <c r="J1060">
        <v>6634.4926276911001</v>
      </c>
      <c r="K1060">
        <v>4351.7456884843104</v>
      </c>
      <c r="L1060">
        <v>52.109000000000002</v>
      </c>
      <c r="M1060">
        <v>68.048000000000002</v>
      </c>
      <c r="N1060">
        <v>46.14</v>
      </c>
    </row>
    <row r="1061" spans="1:14" x14ac:dyDescent="0.45">
      <c r="A1061">
        <v>1985</v>
      </c>
      <c r="B1061" t="s">
        <v>241</v>
      </c>
      <c r="C1061">
        <v>0</v>
      </c>
      <c r="D1061">
        <v>1</v>
      </c>
      <c r="E1061">
        <v>0</v>
      </c>
      <c r="F1061">
        <v>0</v>
      </c>
      <c r="G1061">
        <v>0</v>
      </c>
      <c r="H1061">
        <v>1</v>
      </c>
      <c r="I1061">
        <v>1</v>
      </c>
      <c r="L1061">
        <v>34.561</v>
      </c>
      <c r="M1061">
        <v>68.668999999999997</v>
      </c>
      <c r="N1061">
        <v>25.579000000000001</v>
      </c>
    </row>
    <row r="1062" spans="1:14" x14ac:dyDescent="0.45">
      <c r="A1062">
        <v>1985</v>
      </c>
      <c r="B1062" t="s">
        <v>242</v>
      </c>
      <c r="C1062">
        <v>0</v>
      </c>
      <c r="D1062">
        <v>0</v>
      </c>
      <c r="E1062">
        <v>1</v>
      </c>
      <c r="F1062">
        <v>0</v>
      </c>
      <c r="G1062">
        <v>0</v>
      </c>
      <c r="H1062">
        <v>0</v>
      </c>
      <c r="I1062">
        <v>0</v>
      </c>
      <c r="J1062">
        <v>1423.97672847995</v>
      </c>
      <c r="K1062">
        <v>1196.19196943771</v>
      </c>
      <c r="L1062">
        <v>80.221000000000004</v>
      </c>
      <c r="M1062">
        <v>45.314999999999998</v>
      </c>
      <c r="N1062">
        <v>229.84299999999999</v>
      </c>
    </row>
    <row r="1063" spans="1:14" x14ac:dyDescent="0.45">
      <c r="A1063">
        <v>1985</v>
      </c>
      <c r="B1063" t="s">
        <v>243</v>
      </c>
      <c r="C1063">
        <v>0</v>
      </c>
      <c r="D1063">
        <v>0</v>
      </c>
      <c r="E1063">
        <v>1</v>
      </c>
      <c r="F1063">
        <v>0</v>
      </c>
      <c r="G1063">
        <v>0</v>
      </c>
      <c r="H1063">
        <v>0</v>
      </c>
      <c r="I1063">
        <v>0</v>
      </c>
      <c r="J1063">
        <v>2124.1547247318199</v>
      </c>
      <c r="K1063">
        <v>1765.2527484396001</v>
      </c>
      <c r="L1063">
        <v>73.438000000000002</v>
      </c>
      <c r="M1063">
        <v>54.360999999999997</v>
      </c>
      <c r="N1063">
        <v>161.13999999999999</v>
      </c>
    </row>
    <row r="1064" spans="1:14" x14ac:dyDescent="0.45">
      <c r="A1064">
        <v>1985</v>
      </c>
      <c r="B1064" t="s">
        <v>244</v>
      </c>
      <c r="C1064">
        <v>0</v>
      </c>
      <c r="D1064">
        <v>0</v>
      </c>
      <c r="E1064">
        <v>0</v>
      </c>
      <c r="F1064">
        <v>1</v>
      </c>
      <c r="G1064">
        <v>0</v>
      </c>
      <c r="H1064">
        <v>0</v>
      </c>
      <c r="I1064">
        <v>0</v>
      </c>
      <c r="J1064">
        <v>6195.2140769095104</v>
      </c>
      <c r="K1064">
        <v>5417.8824454412297</v>
      </c>
      <c r="L1064">
        <v>71.905000000000001</v>
      </c>
      <c r="M1064">
        <v>66.543000000000006</v>
      </c>
      <c r="N1064">
        <v>48.15</v>
      </c>
    </row>
    <row r="1065" spans="1:14" x14ac:dyDescent="0.45">
      <c r="A1065">
        <v>1985</v>
      </c>
      <c r="B1065" t="s">
        <v>245</v>
      </c>
      <c r="C1065">
        <v>1</v>
      </c>
      <c r="D1065">
        <v>0</v>
      </c>
      <c r="E1065">
        <v>0</v>
      </c>
      <c r="F1065">
        <v>1</v>
      </c>
      <c r="G1065">
        <v>0</v>
      </c>
      <c r="H1065">
        <v>0</v>
      </c>
      <c r="I1065">
        <v>0</v>
      </c>
      <c r="J1065">
        <v>4361.9550039707801</v>
      </c>
      <c r="K1065">
        <v>3972.58597393012</v>
      </c>
      <c r="L1065">
        <v>66.765000000000001</v>
      </c>
      <c r="M1065">
        <v>60.972999999999999</v>
      </c>
      <c r="N1065">
        <v>119.392</v>
      </c>
    </row>
    <row r="1066" spans="1:14" x14ac:dyDescent="0.45">
      <c r="A1066">
        <v>1985</v>
      </c>
      <c r="B1066" t="s">
        <v>246</v>
      </c>
      <c r="C1066">
        <v>1</v>
      </c>
      <c r="D1066">
        <v>0</v>
      </c>
      <c r="E1066">
        <v>0</v>
      </c>
      <c r="F1066">
        <v>1</v>
      </c>
      <c r="G1066">
        <v>0</v>
      </c>
      <c r="H1066">
        <v>0</v>
      </c>
      <c r="I1066">
        <v>0</v>
      </c>
      <c r="L1066">
        <v>54.024000000000001</v>
      </c>
      <c r="M1066">
        <v>62.802999999999997</v>
      </c>
      <c r="N1066">
        <v>94.006</v>
      </c>
    </row>
    <row r="1067" spans="1:14" x14ac:dyDescent="0.45">
      <c r="A1067">
        <v>1985</v>
      </c>
      <c r="B1067" t="s">
        <v>247</v>
      </c>
      <c r="C1067">
        <v>0</v>
      </c>
      <c r="D1067">
        <v>0</v>
      </c>
      <c r="E1067">
        <v>0</v>
      </c>
      <c r="F1067">
        <v>0</v>
      </c>
      <c r="G1067">
        <v>0</v>
      </c>
      <c r="H1067">
        <v>0</v>
      </c>
      <c r="I1067">
        <v>0</v>
      </c>
      <c r="L1067">
        <v>81.436999999999998</v>
      </c>
      <c r="M1067">
        <v>34.341999999999999</v>
      </c>
      <c r="N1067">
        <v>250.922</v>
      </c>
    </row>
    <row r="1068" spans="1:14" x14ac:dyDescent="0.45">
      <c r="A1068">
        <v>1985</v>
      </c>
      <c r="B1068" t="s">
        <v>248</v>
      </c>
      <c r="C1068">
        <v>0</v>
      </c>
      <c r="D1068">
        <v>0</v>
      </c>
      <c r="E1068">
        <v>0</v>
      </c>
      <c r="F1068">
        <v>1</v>
      </c>
      <c r="G1068">
        <v>0</v>
      </c>
      <c r="H1068">
        <v>0</v>
      </c>
      <c r="I1068">
        <v>0</v>
      </c>
      <c r="J1068">
        <v>4303.4775311454896</v>
      </c>
      <c r="K1068">
        <v>3895.64243297342</v>
      </c>
      <c r="L1068">
        <v>77.731999999999999</v>
      </c>
      <c r="M1068">
        <v>66.927999999999997</v>
      </c>
      <c r="N1068">
        <v>25.782</v>
      </c>
    </row>
    <row r="1069" spans="1:14" x14ac:dyDescent="0.45">
      <c r="A1069">
        <v>1985</v>
      </c>
      <c r="B1069" t="s">
        <v>249</v>
      </c>
      <c r="C1069">
        <v>0</v>
      </c>
      <c r="D1069">
        <v>1</v>
      </c>
      <c r="E1069">
        <v>0</v>
      </c>
      <c r="F1069">
        <v>0</v>
      </c>
      <c r="G1069">
        <v>1</v>
      </c>
      <c r="H1069">
        <v>0</v>
      </c>
      <c r="I1069">
        <v>0</v>
      </c>
      <c r="J1069">
        <v>14917.3611175268</v>
      </c>
      <c r="K1069">
        <v>12449.9255416874</v>
      </c>
      <c r="L1069">
        <v>46.795000000000002</v>
      </c>
      <c r="M1069">
        <v>66.748000000000005</v>
      </c>
      <c r="N1069">
        <v>33.844000000000001</v>
      </c>
    </row>
    <row r="1070" spans="1:14" x14ac:dyDescent="0.45">
      <c r="A1070">
        <v>1985</v>
      </c>
      <c r="B1070" t="s">
        <v>250</v>
      </c>
      <c r="C1070">
        <v>0</v>
      </c>
      <c r="D1070">
        <v>0</v>
      </c>
      <c r="E1070">
        <v>0</v>
      </c>
      <c r="F1070">
        <v>1</v>
      </c>
      <c r="G1070">
        <v>0</v>
      </c>
      <c r="H1070">
        <v>0</v>
      </c>
      <c r="I1070">
        <v>0</v>
      </c>
      <c r="J1070">
        <v>6726.9838776208298</v>
      </c>
      <c r="K1070">
        <v>5862.4540794607901</v>
      </c>
      <c r="L1070">
        <v>46.161000000000001</v>
      </c>
      <c r="M1070">
        <v>66.876999999999995</v>
      </c>
      <c r="N1070">
        <v>70.912999999999997</v>
      </c>
    </row>
    <row r="1071" spans="1:14" x14ac:dyDescent="0.45">
      <c r="A1071">
        <v>1985</v>
      </c>
      <c r="B1071" t="s">
        <v>251</v>
      </c>
      <c r="C1071">
        <v>1</v>
      </c>
      <c r="D1071">
        <v>0</v>
      </c>
      <c r="E1071">
        <v>0</v>
      </c>
      <c r="F1071">
        <v>1</v>
      </c>
      <c r="G1071">
        <v>0</v>
      </c>
      <c r="H1071">
        <v>0</v>
      </c>
      <c r="I1071">
        <v>0</v>
      </c>
      <c r="J1071">
        <v>10627.337923568801</v>
      </c>
      <c r="K1071">
        <v>10655.7677581965</v>
      </c>
      <c r="L1071">
        <v>47.552</v>
      </c>
      <c r="M1071">
        <v>65.343999999999994</v>
      </c>
      <c r="N1071">
        <v>98.183000000000007</v>
      </c>
    </row>
    <row r="1072" spans="1:14" x14ac:dyDescent="0.45">
      <c r="A1072">
        <v>1985</v>
      </c>
      <c r="B1072" t="s">
        <v>252</v>
      </c>
      <c r="C1072">
        <v>0</v>
      </c>
      <c r="D1072">
        <v>0</v>
      </c>
      <c r="E1072">
        <v>0</v>
      </c>
      <c r="F1072">
        <v>1</v>
      </c>
      <c r="G1072">
        <v>0</v>
      </c>
      <c r="H1072">
        <v>0</v>
      </c>
      <c r="I1072">
        <v>0</v>
      </c>
      <c r="J1072">
        <v>1756.9257659192499</v>
      </c>
      <c r="K1072">
        <v>1589.4106525362299</v>
      </c>
      <c r="L1072">
        <v>65.748999999999995</v>
      </c>
      <c r="M1072">
        <v>61.137</v>
      </c>
      <c r="N1072">
        <v>56.807000000000002</v>
      </c>
    </row>
    <row r="1073" spans="1:14" x14ac:dyDescent="0.45">
      <c r="A1073">
        <v>1985</v>
      </c>
      <c r="B1073" t="s">
        <v>253</v>
      </c>
      <c r="C1073">
        <v>0</v>
      </c>
      <c r="D1073">
        <v>0</v>
      </c>
      <c r="E1073">
        <v>0</v>
      </c>
      <c r="F1073">
        <v>0</v>
      </c>
      <c r="G1073">
        <v>0</v>
      </c>
      <c r="H1073">
        <v>1</v>
      </c>
      <c r="I1073">
        <v>1</v>
      </c>
      <c r="L1073">
        <v>77.126000000000005</v>
      </c>
      <c r="M1073">
        <v>73.295000000000002</v>
      </c>
      <c r="N1073">
        <v>10.891</v>
      </c>
    </row>
    <row r="1074" spans="1:14" x14ac:dyDescent="0.45">
      <c r="A1074">
        <v>1985</v>
      </c>
      <c r="B1074" t="s">
        <v>254</v>
      </c>
      <c r="C1074">
        <v>0</v>
      </c>
      <c r="D1074">
        <v>0</v>
      </c>
      <c r="E1074">
        <v>1</v>
      </c>
      <c r="F1074">
        <v>0</v>
      </c>
      <c r="G1074">
        <v>0</v>
      </c>
      <c r="H1074">
        <v>0</v>
      </c>
      <c r="I1074">
        <v>0</v>
      </c>
      <c r="J1074">
        <v>1631.34462344851</v>
      </c>
      <c r="K1074">
        <v>1215.1343463559599</v>
      </c>
      <c r="L1074">
        <v>83.233000000000004</v>
      </c>
      <c r="M1074">
        <v>52.183999999999997</v>
      </c>
      <c r="N1074">
        <v>176.51400000000001</v>
      </c>
    </row>
    <row r="1075" spans="1:14" x14ac:dyDescent="0.45">
      <c r="A1075">
        <v>1985</v>
      </c>
      <c r="B1075" t="s">
        <v>255</v>
      </c>
      <c r="C1075">
        <v>0</v>
      </c>
      <c r="D1075">
        <v>0</v>
      </c>
      <c r="E1075">
        <v>1</v>
      </c>
      <c r="F1075">
        <v>0</v>
      </c>
      <c r="G1075">
        <v>0</v>
      </c>
      <c r="H1075">
        <v>0</v>
      </c>
      <c r="I1075">
        <v>0</v>
      </c>
      <c r="J1075">
        <v>1031.0012433213701</v>
      </c>
      <c r="K1075">
        <v>874.603046185219</v>
      </c>
      <c r="L1075">
        <v>90.847999999999999</v>
      </c>
      <c r="M1075">
        <v>45.496000000000002</v>
      </c>
      <c r="N1075">
        <v>198.69200000000001</v>
      </c>
    </row>
    <row r="1076" spans="1:14" x14ac:dyDescent="0.45">
      <c r="A1076">
        <v>1985</v>
      </c>
      <c r="B1076" t="s">
        <v>256</v>
      </c>
      <c r="C1076">
        <v>1</v>
      </c>
      <c r="D1076">
        <v>0</v>
      </c>
      <c r="E1076">
        <v>0</v>
      </c>
      <c r="F1076">
        <v>1</v>
      </c>
      <c r="G1076">
        <v>0</v>
      </c>
      <c r="H1076">
        <v>0</v>
      </c>
      <c r="I1076">
        <v>0</v>
      </c>
      <c r="J1076">
        <v>20898.499223406801</v>
      </c>
      <c r="K1076">
        <v>14781.206166079801</v>
      </c>
      <c r="L1076">
        <v>35.319000000000003</v>
      </c>
      <c r="M1076">
        <v>70.409000000000006</v>
      </c>
      <c r="N1076">
        <v>19.940000000000001</v>
      </c>
    </row>
    <row r="1077" spans="1:14" x14ac:dyDescent="0.45">
      <c r="A1077">
        <v>1985</v>
      </c>
      <c r="B1077" t="s">
        <v>257</v>
      </c>
      <c r="C1077">
        <v>0</v>
      </c>
      <c r="D1077">
        <v>1</v>
      </c>
      <c r="E1077">
        <v>0</v>
      </c>
      <c r="F1077">
        <v>0</v>
      </c>
      <c r="G1077">
        <v>1</v>
      </c>
      <c r="H1077">
        <v>0</v>
      </c>
      <c r="I1077">
        <v>0</v>
      </c>
      <c r="J1077">
        <v>11814.696426836101</v>
      </c>
      <c r="K1077">
        <v>9371.0459765902306</v>
      </c>
      <c r="L1077">
        <v>12.805999999999999</v>
      </c>
      <c r="M1077">
        <v>71.861000000000004</v>
      </c>
      <c r="N1077">
        <v>32.837000000000003</v>
      </c>
    </row>
    <row r="1078" spans="1:14" x14ac:dyDescent="0.45">
      <c r="A1078">
        <v>1985</v>
      </c>
      <c r="B1078" t="s">
        <v>258</v>
      </c>
      <c r="C1078">
        <v>0</v>
      </c>
      <c r="D1078">
        <v>0</v>
      </c>
      <c r="E1078">
        <v>0</v>
      </c>
      <c r="F1078">
        <v>0</v>
      </c>
      <c r="G1078">
        <v>0</v>
      </c>
      <c r="H1078">
        <v>1</v>
      </c>
      <c r="I1078">
        <v>1</v>
      </c>
      <c r="J1078">
        <v>38570.327110905302</v>
      </c>
      <c r="K1078">
        <v>35009.306514057898</v>
      </c>
      <c r="L1078">
        <v>25.506</v>
      </c>
      <c r="M1078">
        <v>74.650000000000006</v>
      </c>
      <c r="N1078">
        <v>12.851000000000001</v>
      </c>
    </row>
    <row r="1079" spans="1:14" x14ac:dyDescent="0.45">
      <c r="A1079">
        <v>1985</v>
      </c>
      <c r="B1079" t="s">
        <v>259</v>
      </c>
      <c r="C1079">
        <v>1</v>
      </c>
      <c r="D1079">
        <v>0</v>
      </c>
      <c r="E1079">
        <v>0</v>
      </c>
      <c r="F1079">
        <v>1</v>
      </c>
      <c r="G1079">
        <v>0</v>
      </c>
      <c r="H1079">
        <v>0</v>
      </c>
      <c r="I1079">
        <v>0</v>
      </c>
      <c r="L1079">
        <v>59.277999999999999</v>
      </c>
      <c r="M1079">
        <v>64.573999999999998</v>
      </c>
      <c r="N1079">
        <v>82.924999999999997</v>
      </c>
    </row>
    <row r="1080" spans="1:14" x14ac:dyDescent="0.45">
      <c r="A1080">
        <v>1985</v>
      </c>
      <c r="B1080" t="s">
        <v>260</v>
      </c>
      <c r="C1080">
        <v>0</v>
      </c>
      <c r="D1080">
        <v>1</v>
      </c>
      <c r="E1080">
        <v>0</v>
      </c>
      <c r="F1080">
        <v>1</v>
      </c>
      <c r="G1080">
        <v>0</v>
      </c>
      <c r="H1080">
        <v>0</v>
      </c>
      <c r="I1080">
        <v>0</v>
      </c>
      <c r="J1080">
        <v>5922.9561848059302</v>
      </c>
      <c r="K1080">
        <v>5176.4337670781497</v>
      </c>
      <c r="L1080">
        <v>61.398000000000003</v>
      </c>
      <c r="M1080">
        <v>69.771000000000001</v>
      </c>
      <c r="N1080">
        <v>34.732999999999997</v>
      </c>
    </row>
    <row r="1081" spans="1:14" x14ac:dyDescent="0.45">
      <c r="A1081">
        <v>1985</v>
      </c>
      <c r="B1081" t="s">
        <v>261</v>
      </c>
      <c r="C1081">
        <v>0</v>
      </c>
      <c r="D1081">
        <v>1</v>
      </c>
      <c r="E1081">
        <v>0</v>
      </c>
      <c r="F1081">
        <v>0</v>
      </c>
      <c r="G1081">
        <v>1</v>
      </c>
      <c r="H1081">
        <v>0</v>
      </c>
      <c r="I1081">
        <v>0</v>
      </c>
      <c r="L1081">
        <v>18.074999999999999</v>
      </c>
      <c r="M1081">
        <v>69.960999999999999</v>
      </c>
      <c r="N1081">
        <v>36.409999999999997</v>
      </c>
    </row>
    <row r="1082" spans="1:14" x14ac:dyDescent="0.45">
      <c r="A1082">
        <v>1985</v>
      </c>
      <c r="B1082" t="s">
        <v>262</v>
      </c>
      <c r="C1082">
        <v>0</v>
      </c>
      <c r="D1082">
        <v>1</v>
      </c>
      <c r="E1082">
        <v>0</v>
      </c>
      <c r="F1082">
        <v>0</v>
      </c>
      <c r="G1082">
        <v>0</v>
      </c>
      <c r="H1082">
        <v>1</v>
      </c>
      <c r="I1082">
        <v>1</v>
      </c>
      <c r="L1082">
        <v>70.272000000000006</v>
      </c>
      <c r="M1082">
        <v>70.986999999999995</v>
      </c>
      <c r="N1082">
        <v>28.634</v>
      </c>
    </row>
    <row r="1083" spans="1:14" x14ac:dyDescent="0.45">
      <c r="A1083">
        <v>1985</v>
      </c>
      <c r="B1083" t="s">
        <v>263</v>
      </c>
      <c r="C1083">
        <v>0</v>
      </c>
      <c r="D1083">
        <v>1</v>
      </c>
      <c r="E1083">
        <v>0</v>
      </c>
      <c r="F1083">
        <v>0</v>
      </c>
      <c r="G1083">
        <v>0</v>
      </c>
      <c r="H1083">
        <v>1</v>
      </c>
      <c r="I1083">
        <v>1</v>
      </c>
      <c r="L1083">
        <v>15.72</v>
      </c>
      <c r="M1083">
        <v>69.682000000000002</v>
      </c>
      <c r="N1083">
        <v>22.661999999999999</v>
      </c>
    </row>
    <row r="1084" spans="1:14" x14ac:dyDescent="0.45">
      <c r="A1084">
        <v>1985</v>
      </c>
      <c r="B1084" t="s">
        <v>264</v>
      </c>
      <c r="C1084">
        <v>0</v>
      </c>
      <c r="D1084">
        <v>0</v>
      </c>
      <c r="E1084">
        <v>0</v>
      </c>
      <c r="F1084">
        <v>0</v>
      </c>
      <c r="G1084">
        <v>0</v>
      </c>
      <c r="H1084">
        <v>0</v>
      </c>
      <c r="I1084">
        <v>0</v>
      </c>
      <c r="J1084">
        <v>2212.96006490938</v>
      </c>
      <c r="K1084">
        <v>1971.93085240957</v>
      </c>
      <c r="L1084">
        <v>80.438999999999993</v>
      </c>
      <c r="M1084">
        <v>67.191999999999993</v>
      </c>
      <c r="N1084">
        <v>61.976999999999997</v>
      </c>
    </row>
    <row r="1085" spans="1:14" x14ac:dyDescent="0.45">
      <c r="A1085">
        <v>1985</v>
      </c>
      <c r="B1085" t="s">
        <v>265</v>
      </c>
      <c r="C1085">
        <v>0</v>
      </c>
      <c r="D1085">
        <v>0</v>
      </c>
      <c r="E1085">
        <v>0</v>
      </c>
      <c r="F1085">
        <v>1</v>
      </c>
      <c r="G1085">
        <v>0</v>
      </c>
      <c r="H1085">
        <v>0</v>
      </c>
      <c r="I1085">
        <v>0</v>
      </c>
      <c r="J1085">
        <v>3604.62761596778</v>
      </c>
      <c r="K1085">
        <v>3260.7509929165499</v>
      </c>
      <c r="L1085">
        <v>83.278000000000006</v>
      </c>
      <c r="M1085">
        <v>63.927</v>
      </c>
      <c r="N1085">
        <v>49.338999999999999</v>
      </c>
    </row>
    <row r="1086" spans="1:14" x14ac:dyDescent="0.45">
      <c r="A1086">
        <v>1985</v>
      </c>
      <c r="B1086" t="s">
        <v>266</v>
      </c>
      <c r="C1086">
        <v>0</v>
      </c>
      <c r="D1086">
        <v>0</v>
      </c>
      <c r="E1086">
        <v>0</v>
      </c>
      <c r="F1086">
        <v>1</v>
      </c>
      <c r="G1086">
        <v>0</v>
      </c>
      <c r="H1086">
        <v>0</v>
      </c>
      <c r="I1086">
        <v>0</v>
      </c>
      <c r="J1086">
        <v>3719.8406040182499</v>
      </c>
      <c r="K1086">
        <v>3364.9728169735599</v>
      </c>
      <c r="L1086">
        <v>78.8</v>
      </c>
      <c r="M1086">
        <v>66.557000000000002</v>
      </c>
      <c r="N1086">
        <v>35.496000000000002</v>
      </c>
    </row>
    <row r="1087" spans="1:14" x14ac:dyDescent="0.45">
      <c r="A1087">
        <v>1985</v>
      </c>
      <c r="B1087" t="s">
        <v>267</v>
      </c>
      <c r="C1087">
        <v>1</v>
      </c>
      <c r="D1087">
        <v>0</v>
      </c>
      <c r="E1087">
        <v>0</v>
      </c>
      <c r="F1087">
        <v>0</v>
      </c>
      <c r="G1087">
        <v>1</v>
      </c>
      <c r="H1087">
        <v>0</v>
      </c>
      <c r="I1087">
        <v>0</v>
      </c>
      <c r="L1087">
        <v>51.658999999999999</v>
      </c>
      <c r="M1087">
        <v>61.216000000000001</v>
      </c>
      <c r="N1087">
        <v>142.79300000000001</v>
      </c>
    </row>
    <row r="1088" spans="1:14" x14ac:dyDescent="0.45">
      <c r="A1088">
        <v>1985</v>
      </c>
      <c r="B1088" t="s">
        <v>268</v>
      </c>
      <c r="C1088">
        <v>0</v>
      </c>
      <c r="D1088">
        <v>0</v>
      </c>
      <c r="E1088">
        <v>0</v>
      </c>
      <c r="F1088">
        <v>1</v>
      </c>
      <c r="G1088">
        <v>0</v>
      </c>
      <c r="H1088">
        <v>0</v>
      </c>
      <c r="I1088">
        <v>0</v>
      </c>
      <c r="L1088">
        <v>81.626999999999995</v>
      </c>
      <c r="M1088">
        <v>55.417999999999999</v>
      </c>
      <c r="N1088">
        <v>156.99</v>
      </c>
    </row>
    <row r="1089" spans="1:14" x14ac:dyDescent="0.45">
      <c r="A1089">
        <v>1985</v>
      </c>
      <c r="B1089" t="s">
        <v>269</v>
      </c>
      <c r="C1089">
        <v>0</v>
      </c>
      <c r="D1089">
        <v>0</v>
      </c>
      <c r="E1089">
        <v>1</v>
      </c>
      <c r="F1089">
        <v>1</v>
      </c>
      <c r="G1089">
        <v>0</v>
      </c>
      <c r="H1089">
        <v>0</v>
      </c>
      <c r="I1089">
        <v>0</v>
      </c>
      <c r="J1089">
        <v>11758.326025935499</v>
      </c>
      <c r="K1089">
        <v>11070.947611071</v>
      </c>
      <c r="L1089">
        <v>50.628</v>
      </c>
      <c r="M1089">
        <v>62.195</v>
      </c>
      <c r="N1089">
        <v>75.067999999999998</v>
      </c>
    </row>
    <row r="1090" spans="1:14" x14ac:dyDescent="0.45">
      <c r="A1090">
        <v>1985</v>
      </c>
      <c r="B1090" t="s">
        <v>270</v>
      </c>
      <c r="C1090">
        <v>0</v>
      </c>
      <c r="D1090">
        <v>0</v>
      </c>
      <c r="E1090">
        <v>1</v>
      </c>
      <c r="F1090">
        <v>0</v>
      </c>
      <c r="G1090">
        <v>0</v>
      </c>
      <c r="H1090">
        <v>0</v>
      </c>
      <c r="I1090">
        <v>0</v>
      </c>
      <c r="J1090">
        <v>2530.0228913923102</v>
      </c>
      <c r="K1090">
        <v>2375.3303772422501</v>
      </c>
      <c r="L1090">
        <v>60.344999999999999</v>
      </c>
      <c r="M1090">
        <v>52.000999999999998</v>
      </c>
      <c r="N1090">
        <v>168.62299999999999</v>
      </c>
    </row>
    <row r="1091" spans="1:14" x14ac:dyDescent="0.45">
      <c r="A1091">
        <v>1985</v>
      </c>
      <c r="B1091" t="s">
        <v>271</v>
      </c>
      <c r="C1091">
        <v>0</v>
      </c>
      <c r="D1091">
        <v>0</v>
      </c>
      <c r="E1091">
        <v>1</v>
      </c>
      <c r="F1091">
        <v>1</v>
      </c>
      <c r="G1091">
        <v>0</v>
      </c>
      <c r="H1091">
        <v>0</v>
      </c>
      <c r="I1091">
        <v>0</v>
      </c>
      <c r="J1091">
        <v>3746.27312465149</v>
      </c>
      <c r="K1091">
        <v>2494.4030900893299</v>
      </c>
      <c r="L1091">
        <v>74.585999999999999</v>
      </c>
      <c r="M1091">
        <v>60.901000000000003</v>
      </c>
      <c r="N1091">
        <v>85.162999999999997</v>
      </c>
    </row>
    <row r="1092" spans="1:14" x14ac:dyDescent="0.45">
      <c r="A1092">
        <v>1986</v>
      </c>
      <c r="B1092" t="s">
        <v>54</v>
      </c>
      <c r="C1092">
        <v>0</v>
      </c>
      <c r="D1092">
        <v>1</v>
      </c>
      <c r="E1092">
        <v>0</v>
      </c>
      <c r="F1092">
        <v>0</v>
      </c>
      <c r="G1092">
        <v>0</v>
      </c>
      <c r="H1092">
        <v>1</v>
      </c>
      <c r="I1092">
        <v>1</v>
      </c>
      <c r="J1092">
        <v>20930.312141636401</v>
      </c>
      <c r="K1092">
        <v>20369.532544432299</v>
      </c>
      <c r="L1092">
        <v>49.62</v>
      </c>
      <c r="M1092">
        <v>71.831000000000003</v>
      </c>
      <c r="N1092">
        <v>23.163</v>
      </c>
    </row>
    <row r="1093" spans="1:14" x14ac:dyDescent="0.45">
      <c r="A1093">
        <v>1986</v>
      </c>
      <c r="B1093" t="s">
        <v>55</v>
      </c>
      <c r="C1093">
        <v>0</v>
      </c>
      <c r="D1093">
        <v>0</v>
      </c>
      <c r="E1093">
        <v>0</v>
      </c>
      <c r="F1093">
        <v>0</v>
      </c>
      <c r="G1093">
        <v>0</v>
      </c>
      <c r="H1093">
        <v>0</v>
      </c>
      <c r="I1093">
        <v>0</v>
      </c>
      <c r="L1093">
        <v>80.352999999999994</v>
      </c>
      <c r="M1093">
        <v>38.4</v>
      </c>
      <c r="N1093">
        <v>245.74100000000001</v>
      </c>
    </row>
    <row r="1094" spans="1:14" x14ac:dyDescent="0.45">
      <c r="A1094">
        <v>1986</v>
      </c>
      <c r="B1094" t="s">
        <v>56</v>
      </c>
      <c r="C1094">
        <v>0</v>
      </c>
      <c r="D1094">
        <v>0</v>
      </c>
      <c r="E1094">
        <v>1</v>
      </c>
      <c r="F1094">
        <v>1</v>
      </c>
      <c r="G1094">
        <v>0</v>
      </c>
      <c r="H1094">
        <v>0</v>
      </c>
      <c r="I1094">
        <v>0</v>
      </c>
      <c r="J1094">
        <v>7470.5019313451003</v>
      </c>
      <c r="K1094">
        <v>5777.3186111059404</v>
      </c>
      <c r="L1094">
        <v>68.356999999999999</v>
      </c>
      <c r="M1094">
        <v>42.738999999999997</v>
      </c>
      <c r="N1094">
        <v>234.82300000000001</v>
      </c>
    </row>
    <row r="1095" spans="1:14" x14ac:dyDescent="0.45">
      <c r="A1095">
        <v>1986</v>
      </c>
      <c r="B1095" t="s">
        <v>57</v>
      </c>
      <c r="C1095">
        <v>1</v>
      </c>
      <c r="D1095">
        <v>0</v>
      </c>
      <c r="E1095">
        <v>0</v>
      </c>
      <c r="F1095">
        <v>1</v>
      </c>
      <c r="G1095">
        <v>0</v>
      </c>
      <c r="H1095">
        <v>0</v>
      </c>
      <c r="I1095">
        <v>0</v>
      </c>
      <c r="J1095">
        <v>5335.0116575142902</v>
      </c>
      <c r="K1095">
        <v>4833.2758571130098</v>
      </c>
      <c r="L1095">
        <v>64.650000000000006</v>
      </c>
      <c r="M1095">
        <v>71.665000000000006</v>
      </c>
      <c r="N1095">
        <v>49.395000000000003</v>
      </c>
    </row>
    <row r="1096" spans="1:14" x14ac:dyDescent="0.45">
      <c r="A1096">
        <v>1986</v>
      </c>
      <c r="B1096" t="s">
        <v>58</v>
      </c>
      <c r="C1096">
        <v>1</v>
      </c>
      <c r="D1096">
        <v>0</v>
      </c>
      <c r="E1096">
        <v>0</v>
      </c>
      <c r="F1096">
        <v>0</v>
      </c>
      <c r="G1096">
        <v>0</v>
      </c>
      <c r="H1096">
        <v>1</v>
      </c>
      <c r="I1096">
        <v>1</v>
      </c>
      <c r="J1096">
        <v>47685.741747317901</v>
      </c>
      <c r="K1096">
        <v>40028.538605883798</v>
      </c>
      <c r="L1096">
        <v>4.6749999999999998</v>
      </c>
      <c r="M1096">
        <v>78.106999999999999</v>
      </c>
      <c r="N1096">
        <v>11.827</v>
      </c>
    </row>
    <row r="1097" spans="1:14" x14ac:dyDescent="0.45">
      <c r="A1097">
        <v>1986</v>
      </c>
      <c r="B1097" t="s">
        <v>59</v>
      </c>
      <c r="C1097">
        <v>0</v>
      </c>
      <c r="D1097">
        <v>0</v>
      </c>
      <c r="E1097">
        <v>0</v>
      </c>
      <c r="F1097">
        <v>0</v>
      </c>
      <c r="G1097">
        <v>0</v>
      </c>
      <c r="H1097">
        <v>1</v>
      </c>
      <c r="I1097">
        <v>1</v>
      </c>
      <c r="J1097">
        <v>145938.63535935499</v>
      </c>
      <c r="K1097">
        <v>144182.802427127</v>
      </c>
      <c r="L1097">
        <v>20.376000000000001</v>
      </c>
      <c r="M1097">
        <v>70.41</v>
      </c>
      <c r="N1097">
        <v>21.327000000000002</v>
      </c>
    </row>
    <row r="1098" spans="1:14" x14ac:dyDescent="0.45">
      <c r="A1098">
        <v>1986</v>
      </c>
      <c r="B1098" t="s">
        <v>60</v>
      </c>
      <c r="C1098">
        <v>0</v>
      </c>
      <c r="D1098">
        <v>1</v>
      </c>
      <c r="E1098">
        <v>0</v>
      </c>
      <c r="F1098">
        <v>0</v>
      </c>
      <c r="G1098">
        <v>1</v>
      </c>
      <c r="H1098">
        <v>0</v>
      </c>
      <c r="I1098">
        <v>0</v>
      </c>
      <c r="J1098">
        <v>18070.381741737699</v>
      </c>
      <c r="K1098">
        <v>14913.6629776506</v>
      </c>
      <c r="L1098">
        <v>14.555</v>
      </c>
      <c r="M1098">
        <v>70.281000000000006</v>
      </c>
      <c r="N1098">
        <v>32.808999999999997</v>
      </c>
    </row>
    <row r="1099" spans="1:14" x14ac:dyDescent="0.45">
      <c r="A1099">
        <v>1986</v>
      </c>
      <c r="B1099" t="s">
        <v>61</v>
      </c>
      <c r="C1099">
        <v>1</v>
      </c>
      <c r="D1099">
        <v>0</v>
      </c>
      <c r="E1099">
        <v>0</v>
      </c>
      <c r="F1099">
        <v>1</v>
      </c>
      <c r="G1099">
        <v>0</v>
      </c>
      <c r="H1099">
        <v>0</v>
      </c>
      <c r="I1099">
        <v>0</v>
      </c>
      <c r="L1099">
        <v>32.704000000000001</v>
      </c>
      <c r="M1099">
        <v>67.394000000000005</v>
      </c>
      <c r="N1099">
        <v>57.575000000000003</v>
      </c>
    </row>
    <row r="1100" spans="1:14" x14ac:dyDescent="0.45">
      <c r="A1100">
        <v>1986</v>
      </c>
      <c r="B1100" t="s">
        <v>62</v>
      </c>
      <c r="C1100">
        <v>0</v>
      </c>
      <c r="D1100">
        <v>0</v>
      </c>
      <c r="E1100">
        <v>0</v>
      </c>
      <c r="F1100">
        <v>0</v>
      </c>
      <c r="G1100">
        <v>0</v>
      </c>
      <c r="H1100">
        <v>1</v>
      </c>
      <c r="I1100">
        <v>1</v>
      </c>
      <c r="L1100">
        <v>21.591999999999999</v>
      </c>
      <c r="M1100">
        <v>70.703999999999994</v>
      </c>
      <c r="N1100">
        <v>16.710999999999999</v>
      </c>
    </row>
    <row r="1101" spans="1:14" x14ac:dyDescent="0.45">
      <c r="A1101">
        <v>1986</v>
      </c>
      <c r="B1101" t="s">
        <v>63</v>
      </c>
      <c r="C1101">
        <v>0</v>
      </c>
      <c r="D1101">
        <v>1</v>
      </c>
      <c r="E1101">
        <v>0</v>
      </c>
      <c r="F1101">
        <v>0</v>
      </c>
      <c r="G1101">
        <v>1</v>
      </c>
      <c r="H1101">
        <v>0</v>
      </c>
      <c r="I1101">
        <v>0</v>
      </c>
      <c r="J1101">
        <v>15694.376461559599</v>
      </c>
      <c r="K1101">
        <v>12360.8411672273</v>
      </c>
      <c r="L1101">
        <v>64.897999999999996</v>
      </c>
      <c r="M1101">
        <v>73.893000000000001</v>
      </c>
      <c r="N1101">
        <v>12.997999999999999</v>
      </c>
    </row>
    <row r="1102" spans="1:14" x14ac:dyDescent="0.45">
      <c r="A1102">
        <v>1986</v>
      </c>
      <c r="B1102" t="s">
        <v>64</v>
      </c>
      <c r="C1102">
        <v>0</v>
      </c>
      <c r="D1102">
        <v>0</v>
      </c>
      <c r="E1102">
        <v>0</v>
      </c>
      <c r="F1102">
        <v>0</v>
      </c>
      <c r="G1102">
        <v>0</v>
      </c>
      <c r="H1102">
        <v>1</v>
      </c>
      <c r="I1102">
        <v>1</v>
      </c>
      <c r="J1102">
        <v>33048.215899034803</v>
      </c>
      <c r="K1102">
        <v>28624.764778762801</v>
      </c>
      <c r="L1102">
        <v>14.448</v>
      </c>
      <c r="M1102">
        <v>76.072000000000003</v>
      </c>
      <c r="N1102">
        <v>10.622</v>
      </c>
    </row>
    <row r="1103" spans="1:14" x14ac:dyDescent="0.45">
      <c r="A1103">
        <v>1986</v>
      </c>
      <c r="B1103" t="s">
        <v>65</v>
      </c>
      <c r="C1103">
        <v>1</v>
      </c>
      <c r="D1103">
        <v>0</v>
      </c>
      <c r="E1103">
        <v>0</v>
      </c>
      <c r="F1103">
        <v>0</v>
      </c>
      <c r="G1103">
        <v>0</v>
      </c>
      <c r="H1103">
        <v>1</v>
      </c>
      <c r="I1103">
        <v>1</v>
      </c>
      <c r="J1103">
        <v>39968.683089374797</v>
      </c>
      <c r="K1103">
        <v>34059.534486686498</v>
      </c>
      <c r="L1103">
        <v>35.963000000000001</v>
      </c>
      <c r="M1103">
        <v>74.456999999999994</v>
      </c>
      <c r="N1103">
        <v>11.974</v>
      </c>
    </row>
    <row r="1104" spans="1:14" x14ac:dyDescent="0.45">
      <c r="A1104">
        <v>1986</v>
      </c>
      <c r="B1104" t="s">
        <v>66</v>
      </c>
      <c r="C1104">
        <v>1</v>
      </c>
      <c r="D1104">
        <v>0</v>
      </c>
      <c r="E1104">
        <v>0</v>
      </c>
      <c r="F1104">
        <v>1</v>
      </c>
      <c r="G1104">
        <v>0</v>
      </c>
      <c r="H1104">
        <v>0</v>
      </c>
      <c r="I1104">
        <v>0</v>
      </c>
      <c r="J1104">
        <v>10479.344671983499</v>
      </c>
      <c r="K1104">
        <v>7631.1882647689899</v>
      </c>
      <c r="L1104">
        <v>46.302999999999997</v>
      </c>
      <c r="M1104">
        <v>62.603000000000002</v>
      </c>
      <c r="N1104">
        <v>101.815</v>
      </c>
    </row>
    <row r="1105" spans="1:14" x14ac:dyDescent="0.45">
      <c r="A1105">
        <v>1986</v>
      </c>
      <c r="B1105" t="s">
        <v>67</v>
      </c>
      <c r="C1105">
        <v>0</v>
      </c>
      <c r="D1105">
        <v>0</v>
      </c>
      <c r="E1105">
        <v>1</v>
      </c>
      <c r="F1105">
        <v>0</v>
      </c>
      <c r="G1105">
        <v>0</v>
      </c>
      <c r="H1105">
        <v>0</v>
      </c>
      <c r="I1105">
        <v>0</v>
      </c>
      <c r="J1105">
        <v>1308.6402996079</v>
      </c>
      <c r="K1105">
        <v>1130.8003270347599</v>
      </c>
      <c r="L1105">
        <v>94.582999999999998</v>
      </c>
      <c r="M1105">
        <v>47.402000000000001</v>
      </c>
      <c r="N1105">
        <v>178.417</v>
      </c>
    </row>
    <row r="1106" spans="1:14" x14ac:dyDescent="0.45">
      <c r="A1106">
        <v>1986</v>
      </c>
      <c r="B1106" t="s">
        <v>68</v>
      </c>
      <c r="C1106">
        <v>1</v>
      </c>
      <c r="D1106">
        <v>0</v>
      </c>
      <c r="E1106">
        <v>0</v>
      </c>
      <c r="F1106">
        <v>0</v>
      </c>
      <c r="G1106">
        <v>0</v>
      </c>
      <c r="H1106">
        <v>1</v>
      </c>
      <c r="I1106">
        <v>1</v>
      </c>
      <c r="J1106">
        <v>37203.4819391821</v>
      </c>
      <c r="K1106">
        <v>31307.3486145153</v>
      </c>
      <c r="L1106">
        <v>3.9769999999999999</v>
      </c>
      <c r="M1106">
        <v>74.668000000000006</v>
      </c>
      <c r="N1106">
        <v>11.237</v>
      </c>
    </row>
    <row r="1107" spans="1:14" x14ac:dyDescent="0.45">
      <c r="A1107">
        <v>1986</v>
      </c>
      <c r="B1107" t="s">
        <v>69</v>
      </c>
      <c r="C1107">
        <v>0</v>
      </c>
      <c r="D1107">
        <v>0</v>
      </c>
      <c r="E1107">
        <v>1</v>
      </c>
      <c r="F1107">
        <v>0</v>
      </c>
      <c r="G1107">
        <v>0</v>
      </c>
      <c r="H1107">
        <v>0</v>
      </c>
      <c r="I1107">
        <v>0</v>
      </c>
      <c r="J1107">
        <v>2463.9353868475</v>
      </c>
      <c r="K1107">
        <v>2337.6633416302102</v>
      </c>
      <c r="L1107">
        <v>68.483000000000004</v>
      </c>
      <c r="M1107">
        <v>50.631999999999998</v>
      </c>
      <c r="N1107">
        <v>187.809</v>
      </c>
    </row>
    <row r="1108" spans="1:14" x14ac:dyDescent="0.45">
      <c r="A1108">
        <v>1986</v>
      </c>
      <c r="B1108" t="s">
        <v>70</v>
      </c>
      <c r="C1108">
        <v>0</v>
      </c>
      <c r="D1108">
        <v>0</v>
      </c>
      <c r="E1108">
        <v>1</v>
      </c>
      <c r="F1108">
        <v>0</v>
      </c>
      <c r="G1108">
        <v>0</v>
      </c>
      <c r="H1108">
        <v>0</v>
      </c>
      <c r="I1108">
        <v>0</v>
      </c>
      <c r="J1108">
        <v>1061.4393087149499</v>
      </c>
      <c r="K1108">
        <v>971.15018895121102</v>
      </c>
      <c r="L1108">
        <v>87.168000000000006</v>
      </c>
      <c r="M1108">
        <v>48.987000000000002</v>
      </c>
      <c r="N1108">
        <v>210.655</v>
      </c>
    </row>
    <row r="1109" spans="1:14" x14ac:dyDescent="0.45">
      <c r="A1109">
        <v>1986</v>
      </c>
      <c r="B1109" t="s">
        <v>71</v>
      </c>
      <c r="C1109">
        <v>0</v>
      </c>
      <c r="D1109">
        <v>0</v>
      </c>
      <c r="E1109">
        <v>0</v>
      </c>
      <c r="F1109">
        <v>0</v>
      </c>
      <c r="G1109">
        <v>0</v>
      </c>
      <c r="H1109">
        <v>0</v>
      </c>
      <c r="I1109">
        <v>0</v>
      </c>
      <c r="J1109">
        <v>1970.3756500355901</v>
      </c>
      <c r="K1109">
        <v>1601.9046943344299</v>
      </c>
      <c r="L1109">
        <v>82.058999999999997</v>
      </c>
      <c r="M1109">
        <v>54.591999999999999</v>
      </c>
      <c r="N1109">
        <v>170.727</v>
      </c>
    </row>
    <row r="1110" spans="1:14" x14ac:dyDescent="0.45">
      <c r="A1110">
        <v>1986</v>
      </c>
      <c r="B1110" t="s">
        <v>72</v>
      </c>
      <c r="C1110">
        <v>1</v>
      </c>
      <c r="D1110">
        <v>0</v>
      </c>
      <c r="E1110">
        <v>0</v>
      </c>
      <c r="F1110">
        <v>1</v>
      </c>
      <c r="G1110">
        <v>0</v>
      </c>
      <c r="H1110">
        <v>0</v>
      </c>
      <c r="I1110">
        <v>0</v>
      </c>
      <c r="J1110">
        <v>12493.5813599097</v>
      </c>
      <c r="K1110">
        <v>10367.1672250581</v>
      </c>
      <c r="L1110">
        <v>35.000999999999998</v>
      </c>
      <c r="M1110">
        <v>71.55</v>
      </c>
      <c r="N1110">
        <v>17.606000000000002</v>
      </c>
    </row>
    <row r="1111" spans="1:14" x14ac:dyDescent="0.45">
      <c r="A1111">
        <v>1986</v>
      </c>
      <c r="B1111" t="s">
        <v>73</v>
      </c>
      <c r="C1111">
        <v>0</v>
      </c>
      <c r="D1111">
        <v>0</v>
      </c>
      <c r="E1111">
        <v>0</v>
      </c>
      <c r="F1111">
        <v>0</v>
      </c>
      <c r="G1111">
        <v>0</v>
      </c>
      <c r="H1111">
        <v>1</v>
      </c>
      <c r="I1111">
        <v>1</v>
      </c>
      <c r="J1111">
        <v>40321.998485043201</v>
      </c>
      <c r="K1111">
        <v>37570.5159573403</v>
      </c>
      <c r="L1111">
        <v>12.643000000000001</v>
      </c>
      <c r="M1111">
        <v>72.257000000000005</v>
      </c>
      <c r="N1111">
        <v>24.727</v>
      </c>
    </row>
    <row r="1112" spans="1:14" x14ac:dyDescent="0.45">
      <c r="A1112">
        <v>1986</v>
      </c>
      <c r="B1112" t="s">
        <v>74</v>
      </c>
      <c r="C1112">
        <v>0</v>
      </c>
      <c r="D1112">
        <v>1</v>
      </c>
      <c r="E1112">
        <v>0</v>
      </c>
      <c r="F1112">
        <v>0</v>
      </c>
      <c r="G1112">
        <v>0</v>
      </c>
      <c r="H1112">
        <v>1</v>
      </c>
      <c r="I1112">
        <v>1</v>
      </c>
      <c r="J1112">
        <v>31830.693579060899</v>
      </c>
      <c r="K1112">
        <v>33017.532337607503</v>
      </c>
      <c r="L1112">
        <v>22.652999999999999</v>
      </c>
      <c r="M1112">
        <v>70.316000000000003</v>
      </c>
      <c r="N1112">
        <v>27.213999999999999</v>
      </c>
    </row>
    <row r="1113" spans="1:14" x14ac:dyDescent="0.45">
      <c r="A1113">
        <v>1986</v>
      </c>
      <c r="B1113" t="s">
        <v>75</v>
      </c>
      <c r="C1113">
        <v>1</v>
      </c>
      <c r="D1113">
        <v>0</v>
      </c>
      <c r="E1113">
        <v>0</v>
      </c>
      <c r="F1113">
        <v>0</v>
      </c>
      <c r="G1113">
        <v>1</v>
      </c>
      <c r="H1113">
        <v>0</v>
      </c>
      <c r="I1113">
        <v>0</v>
      </c>
      <c r="L1113">
        <v>62.081000000000003</v>
      </c>
      <c r="M1113">
        <v>70.751000000000005</v>
      </c>
      <c r="N1113">
        <v>22.98</v>
      </c>
    </row>
    <row r="1114" spans="1:14" x14ac:dyDescent="0.45">
      <c r="A1114">
        <v>1986</v>
      </c>
      <c r="B1114" t="s">
        <v>76</v>
      </c>
      <c r="C1114">
        <v>1</v>
      </c>
      <c r="D1114">
        <v>0</v>
      </c>
      <c r="E1114">
        <v>0</v>
      </c>
      <c r="F1114">
        <v>0</v>
      </c>
      <c r="G1114">
        <v>1</v>
      </c>
      <c r="H1114">
        <v>0</v>
      </c>
      <c r="I1114">
        <v>0</v>
      </c>
      <c r="L1114">
        <v>37.143000000000001</v>
      </c>
      <c r="M1114">
        <v>71.671000000000006</v>
      </c>
      <c r="N1114">
        <v>17.102</v>
      </c>
    </row>
    <row r="1115" spans="1:14" x14ac:dyDescent="0.45">
      <c r="A1115">
        <v>1986</v>
      </c>
      <c r="B1115" t="s">
        <v>77</v>
      </c>
      <c r="C1115">
        <v>0</v>
      </c>
      <c r="D1115">
        <v>1</v>
      </c>
      <c r="E1115">
        <v>0</v>
      </c>
      <c r="F1115">
        <v>1</v>
      </c>
      <c r="G1115">
        <v>0</v>
      </c>
      <c r="H1115">
        <v>0</v>
      </c>
      <c r="I1115">
        <v>0</v>
      </c>
      <c r="J1115">
        <v>6276.0983846667496</v>
      </c>
      <c r="K1115">
        <v>4946.1503168822401</v>
      </c>
      <c r="L1115">
        <v>51.771999999999998</v>
      </c>
      <c r="M1115">
        <v>68.742999999999995</v>
      </c>
      <c r="N1115">
        <v>49.338000000000001</v>
      </c>
    </row>
    <row r="1116" spans="1:14" x14ac:dyDescent="0.45">
      <c r="A1116">
        <v>1986</v>
      </c>
      <c r="B1116" t="s">
        <v>78</v>
      </c>
      <c r="C1116">
        <v>0</v>
      </c>
      <c r="D1116">
        <v>0</v>
      </c>
      <c r="E1116">
        <v>0</v>
      </c>
      <c r="F1116">
        <v>0</v>
      </c>
      <c r="G1116">
        <v>0</v>
      </c>
      <c r="H1116">
        <v>1</v>
      </c>
      <c r="I1116">
        <v>1</v>
      </c>
      <c r="J1116">
        <v>75725.292005676194</v>
      </c>
      <c r="K1116">
        <v>67279.189645882696</v>
      </c>
      <c r="L1116">
        <v>0</v>
      </c>
      <c r="M1116">
        <v>73.367999999999995</v>
      </c>
      <c r="N1116">
        <v>12.959</v>
      </c>
    </row>
    <row r="1117" spans="1:14" x14ac:dyDescent="0.45">
      <c r="A1117">
        <v>1986</v>
      </c>
      <c r="B1117" t="s">
        <v>79</v>
      </c>
      <c r="C1117">
        <v>0</v>
      </c>
      <c r="D1117">
        <v>1</v>
      </c>
      <c r="E1117">
        <v>0</v>
      </c>
      <c r="F1117">
        <v>1</v>
      </c>
      <c r="G1117">
        <v>0</v>
      </c>
      <c r="H1117">
        <v>0</v>
      </c>
      <c r="I1117">
        <v>0</v>
      </c>
      <c r="J1117">
        <v>5229.7737040072698</v>
      </c>
      <c r="K1117">
        <v>4615.5378948962898</v>
      </c>
      <c r="L1117">
        <v>48.465000000000003</v>
      </c>
      <c r="M1117">
        <v>54.247</v>
      </c>
      <c r="N1117">
        <v>175.65700000000001</v>
      </c>
    </row>
    <row r="1118" spans="1:14" x14ac:dyDescent="0.45">
      <c r="A1118">
        <v>1986</v>
      </c>
      <c r="B1118" t="s">
        <v>80</v>
      </c>
      <c r="C1118">
        <v>0</v>
      </c>
      <c r="D1118">
        <v>1</v>
      </c>
      <c r="E1118">
        <v>0</v>
      </c>
      <c r="F1118">
        <v>0</v>
      </c>
      <c r="G1118">
        <v>1</v>
      </c>
      <c r="H1118">
        <v>0</v>
      </c>
      <c r="I1118">
        <v>0</v>
      </c>
      <c r="J1118">
        <v>11888.42932193</v>
      </c>
      <c r="K1118">
        <v>9765.2645217093996</v>
      </c>
      <c r="L1118">
        <v>29.297000000000001</v>
      </c>
      <c r="M1118">
        <v>64.388999999999996</v>
      </c>
      <c r="N1118">
        <v>73.863</v>
      </c>
    </row>
    <row r="1119" spans="1:14" x14ac:dyDescent="0.45">
      <c r="A1119">
        <v>1986</v>
      </c>
      <c r="B1119" t="s">
        <v>81</v>
      </c>
      <c r="C1119">
        <v>0</v>
      </c>
      <c r="D1119">
        <v>1</v>
      </c>
      <c r="E1119">
        <v>0</v>
      </c>
      <c r="F1119">
        <v>0</v>
      </c>
      <c r="G1119">
        <v>1</v>
      </c>
      <c r="H1119">
        <v>0</v>
      </c>
      <c r="I1119">
        <v>0</v>
      </c>
      <c r="J1119">
        <v>14813.9802125479</v>
      </c>
      <c r="K1119">
        <v>14148.8261225188</v>
      </c>
      <c r="L1119">
        <v>61.536000000000001</v>
      </c>
      <c r="M1119">
        <v>73.415999999999997</v>
      </c>
      <c r="N1119">
        <v>21.106999999999999</v>
      </c>
    </row>
    <row r="1120" spans="1:14" x14ac:dyDescent="0.45">
      <c r="A1120">
        <v>1986</v>
      </c>
      <c r="B1120" t="s">
        <v>82</v>
      </c>
      <c r="C1120">
        <v>0</v>
      </c>
      <c r="D1120">
        <v>0</v>
      </c>
      <c r="E1120">
        <v>0</v>
      </c>
      <c r="F1120">
        <v>0</v>
      </c>
      <c r="G1120">
        <v>0</v>
      </c>
      <c r="H1120">
        <v>1</v>
      </c>
      <c r="I1120">
        <v>1</v>
      </c>
      <c r="J1120">
        <v>134906.21220867999</v>
      </c>
      <c r="K1120">
        <v>105335.374030027</v>
      </c>
      <c r="L1120">
        <v>34.154000000000003</v>
      </c>
      <c r="M1120">
        <v>70.762</v>
      </c>
      <c r="N1120">
        <v>14.714</v>
      </c>
    </row>
    <row r="1121" spans="1:14" x14ac:dyDescent="0.45">
      <c r="A1121">
        <v>1986</v>
      </c>
      <c r="B1121" t="s">
        <v>83</v>
      </c>
      <c r="C1121">
        <v>0</v>
      </c>
      <c r="D1121">
        <v>0</v>
      </c>
      <c r="E1121">
        <v>0</v>
      </c>
      <c r="F1121">
        <v>0</v>
      </c>
      <c r="G1121">
        <v>0</v>
      </c>
      <c r="H1121">
        <v>0</v>
      </c>
      <c r="I1121">
        <v>0</v>
      </c>
      <c r="J1121">
        <v>2380.4142796555798</v>
      </c>
      <c r="K1121">
        <v>2061.7397957329799</v>
      </c>
      <c r="L1121">
        <v>86.423000000000002</v>
      </c>
      <c r="M1121">
        <v>52.826000000000001</v>
      </c>
      <c r="N1121">
        <v>153.00200000000001</v>
      </c>
    </row>
    <row r="1122" spans="1:14" x14ac:dyDescent="0.45">
      <c r="A1122">
        <v>1986</v>
      </c>
      <c r="B1122" t="s">
        <v>84</v>
      </c>
      <c r="C1122">
        <v>0</v>
      </c>
      <c r="D1122">
        <v>0</v>
      </c>
      <c r="E1122">
        <v>1</v>
      </c>
      <c r="F1122">
        <v>1</v>
      </c>
      <c r="G1122">
        <v>0</v>
      </c>
      <c r="H1122">
        <v>0</v>
      </c>
      <c r="I1122">
        <v>0</v>
      </c>
      <c r="J1122">
        <v>7287.9976530214299</v>
      </c>
      <c r="K1122">
        <v>6594.0814145352397</v>
      </c>
      <c r="L1122">
        <v>70.516999999999996</v>
      </c>
      <c r="M1122">
        <v>63.363</v>
      </c>
      <c r="N1122">
        <v>53.073999999999998</v>
      </c>
    </row>
    <row r="1123" spans="1:14" x14ac:dyDescent="0.45">
      <c r="A1123">
        <v>1986</v>
      </c>
      <c r="B1123" t="s">
        <v>85</v>
      </c>
      <c r="C1123">
        <v>0</v>
      </c>
      <c r="D1123">
        <v>0</v>
      </c>
      <c r="E1123">
        <v>1</v>
      </c>
      <c r="F1123">
        <v>0</v>
      </c>
      <c r="G1123">
        <v>0</v>
      </c>
      <c r="H1123">
        <v>0</v>
      </c>
      <c r="I1123">
        <v>0</v>
      </c>
      <c r="J1123">
        <v>1552.48386188329</v>
      </c>
      <c r="K1123">
        <v>1242.9967066398201</v>
      </c>
      <c r="L1123">
        <v>64.132000000000005</v>
      </c>
      <c r="M1123">
        <v>50.445</v>
      </c>
      <c r="N1123">
        <v>179.44900000000001</v>
      </c>
    </row>
    <row r="1124" spans="1:14" x14ac:dyDescent="0.45">
      <c r="A1124">
        <v>1986</v>
      </c>
      <c r="B1124" t="s">
        <v>86</v>
      </c>
      <c r="C1124">
        <v>0</v>
      </c>
      <c r="D1124">
        <v>0</v>
      </c>
      <c r="E1124">
        <v>0</v>
      </c>
      <c r="F1124">
        <v>0</v>
      </c>
      <c r="G1124">
        <v>0</v>
      </c>
      <c r="H1124">
        <v>1</v>
      </c>
      <c r="I1124">
        <v>1</v>
      </c>
      <c r="J1124">
        <v>37620.310113287604</v>
      </c>
      <c r="K1124">
        <v>32564.764011081101</v>
      </c>
      <c r="L1124">
        <v>23.498000000000001</v>
      </c>
      <c r="M1124">
        <v>76.491</v>
      </c>
      <c r="N1124">
        <v>9.6349999999999998</v>
      </c>
    </row>
    <row r="1125" spans="1:14" x14ac:dyDescent="0.45">
      <c r="A1125">
        <v>1986</v>
      </c>
      <c r="B1125" t="s">
        <v>87</v>
      </c>
      <c r="C1125">
        <v>1</v>
      </c>
      <c r="D1125">
        <v>0</v>
      </c>
      <c r="E1125">
        <v>0</v>
      </c>
      <c r="F1125">
        <v>0</v>
      </c>
      <c r="G1125">
        <v>0</v>
      </c>
      <c r="H1125">
        <v>1</v>
      </c>
      <c r="I1125">
        <v>1</v>
      </c>
      <c r="J1125">
        <v>58957.172240077103</v>
      </c>
      <c r="K1125">
        <v>51290.788457750001</v>
      </c>
      <c r="L1125">
        <v>25.832999999999998</v>
      </c>
      <c r="M1125">
        <v>77.040000000000006</v>
      </c>
      <c r="N1125">
        <v>8.8510000000000009</v>
      </c>
    </row>
    <row r="1126" spans="1:14" x14ac:dyDescent="0.45">
      <c r="A1126">
        <v>1986</v>
      </c>
      <c r="B1126" t="s">
        <v>88</v>
      </c>
      <c r="C1126">
        <v>1</v>
      </c>
      <c r="D1126">
        <v>0</v>
      </c>
      <c r="E1126">
        <v>0</v>
      </c>
      <c r="F1126">
        <v>0</v>
      </c>
      <c r="G1126">
        <v>0</v>
      </c>
      <c r="H1126">
        <v>1</v>
      </c>
      <c r="I1126">
        <v>1</v>
      </c>
      <c r="L1126">
        <v>68.186999999999998</v>
      </c>
      <c r="M1126">
        <v>75.423864532467803</v>
      </c>
      <c r="N1126">
        <v>17.4865620938339</v>
      </c>
    </row>
    <row r="1127" spans="1:14" x14ac:dyDescent="0.45">
      <c r="A1127">
        <v>1986</v>
      </c>
      <c r="B1127" t="s">
        <v>89</v>
      </c>
      <c r="C1127">
        <v>0</v>
      </c>
      <c r="D1127">
        <v>1</v>
      </c>
      <c r="E1127">
        <v>0</v>
      </c>
      <c r="F1127">
        <v>1</v>
      </c>
      <c r="G1127">
        <v>0</v>
      </c>
      <c r="H1127">
        <v>0</v>
      </c>
      <c r="I1127">
        <v>0</v>
      </c>
      <c r="J1127">
        <v>8821.0693681345492</v>
      </c>
      <c r="K1127">
        <v>7683.8742798454696</v>
      </c>
      <c r="L1127">
        <v>17.245000000000001</v>
      </c>
      <c r="M1127">
        <v>72.061000000000007</v>
      </c>
      <c r="N1127">
        <v>22.373999999999999</v>
      </c>
    </row>
    <row r="1128" spans="1:14" x14ac:dyDescent="0.45">
      <c r="A1128">
        <v>1986</v>
      </c>
      <c r="B1128" t="s">
        <v>90</v>
      </c>
      <c r="C1128">
        <v>0</v>
      </c>
      <c r="D1128">
        <v>0</v>
      </c>
      <c r="E1128">
        <v>0</v>
      </c>
      <c r="F1128">
        <v>0</v>
      </c>
      <c r="G1128">
        <v>0</v>
      </c>
      <c r="H1128">
        <v>0</v>
      </c>
      <c r="I1128">
        <v>0</v>
      </c>
      <c r="J1128">
        <v>1258.3151409643499</v>
      </c>
      <c r="K1128">
        <v>1127.99804846199</v>
      </c>
      <c r="L1128">
        <v>76.441000000000003</v>
      </c>
      <c r="M1128">
        <v>66.887</v>
      </c>
      <c r="N1128">
        <v>54.783999999999999</v>
      </c>
    </row>
    <row r="1129" spans="1:14" x14ac:dyDescent="0.45">
      <c r="A1129">
        <v>1986</v>
      </c>
      <c r="B1129" t="s">
        <v>91</v>
      </c>
      <c r="C1129">
        <v>0</v>
      </c>
      <c r="D1129">
        <v>0</v>
      </c>
      <c r="E1129">
        <v>1</v>
      </c>
      <c r="F1129">
        <v>1</v>
      </c>
      <c r="G1129">
        <v>0</v>
      </c>
      <c r="H1129">
        <v>0</v>
      </c>
      <c r="I1129">
        <v>0</v>
      </c>
      <c r="J1129">
        <v>5725.88244995691</v>
      </c>
      <c r="K1129">
        <v>4833.4880515999503</v>
      </c>
      <c r="L1129">
        <v>61.872999999999998</v>
      </c>
      <c r="M1129">
        <v>53.009</v>
      </c>
      <c r="N1129">
        <v>153.94800000000001</v>
      </c>
    </row>
    <row r="1130" spans="1:14" x14ac:dyDescent="0.45">
      <c r="A1130">
        <v>1986</v>
      </c>
      <c r="B1130" t="s">
        <v>92</v>
      </c>
      <c r="C1130">
        <v>0</v>
      </c>
      <c r="D1130">
        <v>0</v>
      </c>
      <c r="E1130">
        <v>1</v>
      </c>
      <c r="F1130">
        <v>1</v>
      </c>
      <c r="G1130">
        <v>0</v>
      </c>
      <c r="H1130">
        <v>0</v>
      </c>
      <c r="I1130">
        <v>0</v>
      </c>
      <c r="J1130">
        <v>5404.0363167102696</v>
      </c>
      <c r="K1130">
        <v>4243.3172169851196</v>
      </c>
      <c r="L1130">
        <v>62.875999999999998</v>
      </c>
      <c r="M1130">
        <v>53.572000000000003</v>
      </c>
      <c r="N1130">
        <v>146.624</v>
      </c>
    </row>
    <row r="1131" spans="1:14" x14ac:dyDescent="0.45">
      <c r="A1131">
        <v>1986</v>
      </c>
      <c r="B1131" t="s">
        <v>93</v>
      </c>
      <c r="C1131">
        <v>0</v>
      </c>
      <c r="D1131">
        <v>0</v>
      </c>
      <c r="E1131">
        <v>1</v>
      </c>
      <c r="F1131">
        <v>0</v>
      </c>
      <c r="G1131">
        <v>0</v>
      </c>
      <c r="H1131">
        <v>0</v>
      </c>
      <c r="I1131">
        <v>0</v>
      </c>
      <c r="J1131">
        <v>2311.4358793302199</v>
      </c>
      <c r="K1131">
        <v>1850.45354484053</v>
      </c>
      <c r="L1131">
        <v>71.069999999999993</v>
      </c>
      <c r="M1131">
        <v>47.015999999999998</v>
      </c>
      <c r="N1131">
        <v>195.60499999999999</v>
      </c>
    </row>
    <row r="1132" spans="1:14" x14ac:dyDescent="0.45">
      <c r="A1132">
        <v>1986</v>
      </c>
      <c r="B1132" t="s">
        <v>94</v>
      </c>
      <c r="C1132">
        <v>0</v>
      </c>
      <c r="D1132">
        <v>0</v>
      </c>
      <c r="E1132">
        <v>1</v>
      </c>
      <c r="F1132">
        <v>1</v>
      </c>
      <c r="G1132">
        <v>0</v>
      </c>
      <c r="H1132">
        <v>0</v>
      </c>
      <c r="I1132">
        <v>0</v>
      </c>
      <c r="J1132">
        <v>10039.740555202699</v>
      </c>
      <c r="K1132">
        <v>6052.4095200740903</v>
      </c>
      <c r="L1132">
        <v>47.357999999999997</v>
      </c>
      <c r="M1132">
        <v>57.633000000000003</v>
      </c>
      <c r="N1132">
        <v>93.052999999999997</v>
      </c>
    </row>
    <row r="1133" spans="1:14" x14ac:dyDescent="0.45">
      <c r="A1133">
        <v>1986</v>
      </c>
      <c r="B1133" t="s">
        <v>95</v>
      </c>
      <c r="C1133">
        <v>0</v>
      </c>
      <c r="D1133">
        <v>1</v>
      </c>
      <c r="E1133">
        <v>0</v>
      </c>
      <c r="F1133">
        <v>1</v>
      </c>
      <c r="G1133">
        <v>0</v>
      </c>
      <c r="H1133">
        <v>0</v>
      </c>
      <c r="I1133">
        <v>0</v>
      </c>
      <c r="J1133">
        <v>9046.3491369044805</v>
      </c>
      <c r="K1133">
        <v>7532.0760935450598</v>
      </c>
      <c r="L1133">
        <v>32.433999999999997</v>
      </c>
      <c r="M1133">
        <v>68.302999999999997</v>
      </c>
      <c r="N1133">
        <v>42.372999999999998</v>
      </c>
    </row>
    <row r="1134" spans="1:14" x14ac:dyDescent="0.45">
      <c r="A1134">
        <v>1986</v>
      </c>
      <c r="B1134" t="s">
        <v>96</v>
      </c>
      <c r="C1134">
        <v>0</v>
      </c>
      <c r="D1134">
        <v>0</v>
      </c>
      <c r="E1134">
        <v>1</v>
      </c>
      <c r="F1134">
        <v>0</v>
      </c>
      <c r="G1134">
        <v>0</v>
      </c>
      <c r="H1134">
        <v>0</v>
      </c>
      <c r="I1134">
        <v>0</v>
      </c>
      <c r="J1134">
        <v>2579.5821120115902</v>
      </c>
      <c r="K1134">
        <v>2667.6171134579199</v>
      </c>
      <c r="L1134">
        <v>74.061999999999998</v>
      </c>
      <c r="M1134">
        <v>53.756</v>
      </c>
      <c r="N1134">
        <v>143.81899999999999</v>
      </c>
    </row>
    <row r="1135" spans="1:14" x14ac:dyDescent="0.45">
      <c r="A1135">
        <v>1986</v>
      </c>
      <c r="B1135" t="s">
        <v>97</v>
      </c>
      <c r="C1135">
        <v>0</v>
      </c>
      <c r="D1135">
        <v>0</v>
      </c>
      <c r="E1135">
        <v>1</v>
      </c>
      <c r="F1135">
        <v>1</v>
      </c>
      <c r="G1135">
        <v>0</v>
      </c>
      <c r="H1135">
        <v>0</v>
      </c>
      <c r="I1135">
        <v>0</v>
      </c>
      <c r="J1135">
        <v>1620.5066935375401</v>
      </c>
      <c r="K1135">
        <v>1561.70516017973</v>
      </c>
      <c r="L1135">
        <v>66.114999999999995</v>
      </c>
      <c r="M1135">
        <v>62.584000000000003</v>
      </c>
      <c r="N1135">
        <v>70.465999999999994</v>
      </c>
    </row>
    <row r="1136" spans="1:14" x14ac:dyDescent="0.45">
      <c r="A1136">
        <v>1986</v>
      </c>
      <c r="B1136" t="s">
        <v>98</v>
      </c>
      <c r="C1136">
        <v>0</v>
      </c>
      <c r="D1136">
        <v>1</v>
      </c>
      <c r="E1136">
        <v>0</v>
      </c>
      <c r="F1136">
        <v>1</v>
      </c>
      <c r="G1136">
        <v>0</v>
      </c>
      <c r="H1136">
        <v>0</v>
      </c>
      <c r="I1136">
        <v>0</v>
      </c>
      <c r="J1136">
        <v>9860.0282568634593</v>
      </c>
      <c r="K1136">
        <v>8828.2200981777496</v>
      </c>
      <c r="L1136">
        <v>53.646999999999998</v>
      </c>
      <c r="M1136">
        <v>74.948999999999998</v>
      </c>
      <c r="N1136">
        <v>20.698</v>
      </c>
    </row>
    <row r="1137" spans="1:14" x14ac:dyDescent="0.45">
      <c r="A1137">
        <v>1986</v>
      </c>
      <c r="B1137" t="s">
        <v>99</v>
      </c>
      <c r="C1137">
        <v>0</v>
      </c>
      <c r="D1137">
        <v>1</v>
      </c>
      <c r="E1137">
        <v>0</v>
      </c>
      <c r="F1137">
        <v>1</v>
      </c>
      <c r="G1137">
        <v>0</v>
      </c>
      <c r="H1137">
        <v>0</v>
      </c>
      <c r="I1137">
        <v>0</v>
      </c>
      <c r="L1137">
        <v>28.57</v>
      </c>
      <c r="M1137">
        <v>73.558000000000007</v>
      </c>
      <c r="N1137">
        <v>16.555</v>
      </c>
    </row>
    <row r="1138" spans="1:14" x14ac:dyDescent="0.45">
      <c r="A1138">
        <v>1986</v>
      </c>
      <c r="B1138" t="s">
        <v>100</v>
      </c>
      <c r="C1138">
        <v>0</v>
      </c>
      <c r="D1138">
        <v>1</v>
      </c>
      <c r="E1138">
        <v>0</v>
      </c>
      <c r="F1138">
        <v>0</v>
      </c>
      <c r="G1138">
        <v>0</v>
      </c>
      <c r="H1138">
        <v>1</v>
      </c>
      <c r="I1138">
        <v>1</v>
      </c>
      <c r="L1138">
        <v>16.437000000000001</v>
      </c>
      <c r="M1138">
        <v>71.995999999999995</v>
      </c>
      <c r="N1138">
        <v>19.986999999999998</v>
      </c>
    </row>
    <row r="1139" spans="1:14" x14ac:dyDescent="0.45">
      <c r="A1139">
        <v>1986</v>
      </c>
      <c r="B1139" t="s">
        <v>101</v>
      </c>
      <c r="C1139">
        <v>0</v>
      </c>
      <c r="D1139">
        <v>1</v>
      </c>
      <c r="E1139">
        <v>0</v>
      </c>
      <c r="F1139">
        <v>0</v>
      </c>
      <c r="G1139">
        <v>0</v>
      </c>
      <c r="H1139">
        <v>1</v>
      </c>
      <c r="I1139">
        <v>1</v>
      </c>
      <c r="L1139">
        <v>0</v>
      </c>
      <c r="M1139">
        <v>71.869</v>
      </c>
      <c r="N1139">
        <v>12.01</v>
      </c>
    </row>
    <row r="1140" spans="1:14" x14ac:dyDescent="0.45">
      <c r="A1140">
        <v>1986</v>
      </c>
      <c r="B1140" t="s">
        <v>102</v>
      </c>
      <c r="C1140">
        <v>1</v>
      </c>
      <c r="D1140">
        <v>0</v>
      </c>
      <c r="E1140">
        <v>0</v>
      </c>
      <c r="F1140">
        <v>0</v>
      </c>
      <c r="G1140">
        <v>1</v>
      </c>
      <c r="H1140">
        <v>0</v>
      </c>
      <c r="I1140">
        <v>0</v>
      </c>
      <c r="J1140">
        <v>22637.928523824699</v>
      </c>
      <c r="K1140">
        <v>20166.8209688262</v>
      </c>
      <c r="L1140">
        <v>34.898000000000003</v>
      </c>
      <c r="M1140">
        <v>74.930000000000007</v>
      </c>
      <c r="N1140">
        <v>13.093999999999999</v>
      </c>
    </row>
    <row r="1141" spans="1:14" x14ac:dyDescent="0.45">
      <c r="A1141">
        <v>1986</v>
      </c>
      <c r="B1141" t="s">
        <v>103</v>
      </c>
      <c r="C1141">
        <v>1</v>
      </c>
      <c r="D1141">
        <v>0</v>
      </c>
      <c r="E1141">
        <v>0</v>
      </c>
      <c r="F1141">
        <v>0</v>
      </c>
      <c r="G1141">
        <v>1</v>
      </c>
      <c r="H1141">
        <v>0</v>
      </c>
      <c r="I1141">
        <v>0</v>
      </c>
      <c r="L1141">
        <v>24.664000000000001</v>
      </c>
      <c r="M1141">
        <v>71.052999999999997</v>
      </c>
      <c r="N1141">
        <v>14.231</v>
      </c>
    </row>
    <row r="1142" spans="1:14" x14ac:dyDescent="0.45">
      <c r="A1142">
        <v>1986</v>
      </c>
      <c r="B1142" t="s">
        <v>104</v>
      </c>
      <c r="C1142">
        <v>1</v>
      </c>
      <c r="D1142">
        <v>0</v>
      </c>
      <c r="E1142">
        <v>0</v>
      </c>
      <c r="F1142">
        <v>0</v>
      </c>
      <c r="G1142">
        <v>0</v>
      </c>
      <c r="H1142">
        <v>1</v>
      </c>
      <c r="I1142">
        <v>1</v>
      </c>
      <c r="J1142">
        <v>38345.080683496999</v>
      </c>
      <c r="K1142">
        <v>33247.183998758497</v>
      </c>
      <c r="L1142">
        <v>27.382999999999999</v>
      </c>
      <c r="M1142">
        <v>74.694999999999993</v>
      </c>
      <c r="N1142">
        <v>10.776</v>
      </c>
    </row>
    <row r="1143" spans="1:14" x14ac:dyDescent="0.45">
      <c r="A1143">
        <v>1986</v>
      </c>
      <c r="B1143" t="s">
        <v>105</v>
      </c>
      <c r="C1143">
        <v>0</v>
      </c>
      <c r="D1143">
        <v>0</v>
      </c>
      <c r="E1143">
        <v>0</v>
      </c>
      <c r="F1143">
        <v>1</v>
      </c>
      <c r="G1143">
        <v>0</v>
      </c>
      <c r="H1143">
        <v>0</v>
      </c>
      <c r="I1143">
        <v>0</v>
      </c>
      <c r="L1143">
        <v>24.866</v>
      </c>
      <c r="M1143">
        <v>54.494</v>
      </c>
      <c r="N1143">
        <v>129.352</v>
      </c>
    </row>
    <row r="1144" spans="1:14" x14ac:dyDescent="0.45">
      <c r="A1144">
        <v>1986</v>
      </c>
      <c r="B1144" t="s">
        <v>106</v>
      </c>
      <c r="C1144">
        <v>0</v>
      </c>
      <c r="D1144">
        <v>1</v>
      </c>
      <c r="E1144">
        <v>0</v>
      </c>
      <c r="F1144">
        <v>1</v>
      </c>
      <c r="G1144">
        <v>0</v>
      </c>
      <c r="H1144">
        <v>0</v>
      </c>
      <c r="I1144">
        <v>0</v>
      </c>
      <c r="J1144">
        <v>8871.3782648317901</v>
      </c>
      <c r="K1144">
        <v>6903.9578951650001</v>
      </c>
      <c r="L1144">
        <v>43.578000000000003</v>
      </c>
      <c r="M1144">
        <v>71.671000000000006</v>
      </c>
      <c r="N1144">
        <v>19.053999999999998</v>
      </c>
    </row>
    <row r="1145" spans="1:14" x14ac:dyDescent="0.45">
      <c r="A1145">
        <v>1986</v>
      </c>
      <c r="B1145" t="s">
        <v>107</v>
      </c>
      <c r="C1145">
        <v>1</v>
      </c>
      <c r="D1145">
        <v>0</v>
      </c>
      <c r="E1145">
        <v>0</v>
      </c>
      <c r="F1145">
        <v>0</v>
      </c>
      <c r="G1145">
        <v>0</v>
      </c>
      <c r="H1145">
        <v>1</v>
      </c>
      <c r="I1145">
        <v>1</v>
      </c>
      <c r="J1145">
        <v>43288.385991462397</v>
      </c>
      <c r="K1145">
        <v>36585.053389120498</v>
      </c>
      <c r="L1145">
        <v>15.542</v>
      </c>
      <c r="M1145">
        <v>74.638999999999996</v>
      </c>
      <c r="N1145">
        <v>9.7530000000000001</v>
      </c>
    </row>
    <row r="1146" spans="1:14" x14ac:dyDescent="0.45">
      <c r="A1146">
        <v>1986</v>
      </c>
      <c r="B1146" t="s">
        <v>108</v>
      </c>
      <c r="C1146">
        <v>0</v>
      </c>
      <c r="D1146">
        <v>1</v>
      </c>
      <c r="E1146">
        <v>0</v>
      </c>
      <c r="F1146">
        <v>1</v>
      </c>
      <c r="G1146">
        <v>0</v>
      </c>
      <c r="H1146">
        <v>0</v>
      </c>
      <c r="I1146">
        <v>0</v>
      </c>
      <c r="J1146">
        <v>6621.5481610859097</v>
      </c>
      <c r="K1146">
        <v>5719.85881958967</v>
      </c>
      <c r="L1146">
        <v>45.86</v>
      </c>
      <c r="M1146">
        <v>66.058999999999997</v>
      </c>
      <c r="N1146">
        <v>74.903000000000006</v>
      </c>
    </row>
    <row r="1147" spans="1:14" x14ac:dyDescent="0.45">
      <c r="A1147">
        <v>1986</v>
      </c>
      <c r="B1147" t="s">
        <v>109</v>
      </c>
      <c r="C1147">
        <v>0</v>
      </c>
      <c r="D1147">
        <v>0</v>
      </c>
      <c r="E1147">
        <v>0</v>
      </c>
      <c r="F1147">
        <v>0</v>
      </c>
      <c r="G1147">
        <v>1</v>
      </c>
      <c r="H1147">
        <v>0</v>
      </c>
      <c r="I1147">
        <v>0</v>
      </c>
      <c r="J1147">
        <v>12802.3018827739</v>
      </c>
      <c r="K1147">
        <v>11197.3300769704</v>
      </c>
      <c r="L1147">
        <v>51.14</v>
      </c>
      <c r="M1147">
        <v>65.272999999999996</v>
      </c>
      <c r="N1147">
        <v>68.575999999999993</v>
      </c>
    </row>
    <row r="1148" spans="1:14" x14ac:dyDescent="0.45">
      <c r="A1148">
        <v>1986</v>
      </c>
      <c r="B1148" t="s">
        <v>110</v>
      </c>
      <c r="C1148">
        <v>0</v>
      </c>
      <c r="D1148">
        <v>1</v>
      </c>
      <c r="E1148">
        <v>0</v>
      </c>
      <c r="F1148">
        <v>1</v>
      </c>
      <c r="G1148">
        <v>0</v>
      </c>
      <c r="H1148">
        <v>0</v>
      </c>
      <c r="I1148">
        <v>0</v>
      </c>
      <c r="J1148">
        <v>9073.5480292585307</v>
      </c>
      <c r="K1148">
        <v>7546.9033955141404</v>
      </c>
      <c r="L1148">
        <v>48.006999999999998</v>
      </c>
      <c r="M1148">
        <v>66.123000000000005</v>
      </c>
      <c r="N1148">
        <v>65.798000000000002</v>
      </c>
    </row>
    <row r="1149" spans="1:14" x14ac:dyDescent="0.45">
      <c r="A1149">
        <v>1986</v>
      </c>
      <c r="B1149" t="s">
        <v>111</v>
      </c>
      <c r="C1149">
        <v>0</v>
      </c>
      <c r="D1149">
        <v>0</v>
      </c>
      <c r="E1149">
        <v>0</v>
      </c>
      <c r="F1149">
        <v>1</v>
      </c>
      <c r="G1149">
        <v>0</v>
      </c>
      <c r="H1149">
        <v>0</v>
      </c>
      <c r="I1149">
        <v>0</v>
      </c>
      <c r="J1149">
        <v>7237.0669214967802</v>
      </c>
      <c r="K1149">
        <v>5743.2143742611697</v>
      </c>
      <c r="L1149">
        <v>56.045999999999999</v>
      </c>
      <c r="M1149">
        <v>60.085000000000001</v>
      </c>
      <c r="N1149">
        <v>111.044</v>
      </c>
    </row>
    <row r="1150" spans="1:14" x14ac:dyDescent="0.45">
      <c r="A1150">
        <v>1986</v>
      </c>
      <c r="B1150" t="s">
        <v>112</v>
      </c>
      <c r="C1150">
        <v>0</v>
      </c>
      <c r="D1150">
        <v>0</v>
      </c>
      <c r="E1150">
        <v>1</v>
      </c>
      <c r="F1150">
        <v>0</v>
      </c>
      <c r="G1150">
        <v>0</v>
      </c>
      <c r="H1150">
        <v>0</v>
      </c>
      <c r="I1150">
        <v>0</v>
      </c>
      <c r="L1150">
        <v>83.649000000000001</v>
      </c>
      <c r="M1150">
        <v>39.540999999999997</v>
      </c>
      <c r="N1150">
        <v>253.09</v>
      </c>
    </row>
    <row r="1151" spans="1:14" x14ac:dyDescent="0.45">
      <c r="A1151">
        <v>1986</v>
      </c>
      <c r="B1151" t="s">
        <v>113</v>
      </c>
      <c r="C1151">
        <v>1</v>
      </c>
      <c r="D1151">
        <v>0</v>
      </c>
      <c r="E1151">
        <v>0</v>
      </c>
      <c r="F1151">
        <v>0</v>
      </c>
      <c r="G1151">
        <v>0</v>
      </c>
      <c r="H1151">
        <v>1</v>
      </c>
      <c r="I1151">
        <v>1</v>
      </c>
      <c r="J1151">
        <v>26530.829844105101</v>
      </c>
      <c r="K1151">
        <v>23347.835879686201</v>
      </c>
      <c r="L1151">
        <v>25.556000000000001</v>
      </c>
      <c r="M1151">
        <v>76.703000000000003</v>
      </c>
      <c r="N1151">
        <v>10.923</v>
      </c>
    </row>
    <row r="1152" spans="1:14" x14ac:dyDescent="0.45">
      <c r="A1152">
        <v>1986</v>
      </c>
      <c r="B1152" t="s">
        <v>114</v>
      </c>
      <c r="C1152">
        <v>1</v>
      </c>
      <c r="D1152">
        <v>0</v>
      </c>
      <c r="E1152">
        <v>0</v>
      </c>
      <c r="F1152">
        <v>0</v>
      </c>
      <c r="G1152">
        <v>1</v>
      </c>
      <c r="H1152">
        <v>0</v>
      </c>
      <c r="I1152">
        <v>0</v>
      </c>
      <c r="L1152">
        <v>29.024999999999999</v>
      </c>
      <c r="M1152">
        <v>70.906999999999996</v>
      </c>
      <c r="N1152">
        <v>19.102</v>
      </c>
    </row>
    <row r="1153" spans="1:14" x14ac:dyDescent="0.45">
      <c r="A1153">
        <v>1986</v>
      </c>
      <c r="B1153" t="s">
        <v>115</v>
      </c>
      <c r="C1153">
        <v>0</v>
      </c>
      <c r="D1153">
        <v>0</v>
      </c>
      <c r="E1153">
        <v>1</v>
      </c>
      <c r="F1153">
        <v>0</v>
      </c>
      <c r="G1153">
        <v>0</v>
      </c>
      <c r="H1153">
        <v>0</v>
      </c>
      <c r="I1153">
        <v>0</v>
      </c>
      <c r="J1153">
        <v>832.79093349866901</v>
      </c>
      <c r="K1153">
        <v>751.08615053214498</v>
      </c>
      <c r="L1153">
        <v>88.320999999999998</v>
      </c>
      <c r="M1153">
        <v>38.371000000000002</v>
      </c>
      <c r="N1153">
        <v>291.63400000000001</v>
      </c>
    </row>
    <row r="1154" spans="1:14" x14ac:dyDescent="0.45">
      <c r="A1154">
        <v>1986</v>
      </c>
      <c r="B1154" t="s">
        <v>116</v>
      </c>
      <c r="C1154">
        <v>1</v>
      </c>
      <c r="D1154">
        <v>0</v>
      </c>
      <c r="E1154">
        <v>0</v>
      </c>
      <c r="F1154">
        <v>0</v>
      </c>
      <c r="G1154">
        <v>0</v>
      </c>
      <c r="H1154">
        <v>1</v>
      </c>
      <c r="I1154">
        <v>1</v>
      </c>
      <c r="J1154">
        <v>33412.1737272557</v>
      </c>
      <c r="K1154">
        <v>28089.040159322001</v>
      </c>
      <c r="L1154">
        <v>23.433</v>
      </c>
      <c r="M1154">
        <v>74.766000000000005</v>
      </c>
      <c r="N1154">
        <v>6.7149999999999999</v>
      </c>
    </row>
    <row r="1155" spans="1:14" x14ac:dyDescent="0.45">
      <c r="A1155">
        <v>1986</v>
      </c>
      <c r="B1155" t="s">
        <v>117</v>
      </c>
      <c r="C1155">
        <v>0</v>
      </c>
      <c r="D1155">
        <v>0</v>
      </c>
      <c r="E1155">
        <v>0</v>
      </c>
      <c r="F1155">
        <v>1</v>
      </c>
      <c r="G1155">
        <v>0</v>
      </c>
      <c r="H1155">
        <v>0</v>
      </c>
      <c r="I1155">
        <v>0</v>
      </c>
      <c r="J1155">
        <v>7909.3794684207196</v>
      </c>
      <c r="K1155">
        <v>7745.67665154933</v>
      </c>
      <c r="L1155">
        <v>61.325000000000003</v>
      </c>
      <c r="M1155">
        <v>63.960999999999999</v>
      </c>
      <c r="N1155">
        <v>34.542999999999999</v>
      </c>
    </row>
    <row r="1156" spans="1:14" x14ac:dyDescent="0.45">
      <c r="A1156">
        <v>1986</v>
      </c>
      <c r="B1156" t="s">
        <v>118</v>
      </c>
      <c r="C1156">
        <v>1</v>
      </c>
      <c r="D1156">
        <v>0</v>
      </c>
      <c r="E1156">
        <v>0</v>
      </c>
      <c r="F1156">
        <v>0</v>
      </c>
      <c r="G1156">
        <v>0</v>
      </c>
      <c r="H1156">
        <v>1</v>
      </c>
      <c r="I1156">
        <v>1</v>
      </c>
      <c r="J1156">
        <v>34404.437825863999</v>
      </c>
      <c r="K1156">
        <v>28724.223435839798</v>
      </c>
      <c r="L1156">
        <v>26.274999999999999</v>
      </c>
      <c r="M1156">
        <v>75.578000000000003</v>
      </c>
      <c r="N1156">
        <v>9.9559999999999995</v>
      </c>
    </row>
    <row r="1157" spans="1:14" x14ac:dyDescent="0.45">
      <c r="A1157">
        <v>1986</v>
      </c>
      <c r="B1157" t="s">
        <v>119</v>
      </c>
      <c r="C1157">
        <v>1</v>
      </c>
      <c r="D1157">
        <v>0</v>
      </c>
      <c r="E1157">
        <v>0</v>
      </c>
      <c r="F1157">
        <v>0</v>
      </c>
      <c r="G1157">
        <v>0</v>
      </c>
      <c r="H1157">
        <v>1</v>
      </c>
      <c r="I1157">
        <v>1</v>
      </c>
      <c r="L1157">
        <v>69.317999999999998</v>
      </c>
      <c r="M1157">
        <v>76.162000000000006</v>
      </c>
      <c r="N1157">
        <v>12.779</v>
      </c>
    </row>
    <row r="1158" spans="1:14" x14ac:dyDescent="0.45">
      <c r="A1158">
        <v>1986</v>
      </c>
      <c r="B1158" t="s">
        <v>120</v>
      </c>
      <c r="C1158">
        <v>0</v>
      </c>
      <c r="D1158">
        <v>0</v>
      </c>
      <c r="E1158">
        <v>0</v>
      </c>
      <c r="F1158">
        <v>1</v>
      </c>
      <c r="G1158">
        <v>0</v>
      </c>
      <c r="H1158">
        <v>0</v>
      </c>
      <c r="I1158">
        <v>0</v>
      </c>
      <c r="J1158">
        <v>3015.5153846552798</v>
      </c>
      <c r="K1158">
        <v>2729.4575359784499</v>
      </c>
      <c r="L1158">
        <v>73.917000000000002</v>
      </c>
      <c r="M1158">
        <v>63.151000000000003</v>
      </c>
      <c r="N1158">
        <v>53.993000000000002</v>
      </c>
    </row>
    <row r="1159" spans="1:14" x14ac:dyDescent="0.45">
      <c r="A1159">
        <v>1986</v>
      </c>
      <c r="B1159" t="s">
        <v>121</v>
      </c>
      <c r="C1159">
        <v>0</v>
      </c>
      <c r="D1159">
        <v>0</v>
      </c>
      <c r="E1159">
        <v>1</v>
      </c>
      <c r="F1159">
        <v>0</v>
      </c>
      <c r="G1159">
        <v>1</v>
      </c>
      <c r="H1159">
        <v>0</v>
      </c>
      <c r="I1159">
        <v>0</v>
      </c>
      <c r="J1159">
        <v>26506.3845686067</v>
      </c>
      <c r="K1159">
        <v>20055.788646433401</v>
      </c>
      <c r="L1159">
        <v>36.289000000000001</v>
      </c>
      <c r="M1159">
        <v>59.956000000000003</v>
      </c>
      <c r="N1159">
        <v>100.595</v>
      </c>
    </row>
    <row r="1160" spans="1:14" x14ac:dyDescent="0.45">
      <c r="A1160">
        <v>1986</v>
      </c>
      <c r="B1160" t="s">
        <v>122</v>
      </c>
      <c r="C1160">
        <v>1</v>
      </c>
      <c r="D1160">
        <v>0</v>
      </c>
      <c r="E1160">
        <v>0</v>
      </c>
      <c r="F1160">
        <v>0</v>
      </c>
      <c r="G1160">
        <v>0</v>
      </c>
      <c r="H1160">
        <v>1</v>
      </c>
      <c r="I1160">
        <v>1</v>
      </c>
      <c r="J1160">
        <v>29522.320496937002</v>
      </c>
      <c r="K1160">
        <v>25434.369408732</v>
      </c>
      <c r="L1160">
        <v>21.66</v>
      </c>
      <c r="M1160">
        <v>74.795000000000002</v>
      </c>
      <c r="N1160">
        <v>11.170999999999999</v>
      </c>
    </row>
    <row r="1161" spans="1:14" x14ac:dyDescent="0.45">
      <c r="A1161">
        <v>1986</v>
      </c>
      <c r="B1161" t="s">
        <v>123</v>
      </c>
      <c r="C1161">
        <v>1</v>
      </c>
      <c r="D1161">
        <v>0</v>
      </c>
      <c r="E1161">
        <v>0</v>
      </c>
      <c r="F1161">
        <v>1</v>
      </c>
      <c r="G1161">
        <v>0</v>
      </c>
      <c r="H1161">
        <v>0</v>
      </c>
      <c r="I1161">
        <v>0</v>
      </c>
      <c r="J1161">
        <v>14605.044998835499</v>
      </c>
      <c r="K1161">
        <v>12339.5933720956</v>
      </c>
      <c r="L1161">
        <v>45.468000000000004</v>
      </c>
      <c r="M1161">
        <v>69.224999999999994</v>
      </c>
      <c r="N1161">
        <v>49.863999999999997</v>
      </c>
    </row>
    <row r="1162" spans="1:14" x14ac:dyDescent="0.45">
      <c r="A1162">
        <v>1986</v>
      </c>
      <c r="B1162" t="s">
        <v>124</v>
      </c>
      <c r="C1162">
        <v>0</v>
      </c>
      <c r="D1162">
        <v>0</v>
      </c>
      <c r="E1162">
        <v>1</v>
      </c>
      <c r="F1162">
        <v>0</v>
      </c>
      <c r="G1162">
        <v>0</v>
      </c>
      <c r="H1162">
        <v>0</v>
      </c>
      <c r="I1162">
        <v>0</v>
      </c>
      <c r="J1162">
        <v>2500.5241477945001</v>
      </c>
      <c r="K1162">
        <v>2157.30902097132</v>
      </c>
      <c r="L1162">
        <v>66.409000000000006</v>
      </c>
      <c r="M1162">
        <v>53.276000000000003</v>
      </c>
      <c r="N1162">
        <v>148.62</v>
      </c>
    </row>
    <row r="1163" spans="1:14" x14ac:dyDescent="0.45">
      <c r="A1163">
        <v>1986</v>
      </c>
      <c r="B1163" t="s">
        <v>125</v>
      </c>
      <c r="C1163">
        <v>1</v>
      </c>
      <c r="D1163">
        <v>0</v>
      </c>
      <c r="E1163">
        <v>0</v>
      </c>
      <c r="F1163">
        <v>0</v>
      </c>
      <c r="G1163">
        <v>1</v>
      </c>
      <c r="H1163">
        <v>0</v>
      </c>
      <c r="I1163">
        <v>0</v>
      </c>
      <c r="L1163">
        <v>0</v>
      </c>
      <c r="M1163">
        <v>75.557000000000002</v>
      </c>
      <c r="N1163">
        <v>23.064</v>
      </c>
    </row>
    <row r="1164" spans="1:14" x14ac:dyDescent="0.45">
      <c r="A1164">
        <v>1986</v>
      </c>
      <c r="B1164" t="s">
        <v>126</v>
      </c>
      <c r="C1164">
        <v>0</v>
      </c>
      <c r="D1164">
        <v>0</v>
      </c>
      <c r="E1164">
        <v>1</v>
      </c>
      <c r="F1164">
        <v>0</v>
      </c>
      <c r="G1164">
        <v>0</v>
      </c>
      <c r="H1164">
        <v>0</v>
      </c>
      <c r="I1164">
        <v>0</v>
      </c>
      <c r="J1164">
        <v>1983.42448835546</v>
      </c>
      <c r="K1164">
        <v>1599.16735448496</v>
      </c>
      <c r="L1164">
        <v>73.102000000000004</v>
      </c>
      <c r="M1164">
        <v>45.719000000000001</v>
      </c>
      <c r="N1164">
        <v>253.267</v>
      </c>
    </row>
    <row r="1165" spans="1:14" x14ac:dyDescent="0.45">
      <c r="A1165">
        <v>1986</v>
      </c>
      <c r="B1165" t="s">
        <v>127</v>
      </c>
      <c r="C1165">
        <v>0</v>
      </c>
      <c r="D1165">
        <v>0</v>
      </c>
      <c r="E1165">
        <v>1</v>
      </c>
      <c r="F1165">
        <v>0</v>
      </c>
      <c r="G1165">
        <v>0</v>
      </c>
      <c r="H1165">
        <v>0</v>
      </c>
      <c r="I1165">
        <v>0</v>
      </c>
      <c r="J1165">
        <v>2661.5138832186499</v>
      </c>
      <c r="K1165">
        <v>2142.24444746063</v>
      </c>
      <c r="L1165">
        <v>65.950999999999993</v>
      </c>
      <c r="M1165">
        <v>48.798000000000002</v>
      </c>
      <c r="N1165">
        <v>190.65299999999999</v>
      </c>
    </row>
    <row r="1166" spans="1:14" x14ac:dyDescent="0.45">
      <c r="A1166">
        <v>1986</v>
      </c>
      <c r="B1166" t="s">
        <v>128</v>
      </c>
      <c r="C1166">
        <v>0</v>
      </c>
      <c r="D1166">
        <v>0</v>
      </c>
      <c r="E1166">
        <v>1</v>
      </c>
      <c r="F1166">
        <v>0</v>
      </c>
      <c r="G1166">
        <v>0</v>
      </c>
      <c r="H1166">
        <v>0</v>
      </c>
      <c r="I1166">
        <v>0</v>
      </c>
      <c r="J1166">
        <v>1890.7847390324</v>
      </c>
      <c r="K1166">
        <v>1700.94701806285</v>
      </c>
      <c r="L1166">
        <v>74.965999999999994</v>
      </c>
      <c r="M1166">
        <v>45.523000000000003</v>
      </c>
      <c r="N1166">
        <v>238.96199999999999</v>
      </c>
    </row>
    <row r="1167" spans="1:14" x14ac:dyDescent="0.45">
      <c r="A1167">
        <v>1986</v>
      </c>
      <c r="B1167" t="s">
        <v>129</v>
      </c>
      <c r="C1167">
        <v>0</v>
      </c>
      <c r="D1167">
        <v>0</v>
      </c>
      <c r="E1167">
        <v>1</v>
      </c>
      <c r="F1167">
        <v>0</v>
      </c>
      <c r="G1167">
        <v>0</v>
      </c>
      <c r="H1167">
        <v>0</v>
      </c>
      <c r="I1167">
        <v>0</v>
      </c>
      <c r="J1167">
        <v>1286.3044673622401</v>
      </c>
      <c r="K1167">
        <v>1065.71966252213</v>
      </c>
      <c r="L1167">
        <v>69.129000000000005</v>
      </c>
      <c r="M1167">
        <v>50.847999999999999</v>
      </c>
      <c r="N1167">
        <v>186.94800000000001</v>
      </c>
    </row>
    <row r="1168" spans="1:14" x14ac:dyDescent="0.45">
      <c r="A1168">
        <v>1986</v>
      </c>
      <c r="B1168" t="s">
        <v>130</v>
      </c>
      <c r="C1168">
        <v>1</v>
      </c>
      <c r="D1168">
        <v>0</v>
      </c>
      <c r="E1168">
        <v>0</v>
      </c>
      <c r="F1168">
        <v>0</v>
      </c>
      <c r="G1168">
        <v>1</v>
      </c>
      <c r="H1168">
        <v>0</v>
      </c>
      <c r="I1168">
        <v>0</v>
      </c>
      <c r="J1168">
        <v>25704.2120814759</v>
      </c>
      <c r="K1168">
        <v>23010.259314323899</v>
      </c>
      <c r="L1168">
        <v>29.291</v>
      </c>
      <c r="M1168">
        <v>76.536000000000001</v>
      </c>
      <c r="N1168">
        <v>13.590999999999999</v>
      </c>
    </row>
    <row r="1169" spans="1:14" x14ac:dyDescent="0.45">
      <c r="A1169">
        <v>1986</v>
      </c>
      <c r="B1169" t="s">
        <v>131</v>
      </c>
      <c r="C1169">
        <v>0</v>
      </c>
      <c r="D1169">
        <v>1</v>
      </c>
      <c r="E1169">
        <v>0</v>
      </c>
      <c r="F1169">
        <v>1</v>
      </c>
      <c r="G1169">
        <v>0</v>
      </c>
      <c r="H1169">
        <v>0</v>
      </c>
      <c r="I1169">
        <v>0</v>
      </c>
      <c r="J1169">
        <v>7336.9858518310502</v>
      </c>
      <c r="K1169">
        <v>6769.8740603875603</v>
      </c>
      <c r="L1169">
        <v>66.772999999999996</v>
      </c>
      <c r="M1169">
        <v>69.573999999999998</v>
      </c>
      <c r="N1169">
        <v>27.393999999999998</v>
      </c>
    </row>
    <row r="1170" spans="1:14" x14ac:dyDescent="0.45">
      <c r="A1170">
        <v>1986</v>
      </c>
      <c r="B1170" t="s">
        <v>132</v>
      </c>
      <c r="C1170">
        <v>1</v>
      </c>
      <c r="D1170">
        <v>0</v>
      </c>
      <c r="E1170">
        <v>0</v>
      </c>
      <c r="F1170">
        <v>0</v>
      </c>
      <c r="G1170">
        <v>0</v>
      </c>
      <c r="H1170">
        <v>1</v>
      </c>
      <c r="I1170">
        <v>1</v>
      </c>
      <c r="J1170">
        <v>37775.7504809366</v>
      </c>
      <c r="K1170">
        <v>34193.406939679502</v>
      </c>
      <c r="L1170">
        <v>21.683</v>
      </c>
      <c r="M1170">
        <v>62.871000000000002</v>
      </c>
      <c r="N1170">
        <v>38.695999999999998</v>
      </c>
    </row>
    <row r="1171" spans="1:14" x14ac:dyDescent="0.45">
      <c r="A1171">
        <v>1986</v>
      </c>
      <c r="B1171" t="s">
        <v>133</v>
      </c>
      <c r="C1171">
        <v>0</v>
      </c>
      <c r="D1171">
        <v>1</v>
      </c>
      <c r="E1171">
        <v>0</v>
      </c>
      <c r="F1171">
        <v>1</v>
      </c>
      <c r="G1171">
        <v>0</v>
      </c>
      <c r="H1171">
        <v>0</v>
      </c>
      <c r="I1171">
        <v>0</v>
      </c>
      <c r="J1171">
        <v>7582.4716985487903</v>
      </c>
      <c r="K1171">
        <v>6586.7086051082397</v>
      </c>
      <c r="L1171">
        <v>59.326000000000001</v>
      </c>
      <c r="M1171">
        <v>60.341000000000001</v>
      </c>
      <c r="N1171">
        <v>95.656000000000006</v>
      </c>
    </row>
    <row r="1172" spans="1:14" x14ac:dyDescent="0.45">
      <c r="A1172">
        <v>1986</v>
      </c>
      <c r="B1172" t="s">
        <v>134</v>
      </c>
      <c r="C1172">
        <v>0</v>
      </c>
      <c r="D1172">
        <v>0</v>
      </c>
      <c r="E1172">
        <v>0</v>
      </c>
      <c r="F1172">
        <v>0</v>
      </c>
      <c r="G1172">
        <v>0</v>
      </c>
      <c r="H1172">
        <v>1</v>
      </c>
      <c r="I1172">
        <v>1</v>
      </c>
      <c r="L1172">
        <v>7.9770000000000003</v>
      </c>
      <c r="M1172">
        <v>73.323999999999998</v>
      </c>
      <c r="N1172">
        <v>13.73</v>
      </c>
    </row>
    <row r="1173" spans="1:14" x14ac:dyDescent="0.45">
      <c r="A1173">
        <v>1986</v>
      </c>
      <c r="B1173" t="s">
        <v>135</v>
      </c>
      <c r="C1173">
        <v>0</v>
      </c>
      <c r="D1173">
        <v>1</v>
      </c>
      <c r="E1173">
        <v>0</v>
      </c>
      <c r="F1173">
        <v>0</v>
      </c>
      <c r="G1173">
        <v>0</v>
      </c>
      <c r="H1173">
        <v>0</v>
      </c>
      <c r="I1173">
        <v>0</v>
      </c>
      <c r="J1173">
        <v>5424.2663152528403</v>
      </c>
      <c r="K1173">
        <v>5187.6551445387304</v>
      </c>
      <c r="L1173">
        <v>70.057000000000002</v>
      </c>
      <c r="M1173">
        <v>61.521000000000001</v>
      </c>
      <c r="N1173">
        <v>65.561000000000007</v>
      </c>
    </row>
    <row r="1174" spans="1:14" x14ac:dyDescent="0.45">
      <c r="A1174">
        <v>1986</v>
      </c>
      <c r="B1174" t="s">
        <v>136</v>
      </c>
      <c r="C1174">
        <v>0</v>
      </c>
      <c r="D1174">
        <v>0</v>
      </c>
      <c r="E1174">
        <v>0</v>
      </c>
      <c r="F1174">
        <v>0</v>
      </c>
      <c r="G1174">
        <v>0</v>
      </c>
      <c r="H1174">
        <v>1</v>
      </c>
      <c r="I1174">
        <v>1</v>
      </c>
      <c r="J1174">
        <v>23551.876909623399</v>
      </c>
      <c r="K1174">
        <v>21255.650115164299</v>
      </c>
      <c r="L1174">
        <v>5.7519999999999998</v>
      </c>
      <c r="M1174">
        <v>76.691000000000003</v>
      </c>
      <c r="N1174">
        <v>9.6349999999999998</v>
      </c>
    </row>
    <row r="1175" spans="1:14" x14ac:dyDescent="0.45">
      <c r="A1175">
        <v>1986</v>
      </c>
      <c r="B1175" t="s">
        <v>137</v>
      </c>
      <c r="C1175">
        <v>0</v>
      </c>
      <c r="D1175">
        <v>1</v>
      </c>
      <c r="E1175">
        <v>0</v>
      </c>
      <c r="F1175">
        <v>1</v>
      </c>
      <c r="G1175">
        <v>0</v>
      </c>
      <c r="H1175">
        <v>0</v>
      </c>
      <c r="I1175">
        <v>0</v>
      </c>
      <c r="J1175">
        <v>4349.2606463719703</v>
      </c>
      <c r="K1175">
        <v>4007.7481427863399</v>
      </c>
      <c r="L1175">
        <v>61.680999999999997</v>
      </c>
      <c r="M1175">
        <v>63.651000000000003</v>
      </c>
      <c r="N1175">
        <v>70.653000000000006</v>
      </c>
    </row>
    <row r="1176" spans="1:14" x14ac:dyDescent="0.45">
      <c r="A1176">
        <v>1986</v>
      </c>
      <c r="B1176" t="s">
        <v>138</v>
      </c>
      <c r="C1176">
        <v>1</v>
      </c>
      <c r="D1176">
        <v>0</v>
      </c>
      <c r="E1176">
        <v>0</v>
      </c>
      <c r="F1176">
        <v>0</v>
      </c>
      <c r="G1176">
        <v>1</v>
      </c>
      <c r="H1176">
        <v>0</v>
      </c>
      <c r="I1176">
        <v>0</v>
      </c>
      <c r="L1176">
        <v>50.363</v>
      </c>
      <c r="M1176">
        <v>71.787999999999997</v>
      </c>
      <c r="N1176">
        <v>16.728999999999999</v>
      </c>
    </row>
    <row r="1177" spans="1:14" x14ac:dyDescent="0.45">
      <c r="A1177">
        <v>1986</v>
      </c>
      <c r="B1177" t="s">
        <v>139</v>
      </c>
      <c r="C1177">
        <v>0</v>
      </c>
      <c r="D1177">
        <v>1</v>
      </c>
      <c r="E1177">
        <v>0</v>
      </c>
      <c r="F1177">
        <v>0</v>
      </c>
      <c r="G1177">
        <v>0</v>
      </c>
      <c r="H1177">
        <v>0</v>
      </c>
      <c r="I1177">
        <v>0</v>
      </c>
      <c r="J1177">
        <v>4440.2413125394096</v>
      </c>
      <c r="K1177">
        <v>4267.7635128153497</v>
      </c>
      <c r="L1177">
        <v>75.745000000000005</v>
      </c>
      <c r="M1177">
        <v>51.874000000000002</v>
      </c>
      <c r="N1177">
        <v>162.17599999999999</v>
      </c>
    </row>
    <row r="1178" spans="1:14" x14ac:dyDescent="0.45">
      <c r="A1178">
        <v>1986</v>
      </c>
      <c r="B1178" t="s">
        <v>140</v>
      </c>
      <c r="C1178">
        <v>1</v>
      </c>
      <c r="D1178">
        <v>0</v>
      </c>
      <c r="E1178">
        <v>0</v>
      </c>
      <c r="F1178">
        <v>0</v>
      </c>
      <c r="G1178">
        <v>1</v>
      </c>
      <c r="H1178">
        <v>0</v>
      </c>
      <c r="I1178">
        <v>0</v>
      </c>
      <c r="J1178">
        <v>19710.064956317099</v>
      </c>
      <c r="K1178">
        <v>17175.69513289</v>
      </c>
      <c r="L1178">
        <v>34.725999999999999</v>
      </c>
      <c r="M1178">
        <v>69.113</v>
      </c>
      <c r="N1178">
        <v>20.867999999999999</v>
      </c>
    </row>
    <row r="1179" spans="1:14" x14ac:dyDescent="0.45">
      <c r="A1179">
        <v>1986</v>
      </c>
      <c r="B1179" t="s">
        <v>141</v>
      </c>
      <c r="C1179">
        <v>0</v>
      </c>
      <c r="D1179">
        <v>0</v>
      </c>
      <c r="E1179">
        <v>0</v>
      </c>
      <c r="F1179">
        <v>0</v>
      </c>
      <c r="G1179">
        <v>0</v>
      </c>
      <c r="H1179">
        <v>0</v>
      </c>
      <c r="I1179">
        <v>0</v>
      </c>
      <c r="J1179">
        <v>4168.4864356525904</v>
      </c>
      <c r="K1179">
        <v>3784.3286746479998</v>
      </c>
      <c r="L1179">
        <v>73.046999999999997</v>
      </c>
      <c r="M1179">
        <v>61.735999999999997</v>
      </c>
      <c r="N1179">
        <v>98.463999999999999</v>
      </c>
    </row>
    <row r="1180" spans="1:14" x14ac:dyDescent="0.45">
      <c r="A1180">
        <v>1986</v>
      </c>
      <c r="B1180" t="s">
        <v>142</v>
      </c>
      <c r="C1180">
        <v>1</v>
      </c>
      <c r="D1180">
        <v>0</v>
      </c>
      <c r="E1180">
        <v>0</v>
      </c>
      <c r="F1180">
        <v>0</v>
      </c>
      <c r="G1180">
        <v>0</v>
      </c>
      <c r="H1180">
        <v>1</v>
      </c>
      <c r="I1180">
        <v>1</v>
      </c>
      <c r="L1180">
        <v>48.238999999999997</v>
      </c>
      <c r="M1180">
        <v>70.34</v>
      </c>
      <c r="N1180">
        <v>42.96</v>
      </c>
    </row>
    <row r="1181" spans="1:14" x14ac:dyDescent="0.45">
      <c r="A1181">
        <v>1986</v>
      </c>
      <c r="B1181" t="s">
        <v>143</v>
      </c>
      <c r="C1181">
        <v>0</v>
      </c>
      <c r="D1181">
        <v>0</v>
      </c>
      <c r="E1181">
        <v>0</v>
      </c>
      <c r="F1181">
        <v>0</v>
      </c>
      <c r="G1181">
        <v>0</v>
      </c>
      <c r="H1181">
        <v>0</v>
      </c>
      <c r="I1181">
        <v>0</v>
      </c>
      <c r="J1181">
        <v>1896.3372640877601</v>
      </c>
      <c r="K1181">
        <v>1590.4302764086401</v>
      </c>
      <c r="L1181">
        <v>75.415000000000006</v>
      </c>
      <c r="M1181">
        <v>56.819000000000003</v>
      </c>
      <c r="N1181">
        <v>141.83799999999999</v>
      </c>
    </row>
    <row r="1182" spans="1:14" x14ac:dyDescent="0.45">
      <c r="A1182">
        <v>1986</v>
      </c>
      <c r="B1182" t="s">
        <v>144</v>
      </c>
      <c r="C1182">
        <v>1</v>
      </c>
      <c r="D1182">
        <v>0</v>
      </c>
      <c r="E1182">
        <v>0</v>
      </c>
      <c r="F1182">
        <v>0</v>
      </c>
      <c r="G1182">
        <v>0</v>
      </c>
      <c r="H1182">
        <v>1</v>
      </c>
      <c r="I1182">
        <v>1</v>
      </c>
      <c r="J1182">
        <v>25938.660596399299</v>
      </c>
      <c r="K1182">
        <v>23849.245137214399</v>
      </c>
      <c r="L1182">
        <v>43.573</v>
      </c>
      <c r="M1182">
        <v>73.611000000000004</v>
      </c>
      <c r="N1182">
        <v>10.441000000000001</v>
      </c>
    </row>
    <row r="1183" spans="1:14" x14ac:dyDescent="0.45">
      <c r="A1183">
        <v>1986</v>
      </c>
      <c r="B1183" t="s">
        <v>145</v>
      </c>
      <c r="C1183">
        <v>0</v>
      </c>
      <c r="D1183">
        <v>0</v>
      </c>
      <c r="E1183">
        <v>0</v>
      </c>
      <c r="F1183">
        <v>0</v>
      </c>
      <c r="G1183">
        <v>1</v>
      </c>
      <c r="H1183">
        <v>0</v>
      </c>
      <c r="I1183">
        <v>0</v>
      </c>
      <c r="J1183">
        <v>9617.1754668097601</v>
      </c>
      <c r="K1183">
        <v>9593.0812869845195</v>
      </c>
      <c r="L1183">
        <v>45.866999999999997</v>
      </c>
      <c r="M1183">
        <v>62.136000000000003</v>
      </c>
      <c r="N1183">
        <v>72.337000000000003</v>
      </c>
    </row>
    <row r="1184" spans="1:14" x14ac:dyDescent="0.45">
      <c r="A1184">
        <v>1986</v>
      </c>
      <c r="B1184" t="s">
        <v>146</v>
      </c>
      <c r="C1184">
        <v>0</v>
      </c>
      <c r="D1184">
        <v>0</v>
      </c>
      <c r="E1184">
        <v>0</v>
      </c>
      <c r="F1184">
        <v>0</v>
      </c>
      <c r="G1184">
        <v>1</v>
      </c>
      <c r="H1184">
        <v>0</v>
      </c>
      <c r="I1184">
        <v>0</v>
      </c>
      <c r="J1184">
        <v>7027.0236510391496</v>
      </c>
      <c r="K1184">
        <v>4967.3240852863501</v>
      </c>
      <c r="L1184">
        <v>30.603999999999999</v>
      </c>
      <c r="M1184">
        <v>60.030999999999999</v>
      </c>
      <c r="N1184">
        <v>59.38</v>
      </c>
    </row>
    <row r="1185" spans="1:14" x14ac:dyDescent="0.45">
      <c r="A1185">
        <v>1986</v>
      </c>
      <c r="B1185" t="s">
        <v>147</v>
      </c>
      <c r="C1185">
        <v>1</v>
      </c>
      <c r="D1185">
        <v>0</v>
      </c>
      <c r="E1185">
        <v>0</v>
      </c>
      <c r="F1185">
        <v>0</v>
      </c>
      <c r="G1185">
        <v>0</v>
      </c>
      <c r="H1185">
        <v>1</v>
      </c>
      <c r="I1185">
        <v>1</v>
      </c>
      <c r="J1185">
        <v>36365.402248005797</v>
      </c>
      <c r="K1185">
        <v>31466.5783926412</v>
      </c>
      <c r="L1185">
        <v>10.183999999999999</v>
      </c>
      <c r="M1185">
        <v>77.87</v>
      </c>
      <c r="N1185">
        <v>4.0259999999999998</v>
      </c>
    </row>
    <row r="1186" spans="1:14" x14ac:dyDescent="0.45">
      <c r="A1186">
        <v>1986</v>
      </c>
      <c r="B1186" t="s">
        <v>148</v>
      </c>
      <c r="C1186">
        <v>0</v>
      </c>
      <c r="D1186">
        <v>0</v>
      </c>
      <c r="E1186">
        <v>0</v>
      </c>
      <c r="F1186">
        <v>0</v>
      </c>
      <c r="G1186">
        <v>0</v>
      </c>
      <c r="H1186">
        <v>1</v>
      </c>
      <c r="I1186">
        <v>1</v>
      </c>
      <c r="J1186">
        <v>23129.853810451099</v>
      </c>
      <c r="K1186">
        <v>21216.486951090301</v>
      </c>
      <c r="L1186">
        <v>10.064</v>
      </c>
      <c r="M1186">
        <v>75.91</v>
      </c>
      <c r="N1186">
        <v>13.462</v>
      </c>
    </row>
    <row r="1187" spans="1:14" x14ac:dyDescent="0.45">
      <c r="A1187">
        <v>1986</v>
      </c>
      <c r="B1187" t="s">
        <v>149</v>
      </c>
      <c r="C1187">
        <v>1</v>
      </c>
      <c r="D1187">
        <v>0</v>
      </c>
      <c r="E1187">
        <v>0</v>
      </c>
      <c r="F1187">
        <v>0</v>
      </c>
      <c r="G1187">
        <v>0</v>
      </c>
      <c r="H1187">
        <v>1</v>
      </c>
      <c r="I1187">
        <v>1</v>
      </c>
      <c r="J1187">
        <v>37357.851684039299</v>
      </c>
      <c r="K1187">
        <v>31820.1895907088</v>
      </c>
      <c r="L1187">
        <v>33.194000000000003</v>
      </c>
      <c r="M1187">
        <v>75.918999999999997</v>
      </c>
      <c r="N1187">
        <v>11.145</v>
      </c>
    </row>
    <row r="1188" spans="1:14" x14ac:dyDescent="0.45">
      <c r="A1188">
        <v>1986</v>
      </c>
      <c r="B1188" t="s">
        <v>150</v>
      </c>
      <c r="C1188">
        <v>0</v>
      </c>
      <c r="D1188">
        <v>1</v>
      </c>
      <c r="E1188">
        <v>0</v>
      </c>
      <c r="F1188">
        <v>1</v>
      </c>
      <c r="G1188">
        <v>0</v>
      </c>
      <c r="H1188">
        <v>0</v>
      </c>
      <c r="I1188">
        <v>0</v>
      </c>
      <c r="J1188">
        <v>7361.8915522216003</v>
      </c>
      <c r="K1188">
        <v>7255.36614116291</v>
      </c>
      <c r="L1188">
        <v>51.372</v>
      </c>
      <c r="M1188">
        <v>70.445999999999998</v>
      </c>
      <c r="N1188">
        <v>31.548999999999999</v>
      </c>
    </row>
    <row r="1189" spans="1:14" x14ac:dyDescent="0.45">
      <c r="A1189">
        <v>1986</v>
      </c>
      <c r="B1189" t="s">
        <v>151</v>
      </c>
      <c r="C1189">
        <v>0</v>
      </c>
      <c r="D1189">
        <v>0</v>
      </c>
      <c r="E1189">
        <v>0</v>
      </c>
      <c r="F1189">
        <v>1</v>
      </c>
      <c r="G1189">
        <v>0</v>
      </c>
      <c r="H1189">
        <v>0</v>
      </c>
      <c r="I1189">
        <v>0</v>
      </c>
      <c r="J1189">
        <v>9340.2161374905209</v>
      </c>
      <c r="K1189">
        <v>9265.9174373361002</v>
      </c>
      <c r="L1189">
        <v>31.684999999999999</v>
      </c>
      <c r="M1189">
        <v>68.962000000000003</v>
      </c>
      <c r="N1189">
        <v>42.198999999999998</v>
      </c>
    </row>
    <row r="1190" spans="1:14" x14ac:dyDescent="0.45">
      <c r="A1190">
        <v>1986</v>
      </c>
      <c r="B1190" t="s">
        <v>152</v>
      </c>
      <c r="C1190">
        <v>0</v>
      </c>
      <c r="D1190">
        <v>0</v>
      </c>
      <c r="E1190">
        <v>0</v>
      </c>
      <c r="F1190">
        <v>0</v>
      </c>
      <c r="G1190">
        <v>0</v>
      </c>
      <c r="H1190">
        <v>1</v>
      </c>
      <c r="I1190">
        <v>1</v>
      </c>
      <c r="J1190">
        <v>29695.016856585102</v>
      </c>
      <c r="K1190">
        <v>27507.4539570985</v>
      </c>
      <c r="L1190">
        <v>23.164999999999999</v>
      </c>
      <c r="M1190">
        <v>78.212000000000003</v>
      </c>
      <c r="N1190">
        <v>7.0949999999999998</v>
      </c>
    </row>
    <row r="1191" spans="1:14" x14ac:dyDescent="0.45">
      <c r="A1191">
        <v>1986</v>
      </c>
      <c r="B1191" t="s">
        <v>153</v>
      </c>
      <c r="C1191">
        <v>1</v>
      </c>
      <c r="D1191">
        <v>0</v>
      </c>
      <c r="E1191">
        <v>0</v>
      </c>
      <c r="F1191">
        <v>1</v>
      </c>
      <c r="G1191">
        <v>0</v>
      </c>
      <c r="H1191">
        <v>0</v>
      </c>
      <c r="I1191">
        <v>0</v>
      </c>
      <c r="L1191">
        <v>43.878999999999998</v>
      </c>
      <c r="M1191">
        <v>65.787999999999997</v>
      </c>
      <c r="N1191">
        <v>57.585000000000001</v>
      </c>
    </row>
    <row r="1192" spans="1:14" x14ac:dyDescent="0.45">
      <c r="A1192">
        <v>1986</v>
      </c>
      <c r="B1192" t="s">
        <v>154</v>
      </c>
      <c r="C1192">
        <v>0</v>
      </c>
      <c r="D1192">
        <v>0</v>
      </c>
      <c r="E1192">
        <v>1</v>
      </c>
      <c r="F1192">
        <v>0</v>
      </c>
      <c r="G1192">
        <v>0</v>
      </c>
      <c r="H1192">
        <v>0</v>
      </c>
      <c r="I1192">
        <v>0</v>
      </c>
      <c r="J1192">
        <v>3811.8170460187398</v>
      </c>
      <c r="K1192">
        <v>3285.2001856276102</v>
      </c>
      <c r="L1192">
        <v>83.82</v>
      </c>
      <c r="M1192">
        <v>60.817999999999998</v>
      </c>
      <c r="N1192">
        <v>96.462000000000003</v>
      </c>
    </row>
    <row r="1193" spans="1:14" x14ac:dyDescent="0.45">
      <c r="A1193">
        <v>1986</v>
      </c>
      <c r="B1193" t="s">
        <v>155</v>
      </c>
      <c r="C1193">
        <v>1</v>
      </c>
      <c r="D1193">
        <v>0</v>
      </c>
      <c r="E1193">
        <v>0</v>
      </c>
      <c r="F1193">
        <v>1</v>
      </c>
      <c r="G1193">
        <v>0</v>
      </c>
      <c r="H1193">
        <v>0</v>
      </c>
      <c r="I1193">
        <v>0</v>
      </c>
      <c r="J1193">
        <v>5289.7285909950797</v>
      </c>
      <c r="K1193">
        <v>4470.7095215716399</v>
      </c>
      <c r="L1193">
        <v>61.673000000000002</v>
      </c>
      <c r="M1193">
        <v>64.727999999999994</v>
      </c>
      <c r="N1193">
        <v>75.58</v>
      </c>
    </row>
    <row r="1194" spans="1:14" x14ac:dyDescent="0.45">
      <c r="A1194">
        <v>1986</v>
      </c>
      <c r="B1194" t="s">
        <v>156</v>
      </c>
      <c r="C1194">
        <v>0</v>
      </c>
      <c r="D1194">
        <v>0</v>
      </c>
      <c r="E1194">
        <v>0</v>
      </c>
      <c r="F1194">
        <v>0</v>
      </c>
      <c r="G1194">
        <v>0</v>
      </c>
      <c r="H1194">
        <v>0</v>
      </c>
      <c r="I1194">
        <v>0</v>
      </c>
      <c r="J1194">
        <v>2118.6434361934198</v>
      </c>
      <c r="K1194">
        <v>1899.7203809858099</v>
      </c>
      <c r="L1194">
        <v>85.757999999999996</v>
      </c>
      <c r="M1194">
        <v>51.555</v>
      </c>
      <c r="N1194">
        <v>131.905</v>
      </c>
    </row>
    <row r="1195" spans="1:14" x14ac:dyDescent="0.45">
      <c r="A1195">
        <v>1986</v>
      </c>
      <c r="B1195" t="s">
        <v>157</v>
      </c>
      <c r="C1195">
        <v>0</v>
      </c>
      <c r="D1195">
        <v>0</v>
      </c>
      <c r="E1195">
        <v>0</v>
      </c>
      <c r="F1195">
        <v>1</v>
      </c>
      <c r="G1195">
        <v>0</v>
      </c>
      <c r="H1195">
        <v>0</v>
      </c>
      <c r="I1195">
        <v>0</v>
      </c>
      <c r="J1195">
        <v>2265.5536671648902</v>
      </c>
      <c r="K1195">
        <v>2049.4182554931099</v>
      </c>
      <c r="L1195">
        <v>66.171999999999997</v>
      </c>
      <c r="M1195">
        <v>59.118000000000002</v>
      </c>
      <c r="N1195">
        <v>104.533</v>
      </c>
    </row>
    <row r="1196" spans="1:14" x14ac:dyDescent="0.45">
      <c r="A1196">
        <v>1986</v>
      </c>
      <c r="B1196" t="s">
        <v>158</v>
      </c>
      <c r="C1196">
        <v>0</v>
      </c>
      <c r="D1196">
        <v>1</v>
      </c>
      <c r="E1196">
        <v>0</v>
      </c>
      <c r="F1196">
        <v>0</v>
      </c>
      <c r="G1196">
        <v>1</v>
      </c>
      <c r="H1196">
        <v>0</v>
      </c>
      <c r="I1196">
        <v>0</v>
      </c>
      <c r="J1196">
        <v>10246.6956019916</v>
      </c>
      <c r="K1196">
        <v>10120.0056442853</v>
      </c>
      <c r="L1196">
        <v>64.884</v>
      </c>
      <c r="M1196">
        <v>65.554000000000002</v>
      </c>
      <c r="N1196">
        <v>35.756999999999998</v>
      </c>
    </row>
    <row r="1197" spans="1:14" x14ac:dyDescent="0.45">
      <c r="A1197">
        <v>1986</v>
      </c>
      <c r="B1197" t="s">
        <v>159</v>
      </c>
      <c r="C1197">
        <v>0</v>
      </c>
      <c r="D1197">
        <v>0</v>
      </c>
      <c r="E1197">
        <v>0</v>
      </c>
      <c r="F1197">
        <v>0</v>
      </c>
      <c r="G1197">
        <v>1</v>
      </c>
      <c r="H1197">
        <v>0</v>
      </c>
      <c r="I1197">
        <v>0</v>
      </c>
      <c r="J1197">
        <v>9567.8809032746794</v>
      </c>
      <c r="K1197">
        <v>8722.2954755869796</v>
      </c>
      <c r="L1197">
        <v>33.320999999999998</v>
      </c>
      <c r="M1197">
        <v>69.034999999999997</v>
      </c>
      <c r="N1197">
        <v>22.472000000000001</v>
      </c>
    </row>
    <row r="1198" spans="1:14" x14ac:dyDescent="0.45">
      <c r="A1198">
        <v>1986</v>
      </c>
      <c r="B1198" t="s">
        <v>160</v>
      </c>
      <c r="C1198">
        <v>0</v>
      </c>
      <c r="D1198">
        <v>0</v>
      </c>
      <c r="E1198">
        <v>0</v>
      </c>
      <c r="F1198">
        <v>0</v>
      </c>
      <c r="G1198">
        <v>0</v>
      </c>
      <c r="H1198">
        <v>1</v>
      </c>
      <c r="I1198">
        <v>1</v>
      </c>
      <c r="J1198">
        <v>34279.758367762297</v>
      </c>
      <c r="K1198">
        <v>30529.557094645501</v>
      </c>
      <c r="L1198">
        <v>2.0830000000000002</v>
      </c>
      <c r="M1198">
        <v>73.78</v>
      </c>
      <c r="N1198">
        <v>22.253</v>
      </c>
    </row>
    <row r="1199" spans="1:14" x14ac:dyDescent="0.45">
      <c r="A1199">
        <v>1986</v>
      </c>
      <c r="B1199" t="s">
        <v>161</v>
      </c>
      <c r="C1199">
        <v>0</v>
      </c>
      <c r="D1199">
        <v>0</v>
      </c>
      <c r="E1199">
        <v>0</v>
      </c>
      <c r="F1199">
        <v>0</v>
      </c>
      <c r="G1199">
        <v>0</v>
      </c>
      <c r="H1199">
        <v>0</v>
      </c>
      <c r="I1199">
        <v>0</v>
      </c>
      <c r="J1199">
        <v>1942.58211509742</v>
      </c>
      <c r="K1199">
        <v>1866.6419093232801</v>
      </c>
      <c r="L1199">
        <v>85.882000000000005</v>
      </c>
      <c r="M1199">
        <v>52.143999999999998</v>
      </c>
      <c r="N1199">
        <v>173.36799999999999</v>
      </c>
    </row>
    <row r="1200" spans="1:14" x14ac:dyDescent="0.45">
      <c r="A1200">
        <v>1986</v>
      </c>
      <c r="B1200" t="s">
        <v>162</v>
      </c>
      <c r="C1200">
        <v>0</v>
      </c>
      <c r="D1200">
        <v>0</v>
      </c>
      <c r="E1200">
        <v>0</v>
      </c>
      <c r="F1200">
        <v>1</v>
      </c>
      <c r="G1200">
        <v>0</v>
      </c>
      <c r="H1200">
        <v>0</v>
      </c>
      <c r="I1200">
        <v>0</v>
      </c>
      <c r="J1200">
        <v>17646.500700417699</v>
      </c>
      <c r="K1200">
        <v>22936.8052946674</v>
      </c>
      <c r="L1200">
        <v>19.545999999999999</v>
      </c>
      <c r="M1200">
        <v>62.011000000000003</v>
      </c>
      <c r="N1200">
        <v>47.828000000000003</v>
      </c>
    </row>
    <row r="1201" spans="1:14" x14ac:dyDescent="0.45">
      <c r="A1201">
        <v>1986</v>
      </c>
      <c r="B1201" t="s">
        <v>163</v>
      </c>
      <c r="C1201">
        <v>0</v>
      </c>
      <c r="D1201">
        <v>0</v>
      </c>
      <c r="E1201">
        <v>1</v>
      </c>
      <c r="F1201">
        <v>0</v>
      </c>
      <c r="G1201">
        <v>0</v>
      </c>
      <c r="H1201">
        <v>0</v>
      </c>
      <c r="I1201">
        <v>0</v>
      </c>
      <c r="J1201">
        <v>2999.6950772843702</v>
      </c>
      <c r="K1201">
        <v>4431.88583754514</v>
      </c>
      <c r="L1201">
        <v>55.043999999999997</v>
      </c>
      <c r="M1201">
        <v>44.494</v>
      </c>
      <c r="N1201">
        <v>246.57599999999999</v>
      </c>
    </row>
    <row r="1202" spans="1:14" x14ac:dyDescent="0.45">
      <c r="A1202">
        <v>1986</v>
      </c>
      <c r="B1202" t="s">
        <v>164</v>
      </c>
      <c r="C1202">
        <v>0</v>
      </c>
      <c r="D1202">
        <v>0</v>
      </c>
      <c r="E1202">
        <v>0</v>
      </c>
      <c r="F1202">
        <v>0</v>
      </c>
      <c r="G1202">
        <v>1</v>
      </c>
      <c r="H1202">
        <v>0</v>
      </c>
      <c r="I1202">
        <v>0</v>
      </c>
      <c r="J1202">
        <v>23295.637185696502</v>
      </c>
      <c r="K1202">
        <v>27225.498062873699</v>
      </c>
      <c r="L1202">
        <v>24.495000000000001</v>
      </c>
      <c r="M1202">
        <v>67.805999999999997</v>
      </c>
      <c r="N1202">
        <v>51.704000000000001</v>
      </c>
    </row>
    <row r="1203" spans="1:14" x14ac:dyDescent="0.45">
      <c r="A1203">
        <v>1986</v>
      </c>
      <c r="B1203" t="s">
        <v>165</v>
      </c>
      <c r="C1203">
        <v>0</v>
      </c>
      <c r="D1203">
        <v>1</v>
      </c>
      <c r="E1203">
        <v>0</v>
      </c>
      <c r="F1203">
        <v>1</v>
      </c>
      <c r="G1203">
        <v>0</v>
      </c>
      <c r="H1203">
        <v>0</v>
      </c>
      <c r="I1203">
        <v>0</v>
      </c>
      <c r="J1203">
        <v>12262.690248885599</v>
      </c>
      <c r="K1203">
        <v>8821.8652939684307</v>
      </c>
      <c r="L1203">
        <v>71.795000000000002</v>
      </c>
      <c r="M1203">
        <v>70.228999999999999</v>
      </c>
      <c r="N1203">
        <v>23.4</v>
      </c>
    </row>
    <row r="1204" spans="1:14" x14ac:dyDescent="0.45">
      <c r="A1204">
        <v>1986</v>
      </c>
      <c r="B1204" t="s">
        <v>166</v>
      </c>
      <c r="C1204">
        <v>1</v>
      </c>
      <c r="D1204">
        <v>0</v>
      </c>
      <c r="E1204">
        <v>0</v>
      </c>
      <c r="F1204">
        <v>0</v>
      </c>
      <c r="G1204">
        <v>0</v>
      </c>
      <c r="H1204">
        <v>1</v>
      </c>
      <c r="I1204">
        <v>1</v>
      </c>
      <c r="L1204">
        <v>82.521000000000001</v>
      </c>
      <c r="M1204">
        <v>77.23</v>
      </c>
      <c r="N1204">
        <v>14.417999999999999</v>
      </c>
    </row>
    <row r="1205" spans="1:14" x14ac:dyDescent="0.45">
      <c r="A1205">
        <v>1986</v>
      </c>
      <c r="B1205" t="s">
        <v>167</v>
      </c>
      <c r="C1205">
        <v>0</v>
      </c>
      <c r="D1205">
        <v>0</v>
      </c>
      <c r="E1205">
        <v>0</v>
      </c>
      <c r="F1205">
        <v>0</v>
      </c>
      <c r="G1205">
        <v>0</v>
      </c>
      <c r="H1205">
        <v>0</v>
      </c>
      <c r="I1205">
        <v>0</v>
      </c>
      <c r="J1205">
        <v>4284.8563492055</v>
      </c>
      <c r="K1205">
        <v>4001.9881075727599</v>
      </c>
      <c r="L1205">
        <v>81.403000000000006</v>
      </c>
      <c r="M1205">
        <v>68.962000000000003</v>
      </c>
      <c r="N1205">
        <v>28.099</v>
      </c>
    </row>
    <row r="1206" spans="1:14" x14ac:dyDescent="0.45">
      <c r="A1206">
        <v>1986</v>
      </c>
      <c r="B1206" t="s">
        <v>168</v>
      </c>
      <c r="C1206">
        <v>0</v>
      </c>
      <c r="D1206">
        <v>0</v>
      </c>
      <c r="E1206">
        <v>1</v>
      </c>
      <c r="F1206">
        <v>0</v>
      </c>
      <c r="G1206">
        <v>0</v>
      </c>
      <c r="H1206">
        <v>0</v>
      </c>
      <c r="I1206">
        <v>0</v>
      </c>
      <c r="J1206">
        <v>1290.52593558985</v>
      </c>
      <c r="K1206">
        <v>1155.5629858643699</v>
      </c>
      <c r="L1206">
        <v>88.094999999999999</v>
      </c>
      <c r="M1206">
        <v>59.345999999999997</v>
      </c>
      <c r="N1206">
        <v>94.819000000000003</v>
      </c>
    </row>
    <row r="1207" spans="1:14" x14ac:dyDescent="0.45">
      <c r="A1207">
        <v>1986</v>
      </c>
      <c r="B1207" t="s">
        <v>169</v>
      </c>
      <c r="C1207">
        <v>1</v>
      </c>
      <c r="D1207">
        <v>0</v>
      </c>
      <c r="E1207">
        <v>0</v>
      </c>
      <c r="F1207">
        <v>0</v>
      </c>
      <c r="G1207">
        <v>1</v>
      </c>
      <c r="H1207">
        <v>0</v>
      </c>
      <c r="I1207">
        <v>0</v>
      </c>
      <c r="L1207">
        <v>34.207000000000001</v>
      </c>
      <c r="M1207">
        <v>72.388000000000005</v>
      </c>
      <c r="N1207">
        <v>15.395</v>
      </c>
    </row>
    <row r="1208" spans="1:14" x14ac:dyDescent="0.45">
      <c r="A1208">
        <v>1986</v>
      </c>
      <c r="B1208" t="s">
        <v>170</v>
      </c>
      <c r="C1208">
        <v>1</v>
      </c>
      <c r="D1208">
        <v>0</v>
      </c>
      <c r="E1208">
        <v>0</v>
      </c>
      <c r="F1208">
        <v>0</v>
      </c>
      <c r="G1208">
        <v>0</v>
      </c>
      <c r="H1208">
        <v>1</v>
      </c>
      <c r="I1208">
        <v>1</v>
      </c>
      <c r="J1208">
        <v>61517.644860794397</v>
      </c>
      <c r="K1208">
        <v>52570.599376140002</v>
      </c>
      <c r="L1208">
        <v>19.274999999999999</v>
      </c>
      <c r="M1208">
        <v>74.084999999999994</v>
      </c>
      <c r="N1208">
        <v>9.6140000000000008</v>
      </c>
    </row>
    <row r="1209" spans="1:14" x14ac:dyDescent="0.45">
      <c r="A1209">
        <v>1986</v>
      </c>
      <c r="B1209" t="s">
        <v>171</v>
      </c>
      <c r="C1209">
        <v>1</v>
      </c>
      <c r="D1209">
        <v>0</v>
      </c>
      <c r="E1209">
        <v>0</v>
      </c>
      <c r="F1209">
        <v>0</v>
      </c>
      <c r="G1209">
        <v>1</v>
      </c>
      <c r="H1209">
        <v>0</v>
      </c>
      <c r="I1209">
        <v>0</v>
      </c>
      <c r="L1209">
        <v>31.218</v>
      </c>
      <c r="M1209">
        <v>70.962999999999994</v>
      </c>
      <c r="N1209">
        <v>17.425000000000001</v>
      </c>
    </row>
    <row r="1210" spans="1:14" x14ac:dyDescent="0.45">
      <c r="A1210">
        <v>1986</v>
      </c>
      <c r="B1210" t="s">
        <v>172</v>
      </c>
      <c r="C1210">
        <v>0</v>
      </c>
      <c r="D1210">
        <v>0</v>
      </c>
      <c r="E1210">
        <v>0</v>
      </c>
      <c r="F1210">
        <v>0</v>
      </c>
      <c r="G1210">
        <v>1</v>
      </c>
      <c r="H1210">
        <v>0</v>
      </c>
      <c r="I1210">
        <v>0</v>
      </c>
      <c r="J1210">
        <v>44727.392045407301</v>
      </c>
      <c r="K1210">
        <v>40533.818218545697</v>
      </c>
      <c r="L1210">
        <v>0.51399999999999602</v>
      </c>
      <c r="M1210">
        <v>74.981999999999999</v>
      </c>
      <c r="N1210">
        <v>16.562000000000001</v>
      </c>
    </row>
    <row r="1211" spans="1:14" x14ac:dyDescent="0.45">
      <c r="A1211">
        <v>1986</v>
      </c>
      <c r="B1211" t="s">
        <v>173</v>
      </c>
      <c r="C1211">
        <v>0</v>
      </c>
      <c r="D1211">
        <v>1</v>
      </c>
      <c r="E1211">
        <v>0</v>
      </c>
      <c r="F1211">
        <v>0</v>
      </c>
      <c r="G1211">
        <v>0</v>
      </c>
      <c r="H1211">
        <v>1</v>
      </c>
      <c r="I1211">
        <v>1</v>
      </c>
      <c r="L1211">
        <v>0</v>
      </c>
      <c r="M1211">
        <v>73.200999999999993</v>
      </c>
      <c r="N1211">
        <v>24.907</v>
      </c>
    </row>
    <row r="1212" spans="1:14" x14ac:dyDescent="0.45">
      <c r="A1212">
        <v>1986</v>
      </c>
      <c r="B1212" t="s">
        <v>174</v>
      </c>
      <c r="C1212">
        <v>0</v>
      </c>
      <c r="D1212">
        <v>0</v>
      </c>
      <c r="E1212">
        <v>0</v>
      </c>
      <c r="F1212">
        <v>1</v>
      </c>
      <c r="G1212">
        <v>0</v>
      </c>
      <c r="H1212">
        <v>0</v>
      </c>
      <c r="I1212">
        <v>0</v>
      </c>
      <c r="J1212">
        <v>3851.2805897937201</v>
      </c>
      <c r="K1212">
        <v>3698.6483308268798</v>
      </c>
      <c r="L1212">
        <v>54.502000000000002</v>
      </c>
      <c r="M1212">
        <v>59.951000000000001</v>
      </c>
      <c r="N1212">
        <v>97.846999999999994</v>
      </c>
    </row>
    <row r="1213" spans="1:14" x14ac:dyDescent="0.45">
      <c r="A1213">
        <v>1986</v>
      </c>
      <c r="B1213" t="s">
        <v>175</v>
      </c>
      <c r="C1213">
        <v>1</v>
      </c>
      <c r="D1213">
        <v>0</v>
      </c>
      <c r="E1213">
        <v>0</v>
      </c>
      <c r="F1213">
        <v>0</v>
      </c>
      <c r="G1213">
        <v>0</v>
      </c>
      <c r="H1213">
        <v>1</v>
      </c>
      <c r="I1213">
        <v>1</v>
      </c>
      <c r="L1213">
        <v>0</v>
      </c>
      <c r="M1213">
        <v>78.400000000000006</v>
      </c>
      <c r="N1213">
        <v>12.032</v>
      </c>
    </row>
    <row r="1214" spans="1:14" x14ac:dyDescent="0.45">
      <c r="A1214">
        <v>1986</v>
      </c>
      <c r="B1214" t="s">
        <v>176</v>
      </c>
      <c r="C1214">
        <v>1</v>
      </c>
      <c r="D1214">
        <v>0</v>
      </c>
      <c r="E1214">
        <v>0</v>
      </c>
      <c r="F1214">
        <v>1</v>
      </c>
      <c r="G1214">
        <v>0</v>
      </c>
      <c r="H1214">
        <v>0</v>
      </c>
      <c r="I1214">
        <v>0</v>
      </c>
      <c r="L1214">
        <v>55.055999999999997</v>
      </c>
      <c r="M1214">
        <v>67.394999999999996</v>
      </c>
      <c r="N1214">
        <v>38.898000000000003</v>
      </c>
    </row>
    <row r="1215" spans="1:14" x14ac:dyDescent="0.45">
      <c r="A1215">
        <v>1986</v>
      </c>
      <c r="B1215" t="s">
        <v>177</v>
      </c>
      <c r="C1215">
        <v>0</v>
      </c>
      <c r="D1215">
        <v>0</v>
      </c>
      <c r="E1215">
        <v>1</v>
      </c>
      <c r="F1215">
        <v>0</v>
      </c>
      <c r="G1215">
        <v>0</v>
      </c>
      <c r="H1215">
        <v>0</v>
      </c>
      <c r="I1215">
        <v>0</v>
      </c>
      <c r="J1215">
        <v>1989.03421427591</v>
      </c>
      <c r="K1215">
        <v>1842.6940936801</v>
      </c>
      <c r="L1215">
        <v>78.558000000000007</v>
      </c>
      <c r="M1215">
        <v>50.651000000000003</v>
      </c>
      <c r="N1215">
        <v>172.73699999999999</v>
      </c>
    </row>
    <row r="1216" spans="1:14" x14ac:dyDescent="0.45">
      <c r="A1216">
        <v>1986</v>
      </c>
      <c r="B1216" t="s">
        <v>178</v>
      </c>
      <c r="C1216">
        <v>0</v>
      </c>
      <c r="D1216">
        <v>0</v>
      </c>
      <c r="E1216">
        <v>0</v>
      </c>
      <c r="F1216">
        <v>0</v>
      </c>
      <c r="G1216">
        <v>0</v>
      </c>
      <c r="H1216">
        <v>0</v>
      </c>
      <c r="I1216">
        <v>0</v>
      </c>
      <c r="J1216">
        <v>7291.2191737762596</v>
      </c>
      <c r="K1216">
        <v>7193.3950625593998</v>
      </c>
      <c r="L1216">
        <v>74.430000000000007</v>
      </c>
      <c r="M1216">
        <v>59.993000000000002</v>
      </c>
      <c r="N1216">
        <v>107.791</v>
      </c>
    </row>
    <row r="1217" spans="1:14" x14ac:dyDescent="0.45">
      <c r="A1217">
        <v>1986</v>
      </c>
      <c r="B1217" t="s">
        <v>179</v>
      </c>
      <c r="C1217">
        <v>0</v>
      </c>
      <c r="D1217">
        <v>1</v>
      </c>
      <c r="E1217">
        <v>0</v>
      </c>
      <c r="F1217">
        <v>1</v>
      </c>
      <c r="G1217">
        <v>0</v>
      </c>
      <c r="H1217">
        <v>0</v>
      </c>
      <c r="I1217">
        <v>0</v>
      </c>
      <c r="J1217">
        <v>18074.763843023698</v>
      </c>
      <c r="K1217">
        <v>16803.659535207102</v>
      </c>
      <c r="L1217">
        <v>30.541</v>
      </c>
      <c r="M1217">
        <v>67.376999999999995</v>
      </c>
      <c r="N1217">
        <v>54.36</v>
      </c>
    </row>
    <row r="1218" spans="1:14" x14ac:dyDescent="0.45">
      <c r="A1218">
        <v>1986</v>
      </c>
      <c r="B1218" t="s">
        <v>180</v>
      </c>
      <c r="C1218">
        <v>0</v>
      </c>
      <c r="D1218">
        <v>0</v>
      </c>
      <c r="E1218">
        <v>0</v>
      </c>
      <c r="F1218">
        <v>1</v>
      </c>
      <c r="G1218">
        <v>0</v>
      </c>
      <c r="H1218">
        <v>0</v>
      </c>
      <c r="I1218">
        <v>0</v>
      </c>
      <c r="J1218">
        <v>3728.69549888454</v>
      </c>
      <c r="K1218">
        <v>3372.5487267243102</v>
      </c>
      <c r="L1218">
        <v>37.289000000000001</v>
      </c>
      <c r="M1218">
        <v>61.777999999999999</v>
      </c>
      <c r="N1218">
        <v>54.555</v>
      </c>
    </row>
    <row r="1219" spans="1:14" x14ac:dyDescent="0.45">
      <c r="A1219">
        <v>1986</v>
      </c>
      <c r="B1219" t="s">
        <v>181</v>
      </c>
      <c r="C1219">
        <v>1</v>
      </c>
      <c r="D1219">
        <v>0</v>
      </c>
      <c r="E1219">
        <v>0</v>
      </c>
      <c r="F1219">
        <v>0</v>
      </c>
      <c r="G1219">
        <v>1</v>
      </c>
      <c r="H1219">
        <v>0</v>
      </c>
      <c r="I1219">
        <v>0</v>
      </c>
      <c r="L1219">
        <v>43.883000000000003</v>
      </c>
      <c r="M1219">
        <v>70.293000000000006</v>
      </c>
      <c r="N1219">
        <v>45.707000000000001</v>
      </c>
    </row>
    <row r="1220" spans="1:14" x14ac:dyDescent="0.45">
      <c r="A1220">
        <v>1986</v>
      </c>
      <c r="B1220" t="s">
        <v>182</v>
      </c>
      <c r="C1220">
        <v>0</v>
      </c>
      <c r="D1220">
        <v>0</v>
      </c>
      <c r="E1220">
        <v>1</v>
      </c>
      <c r="F1220">
        <v>0</v>
      </c>
      <c r="G1220">
        <v>0</v>
      </c>
      <c r="H1220">
        <v>0</v>
      </c>
      <c r="I1220">
        <v>0</v>
      </c>
      <c r="J1220">
        <v>1513.63502134433</v>
      </c>
      <c r="K1220">
        <v>1401.0353818298599</v>
      </c>
      <c r="L1220">
        <v>78.451999999999998</v>
      </c>
      <c r="M1220">
        <v>44.62</v>
      </c>
      <c r="N1220">
        <v>257.541</v>
      </c>
    </row>
    <row r="1221" spans="1:14" x14ac:dyDescent="0.45">
      <c r="A1221">
        <v>1986</v>
      </c>
      <c r="B1221" t="s">
        <v>183</v>
      </c>
      <c r="C1221">
        <v>0</v>
      </c>
      <c r="D1221">
        <v>0</v>
      </c>
      <c r="E1221">
        <v>0</v>
      </c>
      <c r="F1221">
        <v>0</v>
      </c>
      <c r="G1221">
        <v>1</v>
      </c>
      <c r="H1221">
        <v>0</v>
      </c>
      <c r="I1221">
        <v>0</v>
      </c>
      <c r="J1221">
        <v>15108.735014133401</v>
      </c>
      <c r="K1221">
        <v>13069.7952958112</v>
      </c>
      <c r="L1221">
        <v>10.093</v>
      </c>
      <c r="M1221">
        <v>74.481999999999999</v>
      </c>
      <c r="N1221">
        <v>12.013999999999999</v>
      </c>
    </row>
    <row r="1222" spans="1:14" x14ac:dyDescent="0.45">
      <c r="A1222">
        <v>1986</v>
      </c>
      <c r="B1222" t="s">
        <v>184</v>
      </c>
      <c r="C1222">
        <v>0</v>
      </c>
      <c r="D1222">
        <v>0</v>
      </c>
      <c r="E1222">
        <v>0</v>
      </c>
      <c r="F1222">
        <v>0</v>
      </c>
      <c r="G1222">
        <v>0</v>
      </c>
      <c r="H1222">
        <v>0</v>
      </c>
      <c r="I1222">
        <v>0</v>
      </c>
      <c r="J1222">
        <v>956.68226519305904</v>
      </c>
      <c r="K1222">
        <v>766.01848616382802</v>
      </c>
      <c r="L1222">
        <v>75.447999999999993</v>
      </c>
      <c r="M1222">
        <v>56.084000000000003</v>
      </c>
      <c r="N1222">
        <v>124.69799999999999</v>
      </c>
    </row>
    <row r="1223" spans="1:14" x14ac:dyDescent="0.45">
      <c r="A1223">
        <v>1986</v>
      </c>
      <c r="B1223" t="s">
        <v>185</v>
      </c>
      <c r="C1223">
        <v>1</v>
      </c>
      <c r="D1223">
        <v>0</v>
      </c>
      <c r="E1223">
        <v>0</v>
      </c>
      <c r="F1223">
        <v>0</v>
      </c>
      <c r="G1223">
        <v>1</v>
      </c>
      <c r="H1223">
        <v>0</v>
      </c>
      <c r="I1223">
        <v>0</v>
      </c>
      <c r="L1223">
        <v>56.543999999999997</v>
      </c>
      <c r="M1223">
        <v>72.778999999999996</v>
      </c>
      <c r="N1223">
        <v>23.75</v>
      </c>
    </row>
    <row r="1224" spans="1:14" x14ac:dyDescent="0.45">
      <c r="A1224">
        <v>1986</v>
      </c>
      <c r="B1224" t="s">
        <v>186</v>
      </c>
      <c r="C1224">
        <v>0</v>
      </c>
      <c r="D1224">
        <v>0</v>
      </c>
      <c r="E1224">
        <v>0</v>
      </c>
      <c r="F1224">
        <v>1</v>
      </c>
      <c r="G1224">
        <v>0</v>
      </c>
      <c r="H1224">
        <v>0</v>
      </c>
      <c r="I1224">
        <v>0</v>
      </c>
      <c r="J1224">
        <v>5922.1154649940499</v>
      </c>
      <c r="K1224">
        <v>4562.8472519684901</v>
      </c>
      <c r="L1224">
        <v>44.372</v>
      </c>
      <c r="M1224">
        <v>56.762999999999998</v>
      </c>
      <c r="N1224">
        <v>127.295</v>
      </c>
    </row>
    <row r="1225" spans="1:14" x14ac:dyDescent="0.45">
      <c r="A1225">
        <v>1986</v>
      </c>
      <c r="B1225" t="s">
        <v>187</v>
      </c>
      <c r="C1225">
        <v>0</v>
      </c>
      <c r="D1225">
        <v>0</v>
      </c>
      <c r="E1225">
        <v>0</v>
      </c>
      <c r="F1225">
        <v>1</v>
      </c>
      <c r="G1225">
        <v>0</v>
      </c>
      <c r="H1225">
        <v>0</v>
      </c>
      <c r="I1225">
        <v>0</v>
      </c>
      <c r="L1225">
        <v>11.321</v>
      </c>
      <c r="M1225">
        <v>69.356999999999999</v>
      </c>
      <c r="N1225">
        <v>11.287000000000001</v>
      </c>
    </row>
    <row r="1226" spans="1:14" x14ac:dyDescent="0.45">
      <c r="A1226">
        <v>1986</v>
      </c>
      <c r="B1226" t="s">
        <v>188</v>
      </c>
      <c r="C1226">
        <v>0</v>
      </c>
      <c r="D1226">
        <v>0</v>
      </c>
      <c r="E1226">
        <v>1</v>
      </c>
      <c r="F1226">
        <v>0</v>
      </c>
      <c r="G1226">
        <v>0</v>
      </c>
      <c r="H1226">
        <v>0</v>
      </c>
      <c r="I1226">
        <v>0</v>
      </c>
      <c r="J1226">
        <v>459.92553695383799</v>
      </c>
      <c r="K1226">
        <v>385.09560863590701</v>
      </c>
      <c r="L1226">
        <v>80.459000000000003</v>
      </c>
      <c r="M1226">
        <v>40.951000000000001</v>
      </c>
      <c r="N1226">
        <v>254.45699999999999</v>
      </c>
    </row>
    <row r="1227" spans="1:14" x14ac:dyDescent="0.45">
      <c r="A1227">
        <v>1986</v>
      </c>
      <c r="B1227" t="s">
        <v>189</v>
      </c>
      <c r="C1227">
        <v>0</v>
      </c>
      <c r="D1227">
        <v>0</v>
      </c>
      <c r="E1227">
        <v>1</v>
      </c>
      <c r="F1227">
        <v>0</v>
      </c>
      <c r="G1227">
        <v>0</v>
      </c>
      <c r="H1227">
        <v>0</v>
      </c>
      <c r="I1227">
        <v>0</v>
      </c>
      <c r="J1227">
        <v>5375.1212913526997</v>
      </c>
      <c r="K1227">
        <v>4755.44167554461</v>
      </c>
      <c r="L1227">
        <v>63.366</v>
      </c>
      <c r="M1227">
        <v>56.323</v>
      </c>
      <c r="N1227">
        <v>133.46600000000001</v>
      </c>
    </row>
    <row r="1228" spans="1:14" x14ac:dyDescent="0.45">
      <c r="A1228">
        <v>1986</v>
      </c>
      <c r="B1228" t="s">
        <v>190</v>
      </c>
      <c r="C1228">
        <v>0</v>
      </c>
      <c r="D1228">
        <v>0</v>
      </c>
      <c r="E1228">
        <v>1</v>
      </c>
      <c r="F1228">
        <v>1</v>
      </c>
      <c r="G1228">
        <v>0</v>
      </c>
      <c r="H1228">
        <v>0</v>
      </c>
      <c r="I1228">
        <v>0</v>
      </c>
      <c r="J1228">
        <v>6916.7253303819598</v>
      </c>
      <c r="K1228">
        <v>6492.2091227130104</v>
      </c>
      <c r="L1228">
        <v>57.360999999999997</v>
      </c>
      <c r="M1228">
        <v>68.888000000000005</v>
      </c>
      <c r="N1228">
        <v>25.547000000000001</v>
      </c>
    </row>
    <row r="1229" spans="1:14" x14ac:dyDescent="0.45">
      <c r="A1229">
        <v>1986</v>
      </c>
      <c r="B1229" t="s">
        <v>191</v>
      </c>
      <c r="C1229">
        <v>0</v>
      </c>
      <c r="D1229">
        <v>0</v>
      </c>
      <c r="E1229">
        <v>1</v>
      </c>
      <c r="F1229">
        <v>0</v>
      </c>
      <c r="G1229">
        <v>0</v>
      </c>
      <c r="H1229">
        <v>0</v>
      </c>
      <c r="I1229">
        <v>0</v>
      </c>
      <c r="J1229">
        <v>1189.505153203</v>
      </c>
      <c r="K1229">
        <v>1017.8136074773601</v>
      </c>
      <c r="L1229">
        <v>89.6</v>
      </c>
      <c r="M1229">
        <v>44.298000000000002</v>
      </c>
      <c r="N1229">
        <v>250.86199999999999</v>
      </c>
    </row>
    <row r="1230" spans="1:14" x14ac:dyDescent="0.45">
      <c r="A1230">
        <v>1986</v>
      </c>
      <c r="B1230" t="s">
        <v>192</v>
      </c>
      <c r="C1230">
        <v>0</v>
      </c>
      <c r="D1230">
        <v>0</v>
      </c>
      <c r="E1230">
        <v>0</v>
      </c>
      <c r="F1230">
        <v>1</v>
      </c>
      <c r="G1230">
        <v>0</v>
      </c>
      <c r="H1230">
        <v>0</v>
      </c>
      <c r="I1230">
        <v>0</v>
      </c>
      <c r="J1230">
        <v>10670.422676345101</v>
      </c>
      <c r="K1230">
        <v>9538.0988552649596</v>
      </c>
      <c r="L1230">
        <v>53.329000000000001</v>
      </c>
      <c r="M1230">
        <v>70.132999999999996</v>
      </c>
      <c r="N1230">
        <v>20.635999999999999</v>
      </c>
    </row>
    <row r="1231" spans="1:14" x14ac:dyDescent="0.45">
      <c r="A1231">
        <v>1986</v>
      </c>
      <c r="B1231" t="s">
        <v>193</v>
      </c>
      <c r="C1231">
        <v>0</v>
      </c>
      <c r="D1231">
        <v>0</v>
      </c>
      <c r="E1231">
        <v>1</v>
      </c>
      <c r="F1231">
        <v>1</v>
      </c>
      <c r="G1231">
        <v>0</v>
      </c>
      <c r="H1231">
        <v>0</v>
      </c>
      <c r="I1231">
        <v>0</v>
      </c>
      <c r="J1231">
        <v>7680.7339443254004</v>
      </c>
      <c r="K1231">
        <v>6656.8906072523396</v>
      </c>
      <c r="L1231">
        <v>73.379000000000005</v>
      </c>
      <c r="M1231">
        <v>58.725000000000001</v>
      </c>
      <c r="N1231">
        <v>87.146000000000001</v>
      </c>
    </row>
    <row r="1232" spans="1:14" x14ac:dyDescent="0.45">
      <c r="A1232">
        <v>1986</v>
      </c>
      <c r="B1232" t="s">
        <v>194</v>
      </c>
      <c r="C1232">
        <v>0</v>
      </c>
      <c r="D1232">
        <v>0</v>
      </c>
      <c r="E1232">
        <v>0</v>
      </c>
      <c r="F1232">
        <v>0</v>
      </c>
      <c r="G1232">
        <v>1</v>
      </c>
      <c r="H1232">
        <v>0</v>
      </c>
      <c r="I1232">
        <v>0</v>
      </c>
      <c r="L1232">
        <v>41.015000000000001</v>
      </c>
      <c r="M1232">
        <v>68.239000000000004</v>
      </c>
      <c r="N1232">
        <v>38.101999999999997</v>
      </c>
    </row>
    <row r="1233" spans="1:14" x14ac:dyDescent="0.45">
      <c r="A1233">
        <v>1986</v>
      </c>
      <c r="B1233" t="s">
        <v>195</v>
      </c>
      <c r="C1233">
        <v>0</v>
      </c>
      <c r="D1233">
        <v>0</v>
      </c>
      <c r="E1233">
        <v>1</v>
      </c>
      <c r="F1233">
        <v>0</v>
      </c>
      <c r="G1233">
        <v>0</v>
      </c>
      <c r="H1233">
        <v>0</v>
      </c>
      <c r="I1233">
        <v>0</v>
      </c>
      <c r="J1233">
        <v>1387.5541180360599</v>
      </c>
      <c r="K1233">
        <v>1102.87266996789</v>
      </c>
      <c r="L1233">
        <v>85.236999999999995</v>
      </c>
      <c r="M1233">
        <v>40.250999999999998</v>
      </c>
      <c r="N1233">
        <v>341.59699999999998</v>
      </c>
    </row>
    <row r="1234" spans="1:14" x14ac:dyDescent="0.45">
      <c r="A1234">
        <v>1986</v>
      </c>
      <c r="B1234" t="s">
        <v>196</v>
      </c>
      <c r="C1234">
        <v>0</v>
      </c>
      <c r="D1234">
        <v>0</v>
      </c>
      <c r="E1234">
        <v>1</v>
      </c>
      <c r="F1234">
        <v>0</v>
      </c>
      <c r="G1234">
        <v>0</v>
      </c>
      <c r="H1234">
        <v>0</v>
      </c>
      <c r="I1234">
        <v>0</v>
      </c>
      <c r="J1234">
        <v>3598.4121689232602</v>
      </c>
      <c r="K1234">
        <v>3181.48134408753</v>
      </c>
      <c r="L1234">
        <v>73.585999999999999</v>
      </c>
      <c r="M1234">
        <v>45.953000000000003</v>
      </c>
      <c r="N1234">
        <v>208.74100000000001</v>
      </c>
    </row>
    <row r="1235" spans="1:14" x14ac:dyDescent="0.45">
      <c r="A1235">
        <v>1986</v>
      </c>
      <c r="B1235" t="s">
        <v>197</v>
      </c>
      <c r="C1235">
        <v>0</v>
      </c>
      <c r="D1235">
        <v>1</v>
      </c>
      <c r="E1235">
        <v>0</v>
      </c>
      <c r="F1235">
        <v>1</v>
      </c>
      <c r="G1235">
        <v>0</v>
      </c>
      <c r="H1235">
        <v>0</v>
      </c>
      <c r="I1235">
        <v>0</v>
      </c>
      <c r="J1235">
        <v>5472.6871044617701</v>
      </c>
      <c r="K1235">
        <v>4609.4536332386697</v>
      </c>
      <c r="L1235">
        <v>48.036999999999999</v>
      </c>
      <c r="M1235">
        <v>57.558</v>
      </c>
      <c r="N1235">
        <v>97.596999999999994</v>
      </c>
    </row>
    <row r="1236" spans="1:14" x14ac:dyDescent="0.45">
      <c r="A1236">
        <v>1986</v>
      </c>
      <c r="B1236" t="s">
        <v>198</v>
      </c>
      <c r="C1236">
        <v>1</v>
      </c>
      <c r="D1236">
        <v>0</v>
      </c>
      <c r="E1236">
        <v>0</v>
      </c>
      <c r="F1236">
        <v>0</v>
      </c>
      <c r="G1236">
        <v>0</v>
      </c>
      <c r="H1236">
        <v>1</v>
      </c>
      <c r="I1236">
        <v>1</v>
      </c>
      <c r="J1236">
        <v>38503.934002002497</v>
      </c>
      <c r="K1236">
        <v>32502.827322034598</v>
      </c>
      <c r="L1236">
        <v>32.883000000000003</v>
      </c>
      <c r="M1236">
        <v>76.355000000000004</v>
      </c>
      <c r="N1236">
        <v>9.6280000000000001</v>
      </c>
    </row>
    <row r="1237" spans="1:14" x14ac:dyDescent="0.45">
      <c r="A1237">
        <v>1986</v>
      </c>
      <c r="B1237" t="s">
        <v>199</v>
      </c>
      <c r="C1237">
        <v>1</v>
      </c>
      <c r="D1237">
        <v>0</v>
      </c>
      <c r="E1237">
        <v>0</v>
      </c>
      <c r="F1237">
        <v>0</v>
      </c>
      <c r="G1237">
        <v>0</v>
      </c>
      <c r="H1237">
        <v>1</v>
      </c>
      <c r="I1237">
        <v>1</v>
      </c>
      <c r="J1237">
        <v>54483.409522256297</v>
      </c>
      <c r="K1237">
        <v>40257.116099005201</v>
      </c>
      <c r="L1237">
        <v>28.56</v>
      </c>
      <c r="M1237">
        <v>76.253</v>
      </c>
      <c r="N1237">
        <v>9.5860000000000003</v>
      </c>
    </row>
    <row r="1238" spans="1:14" x14ac:dyDescent="0.45">
      <c r="A1238">
        <v>1986</v>
      </c>
      <c r="B1238" t="s">
        <v>200</v>
      </c>
      <c r="C1238">
        <v>0</v>
      </c>
      <c r="D1238">
        <v>0</v>
      </c>
      <c r="E1238">
        <v>0</v>
      </c>
      <c r="F1238">
        <v>0</v>
      </c>
      <c r="G1238">
        <v>0</v>
      </c>
      <c r="H1238">
        <v>0</v>
      </c>
      <c r="I1238">
        <v>0</v>
      </c>
      <c r="J1238">
        <v>1649.68757703797</v>
      </c>
      <c r="K1238">
        <v>1460.4798322050499</v>
      </c>
      <c r="L1238">
        <v>92.34</v>
      </c>
      <c r="M1238">
        <v>51.594000000000001</v>
      </c>
      <c r="N1238">
        <v>166.65</v>
      </c>
    </row>
    <row r="1239" spans="1:14" x14ac:dyDescent="0.45">
      <c r="A1239">
        <v>1986</v>
      </c>
      <c r="B1239" t="s">
        <v>201</v>
      </c>
      <c r="C1239">
        <v>0</v>
      </c>
      <c r="D1239">
        <v>0</v>
      </c>
      <c r="E1239">
        <v>0</v>
      </c>
      <c r="F1239">
        <v>0</v>
      </c>
      <c r="G1239">
        <v>0</v>
      </c>
      <c r="H1239">
        <v>1</v>
      </c>
      <c r="I1239">
        <v>1</v>
      </c>
      <c r="J1239">
        <v>37691.839199169997</v>
      </c>
      <c r="K1239">
        <v>34100.578452914</v>
      </c>
      <c r="L1239">
        <v>0</v>
      </c>
      <c r="M1239">
        <v>58.591000000000001</v>
      </c>
      <c r="N1239">
        <v>64.061000000000007</v>
      </c>
    </row>
    <row r="1240" spans="1:14" x14ac:dyDescent="0.45">
      <c r="A1240">
        <v>1986</v>
      </c>
      <c r="B1240" t="s">
        <v>202</v>
      </c>
      <c r="C1240">
        <v>0</v>
      </c>
      <c r="D1240">
        <v>0</v>
      </c>
      <c r="E1240">
        <v>0</v>
      </c>
      <c r="F1240">
        <v>0</v>
      </c>
      <c r="G1240">
        <v>0</v>
      </c>
      <c r="H1240">
        <v>1</v>
      </c>
      <c r="I1240">
        <v>1</v>
      </c>
      <c r="J1240">
        <v>29613.1848095801</v>
      </c>
      <c r="K1240">
        <v>26934.731471104798</v>
      </c>
      <c r="L1240">
        <v>16.22</v>
      </c>
      <c r="M1240">
        <v>74.119</v>
      </c>
      <c r="N1240">
        <v>13.933999999999999</v>
      </c>
    </row>
    <row r="1241" spans="1:14" x14ac:dyDescent="0.45">
      <c r="A1241">
        <v>1986</v>
      </c>
      <c r="B1241" t="s">
        <v>203</v>
      </c>
      <c r="C1241">
        <v>0</v>
      </c>
      <c r="D1241">
        <v>0</v>
      </c>
      <c r="E1241">
        <v>0</v>
      </c>
      <c r="F1241">
        <v>0</v>
      </c>
      <c r="G1241">
        <v>1</v>
      </c>
      <c r="H1241">
        <v>0</v>
      </c>
      <c r="I1241">
        <v>0</v>
      </c>
      <c r="J1241">
        <v>38166.807426858897</v>
      </c>
      <c r="K1241">
        <v>33163.924687758998</v>
      </c>
      <c r="L1241">
        <v>41.055999999999997</v>
      </c>
      <c r="M1241">
        <v>66.168000000000006</v>
      </c>
      <c r="N1241">
        <v>59.234999999999999</v>
      </c>
    </row>
    <row r="1242" spans="1:14" x14ac:dyDescent="0.45">
      <c r="A1242">
        <v>1986</v>
      </c>
      <c r="B1242" t="s">
        <v>204</v>
      </c>
      <c r="C1242">
        <v>0</v>
      </c>
      <c r="D1242">
        <v>0</v>
      </c>
      <c r="E1242">
        <v>0</v>
      </c>
      <c r="F1242">
        <v>0</v>
      </c>
      <c r="G1242">
        <v>0</v>
      </c>
      <c r="H1242">
        <v>0</v>
      </c>
      <c r="I1242">
        <v>0</v>
      </c>
      <c r="J1242">
        <v>2899.0254120874401</v>
      </c>
      <c r="K1242">
        <v>2759.5787533662401</v>
      </c>
      <c r="L1242">
        <v>70.412000000000006</v>
      </c>
      <c r="M1242">
        <v>59.167000000000002</v>
      </c>
      <c r="N1242">
        <v>150.38399999999999</v>
      </c>
    </row>
    <row r="1243" spans="1:14" x14ac:dyDescent="0.45">
      <c r="A1243">
        <v>1986</v>
      </c>
      <c r="B1243" t="s">
        <v>205</v>
      </c>
      <c r="C1243">
        <v>0</v>
      </c>
      <c r="D1243">
        <v>1</v>
      </c>
      <c r="E1243">
        <v>0</v>
      </c>
      <c r="F1243">
        <v>0</v>
      </c>
      <c r="G1243">
        <v>1</v>
      </c>
      <c r="H1243">
        <v>0</v>
      </c>
      <c r="I1243">
        <v>0</v>
      </c>
      <c r="J1243">
        <v>13393.391272949</v>
      </c>
      <c r="K1243">
        <v>14044.0158577045</v>
      </c>
      <c r="L1243">
        <v>47.518000000000001</v>
      </c>
      <c r="M1243">
        <v>70.668999999999997</v>
      </c>
      <c r="N1243">
        <v>34.825000000000003</v>
      </c>
    </row>
    <row r="1244" spans="1:14" x14ac:dyDescent="0.45">
      <c r="A1244">
        <v>1986</v>
      </c>
      <c r="B1244" t="s">
        <v>206</v>
      </c>
      <c r="C1244">
        <v>0</v>
      </c>
      <c r="D1244">
        <v>1</v>
      </c>
      <c r="E1244">
        <v>0</v>
      </c>
      <c r="F1244">
        <v>1</v>
      </c>
      <c r="G1244">
        <v>0</v>
      </c>
      <c r="H1244">
        <v>0</v>
      </c>
      <c r="I1244">
        <v>0</v>
      </c>
      <c r="J1244">
        <v>7260.8743336636599</v>
      </c>
      <c r="K1244">
        <v>6067.0720426357702</v>
      </c>
      <c r="L1244">
        <v>32.722999999999999</v>
      </c>
      <c r="M1244">
        <v>62.154000000000003</v>
      </c>
      <c r="N1244">
        <v>99.210999999999999</v>
      </c>
    </row>
    <row r="1245" spans="1:14" x14ac:dyDescent="0.45">
      <c r="A1245">
        <v>1986</v>
      </c>
      <c r="B1245" t="s">
        <v>207</v>
      </c>
      <c r="C1245">
        <v>0</v>
      </c>
      <c r="D1245">
        <v>0</v>
      </c>
      <c r="E1245">
        <v>0</v>
      </c>
      <c r="F1245">
        <v>1</v>
      </c>
      <c r="G1245">
        <v>0</v>
      </c>
      <c r="H1245">
        <v>0</v>
      </c>
      <c r="I1245">
        <v>0</v>
      </c>
      <c r="J1245">
        <v>4083.93117443541</v>
      </c>
      <c r="K1245">
        <v>3698.4104149600098</v>
      </c>
      <c r="L1245">
        <v>56.787999999999997</v>
      </c>
      <c r="M1245">
        <v>62.875</v>
      </c>
      <c r="N1245">
        <v>69.774000000000001</v>
      </c>
    </row>
    <row r="1246" spans="1:14" x14ac:dyDescent="0.45">
      <c r="A1246">
        <v>1986</v>
      </c>
      <c r="B1246" t="s">
        <v>208</v>
      </c>
      <c r="C1246">
        <v>0</v>
      </c>
      <c r="D1246">
        <v>0</v>
      </c>
      <c r="E1246">
        <v>0</v>
      </c>
      <c r="F1246">
        <v>0</v>
      </c>
      <c r="G1246">
        <v>1</v>
      </c>
      <c r="H1246">
        <v>0</v>
      </c>
      <c r="I1246">
        <v>0</v>
      </c>
      <c r="J1246">
        <v>15763.1342141925</v>
      </c>
      <c r="K1246">
        <v>14261.230185517699</v>
      </c>
      <c r="L1246">
        <v>31.812000000000001</v>
      </c>
      <c r="M1246">
        <v>62.752000000000002</v>
      </c>
      <c r="N1246">
        <v>38.344999999999999</v>
      </c>
    </row>
    <row r="1247" spans="1:14" x14ac:dyDescent="0.45">
      <c r="A1247">
        <v>1986</v>
      </c>
      <c r="B1247" t="s">
        <v>209</v>
      </c>
      <c r="C1247">
        <v>0</v>
      </c>
      <c r="D1247">
        <v>0</v>
      </c>
      <c r="E1247">
        <v>0</v>
      </c>
      <c r="F1247">
        <v>1</v>
      </c>
      <c r="G1247">
        <v>0</v>
      </c>
      <c r="H1247">
        <v>0</v>
      </c>
      <c r="I1247">
        <v>0</v>
      </c>
      <c r="J1247">
        <v>3163.10915672583</v>
      </c>
      <c r="K1247">
        <v>2861.3528004412201</v>
      </c>
      <c r="L1247">
        <v>85.807000000000002</v>
      </c>
      <c r="M1247">
        <v>59.017000000000003</v>
      </c>
      <c r="N1247">
        <v>91.891000000000005</v>
      </c>
    </row>
    <row r="1248" spans="1:14" x14ac:dyDescent="0.45">
      <c r="A1248">
        <v>1986</v>
      </c>
      <c r="B1248" t="s">
        <v>210</v>
      </c>
      <c r="C1248">
        <v>1</v>
      </c>
      <c r="D1248">
        <v>0</v>
      </c>
      <c r="E1248">
        <v>0</v>
      </c>
      <c r="F1248">
        <v>1</v>
      </c>
      <c r="G1248">
        <v>0</v>
      </c>
      <c r="H1248">
        <v>0</v>
      </c>
      <c r="I1248">
        <v>0</v>
      </c>
      <c r="J1248">
        <v>11524.769479595299</v>
      </c>
      <c r="K1248">
        <v>9947.8475284761698</v>
      </c>
      <c r="L1248">
        <v>39.69</v>
      </c>
      <c r="M1248">
        <v>70.554000000000002</v>
      </c>
      <c r="N1248">
        <v>23.341999999999999</v>
      </c>
    </row>
    <row r="1249" spans="1:14" x14ac:dyDescent="0.45">
      <c r="A1249">
        <v>1986</v>
      </c>
      <c r="B1249" t="s">
        <v>211</v>
      </c>
      <c r="C1249">
        <v>0</v>
      </c>
      <c r="D1249">
        <v>1</v>
      </c>
      <c r="E1249">
        <v>0</v>
      </c>
      <c r="F1249">
        <v>0</v>
      </c>
      <c r="G1249">
        <v>1</v>
      </c>
      <c r="H1249">
        <v>0</v>
      </c>
      <c r="I1249">
        <v>0</v>
      </c>
      <c r="J1249">
        <v>21983.5456426438</v>
      </c>
      <c r="K1249">
        <v>16888.655189521101</v>
      </c>
      <c r="L1249">
        <v>13.363</v>
      </c>
      <c r="M1249">
        <v>73.272000000000006</v>
      </c>
      <c r="N1249">
        <v>23.004999999999999</v>
      </c>
    </row>
    <row r="1250" spans="1:14" x14ac:dyDescent="0.45">
      <c r="A1250">
        <v>1986</v>
      </c>
      <c r="B1250" t="s">
        <v>212</v>
      </c>
      <c r="C1250">
        <v>0</v>
      </c>
      <c r="D1250">
        <v>0</v>
      </c>
      <c r="E1250">
        <v>0</v>
      </c>
      <c r="F1250">
        <v>1</v>
      </c>
      <c r="G1250">
        <v>0</v>
      </c>
      <c r="H1250">
        <v>0</v>
      </c>
      <c r="I1250">
        <v>0</v>
      </c>
      <c r="L1250">
        <v>42.207999999999998</v>
      </c>
      <c r="M1250">
        <v>69.540999999999997</v>
      </c>
      <c r="N1250">
        <v>36.938000000000002</v>
      </c>
    </row>
    <row r="1251" spans="1:14" x14ac:dyDescent="0.45">
      <c r="A1251">
        <v>1986</v>
      </c>
      <c r="B1251" t="s">
        <v>213</v>
      </c>
      <c r="C1251">
        <v>1</v>
      </c>
      <c r="D1251">
        <v>0</v>
      </c>
      <c r="E1251">
        <v>0</v>
      </c>
      <c r="F1251">
        <v>0</v>
      </c>
      <c r="G1251">
        <v>1</v>
      </c>
      <c r="H1251">
        <v>0</v>
      </c>
      <c r="I1251">
        <v>0</v>
      </c>
      <c r="J1251">
        <v>21723.8300224882</v>
      </c>
      <c r="K1251">
        <v>18777.711405308499</v>
      </c>
      <c r="L1251">
        <v>54.18</v>
      </c>
      <c r="M1251">
        <v>73.647000000000006</v>
      </c>
      <c r="N1251">
        <v>19.611000000000001</v>
      </c>
    </row>
    <row r="1252" spans="1:14" x14ac:dyDescent="0.45">
      <c r="A1252">
        <v>1986</v>
      </c>
      <c r="B1252" t="s">
        <v>214</v>
      </c>
      <c r="C1252">
        <v>0</v>
      </c>
      <c r="D1252">
        <v>1</v>
      </c>
      <c r="E1252">
        <v>0</v>
      </c>
      <c r="F1252">
        <v>1</v>
      </c>
      <c r="G1252">
        <v>0</v>
      </c>
      <c r="H1252">
        <v>0</v>
      </c>
      <c r="I1252">
        <v>0</v>
      </c>
      <c r="J1252">
        <v>8704.5297066749499</v>
      </c>
      <c r="K1252">
        <v>7941.4822317940097</v>
      </c>
      <c r="L1252">
        <v>54.277999999999999</v>
      </c>
      <c r="M1252">
        <v>66.171999999999997</v>
      </c>
      <c r="N1252">
        <v>52.710999999999999</v>
      </c>
    </row>
    <row r="1253" spans="1:14" x14ac:dyDescent="0.45">
      <c r="A1253">
        <v>1986</v>
      </c>
      <c r="B1253" t="s">
        <v>215</v>
      </c>
      <c r="C1253">
        <v>0</v>
      </c>
      <c r="D1253">
        <v>0</v>
      </c>
      <c r="E1253">
        <v>0</v>
      </c>
      <c r="F1253">
        <v>1</v>
      </c>
      <c r="G1253">
        <v>0</v>
      </c>
      <c r="H1253">
        <v>0</v>
      </c>
      <c r="I1253">
        <v>0</v>
      </c>
      <c r="L1253">
        <v>34.374000000000002</v>
      </c>
      <c r="M1253">
        <v>65.736999999999995</v>
      </c>
      <c r="N1253">
        <v>55.779000000000003</v>
      </c>
    </row>
    <row r="1254" spans="1:14" x14ac:dyDescent="0.45">
      <c r="A1254">
        <v>1986</v>
      </c>
      <c r="B1254" t="s">
        <v>216</v>
      </c>
      <c r="C1254">
        <v>0</v>
      </c>
      <c r="D1254">
        <v>0</v>
      </c>
      <c r="E1254">
        <v>0</v>
      </c>
      <c r="F1254">
        <v>0</v>
      </c>
      <c r="G1254">
        <v>0</v>
      </c>
      <c r="H1254">
        <v>1</v>
      </c>
      <c r="I1254">
        <v>1</v>
      </c>
      <c r="L1254">
        <v>41.472999999999999</v>
      </c>
      <c r="M1254">
        <v>71.966999999999999</v>
      </c>
      <c r="N1254">
        <v>26.341000000000001</v>
      </c>
    </row>
    <row r="1255" spans="1:14" x14ac:dyDescent="0.45">
      <c r="A1255">
        <v>1986</v>
      </c>
      <c r="B1255" t="s">
        <v>217</v>
      </c>
      <c r="C1255">
        <v>0</v>
      </c>
      <c r="D1255">
        <v>0</v>
      </c>
      <c r="E1255">
        <v>0</v>
      </c>
      <c r="F1255">
        <v>0</v>
      </c>
      <c r="G1255">
        <v>0</v>
      </c>
      <c r="H1255">
        <v>1</v>
      </c>
      <c r="I1255">
        <v>1</v>
      </c>
      <c r="J1255">
        <v>70235.113614353002</v>
      </c>
      <c r="K1255">
        <v>60647.870439650003</v>
      </c>
      <c r="L1255">
        <v>9.5999999999999908</v>
      </c>
      <c r="M1255">
        <v>72.183999999999997</v>
      </c>
      <c r="N1255">
        <v>26.593</v>
      </c>
    </row>
    <row r="1256" spans="1:14" x14ac:dyDescent="0.45">
      <c r="A1256">
        <v>1986</v>
      </c>
      <c r="B1256" t="s">
        <v>218</v>
      </c>
      <c r="C1256">
        <v>1</v>
      </c>
      <c r="D1256">
        <v>0</v>
      </c>
      <c r="E1256">
        <v>0</v>
      </c>
      <c r="F1256">
        <v>0</v>
      </c>
      <c r="G1256">
        <v>1</v>
      </c>
      <c r="H1256">
        <v>0</v>
      </c>
      <c r="I1256">
        <v>0</v>
      </c>
      <c r="J1256">
        <v>17181.6248188678</v>
      </c>
      <c r="K1256">
        <v>13965.8443104004</v>
      </c>
      <c r="L1256">
        <v>49.643000000000001</v>
      </c>
      <c r="M1256">
        <v>69.718000000000004</v>
      </c>
      <c r="N1256">
        <v>30.899000000000001</v>
      </c>
    </row>
    <row r="1257" spans="1:14" x14ac:dyDescent="0.45">
      <c r="A1257">
        <v>1986</v>
      </c>
      <c r="B1257" t="s">
        <v>219</v>
      </c>
      <c r="C1257">
        <v>1</v>
      </c>
      <c r="D1257">
        <v>0</v>
      </c>
      <c r="E1257">
        <v>0</v>
      </c>
      <c r="F1257">
        <v>0</v>
      </c>
      <c r="G1257">
        <v>1</v>
      </c>
      <c r="H1257">
        <v>0</v>
      </c>
      <c r="I1257">
        <v>0</v>
      </c>
      <c r="L1257">
        <v>27.654</v>
      </c>
      <c r="M1257">
        <v>70.024000000000001</v>
      </c>
      <c r="N1257">
        <v>24.175999999999998</v>
      </c>
    </row>
    <row r="1258" spans="1:14" x14ac:dyDescent="0.45">
      <c r="A1258">
        <v>1986</v>
      </c>
      <c r="B1258" t="s">
        <v>220</v>
      </c>
      <c r="C1258">
        <v>0</v>
      </c>
      <c r="D1258">
        <v>0</v>
      </c>
      <c r="E1258">
        <v>1</v>
      </c>
      <c r="F1258">
        <v>0</v>
      </c>
      <c r="G1258">
        <v>0</v>
      </c>
      <c r="H1258">
        <v>0</v>
      </c>
      <c r="I1258">
        <v>0</v>
      </c>
      <c r="J1258">
        <v>1275.4217089972501</v>
      </c>
      <c r="K1258">
        <v>1067.34157657785</v>
      </c>
      <c r="L1258">
        <v>94.873000000000005</v>
      </c>
      <c r="M1258">
        <v>51.706000000000003</v>
      </c>
      <c r="N1258">
        <v>157.82300000000001</v>
      </c>
    </row>
    <row r="1259" spans="1:14" x14ac:dyDescent="0.45">
      <c r="A1259">
        <v>1986</v>
      </c>
      <c r="B1259" t="s">
        <v>221</v>
      </c>
      <c r="C1259">
        <v>0</v>
      </c>
      <c r="D1259">
        <v>0</v>
      </c>
      <c r="E1259">
        <v>0</v>
      </c>
      <c r="F1259">
        <v>0</v>
      </c>
      <c r="G1259">
        <v>0</v>
      </c>
      <c r="H1259">
        <v>1</v>
      </c>
      <c r="I1259">
        <v>1</v>
      </c>
      <c r="J1259">
        <v>65883.363102935007</v>
      </c>
      <c r="K1259">
        <v>60400.420541135798</v>
      </c>
      <c r="L1259">
        <v>26.1</v>
      </c>
      <c r="M1259">
        <v>66.647999999999996</v>
      </c>
      <c r="N1259">
        <v>60.302</v>
      </c>
    </row>
    <row r="1260" spans="1:14" x14ac:dyDescent="0.45">
      <c r="A1260">
        <v>1986</v>
      </c>
      <c r="B1260" t="s">
        <v>222</v>
      </c>
      <c r="C1260">
        <v>0</v>
      </c>
      <c r="D1260">
        <v>0</v>
      </c>
      <c r="E1260">
        <v>1</v>
      </c>
      <c r="F1260">
        <v>0</v>
      </c>
      <c r="G1260">
        <v>0</v>
      </c>
      <c r="H1260">
        <v>0</v>
      </c>
      <c r="I1260">
        <v>0</v>
      </c>
      <c r="J1260">
        <v>1997.8268344698299</v>
      </c>
      <c r="K1260">
        <v>2091.9881576131702</v>
      </c>
      <c r="L1260">
        <v>75.995000000000005</v>
      </c>
      <c r="M1260">
        <v>54.558</v>
      </c>
      <c r="N1260">
        <v>139.28899999999999</v>
      </c>
    </row>
    <row r="1261" spans="1:14" x14ac:dyDescent="0.45">
      <c r="A1261">
        <v>1986</v>
      </c>
      <c r="B1261" t="s">
        <v>223</v>
      </c>
      <c r="C1261">
        <v>0</v>
      </c>
      <c r="D1261">
        <v>0</v>
      </c>
      <c r="E1261">
        <v>1</v>
      </c>
      <c r="F1261">
        <v>1</v>
      </c>
      <c r="G1261">
        <v>0</v>
      </c>
      <c r="H1261">
        <v>0</v>
      </c>
      <c r="I1261">
        <v>0</v>
      </c>
      <c r="J1261">
        <v>2902.0931083498599</v>
      </c>
      <c r="K1261">
        <v>2424.5217901965598</v>
      </c>
      <c r="L1261">
        <v>62.091000000000001</v>
      </c>
      <c r="M1261">
        <v>53.718000000000004</v>
      </c>
      <c r="N1261">
        <v>163.89400000000001</v>
      </c>
    </row>
    <row r="1262" spans="1:14" x14ac:dyDescent="0.45">
      <c r="A1262">
        <v>1986</v>
      </c>
      <c r="B1262" t="s">
        <v>224</v>
      </c>
      <c r="C1262">
        <v>0</v>
      </c>
      <c r="D1262">
        <v>0</v>
      </c>
      <c r="E1262">
        <v>0</v>
      </c>
      <c r="F1262">
        <v>0</v>
      </c>
      <c r="G1262">
        <v>0</v>
      </c>
      <c r="H1262">
        <v>1</v>
      </c>
      <c r="I1262">
        <v>1</v>
      </c>
      <c r="J1262">
        <v>35469.323636820001</v>
      </c>
      <c r="K1262">
        <v>29157.107502145798</v>
      </c>
      <c r="L1262">
        <v>0</v>
      </c>
      <c r="M1262">
        <v>73.563999999999993</v>
      </c>
      <c r="N1262">
        <v>10.26</v>
      </c>
    </row>
    <row r="1263" spans="1:14" x14ac:dyDescent="0.45">
      <c r="A1263">
        <v>1986</v>
      </c>
      <c r="B1263" t="s">
        <v>225</v>
      </c>
      <c r="C1263">
        <v>0</v>
      </c>
      <c r="D1263">
        <v>0</v>
      </c>
      <c r="E1263">
        <v>0</v>
      </c>
      <c r="F1263">
        <v>0</v>
      </c>
      <c r="G1263">
        <v>0</v>
      </c>
      <c r="H1263">
        <v>0</v>
      </c>
      <c r="I1263">
        <v>0</v>
      </c>
      <c r="J1263">
        <v>2342.51009635129</v>
      </c>
      <c r="K1263">
        <v>2118.9712915232499</v>
      </c>
      <c r="L1263">
        <v>87.162999999999997</v>
      </c>
      <c r="M1263">
        <v>64.718000000000004</v>
      </c>
      <c r="N1263">
        <v>46.378</v>
      </c>
    </row>
    <row r="1264" spans="1:14" x14ac:dyDescent="0.45">
      <c r="A1264">
        <v>1986</v>
      </c>
      <c r="B1264" t="s">
        <v>226</v>
      </c>
      <c r="C1264">
        <v>0</v>
      </c>
      <c r="D1264">
        <v>0</v>
      </c>
      <c r="E1264">
        <v>1</v>
      </c>
      <c r="F1264">
        <v>0</v>
      </c>
      <c r="G1264">
        <v>0</v>
      </c>
      <c r="H1264">
        <v>0</v>
      </c>
      <c r="I1264">
        <v>0</v>
      </c>
      <c r="J1264">
        <v>2952.7876089533502</v>
      </c>
      <c r="K1264">
        <v>2680.1584433395101</v>
      </c>
      <c r="L1264">
        <v>67.674999999999997</v>
      </c>
      <c r="M1264">
        <v>43.502000000000002</v>
      </c>
      <c r="N1264">
        <v>270.73</v>
      </c>
    </row>
    <row r="1265" spans="1:14" x14ac:dyDescent="0.45">
      <c r="A1265">
        <v>1986</v>
      </c>
      <c r="B1265" t="s">
        <v>227</v>
      </c>
      <c r="C1265">
        <v>0</v>
      </c>
      <c r="D1265">
        <v>1</v>
      </c>
      <c r="E1265">
        <v>0</v>
      </c>
      <c r="F1265">
        <v>1</v>
      </c>
      <c r="G1265">
        <v>0</v>
      </c>
      <c r="H1265">
        <v>0</v>
      </c>
      <c r="I1265">
        <v>0</v>
      </c>
      <c r="J1265">
        <v>6123.8763274801504</v>
      </c>
      <c r="K1265">
        <v>5454.8452599766897</v>
      </c>
      <c r="L1265">
        <v>52.805</v>
      </c>
      <c r="M1265">
        <v>59.329000000000001</v>
      </c>
      <c r="N1265">
        <v>98.808000000000007</v>
      </c>
    </row>
    <row r="1266" spans="1:14" x14ac:dyDescent="0.45">
      <c r="A1266">
        <v>1986</v>
      </c>
      <c r="B1266" t="s">
        <v>228</v>
      </c>
      <c r="C1266">
        <v>1</v>
      </c>
      <c r="D1266">
        <v>0</v>
      </c>
      <c r="E1266">
        <v>0</v>
      </c>
      <c r="F1266">
        <v>0</v>
      </c>
      <c r="G1266">
        <v>0</v>
      </c>
      <c r="H1266">
        <v>1</v>
      </c>
      <c r="I1266">
        <v>1</v>
      </c>
      <c r="L1266">
        <v>10.608000000000001</v>
      </c>
      <c r="M1266">
        <v>77.376999999999995</v>
      </c>
      <c r="N1266">
        <v>11.881</v>
      </c>
    </row>
    <row r="1267" spans="1:14" x14ac:dyDescent="0.45">
      <c r="A1267">
        <v>1986</v>
      </c>
      <c r="B1267" t="s">
        <v>229</v>
      </c>
      <c r="C1267">
        <v>0</v>
      </c>
      <c r="D1267">
        <v>0</v>
      </c>
      <c r="E1267">
        <v>1</v>
      </c>
      <c r="F1267">
        <v>0</v>
      </c>
      <c r="G1267">
        <v>0</v>
      </c>
      <c r="H1267">
        <v>0</v>
      </c>
      <c r="I1267">
        <v>0</v>
      </c>
      <c r="J1267">
        <v>656.738344403989</v>
      </c>
      <c r="K1267">
        <v>609.14732957644196</v>
      </c>
      <c r="L1267">
        <v>71.667000000000002</v>
      </c>
      <c r="M1267">
        <v>48.430999999999997</v>
      </c>
      <c r="N1267">
        <v>191.047</v>
      </c>
    </row>
    <row r="1268" spans="1:14" x14ac:dyDescent="0.45">
      <c r="A1268">
        <v>1986</v>
      </c>
      <c r="B1268" t="s">
        <v>230</v>
      </c>
      <c r="C1268">
        <v>1</v>
      </c>
      <c r="D1268">
        <v>0</v>
      </c>
      <c r="E1268">
        <v>0</v>
      </c>
      <c r="F1268">
        <v>0</v>
      </c>
      <c r="G1268">
        <v>1</v>
      </c>
      <c r="H1268">
        <v>0</v>
      </c>
      <c r="I1268">
        <v>0</v>
      </c>
      <c r="L1268">
        <v>51.249000000000002</v>
      </c>
      <c r="M1268">
        <v>71.641999999999996</v>
      </c>
      <c r="N1268">
        <v>22.009</v>
      </c>
    </row>
    <row r="1269" spans="1:14" x14ac:dyDescent="0.45">
      <c r="A1269">
        <v>1986</v>
      </c>
      <c r="B1269" t="s">
        <v>231</v>
      </c>
      <c r="C1269">
        <v>0</v>
      </c>
      <c r="D1269">
        <v>0</v>
      </c>
      <c r="E1269">
        <v>1</v>
      </c>
      <c r="F1269">
        <v>1</v>
      </c>
      <c r="G1269">
        <v>0</v>
      </c>
      <c r="H1269">
        <v>0</v>
      </c>
      <c r="I1269">
        <v>0</v>
      </c>
      <c r="L1269">
        <v>89.539000000000001</v>
      </c>
      <c r="M1269">
        <v>32.816000000000003</v>
      </c>
      <c r="N1269">
        <v>288.99599999999998</v>
      </c>
    </row>
    <row r="1270" spans="1:14" x14ac:dyDescent="0.45">
      <c r="A1270">
        <v>1986</v>
      </c>
      <c r="B1270" t="s">
        <v>232</v>
      </c>
      <c r="C1270">
        <v>0</v>
      </c>
      <c r="D1270">
        <v>0</v>
      </c>
      <c r="E1270">
        <v>1</v>
      </c>
      <c r="F1270">
        <v>0</v>
      </c>
      <c r="G1270">
        <v>0</v>
      </c>
      <c r="H1270">
        <v>0</v>
      </c>
      <c r="I1270">
        <v>0</v>
      </c>
      <c r="J1270">
        <v>4514.8418152980703</v>
      </c>
      <c r="K1270">
        <v>2809.9665801003798</v>
      </c>
      <c r="L1270">
        <v>60.850999999999999</v>
      </c>
      <c r="M1270">
        <v>57.604999999999997</v>
      </c>
      <c r="N1270">
        <v>129.922</v>
      </c>
    </row>
    <row r="1271" spans="1:14" x14ac:dyDescent="0.45">
      <c r="A1271">
        <v>1986</v>
      </c>
      <c r="B1271" t="s">
        <v>233</v>
      </c>
      <c r="C1271">
        <v>0</v>
      </c>
      <c r="D1271">
        <v>1</v>
      </c>
      <c r="E1271">
        <v>0</v>
      </c>
      <c r="F1271">
        <v>0</v>
      </c>
      <c r="G1271">
        <v>1</v>
      </c>
      <c r="H1271">
        <v>0</v>
      </c>
      <c r="I1271">
        <v>0</v>
      </c>
      <c r="J1271">
        <v>17030.100291187398</v>
      </c>
      <c r="K1271">
        <v>13555.612866859599</v>
      </c>
      <c r="L1271">
        <v>34.591999999999999</v>
      </c>
      <c r="M1271">
        <v>61.158999999999999</v>
      </c>
      <c r="N1271">
        <v>51.441000000000003</v>
      </c>
    </row>
    <row r="1272" spans="1:14" x14ac:dyDescent="0.45">
      <c r="A1272">
        <v>1986</v>
      </c>
      <c r="B1272" t="s">
        <v>234</v>
      </c>
      <c r="C1272">
        <v>1</v>
      </c>
      <c r="D1272">
        <v>0</v>
      </c>
      <c r="E1272">
        <v>0</v>
      </c>
      <c r="F1272">
        <v>0</v>
      </c>
      <c r="G1272">
        <v>1</v>
      </c>
      <c r="H1272">
        <v>0</v>
      </c>
      <c r="I1272">
        <v>0</v>
      </c>
      <c r="L1272">
        <v>45.359000000000002</v>
      </c>
      <c r="M1272">
        <v>70.885999999999996</v>
      </c>
      <c r="N1272">
        <v>16.969000000000001</v>
      </c>
    </row>
    <row r="1273" spans="1:14" x14ac:dyDescent="0.45">
      <c r="A1273">
        <v>1986</v>
      </c>
      <c r="B1273" t="s">
        <v>235</v>
      </c>
      <c r="C1273">
        <v>1</v>
      </c>
      <c r="D1273">
        <v>0</v>
      </c>
      <c r="E1273">
        <v>0</v>
      </c>
      <c r="F1273">
        <v>0</v>
      </c>
      <c r="G1273">
        <v>1</v>
      </c>
      <c r="H1273">
        <v>0</v>
      </c>
      <c r="I1273">
        <v>0</v>
      </c>
      <c r="L1273">
        <v>50.253999999999998</v>
      </c>
      <c r="M1273">
        <v>72.087999999999994</v>
      </c>
      <c r="N1273">
        <v>14.047000000000001</v>
      </c>
    </row>
    <row r="1274" spans="1:14" x14ac:dyDescent="0.45">
      <c r="A1274">
        <v>1986</v>
      </c>
      <c r="B1274" t="s">
        <v>236</v>
      </c>
      <c r="C1274">
        <v>1</v>
      </c>
      <c r="D1274">
        <v>0</v>
      </c>
      <c r="E1274">
        <v>0</v>
      </c>
      <c r="F1274">
        <v>0</v>
      </c>
      <c r="G1274">
        <v>0</v>
      </c>
      <c r="H1274">
        <v>1</v>
      </c>
      <c r="I1274">
        <v>1</v>
      </c>
      <c r="J1274">
        <v>36545.397806423098</v>
      </c>
      <c r="K1274">
        <v>31217.7531367589</v>
      </c>
      <c r="L1274">
        <v>16.899999999999999</v>
      </c>
      <c r="M1274">
        <v>76.954999999999998</v>
      </c>
      <c r="N1274">
        <v>7.2880000000000003</v>
      </c>
    </row>
    <row r="1275" spans="1:14" x14ac:dyDescent="0.45">
      <c r="A1275">
        <v>1986</v>
      </c>
      <c r="B1275" t="s">
        <v>237</v>
      </c>
      <c r="C1275">
        <v>0</v>
      </c>
      <c r="D1275">
        <v>0</v>
      </c>
      <c r="E1275">
        <v>1</v>
      </c>
      <c r="F1275">
        <v>1</v>
      </c>
      <c r="G1275">
        <v>0</v>
      </c>
      <c r="H1275">
        <v>0</v>
      </c>
      <c r="I1275">
        <v>0</v>
      </c>
      <c r="J1275">
        <v>4231.6740640360204</v>
      </c>
      <c r="K1275">
        <v>3747.1481589428399</v>
      </c>
      <c r="L1275">
        <v>81.358999999999995</v>
      </c>
      <c r="M1275">
        <v>61.597999999999999</v>
      </c>
      <c r="N1275">
        <v>82.272000000000006</v>
      </c>
    </row>
    <row r="1276" spans="1:14" x14ac:dyDescent="0.45">
      <c r="A1276">
        <v>1986</v>
      </c>
      <c r="B1276" t="s">
        <v>238</v>
      </c>
      <c r="C1276">
        <v>0</v>
      </c>
      <c r="D1276">
        <v>1</v>
      </c>
      <c r="E1276">
        <v>0</v>
      </c>
      <c r="F1276">
        <v>0</v>
      </c>
      <c r="G1276">
        <v>0</v>
      </c>
      <c r="H1276">
        <v>1</v>
      </c>
      <c r="I1276">
        <v>1</v>
      </c>
      <c r="L1276">
        <v>0</v>
      </c>
      <c r="M1276">
        <v>72.436000000000007</v>
      </c>
      <c r="N1276">
        <v>25.234999999999999</v>
      </c>
    </row>
    <row r="1277" spans="1:14" x14ac:dyDescent="0.45">
      <c r="A1277">
        <v>1986</v>
      </c>
      <c r="B1277" t="s">
        <v>239</v>
      </c>
      <c r="C1277">
        <v>0</v>
      </c>
      <c r="D1277">
        <v>0</v>
      </c>
      <c r="E1277">
        <v>1</v>
      </c>
      <c r="F1277">
        <v>0</v>
      </c>
      <c r="G1277">
        <v>1</v>
      </c>
      <c r="H1277">
        <v>0</v>
      </c>
      <c r="I1277">
        <v>0</v>
      </c>
      <c r="J1277">
        <v>13368.234367393599</v>
      </c>
      <c r="K1277">
        <v>12978.548730943399</v>
      </c>
      <c r="L1277">
        <v>50.722999999999999</v>
      </c>
      <c r="M1277">
        <v>69.766000000000005</v>
      </c>
      <c r="N1277">
        <v>19.538</v>
      </c>
    </row>
    <row r="1278" spans="1:14" x14ac:dyDescent="0.45">
      <c r="A1278">
        <v>1986</v>
      </c>
      <c r="B1278" t="s">
        <v>240</v>
      </c>
      <c r="C1278">
        <v>0</v>
      </c>
      <c r="D1278">
        <v>0</v>
      </c>
      <c r="E1278">
        <v>0</v>
      </c>
      <c r="F1278">
        <v>1</v>
      </c>
      <c r="G1278">
        <v>0</v>
      </c>
      <c r="H1278">
        <v>0</v>
      </c>
      <c r="I1278">
        <v>0</v>
      </c>
      <c r="J1278">
        <v>7004.1082131778803</v>
      </c>
      <c r="K1278">
        <v>4594.1866889950697</v>
      </c>
      <c r="L1278">
        <v>51.901000000000003</v>
      </c>
      <c r="M1278">
        <v>68.415000000000006</v>
      </c>
      <c r="N1278">
        <v>43.973999999999997</v>
      </c>
    </row>
    <row r="1279" spans="1:14" x14ac:dyDescent="0.45">
      <c r="A1279">
        <v>1986</v>
      </c>
      <c r="B1279" t="s">
        <v>241</v>
      </c>
      <c r="C1279">
        <v>0</v>
      </c>
      <c r="D1279">
        <v>1</v>
      </c>
      <c r="E1279">
        <v>0</v>
      </c>
      <c r="F1279">
        <v>0</v>
      </c>
      <c r="G1279">
        <v>0</v>
      </c>
      <c r="H1279">
        <v>1</v>
      </c>
      <c r="I1279">
        <v>1</v>
      </c>
      <c r="L1279">
        <v>32.655000000000001</v>
      </c>
      <c r="M1279">
        <v>68.989999999999995</v>
      </c>
      <c r="N1279">
        <v>23.978000000000002</v>
      </c>
    </row>
    <row r="1280" spans="1:14" x14ac:dyDescent="0.45">
      <c r="A1280">
        <v>1986</v>
      </c>
      <c r="B1280" t="s">
        <v>242</v>
      </c>
      <c r="C1280">
        <v>0</v>
      </c>
      <c r="D1280">
        <v>0</v>
      </c>
      <c r="E1280">
        <v>1</v>
      </c>
      <c r="F1280">
        <v>0</v>
      </c>
      <c r="G1280">
        <v>0</v>
      </c>
      <c r="H1280">
        <v>0</v>
      </c>
      <c r="I1280">
        <v>0</v>
      </c>
      <c r="J1280">
        <v>1716.9028673774201</v>
      </c>
      <c r="K1280">
        <v>1442.2605237753801</v>
      </c>
      <c r="L1280">
        <v>80.016999999999996</v>
      </c>
      <c r="M1280">
        <v>45.597999999999999</v>
      </c>
      <c r="N1280">
        <v>224.38900000000001</v>
      </c>
    </row>
    <row r="1281" spans="1:14" x14ac:dyDescent="0.45">
      <c r="A1281">
        <v>1986</v>
      </c>
      <c r="B1281" t="s">
        <v>243</v>
      </c>
      <c r="C1281">
        <v>0</v>
      </c>
      <c r="D1281">
        <v>0</v>
      </c>
      <c r="E1281">
        <v>1</v>
      </c>
      <c r="F1281">
        <v>0</v>
      </c>
      <c r="G1281">
        <v>0</v>
      </c>
      <c r="H1281">
        <v>0</v>
      </c>
      <c r="I1281">
        <v>0</v>
      </c>
      <c r="J1281">
        <v>2171.6117909096001</v>
      </c>
      <c r="K1281">
        <v>1804.6913616102099</v>
      </c>
      <c r="L1281">
        <v>73.040000000000006</v>
      </c>
      <c r="M1281">
        <v>54.613999999999997</v>
      </c>
      <c r="N1281">
        <v>157.916</v>
      </c>
    </row>
    <row r="1282" spans="1:14" x14ac:dyDescent="0.45">
      <c r="A1282">
        <v>1986</v>
      </c>
      <c r="B1282" t="s">
        <v>244</v>
      </c>
      <c r="C1282">
        <v>0</v>
      </c>
      <c r="D1282">
        <v>0</v>
      </c>
      <c r="E1282">
        <v>0</v>
      </c>
      <c r="F1282">
        <v>1</v>
      </c>
      <c r="G1282">
        <v>0</v>
      </c>
      <c r="H1282">
        <v>0</v>
      </c>
      <c r="I1282">
        <v>0</v>
      </c>
      <c r="J1282">
        <v>6360.3354956094399</v>
      </c>
      <c r="K1282">
        <v>5562.2855967504001</v>
      </c>
      <c r="L1282">
        <v>71.638999999999996</v>
      </c>
      <c r="M1282">
        <v>67.308000000000007</v>
      </c>
      <c r="N1282">
        <v>45.816000000000003</v>
      </c>
    </row>
    <row r="1283" spans="1:14" x14ac:dyDescent="0.45">
      <c r="A1283">
        <v>1986</v>
      </c>
      <c r="B1283" t="s">
        <v>245</v>
      </c>
      <c r="C1283">
        <v>1</v>
      </c>
      <c r="D1283">
        <v>0</v>
      </c>
      <c r="E1283">
        <v>0</v>
      </c>
      <c r="F1283">
        <v>1</v>
      </c>
      <c r="G1283">
        <v>0</v>
      </c>
      <c r="H1283">
        <v>0</v>
      </c>
      <c r="I1283">
        <v>0</v>
      </c>
      <c r="J1283">
        <v>4369.7509937074001</v>
      </c>
      <c r="K1283">
        <v>3979.6860562217498</v>
      </c>
      <c r="L1283">
        <v>66.974000000000004</v>
      </c>
      <c r="M1283">
        <v>61.83</v>
      </c>
      <c r="N1283">
        <v>115.077</v>
      </c>
    </row>
    <row r="1284" spans="1:14" x14ac:dyDescent="0.45">
      <c r="A1284">
        <v>1986</v>
      </c>
      <c r="B1284" t="s">
        <v>246</v>
      </c>
      <c r="C1284">
        <v>1</v>
      </c>
      <c r="D1284">
        <v>0</v>
      </c>
      <c r="E1284">
        <v>0</v>
      </c>
      <c r="F1284">
        <v>1</v>
      </c>
      <c r="G1284">
        <v>0</v>
      </c>
      <c r="H1284">
        <v>0</v>
      </c>
      <c r="I1284">
        <v>0</v>
      </c>
      <c r="L1284">
        <v>54.243000000000002</v>
      </c>
      <c r="M1284">
        <v>63.212000000000003</v>
      </c>
      <c r="N1284">
        <v>90.611999999999995</v>
      </c>
    </row>
    <row r="1285" spans="1:14" x14ac:dyDescent="0.45">
      <c r="A1285">
        <v>1986</v>
      </c>
      <c r="B1285" t="s">
        <v>247</v>
      </c>
      <c r="C1285">
        <v>0</v>
      </c>
      <c r="D1285">
        <v>0</v>
      </c>
      <c r="E1285">
        <v>0</v>
      </c>
      <c r="F1285">
        <v>0</v>
      </c>
      <c r="G1285">
        <v>0</v>
      </c>
      <c r="H1285">
        <v>0</v>
      </c>
      <c r="I1285">
        <v>0</v>
      </c>
      <c r="L1285">
        <v>80.997</v>
      </c>
      <c r="M1285">
        <v>34.764000000000003</v>
      </c>
      <c r="N1285">
        <v>245.97499999999999</v>
      </c>
    </row>
    <row r="1286" spans="1:14" x14ac:dyDescent="0.45">
      <c r="A1286">
        <v>1986</v>
      </c>
      <c r="B1286" t="s">
        <v>248</v>
      </c>
      <c r="C1286">
        <v>0</v>
      </c>
      <c r="D1286">
        <v>0</v>
      </c>
      <c r="E1286">
        <v>0</v>
      </c>
      <c r="F1286">
        <v>1</v>
      </c>
      <c r="G1286">
        <v>0</v>
      </c>
      <c r="H1286">
        <v>0</v>
      </c>
      <c r="I1286">
        <v>0</v>
      </c>
      <c r="J1286">
        <v>4487.4192982265004</v>
      </c>
      <c r="K1286">
        <v>4062.1522724813199</v>
      </c>
      <c r="L1286">
        <v>77.504000000000005</v>
      </c>
      <c r="M1286">
        <v>67.058000000000007</v>
      </c>
      <c r="N1286">
        <v>25.056999999999999</v>
      </c>
    </row>
    <row r="1287" spans="1:14" x14ac:dyDescent="0.45">
      <c r="A1287">
        <v>1986</v>
      </c>
      <c r="B1287" t="s">
        <v>249</v>
      </c>
      <c r="C1287">
        <v>0</v>
      </c>
      <c r="D1287">
        <v>1</v>
      </c>
      <c r="E1287">
        <v>0</v>
      </c>
      <c r="F1287">
        <v>0</v>
      </c>
      <c r="G1287">
        <v>1</v>
      </c>
      <c r="H1287">
        <v>0</v>
      </c>
      <c r="I1287">
        <v>0</v>
      </c>
      <c r="J1287">
        <v>14129.608975228901</v>
      </c>
      <c r="K1287">
        <v>11792.4730982127</v>
      </c>
      <c r="L1287">
        <v>46.610999999999997</v>
      </c>
      <c r="M1287">
        <v>66.903000000000006</v>
      </c>
      <c r="N1287">
        <v>32.959000000000003</v>
      </c>
    </row>
    <row r="1288" spans="1:14" x14ac:dyDescent="0.45">
      <c r="A1288">
        <v>1986</v>
      </c>
      <c r="B1288" t="s">
        <v>250</v>
      </c>
      <c r="C1288">
        <v>0</v>
      </c>
      <c r="D1288">
        <v>0</v>
      </c>
      <c r="E1288">
        <v>0</v>
      </c>
      <c r="F1288">
        <v>1</v>
      </c>
      <c r="G1288">
        <v>0</v>
      </c>
      <c r="H1288">
        <v>0</v>
      </c>
      <c r="I1288">
        <v>0</v>
      </c>
      <c r="J1288">
        <v>6924.8847472372099</v>
      </c>
      <c r="K1288">
        <v>6034.9213815262901</v>
      </c>
      <c r="L1288">
        <v>45.332999999999998</v>
      </c>
      <c r="M1288">
        <v>67.429000000000002</v>
      </c>
      <c r="N1288">
        <v>67.227999999999994</v>
      </c>
    </row>
    <row r="1289" spans="1:14" x14ac:dyDescent="0.45">
      <c r="A1289">
        <v>1986</v>
      </c>
      <c r="B1289" t="s">
        <v>251</v>
      </c>
      <c r="C1289">
        <v>1</v>
      </c>
      <c r="D1289">
        <v>0</v>
      </c>
      <c r="E1289">
        <v>0</v>
      </c>
      <c r="F1289">
        <v>1</v>
      </c>
      <c r="G1289">
        <v>0</v>
      </c>
      <c r="H1289">
        <v>0</v>
      </c>
      <c r="I1289">
        <v>0</v>
      </c>
      <c r="J1289">
        <v>10834.814836092401</v>
      </c>
      <c r="K1289">
        <v>10863.799704761001</v>
      </c>
      <c r="L1289">
        <v>46.07</v>
      </c>
      <c r="M1289">
        <v>65.87</v>
      </c>
      <c r="N1289">
        <v>92.885000000000005</v>
      </c>
    </row>
    <row r="1290" spans="1:14" x14ac:dyDescent="0.45">
      <c r="A1290">
        <v>1986</v>
      </c>
      <c r="B1290" t="s">
        <v>252</v>
      </c>
      <c r="C1290">
        <v>0</v>
      </c>
      <c r="D1290">
        <v>0</v>
      </c>
      <c r="E1290">
        <v>0</v>
      </c>
      <c r="F1290">
        <v>1</v>
      </c>
      <c r="G1290">
        <v>0</v>
      </c>
      <c r="H1290">
        <v>0</v>
      </c>
      <c r="I1290">
        <v>0</v>
      </c>
      <c r="J1290">
        <v>2108.9158750209999</v>
      </c>
      <c r="K1290">
        <v>1907.8400590860199</v>
      </c>
      <c r="L1290">
        <v>64.504000000000005</v>
      </c>
      <c r="M1290">
        <v>61.207000000000001</v>
      </c>
      <c r="N1290">
        <v>55.93</v>
      </c>
    </row>
    <row r="1291" spans="1:14" x14ac:dyDescent="0.45">
      <c r="A1291">
        <v>1986</v>
      </c>
      <c r="B1291" t="s">
        <v>253</v>
      </c>
      <c r="C1291">
        <v>0</v>
      </c>
      <c r="D1291">
        <v>0</v>
      </c>
      <c r="E1291">
        <v>0</v>
      </c>
      <c r="F1291">
        <v>0</v>
      </c>
      <c r="G1291">
        <v>0</v>
      </c>
      <c r="H1291">
        <v>1</v>
      </c>
      <c r="I1291">
        <v>1</v>
      </c>
      <c r="L1291">
        <v>76.441000000000003</v>
      </c>
      <c r="M1291">
        <v>73.317999999999998</v>
      </c>
      <c r="N1291">
        <v>10.27</v>
      </c>
    </row>
    <row r="1292" spans="1:14" x14ac:dyDescent="0.45">
      <c r="A1292">
        <v>1986</v>
      </c>
      <c r="B1292" t="s">
        <v>254</v>
      </c>
      <c r="C1292">
        <v>0</v>
      </c>
      <c r="D1292">
        <v>0</v>
      </c>
      <c r="E1292">
        <v>1</v>
      </c>
      <c r="F1292">
        <v>0</v>
      </c>
      <c r="G1292">
        <v>0</v>
      </c>
      <c r="H1292">
        <v>0</v>
      </c>
      <c r="I1292">
        <v>0</v>
      </c>
      <c r="J1292">
        <v>1654.9577707963399</v>
      </c>
      <c r="K1292">
        <v>1232.7229943678501</v>
      </c>
      <c r="L1292">
        <v>82.759</v>
      </c>
      <c r="M1292">
        <v>52.207000000000001</v>
      </c>
      <c r="N1292">
        <v>175.22499999999999</v>
      </c>
    </row>
    <row r="1293" spans="1:14" x14ac:dyDescent="0.45">
      <c r="A1293">
        <v>1986</v>
      </c>
      <c r="B1293" t="s">
        <v>255</v>
      </c>
      <c r="C1293">
        <v>0</v>
      </c>
      <c r="D1293">
        <v>0</v>
      </c>
      <c r="E1293">
        <v>1</v>
      </c>
      <c r="F1293">
        <v>0</v>
      </c>
      <c r="G1293">
        <v>0</v>
      </c>
      <c r="H1293">
        <v>0</v>
      </c>
      <c r="I1293">
        <v>0</v>
      </c>
      <c r="J1293">
        <v>987.52419410584002</v>
      </c>
      <c r="K1293">
        <v>837.72126749739505</v>
      </c>
      <c r="L1293">
        <v>90.489000000000004</v>
      </c>
      <c r="M1293">
        <v>45.651000000000003</v>
      </c>
      <c r="N1293">
        <v>195.01</v>
      </c>
    </row>
    <row r="1294" spans="1:14" x14ac:dyDescent="0.45">
      <c r="A1294">
        <v>1986</v>
      </c>
      <c r="B1294" t="s">
        <v>256</v>
      </c>
      <c r="C1294">
        <v>1</v>
      </c>
      <c r="D1294">
        <v>0</v>
      </c>
      <c r="E1294">
        <v>0</v>
      </c>
      <c r="F1294">
        <v>1</v>
      </c>
      <c r="G1294">
        <v>0</v>
      </c>
      <c r="H1294">
        <v>0</v>
      </c>
      <c r="I1294">
        <v>0</v>
      </c>
      <c r="J1294">
        <v>20508.541879876699</v>
      </c>
      <c r="K1294">
        <v>14505.394978440099</v>
      </c>
      <c r="L1294">
        <v>34.741999999999997</v>
      </c>
      <c r="M1294">
        <v>70.832999999999998</v>
      </c>
      <c r="N1294">
        <v>19.334</v>
      </c>
    </row>
    <row r="1295" spans="1:14" x14ac:dyDescent="0.45">
      <c r="A1295">
        <v>1986</v>
      </c>
      <c r="B1295" t="s">
        <v>257</v>
      </c>
      <c r="C1295">
        <v>0</v>
      </c>
      <c r="D1295">
        <v>1</v>
      </c>
      <c r="E1295">
        <v>0</v>
      </c>
      <c r="F1295">
        <v>0</v>
      </c>
      <c r="G1295">
        <v>1</v>
      </c>
      <c r="H1295">
        <v>0</v>
      </c>
      <c r="I1295">
        <v>0</v>
      </c>
      <c r="J1295">
        <v>11930.154470166999</v>
      </c>
      <c r="K1295">
        <v>9462.6236687570708</v>
      </c>
      <c r="L1295">
        <v>12.442</v>
      </c>
      <c r="M1295">
        <v>72.186999999999998</v>
      </c>
      <c r="N1295">
        <v>30.658000000000001</v>
      </c>
    </row>
    <row r="1296" spans="1:14" x14ac:dyDescent="0.45">
      <c r="A1296">
        <v>1986</v>
      </c>
      <c r="B1296" t="s">
        <v>258</v>
      </c>
      <c r="C1296">
        <v>0</v>
      </c>
      <c r="D1296">
        <v>0</v>
      </c>
      <c r="E1296">
        <v>0</v>
      </c>
      <c r="F1296">
        <v>0</v>
      </c>
      <c r="G1296">
        <v>0</v>
      </c>
      <c r="H1296">
        <v>1</v>
      </c>
      <c r="I1296">
        <v>1</v>
      </c>
      <c r="J1296">
        <v>39824.042595444997</v>
      </c>
      <c r="K1296">
        <v>36147.272224161097</v>
      </c>
      <c r="L1296">
        <v>25.356000000000002</v>
      </c>
      <c r="M1296">
        <v>74.727999999999994</v>
      </c>
      <c r="N1296">
        <v>12.486000000000001</v>
      </c>
    </row>
    <row r="1297" spans="1:14" x14ac:dyDescent="0.45">
      <c r="A1297">
        <v>1986</v>
      </c>
      <c r="B1297" t="s">
        <v>259</v>
      </c>
      <c r="C1297">
        <v>1</v>
      </c>
      <c r="D1297">
        <v>0</v>
      </c>
      <c r="E1297">
        <v>0</v>
      </c>
      <c r="F1297">
        <v>1</v>
      </c>
      <c r="G1297">
        <v>0</v>
      </c>
      <c r="H1297">
        <v>0</v>
      </c>
      <c r="I1297">
        <v>0</v>
      </c>
      <c r="L1297">
        <v>59.29</v>
      </c>
      <c r="M1297">
        <v>65.027000000000001</v>
      </c>
      <c r="N1297">
        <v>79.838999999999999</v>
      </c>
    </row>
    <row r="1298" spans="1:14" x14ac:dyDescent="0.45">
      <c r="A1298">
        <v>1986</v>
      </c>
      <c r="B1298" t="s">
        <v>260</v>
      </c>
      <c r="C1298">
        <v>0</v>
      </c>
      <c r="D1298">
        <v>1</v>
      </c>
      <c r="E1298">
        <v>0</v>
      </c>
      <c r="F1298">
        <v>1</v>
      </c>
      <c r="G1298">
        <v>0</v>
      </c>
      <c r="H1298">
        <v>0</v>
      </c>
      <c r="I1298">
        <v>0</v>
      </c>
      <c r="J1298">
        <v>6241.48730153623</v>
      </c>
      <c r="K1298">
        <v>5454.8175972232402</v>
      </c>
      <c r="L1298">
        <v>60.841999999999999</v>
      </c>
      <c r="M1298">
        <v>70.103999999999999</v>
      </c>
      <c r="N1298">
        <v>31.024000000000001</v>
      </c>
    </row>
    <row r="1299" spans="1:14" x14ac:dyDescent="0.45">
      <c r="A1299">
        <v>1986</v>
      </c>
      <c r="B1299" t="s">
        <v>261</v>
      </c>
      <c r="C1299">
        <v>0</v>
      </c>
      <c r="D1299">
        <v>1</v>
      </c>
      <c r="E1299">
        <v>0</v>
      </c>
      <c r="F1299">
        <v>0</v>
      </c>
      <c r="G1299">
        <v>1</v>
      </c>
      <c r="H1299">
        <v>0</v>
      </c>
      <c r="I1299">
        <v>0</v>
      </c>
      <c r="L1299">
        <v>17.582000000000001</v>
      </c>
      <c r="M1299">
        <v>70.528000000000006</v>
      </c>
      <c r="N1299">
        <v>34.930999999999997</v>
      </c>
    </row>
    <row r="1300" spans="1:14" x14ac:dyDescent="0.45">
      <c r="A1300">
        <v>1986</v>
      </c>
      <c r="B1300" t="s">
        <v>262</v>
      </c>
      <c r="C1300">
        <v>0</v>
      </c>
      <c r="D1300">
        <v>1</v>
      </c>
      <c r="E1300">
        <v>0</v>
      </c>
      <c r="F1300">
        <v>0</v>
      </c>
      <c r="G1300">
        <v>0</v>
      </c>
      <c r="H1300">
        <v>1</v>
      </c>
      <c r="I1300">
        <v>1</v>
      </c>
      <c r="L1300">
        <v>68.733999999999995</v>
      </c>
      <c r="M1300">
        <v>71.251999999999995</v>
      </c>
      <c r="N1300">
        <v>27.457999999999998</v>
      </c>
    </row>
    <row r="1301" spans="1:14" x14ac:dyDescent="0.45">
      <c r="A1301">
        <v>1986</v>
      </c>
      <c r="B1301" t="s">
        <v>263</v>
      </c>
      <c r="C1301">
        <v>0</v>
      </c>
      <c r="D1301">
        <v>1</v>
      </c>
      <c r="E1301">
        <v>0</v>
      </c>
      <c r="F1301">
        <v>0</v>
      </c>
      <c r="G1301">
        <v>0</v>
      </c>
      <c r="H1301">
        <v>1</v>
      </c>
      <c r="I1301">
        <v>1</v>
      </c>
      <c r="L1301">
        <v>14.983000000000001</v>
      </c>
      <c r="M1301">
        <v>69.965000000000003</v>
      </c>
      <c r="N1301">
        <v>21.741</v>
      </c>
    </row>
    <row r="1302" spans="1:14" x14ac:dyDescent="0.45">
      <c r="A1302">
        <v>1986</v>
      </c>
      <c r="B1302" t="s">
        <v>264</v>
      </c>
      <c r="C1302">
        <v>0</v>
      </c>
      <c r="D1302">
        <v>0</v>
      </c>
      <c r="E1302">
        <v>0</v>
      </c>
      <c r="F1302">
        <v>0</v>
      </c>
      <c r="G1302">
        <v>0</v>
      </c>
      <c r="H1302">
        <v>0</v>
      </c>
      <c r="I1302">
        <v>0</v>
      </c>
      <c r="J1302">
        <v>2244.4962904804702</v>
      </c>
      <c r="K1302">
        <v>2000.03224346414</v>
      </c>
      <c r="L1302">
        <v>80.375</v>
      </c>
      <c r="M1302">
        <v>67.55</v>
      </c>
      <c r="N1302">
        <v>60.15</v>
      </c>
    </row>
    <row r="1303" spans="1:14" x14ac:dyDescent="0.45">
      <c r="A1303">
        <v>1986</v>
      </c>
      <c r="B1303" t="s">
        <v>265</v>
      </c>
      <c r="C1303">
        <v>0</v>
      </c>
      <c r="D1303">
        <v>0</v>
      </c>
      <c r="E1303">
        <v>0</v>
      </c>
      <c r="F1303">
        <v>1</v>
      </c>
      <c r="G1303">
        <v>0</v>
      </c>
      <c r="H1303">
        <v>0</v>
      </c>
      <c r="I1303">
        <v>0</v>
      </c>
      <c r="J1303">
        <v>3550.04591926074</v>
      </c>
      <c r="K1303">
        <v>3211.3763166131898</v>
      </c>
      <c r="L1303">
        <v>82.856999999999999</v>
      </c>
      <c r="M1303">
        <v>64.617999999999995</v>
      </c>
      <c r="N1303">
        <v>45.704999999999998</v>
      </c>
    </row>
    <row r="1304" spans="1:14" x14ac:dyDescent="0.45">
      <c r="A1304">
        <v>1986</v>
      </c>
      <c r="B1304" t="s">
        <v>266</v>
      </c>
      <c r="C1304">
        <v>0</v>
      </c>
      <c r="D1304">
        <v>0</v>
      </c>
      <c r="E1304">
        <v>0</v>
      </c>
      <c r="F1304">
        <v>1</v>
      </c>
      <c r="G1304">
        <v>0</v>
      </c>
      <c r="H1304">
        <v>0</v>
      </c>
      <c r="I1304">
        <v>0</v>
      </c>
      <c r="J1304">
        <v>3901.8074244602799</v>
      </c>
      <c r="K1304">
        <v>3529.5802476567801</v>
      </c>
      <c r="L1304">
        <v>78.8</v>
      </c>
      <c r="M1304">
        <v>66.819000000000003</v>
      </c>
      <c r="N1304">
        <v>34.18</v>
      </c>
    </row>
    <row r="1305" spans="1:14" x14ac:dyDescent="0.45">
      <c r="A1305">
        <v>1986</v>
      </c>
      <c r="B1305" t="s">
        <v>267</v>
      </c>
      <c r="C1305">
        <v>1</v>
      </c>
      <c r="D1305">
        <v>0</v>
      </c>
      <c r="E1305">
        <v>0</v>
      </c>
      <c r="F1305">
        <v>0</v>
      </c>
      <c r="G1305">
        <v>1</v>
      </c>
      <c r="H1305">
        <v>0</v>
      </c>
      <c r="I1305">
        <v>0</v>
      </c>
      <c r="L1305">
        <v>51.249000000000002</v>
      </c>
      <c r="M1305">
        <v>62.536999999999999</v>
      </c>
      <c r="N1305">
        <v>135.04900000000001</v>
      </c>
    </row>
    <row r="1306" spans="1:14" x14ac:dyDescent="0.45">
      <c r="A1306">
        <v>1986</v>
      </c>
      <c r="B1306" t="s">
        <v>268</v>
      </c>
      <c r="C1306">
        <v>0</v>
      </c>
      <c r="D1306">
        <v>0</v>
      </c>
      <c r="E1306">
        <v>0</v>
      </c>
      <c r="F1306">
        <v>1</v>
      </c>
      <c r="G1306">
        <v>0</v>
      </c>
      <c r="H1306">
        <v>0</v>
      </c>
      <c r="I1306">
        <v>0</v>
      </c>
      <c r="L1306">
        <v>81.191999999999993</v>
      </c>
      <c r="M1306">
        <v>54.002000000000002</v>
      </c>
      <c r="N1306">
        <v>149.489</v>
      </c>
    </row>
    <row r="1307" spans="1:14" x14ac:dyDescent="0.45">
      <c r="A1307">
        <v>1986</v>
      </c>
      <c r="B1307" t="s">
        <v>269</v>
      </c>
      <c r="C1307">
        <v>0</v>
      </c>
      <c r="D1307">
        <v>0</v>
      </c>
      <c r="E1307">
        <v>1</v>
      </c>
      <c r="F1307">
        <v>1</v>
      </c>
      <c r="G1307">
        <v>0</v>
      </c>
      <c r="H1307">
        <v>0</v>
      </c>
      <c r="I1307">
        <v>0</v>
      </c>
      <c r="J1307">
        <v>11234.901226826199</v>
      </c>
      <c r="K1307">
        <v>10578.1216325692</v>
      </c>
      <c r="L1307">
        <v>50.094999999999999</v>
      </c>
      <c r="M1307">
        <v>62.420999999999999</v>
      </c>
      <c r="N1307">
        <v>71.981999999999999</v>
      </c>
    </row>
    <row r="1308" spans="1:14" x14ac:dyDescent="0.45">
      <c r="A1308">
        <v>1986</v>
      </c>
      <c r="B1308" t="s">
        <v>270</v>
      </c>
      <c r="C1308">
        <v>0</v>
      </c>
      <c r="D1308">
        <v>0</v>
      </c>
      <c r="E1308">
        <v>1</v>
      </c>
      <c r="F1308">
        <v>0</v>
      </c>
      <c r="G1308">
        <v>0</v>
      </c>
      <c r="H1308">
        <v>0</v>
      </c>
      <c r="I1308">
        <v>0</v>
      </c>
      <c r="J1308">
        <v>2494.8883395284201</v>
      </c>
      <c r="K1308">
        <v>2342.3440479023002</v>
      </c>
      <c r="L1308">
        <v>60.393999999999998</v>
      </c>
      <c r="M1308">
        <v>51.149000000000001</v>
      </c>
      <c r="N1308">
        <v>171.88499999999999</v>
      </c>
    </row>
    <row r="1309" spans="1:14" x14ac:dyDescent="0.45">
      <c r="A1309">
        <v>1986</v>
      </c>
      <c r="B1309" t="s">
        <v>271</v>
      </c>
      <c r="C1309">
        <v>0</v>
      </c>
      <c r="D1309">
        <v>0</v>
      </c>
      <c r="E1309">
        <v>1</v>
      </c>
      <c r="F1309">
        <v>1</v>
      </c>
      <c r="G1309">
        <v>0</v>
      </c>
      <c r="H1309">
        <v>0</v>
      </c>
      <c r="I1309">
        <v>0</v>
      </c>
      <c r="J1309">
        <v>3698.9675773610302</v>
      </c>
      <c r="K1309">
        <v>2462.9053590341</v>
      </c>
      <c r="L1309">
        <v>73.894999999999996</v>
      </c>
      <c r="M1309">
        <v>60.981999999999999</v>
      </c>
      <c r="N1309">
        <v>81.804000000000002</v>
      </c>
    </row>
    <row r="1310" spans="1:14" x14ac:dyDescent="0.45">
      <c r="A1310">
        <v>1987</v>
      </c>
      <c r="B1310" t="s">
        <v>54</v>
      </c>
      <c r="C1310">
        <v>0</v>
      </c>
      <c r="D1310">
        <v>1</v>
      </c>
      <c r="E1310">
        <v>0</v>
      </c>
      <c r="F1310">
        <v>0</v>
      </c>
      <c r="G1310">
        <v>0</v>
      </c>
      <c r="H1310">
        <v>1</v>
      </c>
      <c r="I1310">
        <v>1</v>
      </c>
      <c r="J1310">
        <v>24612.625062601899</v>
      </c>
      <c r="K1310">
        <v>23953.186355938498</v>
      </c>
      <c r="L1310">
        <v>49.634999999999998</v>
      </c>
      <c r="M1310">
        <v>72.447999999999993</v>
      </c>
      <c r="N1310">
        <v>22.899000000000001</v>
      </c>
    </row>
    <row r="1311" spans="1:14" x14ac:dyDescent="0.45">
      <c r="A1311">
        <v>1987</v>
      </c>
      <c r="B1311" t="s">
        <v>55</v>
      </c>
      <c r="C1311">
        <v>0</v>
      </c>
      <c r="D1311">
        <v>0</v>
      </c>
      <c r="E1311">
        <v>0</v>
      </c>
      <c r="F1311">
        <v>0</v>
      </c>
      <c r="G1311">
        <v>0</v>
      </c>
      <c r="H1311">
        <v>0</v>
      </c>
      <c r="I1311">
        <v>0</v>
      </c>
      <c r="L1311">
        <v>79.686000000000007</v>
      </c>
      <c r="M1311">
        <v>38.831000000000003</v>
      </c>
      <c r="N1311">
        <v>240.08099999999999</v>
      </c>
    </row>
    <row r="1312" spans="1:14" x14ac:dyDescent="0.45">
      <c r="A1312">
        <v>1987</v>
      </c>
      <c r="B1312" t="s">
        <v>56</v>
      </c>
      <c r="C1312">
        <v>0</v>
      </c>
      <c r="D1312">
        <v>0</v>
      </c>
      <c r="E1312">
        <v>1</v>
      </c>
      <c r="F1312">
        <v>1</v>
      </c>
      <c r="G1312">
        <v>0</v>
      </c>
      <c r="H1312">
        <v>0</v>
      </c>
      <c r="I1312">
        <v>0</v>
      </c>
      <c r="J1312">
        <v>7413.9667527398396</v>
      </c>
      <c r="K1312">
        <v>5733.5970857599796</v>
      </c>
      <c r="L1312">
        <v>67.022000000000006</v>
      </c>
      <c r="M1312">
        <v>40.786000000000001</v>
      </c>
      <c r="N1312">
        <v>243.16499999999999</v>
      </c>
    </row>
    <row r="1313" spans="1:14" x14ac:dyDescent="0.45">
      <c r="A1313">
        <v>1987</v>
      </c>
      <c r="B1313" t="s">
        <v>57</v>
      </c>
      <c r="C1313">
        <v>1</v>
      </c>
      <c r="D1313">
        <v>0</v>
      </c>
      <c r="E1313">
        <v>0</v>
      </c>
      <c r="F1313">
        <v>1</v>
      </c>
      <c r="G1313">
        <v>0</v>
      </c>
      <c r="H1313">
        <v>0</v>
      </c>
      <c r="I1313">
        <v>0</v>
      </c>
      <c r="J1313">
        <v>5527.85392847823</v>
      </c>
      <c r="K1313">
        <v>5007.9821093792198</v>
      </c>
      <c r="L1313">
        <v>64.381</v>
      </c>
      <c r="M1313">
        <v>71.980999999999995</v>
      </c>
      <c r="N1313">
        <v>47.372</v>
      </c>
    </row>
    <row r="1314" spans="1:14" x14ac:dyDescent="0.45">
      <c r="A1314">
        <v>1987</v>
      </c>
      <c r="B1314" t="s">
        <v>58</v>
      </c>
      <c r="C1314">
        <v>1</v>
      </c>
      <c r="D1314">
        <v>0</v>
      </c>
      <c r="E1314">
        <v>0</v>
      </c>
      <c r="F1314">
        <v>0</v>
      </c>
      <c r="G1314">
        <v>0</v>
      </c>
      <c r="H1314">
        <v>1</v>
      </c>
      <c r="I1314">
        <v>1</v>
      </c>
      <c r="J1314">
        <v>48304.087161750103</v>
      </c>
      <c r="K1314">
        <v>40547.592360453098</v>
      </c>
      <c r="L1314">
        <v>4.8220000000000001</v>
      </c>
      <c r="M1314">
        <v>78.188999999999993</v>
      </c>
      <c r="N1314">
        <v>11.678000000000001</v>
      </c>
    </row>
    <row r="1315" spans="1:14" x14ac:dyDescent="0.45">
      <c r="A1315">
        <v>1987</v>
      </c>
      <c r="B1315" t="s">
        <v>59</v>
      </c>
      <c r="C1315">
        <v>0</v>
      </c>
      <c r="D1315">
        <v>0</v>
      </c>
      <c r="E1315">
        <v>0</v>
      </c>
      <c r="F1315">
        <v>0</v>
      </c>
      <c r="G1315">
        <v>0</v>
      </c>
      <c r="H1315">
        <v>1</v>
      </c>
      <c r="I1315">
        <v>1</v>
      </c>
      <c r="J1315">
        <v>116541.500939606</v>
      </c>
      <c r="K1315">
        <v>115139.354038499</v>
      </c>
      <c r="L1315">
        <v>20.518000000000001</v>
      </c>
      <c r="M1315">
        <v>70.623000000000005</v>
      </c>
      <c r="N1315">
        <v>19.925999999999998</v>
      </c>
    </row>
    <row r="1316" spans="1:14" x14ac:dyDescent="0.45">
      <c r="A1316">
        <v>1987</v>
      </c>
      <c r="B1316" t="s">
        <v>60</v>
      </c>
      <c r="C1316">
        <v>0</v>
      </c>
      <c r="D1316">
        <v>1</v>
      </c>
      <c r="E1316">
        <v>0</v>
      </c>
      <c r="F1316">
        <v>0</v>
      </c>
      <c r="G1316">
        <v>1</v>
      </c>
      <c r="H1316">
        <v>0</v>
      </c>
      <c r="I1316">
        <v>0</v>
      </c>
      <c r="J1316">
        <v>18886.268512568098</v>
      </c>
      <c r="K1316">
        <v>15587.022317923</v>
      </c>
      <c r="L1316">
        <v>14.157</v>
      </c>
      <c r="M1316">
        <v>70.698999999999998</v>
      </c>
      <c r="N1316">
        <v>31.92</v>
      </c>
    </row>
    <row r="1317" spans="1:14" x14ac:dyDescent="0.45">
      <c r="A1317">
        <v>1987</v>
      </c>
      <c r="B1317" t="s">
        <v>61</v>
      </c>
      <c r="C1317">
        <v>1</v>
      </c>
      <c r="D1317">
        <v>0</v>
      </c>
      <c r="E1317">
        <v>0</v>
      </c>
      <c r="F1317">
        <v>1</v>
      </c>
      <c r="G1317">
        <v>0</v>
      </c>
      <c r="H1317">
        <v>0</v>
      </c>
      <c r="I1317">
        <v>0</v>
      </c>
      <c r="L1317">
        <v>32.499000000000002</v>
      </c>
      <c r="M1317">
        <v>67.570999999999998</v>
      </c>
      <c r="N1317">
        <v>55.293999999999997</v>
      </c>
    </row>
    <row r="1318" spans="1:14" x14ac:dyDescent="0.45">
      <c r="A1318">
        <v>1987</v>
      </c>
      <c r="B1318" t="s">
        <v>62</v>
      </c>
      <c r="C1318">
        <v>0</v>
      </c>
      <c r="D1318">
        <v>0</v>
      </c>
      <c r="E1318">
        <v>0</v>
      </c>
      <c r="F1318">
        <v>0</v>
      </c>
      <c r="G1318">
        <v>0</v>
      </c>
      <c r="H1318">
        <v>1</v>
      </c>
      <c r="I1318">
        <v>1</v>
      </c>
      <c r="L1318">
        <v>20.96</v>
      </c>
      <c r="M1318">
        <v>70.828000000000003</v>
      </c>
      <c r="N1318">
        <v>16.364000000000001</v>
      </c>
    </row>
    <row r="1319" spans="1:14" x14ac:dyDescent="0.45">
      <c r="A1319">
        <v>1987</v>
      </c>
      <c r="B1319" t="s">
        <v>63</v>
      </c>
      <c r="C1319">
        <v>0</v>
      </c>
      <c r="D1319">
        <v>1</v>
      </c>
      <c r="E1319">
        <v>0</v>
      </c>
      <c r="F1319">
        <v>0</v>
      </c>
      <c r="G1319">
        <v>1</v>
      </c>
      <c r="H1319">
        <v>0</v>
      </c>
      <c r="I1319">
        <v>0</v>
      </c>
      <c r="J1319">
        <v>17584.021919291601</v>
      </c>
      <c r="K1319">
        <v>13849.119941641</v>
      </c>
      <c r="L1319">
        <v>64.816999999999993</v>
      </c>
      <c r="M1319">
        <v>73.873000000000005</v>
      </c>
      <c r="N1319">
        <v>12.997</v>
      </c>
    </row>
    <row r="1320" spans="1:14" x14ac:dyDescent="0.45">
      <c r="A1320">
        <v>1987</v>
      </c>
      <c r="B1320" t="s">
        <v>64</v>
      </c>
      <c r="C1320">
        <v>0</v>
      </c>
      <c r="D1320">
        <v>0</v>
      </c>
      <c r="E1320">
        <v>0</v>
      </c>
      <c r="F1320">
        <v>0</v>
      </c>
      <c r="G1320">
        <v>0</v>
      </c>
      <c r="H1320">
        <v>1</v>
      </c>
      <c r="I1320">
        <v>1</v>
      </c>
      <c r="J1320">
        <v>33773.999632703097</v>
      </c>
      <c r="K1320">
        <v>29253.403514359801</v>
      </c>
      <c r="L1320">
        <v>14.478</v>
      </c>
      <c r="M1320">
        <v>76.082999999999998</v>
      </c>
      <c r="N1320">
        <v>10.693</v>
      </c>
    </row>
    <row r="1321" spans="1:14" x14ac:dyDescent="0.45">
      <c r="A1321">
        <v>1987</v>
      </c>
      <c r="B1321" t="s">
        <v>65</v>
      </c>
      <c r="C1321">
        <v>1</v>
      </c>
      <c r="D1321">
        <v>0</v>
      </c>
      <c r="E1321">
        <v>0</v>
      </c>
      <c r="F1321">
        <v>0</v>
      </c>
      <c r="G1321">
        <v>0</v>
      </c>
      <c r="H1321">
        <v>1</v>
      </c>
      <c r="I1321">
        <v>1</v>
      </c>
      <c r="J1321">
        <v>40878.170952697699</v>
      </c>
      <c r="K1321">
        <v>34834.559602645502</v>
      </c>
      <c r="L1321">
        <v>36.231000000000002</v>
      </c>
      <c r="M1321">
        <v>74.900000000000006</v>
      </c>
      <c r="N1321">
        <v>11.369</v>
      </c>
    </row>
    <row r="1322" spans="1:14" x14ac:dyDescent="0.45">
      <c r="A1322">
        <v>1987</v>
      </c>
      <c r="B1322" t="s">
        <v>66</v>
      </c>
      <c r="C1322">
        <v>1</v>
      </c>
      <c r="D1322">
        <v>0</v>
      </c>
      <c r="E1322">
        <v>0</v>
      </c>
      <c r="F1322">
        <v>1</v>
      </c>
      <c r="G1322">
        <v>0</v>
      </c>
      <c r="H1322">
        <v>0</v>
      </c>
      <c r="I1322">
        <v>0</v>
      </c>
      <c r="J1322">
        <v>10685.0797355781</v>
      </c>
      <c r="K1322">
        <v>7781.0070799810201</v>
      </c>
      <c r="L1322">
        <v>46.104999999999997</v>
      </c>
      <c r="M1322">
        <v>62.823999999999998</v>
      </c>
      <c r="N1322">
        <v>100.029</v>
      </c>
    </row>
    <row r="1323" spans="1:14" x14ac:dyDescent="0.45">
      <c r="A1323">
        <v>1987</v>
      </c>
      <c r="B1323" t="s">
        <v>67</v>
      </c>
      <c r="C1323">
        <v>0</v>
      </c>
      <c r="D1323">
        <v>0</v>
      </c>
      <c r="E1323">
        <v>1</v>
      </c>
      <c r="F1323">
        <v>0</v>
      </c>
      <c r="G1323">
        <v>0</v>
      </c>
      <c r="H1323">
        <v>0</v>
      </c>
      <c r="I1323">
        <v>0</v>
      </c>
      <c r="J1323">
        <v>1326.0512876836699</v>
      </c>
      <c r="K1323">
        <v>1145.8452182978399</v>
      </c>
      <c r="L1323">
        <v>94.38</v>
      </c>
      <c r="M1323">
        <v>47.066000000000003</v>
      </c>
      <c r="N1323">
        <v>174.73400000000001</v>
      </c>
    </row>
    <row r="1324" spans="1:14" x14ac:dyDescent="0.45">
      <c r="A1324">
        <v>1987</v>
      </c>
      <c r="B1324" t="s">
        <v>68</v>
      </c>
      <c r="C1324">
        <v>1</v>
      </c>
      <c r="D1324">
        <v>0</v>
      </c>
      <c r="E1324">
        <v>0</v>
      </c>
      <c r="F1324">
        <v>0</v>
      </c>
      <c r="G1324">
        <v>0</v>
      </c>
      <c r="H1324">
        <v>1</v>
      </c>
      <c r="I1324">
        <v>1</v>
      </c>
      <c r="J1324">
        <v>37868.110945777502</v>
      </c>
      <c r="K1324">
        <v>31866.6449740016</v>
      </c>
      <c r="L1324">
        <v>3.88500000000001</v>
      </c>
      <c r="M1324">
        <v>75.290000000000006</v>
      </c>
      <c r="N1324">
        <v>11.201000000000001</v>
      </c>
    </row>
    <row r="1325" spans="1:14" x14ac:dyDescent="0.45">
      <c r="A1325">
        <v>1987</v>
      </c>
      <c r="B1325" t="s">
        <v>69</v>
      </c>
      <c r="C1325">
        <v>0</v>
      </c>
      <c r="D1325">
        <v>0</v>
      </c>
      <c r="E1325">
        <v>1</v>
      </c>
      <c r="F1325">
        <v>0</v>
      </c>
      <c r="G1325">
        <v>0</v>
      </c>
      <c r="H1325">
        <v>0</v>
      </c>
      <c r="I1325">
        <v>0</v>
      </c>
      <c r="J1325">
        <v>2443.44506166153</v>
      </c>
      <c r="K1325">
        <v>2318.2231069954</v>
      </c>
      <c r="L1325">
        <v>67.754000000000005</v>
      </c>
      <c r="M1325">
        <v>51.258000000000003</v>
      </c>
      <c r="N1325">
        <v>184.066</v>
      </c>
    </row>
    <row r="1326" spans="1:14" x14ac:dyDescent="0.45">
      <c r="A1326">
        <v>1987</v>
      </c>
      <c r="B1326" t="s">
        <v>70</v>
      </c>
      <c r="C1326">
        <v>0</v>
      </c>
      <c r="D1326">
        <v>0</v>
      </c>
      <c r="E1326">
        <v>1</v>
      </c>
      <c r="F1326">
        <v>0</v>
      </c>
      <c r="G1326">
        <v>0</v>
      </c>
      <c r="H1326">
        <v>0</v>
      </c>
      <c r="I1326">
        <v>0</v>
      </c>
      <c r="J1326">
        <v>1114.00430738519</v>
      </c>
      <c r="K1326">
        <v>1019.24385570322</v>
      </c>
      <c r="L1326">
        <v>86.927999999999997</v>
      </c>
      <c r="M1326">
        <v>49.097000000000001</v>
      </c>
      <c r="N1326">
        <v>207.18899999999999</v>
      </c>
    </row>
    <row r="1327" spans="1:14" x14ac:dyDescent="0.45">
      <c r="A1327">
        <v>1987</v>
      </c>
      <c r="B1327" t="s">
        <v>71</v>
      </c>
      <c r="C1327">
        <v>0</v>
      </c>
      <c r="D1327">
        <v>0</v>
      </c>
      <c r="E1327">
        <v>0</v>
      </c>
      <c r="F1327">
        <v>0</v>
      </c>
      <c r="G1327">
        <v>0</v>
      </c>
      <c r="H1327">
        <v>0</v>
      </c>
      <c r="I1327">
        <v>0</v>
      </c>
      <c r="J1327">
        <v>2001.03652759949</v>
      </c>
      <c r="K1327">
        <v>1626.8318211496401</v>
      </c>
      <c r="L1327">
        <v>81.605000000000004</v>
      </c>
      <c r="M1327">
        <v>54.899000000000001</v>
      </c>
      <c r="N1327">
        <v>164.75899999999999</v>
      </c>
    </row>
    <row r="1328" spans="1:14" x14ac:dyDescent="0.45">
      <c r="A1328">
        <v>1987</v>
      </c>
      <c r="B1328" t="s">
        <v>72</v>
      </c>
      <c r="C1328">
        <v>1</v>
      </c>
      <c r="D1328">
        <v>0</v>
      </c>
      <c r="E1328">
        <v>0</v>
      </c>
      <c r="F1328">
        <v>1</v>
      </c>
      <c r="G1328">
        <v>0</v>
      </c>
      <c r="H1328">
        <v>0</v>
      </c>
      <c r="I1328">
        <v>0</v>
      </c>
      <c r="J1328">
        <v>13022.7155895452</v>
      </c>
      <c r="K1328">
        <v>10806.242529817</v>
      </c>
      <c r="L1328">
        <v>34.654000000000003</v>
      </c>
      <c r="M1328">
        <v>71.343999999999994</v>
      </c>
      <c r="N1328">
        <v>18.38</v>
      </c>
    </row>
    <row r="1329" spans="1:14" x14ac:dyDescent="0.45">
      <c r="A1329">
        <v>1987</v>
      </c>
      <c r="B1329" t="s">
        <v>73</v>
      </c>
      <c r="C1329">
        <v>0</v>
      </c>
      <c r="D1329">
        <v>0</v>
      </c>
      <c r="E1329">
        <v>0</v>
      </c>
      <c r="F1329">
        <v>0</v>
      </c>
      <c r="G1329">
        <v>0</v>
      </c>
      <c r="H1329">
        <v>1</v>
      </c>
      <c r="I1329">
        <v>1</v>
      </c>
      <c r="J1329">
        <v>39342.8740730383</v>
      </c>
      <c r="K1329">
        <v>36658.204794015997</v>
      </c>
      <c r="L1329">
        <v>12.443</v>
      </c>
      <c r="M1329">
        <v>72.376999999999995</v>
      </c>
      <c r="N1329">
        <v>24.102</v>
      </c>
    </row>
    <row r="1330" spans="1:14" x14ac:dyDescent="0.45">
      <c r="A1330">
        <v>1987</v>
      </c>
      <c r="B1330" t="s">
        <v>74</v>
      </c>
      <c r="C1330">
        <v>0</v>
      </c>
      <c r="D1330">
        <v>1</v>
      </c>
      <c r="E1330">
        <v>0</v>
      </c>
      <c r="F1330">
        <v>0</v>
      </c>
      <c r="G1330">
        <v>0</v>
      </c>
      <c r="H1330">
        <v>1</v>
      </c>
      <c r="I1330">
        <v>1</v>
      </c>
      <c r="J1330">
        <v>32102.606817414999</v>
      </c>
      <c r="K1330">
        <v>33299.584128847302</v>
      </c>
      <c r="L1330">
        <v>21.992999999999999</v>
      </c>
      <c r="M1330">
        <v>70.382999999999996</v>
      </c>
      <c r="N1330">
        <v>26.315999999999999</v>
      </c>
    </row>
    <row r="1331" spans="1:14" x14ac:dyDescent="0.45">
      <c r="A1331">
        <v>1987</v>
      </c>
      <c r="B1331" t="s">
        <v>75</v>
      </c>
      <c r="C1331">
        <v>1</v>
      </c>
      <c r="D1331">
        <v>0</v>
      </c>
      <c r="E1331">
        <v>0</v>
      </c>
      <c r="F1331">
        <v>0</v>
      </c>
      <c r="G1331">
        <v>1</v>
      </c>
      <c r="H1331">
        <v>0</v>
      </c>
      <c r="I1331">
        <v>0</v>
      </c>
      <c r="L1331">
        <v>61.75</v>
      </c>
      <c r="M1331">
        <v>70.876000000000005</v>
      </c>
      <c r="N1331">
        <v>21.585000000000001</v>
      </c>
    </row>
    <row r="1332" spans="1:14" x14ac:dyDescent="0.45">
      <c r="A1332">
        <v>1987</v>
      </c>
      <c r="B1332" t="s">
        <v>76</v>
      </c>
      <c r="C1332">
        <v>1</v>
      </c>
      <c r="D1332">
        <v>0</v>
      </c>
      <c r="E1332">
        <v>0</v>
      </c>
      <c r="F1332">
        <v>0</v>
      </c>
      <c r="G1332">
        <v>1</v>
      </c>
      <c r="H1332">
        <v>0</v>
      </c>
      <c r="I1332">
        <v>0</v>
      </c>
      <c r="L1332">
        <v>36.130000000000003</v>
      </c>
      <c r="M1332">
        <v>71.948999999999998</v>
      </c>
      <c r="N1332">
        <v>16.646999999999998</v>
      </c>
    </row>
    <row r="1333" spans="1:14" x14ac:dyDescent="0.45">
      <c r="A1333">
        <v>1987</v>
      </c>
      <c r="B1333" t="s">
        <v>77</v>
      </c>
      <c r="C1333">
        <v>0</v>
      </c>
      <c r="D1333">
        <v>1</v>
      </c>
      <c r="E1333">
        <v>0</v>
      </c>
      <c r="F1333">
        <v>1</v>
      </c>
      <c r="G1333">
        <v>0</v>
      </c>
      <c r="H1333">
        <v>0</v>
      </c>
      <c r="I1333">
        <v>0</v>
      </c>
      <c r="J1333">
        <v>6414.3311022029102</v>
      </c>
      <c r="K1333">
        <v>5055.0905784491097</v>
      </c>
      <c r="L1333">
        <v>51.963000000000001</v>
      </c>
      <c r="M1333">
        <v>69.108000000000004</v>
      </c>
      <c r="N1333">
        <v>46.914000000000001</v>
      </c>
    </row>
    <row r="1334" spans="1:14" x14ac:dyDescent="0.45">
      <c r="A1334">
        <v>1987</v>
      </c>
      <c r="B1334" t="s">
        <v>78</v>
      </c>
      <c r="C1334">
        <v>0</v>
      </c>
      <c r="D1334">
        <v>0</v>
      </c>
      <c r="E1334">
        <v>0</v>
      </c>
      <c r="F1334">
        <v>0</v>
      </c>
      <c r="G1334">
        <v>0</v>
      </c>
      <c r="H1334">
        <v>1</v>
      </c>
      <c r="I1334">
        <v>1</v>
      </c>
      <c r="J1334">
        <v>78039.967145382005</v>
      </c>
      <c r="K1334">
        <v>69335.694989978307</v>
      </c>
      <c r="L1334">
        <v>0</v>
      </c>
      <c r="M1334">
        <v>73.453999999999994</v>
      </c>
      <c r="N1334">
        <v>12.263</v>
      </c>
    </row>
    <row r="1335" spans="1:14" x14ac:dyDescent="0.45">
      <c r="A1335">
        <v>1987</v>
      </c>
      <c r="B1335" t="s">
        <v>79</v>
      </c>
      <c r="C1335">
        <v>0</v>
      </c>
      <c r="D1335">
        <v>1</v>
      </c>
      <c r="E1335">
        <v>0</v>
      </c>
      <c r="F1335">
        <v>1</v>
      </c>
      <c r="G1335">
        <v>0</v>
      </c>
      <c r="H1335">
        <v>0</v>
      </c>
      <c r="I1335">
        <v>0</v>
      </c>
      <c r="J1335">
        <v>4989.1870070331497</v>
      </c>
      <c r="K1335">
        <v>4403.2080543066104</v>
      </c>
      <c r="L1335">
        <v>47.451000000000001</v>
      </c>
      <c r="M1335">
        <v>54.901000000000003</v>
      </c>
      <c r="N1335">
        <v>170.19900000000001</v>
      </c>
    </row>
    <row r="1336" spans="1:14" x14ac:dyDescent="0.45">
      <c r="A1336">
        <v>1987</v>
      </c>
      <c r="B1336" t="s">
        <v>80</v>
      </c>
      <c r="C1336">
        <v>0</v>
      </c>
      <c r="D1336">
        <v>1</v>
      </c>
      <c r="E1336">
        <v>0</v>
      </c>
      <c r="F1336">
        <v>0</v>
      </c>
      <c r="G1336">
        <v>1</v>
      </c>
      <c r="H1336">
        <v>0</v>
      </c>
      <c r="I1336">
        <v>0</v>
      </c>
      <c r="J1336">
        <v>12514.774763507799</v>
      </c>
      <c r="K1336">
        <v>10279.7503930845</v>
      </c>
      <c r="L1336">
        <v>28.471</v>
      </c>
      <c r="M1336">
        <v>64.784999999999997</v>
      </c>
      <c r="N1336">
        <v>70.962999999999994</v>
      </c>
    </row>
    <row r="1337" spans="1:14" x14ac:dyDescent="0.45">
      <c r="A1337">
        <v>1987</v>
      </c>
      <c r="B1337" t="s">
        <v>81</v>
      </c>
      <c r="C1337">
        <v>0</v>
      </c>
      <c r="D1337">
        <v>1</v>
      </c>
      <c r="E1337">
        <v>0</v>
      </c>
      <c r="F1337">
        <v>0</v>
      </c>
      <c r="G1337">
        <v>1</v>
      </c>
      <c r="H1337">
        <v>0</v>
      </c>
      <c r="I1337">
        <v>0</v>
      </c>
      <c r="J1337">
        <v>15521.6923556907</v>
      </c>
      <c r="K1337">
        <v>14824.7616857135</v>
      </c>
      <c r="L1337">
        <v>61.805999999999997</v>
      </c>
      <c r="M1337">
        <v>73.462999999999994</v>
      </c>
      <c r="N1337">
        <v>20.341999999999999</v>
      </c>
    </row>
    <row r="1338" spans="1:14" x14ac:dyDescent="0.45">
      <c r="A1338">
        <v>1987</v>
      </c>
      <c r="B1338" t="s">
        <v>82</v>
      </c>
      <c r="C1338">
        <v>0</v>
      </c>
      <c r="D1338">
        <v>0</v>
      </c>
      <c r="E1338">
        <v>0</v>
      </c>
      <c r="F1338">
        <v>0</v>
      </c>
      <c r="G1338">
        <v>0</v>
      </c>
      <c r="H1338">
        <v>1</v>
      </c>
      <c r="I1338">
        <v>1</v>
      </c>
      <c r="J1338">
        <v>126852.94998583</v>
      </c>
      <c r="K1338">
        <v>99047.350858095393</v>
      </c>
      <c r="L1338">
        <v>34.006</v>
      </c>
      <c r="M1338">
        <v>70.981999999999999</v>
      </c>
      <c r="N1338">
        <v>14.193</v>
      </c>
    </row>
    <row r="1339" spans="1:14" x14ac:dyDescent="0.45">
      <c r="A1339">
        <v>1987</v>
      </c>
      <c r="B1339" t="s">
        <v>83</v>
      </c>
      <c r="C1339">
        <v>0</v>
      </c>
      <c r="D1339">
        <v>0</v>
      </c>
      <c r="E1339">
        <v>0</v>
      </c>
      <c r="F1339">
        <v>0</v>
      </c>
      <c r="G1339">
        <v>0</v>
      </c>
      <c r="H1339">
        <v>0</v>
      </c>
      <c r="I1339">
        <v>0</v>
      </c>
      <c r="J1339">
        <v>2571.02496760749</v>
      </c>
      <c r="K1339">
        <v>2226.8327563160201</v>
      </c>
      <c r="L1339">
        <v>85.76</v>
      </c>
      <c r="M1339">
        <v>53.62</v>
      </c>
      <c r="N1339">
        <v>146.59100000000001</v>
      </c>
    </row>
    <row r="1340" spans="1:14" x14ac:dyDescent="0.45">
      <c r="A1340">
        <v>1987</v>
      </c>
      <c r="B1340" t="s">
        <v>84</v>
      </c>
      <c r="C1340">
        <v>0</v>
      </c>
      <c r="D1340">
        <v>0</v>
      </c>
      <c r="E1340">
        <v>1</v>
      </c>
      <c r="F1340">
        <v>1</v>
      </c>
      <c r="G1340">
        <v>0</v>
      </c>
      <c r="H1340">
        <v>0</v>
      </c>
      <c r="I1340">
        <v>0</v>
      </c>
      <c r="J1340">
        <v>7620.73955249142</v>
      </c>
      <c r="K1340">
        <v>6895.1417715213101</v>
      </c>
      <c r="L1340">
        <v>67.599000000000004</v>
      </c>
      <c r="M1340">
        <v>62.837000000000003</v>
      </c>
      <c r="N1340">
        <v>51.298999999999999</v>
      </c>
    </row>
    <row r="1341" spans="1:14" x14ac:dyDescent="0.45">
      <c r="A1341">
        <v>1987</v>
      </c>
      <c r="B1341" t="s">
        <v>85</v>
      </c>
      <c r="C1341">
        <v>0</v>
      </c>
      <c r="D1341">
        <v>0</v>
      </c>
      <c r="E1341">
        <v>1</v>
      </c>
      <c r="F1341">
        <v>0</v>
      </c>
      <c r="G1341">
        <v>0</v>
      </c>
      <c r="H1341">
        <v>0</v>
      </c>
      <c r="I1341">
        <v>0</v>
      </c>
      <c r="J1341">
        <v>1587.68802629994</v>
      </c>
      <c r="K1341">
        <v>1271.1829322775</v>
      </c>
      <c r="L1341">
        <v>63.793999999999997</v>
      </c>
      <c r="M1341">
        <v>50.371000000000002</v>
      </c>
      <c r="N1341">
        <v>178.666</v>
      </c>
    </row>
    <row r="1342" spans="1:14" x14ac:dyDescent="0.45">
      <c r="A1342">
        <v>1987</v>
      </c>
      <c r="B1342" t="s">
        <v>86</v>
      </c>
      <c r="C1342">
        <v>0</v>
      </c>
      <c r="D1342">
        <v>0</v>
      </c>
      <c r="E1342">
        <v>0</v>
      </c>
      <c r="F1342">
        <v>0</v>
      </c>
      <c r="G1342">
        <v>0</v>
      </c>
      <c r="H1342">
        <v>1</v>
      </c>
      <c r="I1342">
        <v>1</v>
      </c>
      <c r="J1342">
        <v>38038.415092027797</v>
      </c>
      <c r="K1342">
        <v>32926.682610994998</v>
      </c>
      <c r="L1342">
        <v>23.478000000000002</v>
      </c>
      <c r="M1342">
        <v>76.796999999999997</v>
      </c>
      <c r="N1342">
        <v>8.9749999999999996</v>
      </c>
    </row>
    <row r="1343" spans="1:14" x14ac:dyDescent="0.45">
      <c r="A1343">
        <v>1987</v>
      </c>
      <c r="B1343" t="s">
        <v>87</v>
      </c>
      <c r="C1343">
        <v>1</v>
      </c>
      <c r="D1343">
        <v>0</v>
      </c>
      <c r="E1343">
        <v>0</v>
      </c>
      <c r="F1343">
        <v>0</v>
      </c>
      <c r="G1343">
        <v>0</v>
      </c>
      <c r="H1343">
        <v>1</v>
      </c>
      <c r="I1343">
        <v>1</v>
      </c>
      <c r="J1343">
        <v>59728.171217811498</v>
      </c>
      <c r="K1343">
        <v>51961.532049506401</v>
      </c>
      <c r="L1343">
        <v>25.893000000000001</v>
      </c>
      <c r="M1343">
        <v>77.331999999999994</v>
      </c>
      <c r="N1343">
        <v>8.4819999999999993</v>
      </c>
    </row>
    <row r="1344" spans="1:14" x14ac:dyDescent="0.45">
      <c r="A1344">
        <v>1987</v>
      </c>
      <c r="B1344" t="s">
        <v>88</v>
      </c>
      <c r="C1344">
        <v>1</v>
      </c>
      <c r="D1344">
        <v>0</v>
      </c>
      <c r="E1344">
        <v>0</v>
      </c>
      <c r="F1344">
        <v>0</v>
      </c>
      <c r="G1344">
        <v>0</v>
      </c>
      <c r="H1344">
        <v>1</v>
      </c>
      <c r="I1344">
        <v>1</v>
      </c>
      <c r="L1344">
        <v>68.293000000000006</v>
      </c>
      <c r="M1344">
        <v>75.734038510050993</v>
      </c>
      <c r="N1344">
        <v>16.870252286601801</v>
      </c>
    </row>
    <row r="1345" spans="1:14" x14ac:dyDescent="0.45">
      <c r="A1345">
        <v>1987</v>
      </c>
      <c r="B1345" t="s">
        <v>89</v>
      </c>
      <c r="C1345">
        <v>0</v>
      </c>
      <c r="D1345">
        <v>1</v>
      </c>
      <c r="E1345">
        <v>0</v>
      </c>
      <c r="F1345">
        <v>1</v>
      </c>
      <c r="G1345">
        <v>0</v>
      </c>
      <c r="H1345">
        <v>0</v>
      </c>
      <c r="I1345">
        <v>0</v>
      </c>
      <c r="J1345">
        <v>9152.4587023239092</v>
      </c>
      <c r="K1345">
        <v>7972.5415462872497</v>
      </c>
      <c r="L1345">
        <v>17.114999999999998</v>
      </c>
      <c r="M1345">
        <v>72.465999999999994</v>
      </c>
      <c r="N1345">
        <v>21.991</v>
      </c>
    </row>
    <row r="1346" spans="1:14" x14ac:dyDescent="0.45">
      <c r="A1346">
        <v>1987</v>
      </c>
      <c r="B1346" t="s">
        <v>90</v>
      </c>
      <c r="C1346">
        <v>0</v>
      </c>
      <c r="D1346">
        <v>0</v>
      </c>
      <c r="E1346">
        <v>0</v>
      </c>
      <c r="F1346">
        <v>0</v>
      </c>
      <c r="G1346">
        <v>0</v>
      </c>
      <c r="H1346">
        <v>0</v>
      </c>
      <c r="I1346">
        <v>0</v>
      </c>
      <c r="J1346">
        <v>1350.69428663912</v>
      </c>
      <c r="K1346">
        <v>1210.8099710459201</v>
      </c>
      <c r="L1346">
        <v>75.741</v>
      </c>
      <c r="M1346">
        <v>67.263000000000005</v>
      </c>
      <c r="N1346">
        <v>54.258000000000003</v>
      </c>
    </row>
    <row r="1347" spans="1:14" x14ac:dyDescent="0.45">
      <c r="A1347">
        <v>1987</v>
      </c>
      <c r="B1347" t="s">
        <v>91</v>
      </c>
      <c r="C1347">
        <v>0</v>
      </c>
      <c r="D1347">
        <v>0</v>
      </c>
      <c r="E1347">
        <v>1</v>
      </c>
      <c r="F1347">
        <v>1</v>
      </c>
      <c r="G1347">
        <v>0</v>
      </c>
      <c r="H1347">
        <v>0</v>
      </c>
      <c r="I1347">
        <v>0</v>
      </c>
      <c r="J1347">
        <v>5685.7498807218699</v>
      </c>
      <c r="K1347">
        <v>4799.6102527500998</v>
      </c>
      <c r="L1347">
        <v>61.654000000000003</v>
      </c>
      <c r="M1347">
        <v>53.118000000000002</v>
      </c>
      <c r="N1347">
        <v>153.16800000000001</v>
      </c>
    </row>
    <row r="1348" spans="1:14" x14ac:dyDescent="0.45">
      <c r="A1348">
        <v>1987</v>
      </c>
      <c r="B1348" t="s">
        <v>92</v>
      </c>
      <c r="C1348">
        <v>0</v>
      </c>
      <c r="D1348">
        <v>0</v>
      </c>
      <c r="E1348">
        <v>1</v>
      </c>
      <c r="F1348">
        <v>1</v>
      </c>
      <c r="G1348">
        <v>0</v>
      </c>
      <c r="H1348">
        <v>0</v>
      </c>
      <c r="I1348">
        <v>0</v>
      </c>
      <c r="J1348">
        <v>5593.9801574406401</v>
      </c>
      <c r="K1348">
        <v>4392.4635073494401</v>
      </c>
      <c r="L1348">
        <v>62.058999999999997</v>
      </c>
      <c r="M1348">
        <v>54.188000000000002</v>
      </c>
      <c r="N1348">
        <v>142.09</v>
      </c>
    </row>
    <row r="1349" spans="1:14" x14ac:dyDescent="0.45">
      <c r="A1349">
        <v>1987</v>
      </c>
      <c r="B1349" t="s">
        <v>93</v>
      </c>
      <c r="C1349">
        <v>0</v>
      </c>
      <c r="D1349">
        <v>0</v>
      </c>
      <c r="E1349">
        <v>1</v>
      </c>
      <c r="F1349">
        <v>0</v>
      </c>
      <c r="G1349">
        <v>0</v>
      </c>
      <c r="H1349">
        <v>0</v>
      </c>
      <c r="I1349">
        <v>0</v>
      </c>
      <c r="J1349">
        <v>2345.4247326217701</v>
      </c>
      <c r="K1349">
        <v>1877.6638147082199</v>
      </c>
      <c r="L1349">
        <v>70.650000000000006</v>
      </c>
      <c r="M1349">
        <v>47.362000000000002</v>
      </c>
      <c r="N1349">
        <v>193.113</v>
      </c>
    </row>
    <row r="1350" spans="1:14" x14ac:dyDescent="0.45">
      <c r="A1350">
        <v>1987</v>
      </c>
      <c r="B1350" t="s">
        <v>94</v>
      </c>
      <c r="C1350">
        <v>0</v>
      </c>
      <c r="D1350">
        <v>0</v>
      </c>
      <c r="E1350">
        <v>1</v>
      </c>
      <c r="F1350">
        <v>1</v>
      </c>
      <c r="G1350">
        <v>0</v>
      </c>
      <c r="H1350">
        <v>0</v>
      </c>
      <c r="I1350">
        <v>0</v>
      </c>
      <c r="J1350">
        <v>9076.6633727942699</v>
      </c>
      <c r="K1350">
        <v>5471.8230521942896</v>
      </c>
      <c r="L1350">
        <v>46.936</v>
      </c>
      <c r="M1350">
        <v>57.59</v>
      </c>
      <c r="N1350">
        <v>91.926000000000002</v>
      </c>
    </row>
    <row r="1351" spans="1:14" x14ac:dyDescent="0.45">
      <c r="A1351">
        <v>1987</v>
      </c>
      <c r="B1351" t="s">
        <v>95</v>
      </c>
      <c r="C1351">
        <v>0</v>
      </c>
      <c r="D1351">
        <v>1</v>
      </c>
      <c r="E1351">
        <v>0</v>
      </c>
      <c r="F1351">
        <v>1</v>
      </c>
      <c r="G1351">
        <v>0</v>
      </c>
      <c r="H1351">
        <v>0</v>
      </c>
      <c r="I1351">
        <v>0</v>
      </c>
      <c r="J1351">
        <v>9377.5662750298106</v>
      </c>
      <c r="K1351">
        <v>7807.85062425258</v>
      </c>
      <c r="L1351">
        <v>31.949000000000002</v>
      </c>
      <c r="M1351">
        <v>68.165999999999997</v>
      </c>
      <c r="N1351">
        <v>40.784999999999997</v>
      </c>
    </row>
    <row r="1352" spans="1:14" x14ac:dyDescent="0.45">
      <c r="A1352">
        <v>1987</v>
      </c>
      <c r="B1352" t="s">
        <v>96</v>
      </c>
      <c r="C1352">
        <v>0</v>
      </c>
      <c r="D1352">
        <v>0</v>
      </c>
      <c r="E1352">
        <v>1</v>
      </c>
      <c r="F1352">
        <v>0</v>
      </c>
      <c r="G1352">
        <v>0</v>
      </c>
      <c r="H1352">
        <v>0</v>
      </c>
      <c r="I1352">
        <v>0</v>
      </c>
      <c r="J1352">
        <v>2555.59574598678</v>
      </c>
      <c r="K1352">
        <v>2642.8121498168998</v>
      </c>
      <c r="L1352">
        <v>73.587000000000003</v>
      </c>
      <c r="M1352">
        <v>54.134</v>
      </c>
      <c r="N1352">
        <v>139.71600000000001</v>
      </c>
    </row>
    <row r="1353" spans="1:14" x14ac:dyDescent="0.45">
      <c r="A1353">
        <v>1987</v>
      </c>
      <c r="B1353" t="s">
        <v>97</v>
      </c>
      <c r="C1353">
        <v>0</v>
      </c>
      <c r="D1353">
        <v>0</v>
      </c>
      <c r="E1353">
        <v>1</v>
      </c>
      <c r="F1353">
        <v>1</v>
      </c>
      <c r="G1353">
        <v>0</v>
      </c>
      <c r="H1353">
        <v>0</v>
      </c>
      <c r="I1353">
        <v>0</v>
      </c>
      <c r="J1353">
        <v>1645.7472488132</v>
      </c>
      <c r="K1353">
        <v>1586.0298393538401</v>
      </c>
      <c r="L1353">
        <v>63.645000000000003</v>
      </c>
      <c r="M1353">
        <v>62.91</v>
      </c>
      <c r="N1353">
        <v>67.691999999999993</v>
      </c>
    </row>
    <row r="1354" spans="1:14" x14ac:dyDescent="0.45">
      <c r="A1354">
        <v>1987</v>
      </c>
      <c r="B1354" t="s">
        <v>98</v>
      </c>
      <c r="C1354">
        <v>0</v>
      </c>
      <c r="D1354">
        <v>1</v>
      </c>
      <c r="E1354">
        <v>0</v>
      </c>
      <c r="F1354">
        <v>1</v>
      </c>
      <c r="G1354">
        <v>0</v>
      </c>
      <c r="H1354">
        <v>0</v>
      </c>
      <c r="I1354">
        <v>0</v>
      </c>
      <c r="J1354">
        <v>10151.5532835957</v>
      </c>
      <c r="K1354">
        <v>9089.2383258210702</v>
      </c>
      <c r="L1354">
        <v>52.735999999999997</v>
      </c>
      <c r="M1354">
        <v>75.224000000000004</v>
      </c>
      <c r="N1354">
        <v>19.838000000000001</v>
      </c>
    </row>
    <row r="1355" spans="1:14" x14ac:dyDescent="0.45">
      <c r="A1355">
        <v>1987</v>
      </c>
      <c r="B1355" t="s">
        <v>99</v>
      </c>
      <c r="C1355">
        <v>0</v>
      </c>
      <c r="D1355">
        <v>1</v>
      </c>
      <c r="E1355">
        <v>0</v>
      </c>
      <c r="F1355">
        <v>1</v>
      </c>
      <c r="G1355">
        <v>0</v>
      </c>
      <c r="H1355">
        <v>0</v>
      </c>
      <c r="I1355">
        <v>0</v>
      </c>
      <c r="L1355">
        <v>28.079000000000001</v>
      </c>
      <c r="M1355">
        <v>73.596000000000004</v>
      </c>
      <c r="N1355">
        <v>15.704000000000001</v>
      </c>
    </row>
    <row r="1356" spans="1:14" x14ac:dyDescent="0.45">
      <c r="A1356">
        <v>1987</v>
      </c>
      <c r="B1356" t="s">
        <v>100</v>
      </c>
      <c r="C1356">
        <v>0</v>
      </c>
      <c r="D1356">
        <v>1</v>
      </c>
      <c r="E1356">
        <v>0</v>
      </c>
      <c r="F1356">
        <v>0</v>
      </c>
      <c r="G1356">
        <v>0</v>
      </c>
      <c r="H1356">
        <v>1</v>
      </c>
      <c r="I1356">
        <v>1</v>
      </c>
      <c r="L1356">
        <v>16.152000000000001</v>
      </c>
      <c r="M1356">
        <v>72.138999999999996</v>
      </c>
      <c r="N1356">
        <v>19.597999999999999</v>
      </c>
    </row>
    <row r="1357" spans="1:14" x14ac:dyDescent="0.45">
      <c r="A1357">
        <v>1987</v>
      </c>
      <c r="B1357" t="s">
        <v>101</v>
      </c>
      <c r="C1357">
        <v>0</v>
      </c>
      <c r="D1357">
        <v>1</v>
      </c>
      <c r="E1357">
        <v>0</v>
      </c>
      <c r="F1357">
        <v>0</v>
      </c>
      <c r="G1357">
        <v>0</v>
      </c>
      <c r="H1357">
        <v>1</v>
      </c>
      <c r="I1357">
        <v>1</v>
      </c>
      <c r="L1357">
        <v>0</v>
      </c>
      <c r="M1357">
        <v>72.13</v>
      </c>
      <c r="N1357">
        <v>11.231</v>
      </c>
    </row>
    <row r="1358" spans="1:14" x14ac:dyDescent="0.45">
      <c r="A1358">
        <v>1987</v>
      </c>
      <c r="B1358" t="s">
        <v>102</v>
      </c>
      <c r="C1358">
        <v>1</v>
      </c>
      <c r="D1358">
        <v>0</v>
      </c>
      <c r="E1358">
        <v>0</v>
      </c>
      <c r="F1358">
        <v>0</v>
      </c>
      <c r="G1358">
        <v>1</v>
      </c>
      <c r="H1358">
        <v>0</v>
      </c>
      <c r="I1358">
        <v>0</v>
      </c>
      <c r="J1358">
        <v>23075.698272808298</v>
      </c>
      <c r="K1358">
        <v>20556.804714204201</v>
      </c>
      <c r="L1358">
        <v>34.475999999999999</v>
      </c>
      <c r="M1358">
        <v>75.263999999999996</v>
      </c>
      <c r="N1358">
        <v>12.388</v>
      </c>
    </row>
    <row r="1359" spans="1:14" x14ac:dyDescent="0.45">
      <c r="A1359">
        <v>1987</v>
      </c>
      <c r="B1359" t="s">
        <v>103</v>
      </c>
      <c r="C1359">
        <v>1</v>
      </c>
      <c r="D1359">
        <v>0</v>
      </c>
      <c r="E1359">
        <v>0</v>
      </c>
      <c r="F1359">
        <v>0</v>
      </c>
      <c r="G1359">
        <v>1</v>
      </c>
      <c r="H1359">
        <v>0</v>
      </c>
      <c r="I1359">
        <v>0</v>
      </c>
      <c r="L1359">
        <v>24.693000000000001</v>
      </c>
      <c r="M1359">
        <v>71.510000000000005</v>
      </c>
      <c r="N1359">
        <v>13.648</v>
      </c>
    </row>
    <row r="1360" spans="1:14" x14ac:dyDescent="0.45">
      <c r="A1360">
        <v>1987</v>
      </c>
      <c r="B1360" t="s">
        <v>104</v>
      </c>
      <c r="C1360">
        <v>1</v>
      </c>
      <c r="D1360">
        <v>0</v>
      </c>
      <c r="E1360">
        <v>0</v>
      </c>
      <c r="F1360">
        <v>0</v>
      </c>
      <c r="G1360">
        <v>0</v>
      </c>
      <c r="H1360">
        <v>1</v>
      </c>
      <c r="I1360">
        <v>1</v>
      </c>
      <c r="J1360">
        <v>39254.047024936299</v>
      </c>
      <c r="K1360">
        <v>34035.305203977798</v>
      </c>
      <c r="L1360">
        <v>27.164000000000001</v>
      </c>
      <c r="M1360">
        <v>75.106999999999999</v>
      </c>
      <c r="N1360">
        <v>10.124000000000001</v>
      </c>
    </row>
    <row r="1361" spans="1:14" x14ac:dyDescent="0.45">
      <c r="A1361">
        <v>1987</v>
      </c>
      <c r="B1361" t="s">
        <v>105</v>
      </c>
      <c r="C1361">
        <v>0</v>
      </c>
      <c r="D1361">
        <v>0</v>
      </c>
      <c r="E1361">
        <v>0</v>
      </c>
      <c r="F1361">
        <v>1</v>
      </c>
      <c r="G1361">
        <v>0</v>
      </c>
      <c r="H1361">
        <v>0</v>
      </c>
      <c r="I1361">
        <v>0</v>
      </c>
      <c r="L1361">
        <v>24.658999999999999</v>
      </c>
      <c r="M1361">
        <v>54.832000000000001</v>
      </c>
      <c r="N1361">
        <v>125.997</v>
      </c>
    </row>
    <row r="1362" spans="1:14" x14ac:dyDescent="0.45">
      <c r="A1362">
        <v>1987</v>
      </c>
      <c r="B1362" t="s">
        <v>106</v>
      </c>
      <c r="C1362">
        <v>0</v>
      </c>
      <c r="D1362">
        <v>1</v>
      </c>
      <c r="E1362">
        <v>0</v>
      </c>
      <c r="F1362">
        <v>1</v>
      </c>
      <c r="G1362">
        <v>0</v>
      </c>
      <c r="H1362">
        <v>0</v>
      </c>
      <c r="I1362">
        <v>0</v>
      </c>
      <c r="J1362">
        <v>9544.2367053783</v>
      </c>
      <c r="K1362">
        <v>7427.5953959302296</v>
      </c>
      <c r="L1362">
        <v>41.881999999999998</v>
      </c>
      <c r="M1362">
        <v>71.367999999999995</v>
      </c>
      <c r="N1362">
        <v>18.465</v>
      </c>
    </row>
    <row r="1363" spans="1:14" x14ac:dyDescent="0.45">
      <c r="A1363">
        <v>1987</v>
      </c>
      <c r="B1363" t="s">
        <v>107</v>
      </c>
      <c r="C1363">
        <v>1</v>
      </c>
      <c r="D1363">
        <v>0</v>
      </c>
      <c r="E1363">
        <v>0</v>
      </c>
      <c r="F1363">
        <v>0</v>
      </c>
      <c r="G1363">
        <v>0</v>
      </c>
      <c r="H1363">
        <v>1</v>
      </c>
      <c r="I1363">
        <v>1</v>
      </c>
      <c r="J1363">
        <v>45277.869304487998</v>
      </c>
      <c r="K1363">
        <v>38266.459418861697</v>
      </c>
      <c r="L1363">
        <v>15.435</v>
      </c>
      <c r="M1363">
        <v>74.745000000000005</v>
      </c>
      <c r="N1363">
        <v>10.35</v>
      </c>
    </row>
    <row r="1364" spans="1:14" x14ac:dyDescent="0.45">
      <c r="A1364">
        <v>1987</v>
      </c>
      <c r="B1364" t="s">
        <v>108</v>
      </c>
      <c r="C1364">
        <v>0</v>
      </c>
      <c r="D1364">
        <v>1</v>
      </c>
      <c r="E1364">
        <v>0</v>
      </c>
      <c r="F1364">
        <v>1</v>
      </c>
      <c r="G1364">
        <v>0</v>
      </c>
      <c r="H1364">
        <v>0</v>
      </c>
      <c r="I1364">
        <v>0</v>
      </c>
      <c r="J1364">
        <v>6690.3364121270197</v>
      </c>
      <c r="K1364">
        <v>5779.2798303306199</v>
      </c>
      <c r="L1364">
        <v>45.588000000000001</v>
      </c>
      <c r="M1364">
        <v>66.489999999999995</v>
      </c>
      <c r="N1364">
        <v>71.92</v>
      </c>
    </row>
    <row r="1365" spans="1:14" x14ac:dyDescent="0.45">
      <c r="A1365">
        <v>1987</v>
      </c>
      <c r="B1365" t="s">
        <v>109</v>
      </c>
      <c r="C1365">
        <v>0</v>
      </c>
      <c r="D1365">
        <v>0</v>
      </c>
      <c r="E1365">
        <v>0</v>
      </c>
      <c r="F1365">
        <v>0</v>
      </c>
      <c r="G1365">
        <v>1</v>
      </c>
      <c r="H1365">
        <v>0</v>
      </c>
      <c r="I1365">
        <v>0</v>
      </c>
      <c r="J1365">
        <v>12437.057215758399</v>
      </c>
      <c r="K1365">
        <v>10877.8746280305</v>
      </c>
      <c r="L1365">
        <v>50.277999999999999</v>
      </c>
      <c r="M1365">
        <v>66.13</v>
      </c>
      <c r="N1365">
        <v>61.996000000000002</v>
      </c>
    </row>
    <row r="1366" spans="1:14" x14ac:dyDescent="0.45">
      <c r="A1366">
        <v>1987</v>
      </c>
      <c r="B1366" t="s">
        <v>110</v>
      </c>
      <c r="C1366">
        <v>0</v>
      </c>
      <c r="D1366">
        <v>1</v>
      </c>
      <c r="E1366">
        <v>0</v>
      </c>
      <c r="F1366">
        <v>1</v>
      </c>
      <c r="G1366">
        <v>0</v>
      </c>
      <c r="H1366">
        <v>0</v>
      </c>
      <c r="I1366">
        <v>0</v>
      </c>
      <c r="J1366">
        <v>9156.9728212448499</v>
      </c>
      <c r="K1366">
        <v>7616.2917807281101</v>
      </c>
      <c r="L1366">
        <v>47.231000000000002</v>
      </c>
      <c r="M1366">
        <v>66.587000000000003</v>
      </c>
      <c r="N1366">
        <v>62.470999999999997</v>
      </c>
    </row>
    <row r="1367" spans="1:14" x14ac:dyDescent="0.45">
      <c r="A1367">
        <v>1987</v>
      </c>
      <c r="B1367" t="s">
        <v>111</v>
      </c>
      <c r="C1367">
        <v>0</v>
      </c>
      <c r="D1367">
        <v>0</v>
      </c>
      <c r="E1367">
        <v>0</v>
      </c>
      <c r="F1367">
        <v>1</v>
      </c>
      <c r="G1367">
        <v>0</v>
      </c>
      <c r="H1367">
        <v>0</v>
      </c>
      <c r="I1367">
        <v>0</v>
      </c>
      <c r="J1367">
        <v>7356.0749579016601</v>
      </c>
      <c r="K1367">
        <v>5837.6571468301099</v>
      </c>
      <c r="L1367">
        <v>56.122999999999998</v>
      </c>
      <c r="M1367">
        <v>60.735999999999997</v>
      </c>
      <c r="N1367">
        <v>103.574</v>
      </c>
    </row>
    <row r="1368" spans="1:14" x14ac:dyDescent="0.45">
      <c r="A1368">
        <v>1987</v>
      </c>
      <c r="B1368" t="s">
        <v>112</v>
      </c>
      <c r="C1368">
        <v>0</v>
      </c>
      <c r="D1368">
        <v>0</v>
      </c>
      <c r="E1368">
        <v>1</v>
      </c>
      <c r="F1368">
        <v>0</v>
      </c>
      <c r="G1368">
        <v>0</v>
      </c>
      <c r="H1368">
        <v>0</v>
      </c>
      <c r="I1368">
        <v>0</v>
      </c>
      <c r="L1368">
        <v>83.037999999999997</v>
      </c>
      <c r="M1368">
        <v>47.363</v>
      </c>
      <c r="N1368">
        <v>169.34700000000001</v>
      </c>
    </row>
    <row r="1369" spans="1:14" x14ac:dyDescent="0.45">
      <c r="A1369">
        <v>1987</v>
      </c>
      <c r="B1369" t="s">
        <v>113</v>
      </c>
      <c r="C1369">
        <v>1</v>
      </c>
      <c r="D1369">
        <v>0</v>
      </c>
      <c r="E1369">
        <v>0</v>
      </c>
      <c r="F1369">
        <v>0</v>
      </c>
      <c r="G1369">
        <v>0</v>
      </c>
      <c r="H1369">
        <v>1</v>
      </c>
      <c r="I1369">
        <v>1</v>
      </c>
      <c r="J1369">
        <v>27359.442870793398</v>
      </c>
      <c r="K1369">
        <v>24077.037381055299</v>
      </c>
      <c r="L1369">
        <v>25.327000000000002</v>
      </c>
      <c r="M1369">
        <v>76.956000000000003</v>
      </c>
      <c r="N1369">
        <v>10.342000000000001</v>
      </c>
    </row>
    <row r="1370" spans="1:14" x14ac:dyDescent="0.45">
      <c r="A1370">
        <v>1987</v>
      </c>
      <c r="B1370" t="s">
        <v>114</v>
      </c>
      <c r="C1370">
        <v>1</v>
      </c>
      <c r="D1370">
        <v>0</v>
      </c>
      <c r="E1370">
        <v>0</v>
      </c>
      <c r="F1370">
        <v>0</v>
      </c>
      <c r="G1370">
        <v>1</v>
      </c>
      <c r="H1370">
        <v>0</v>
      </c>
      <c r="I1370">
        <v>0</v>
      </c>
      <c r="L1370">
        <v>28.817</v>
      </c>
      <c r="M1370">
        <v>70.921999999999997</v>
      </c>
      <c r="N1370">
        <v>19.576000000000001</v>
      </c>
    </row>
    <row r="1371" spans="1:14" x14ac:dyDescent="0.45">
      <c r="A1371">
        <v>1987</v>
      </c>
      <c r="B1371" t="s">
        <v>115</v>
      </c>
      <c r="C1371">
        <v>0</v>
      </c>
      <c r="D1371">
        <v>0</v>
      </c>
      <c r="E1371">
        <v>1</v>
      </c>
      <c r="F1371">
        <v>0</v>
      </c>
      <c r="G1371">
        <v>0</v>
      </c>
      <c r="H1371">
        <v>0</v>
      </c>
      <c r="I1371">
        <v>0</v>
      </c>
      <c r="J1371">
        <v>904.39850355509896</v>
      </c>
      <c r="K1371">
        <v>815.66833073995895</v>
      </c>
      <c r="L1371">
        <v>88.090999999999994</v>
      </c>
      <c r="M1371">
        <v>45.892000000000003</v>
      </c>
      <c r="N1371">
        <v>215.76599999999999</v>
      </c>
    </row>
    <row r="1372" spans="1:14" x14ac:dyDescent="0.45">
      <c r="A1372">
        <v>1987</v>
      </c>
      <c r="B1372" t="s">
        <v>116</v>
      </c>
      <c r="C1372">
        <v>1</v>
      </c>
      <c r="D1372">
        <v>0</v>
      </c>
      <c r="E1372">
        <v>0</v>
      </c>
      <c r="F1372">
        <v>0</v>
      </c>
      <c r="G1372">
        <v>0</v>
      </c>
      <c r="H1372">
        <v>1</v>
      </c>
      <c r="I1372">
        <v>1</v>
      </c>
      <c r="J1372">
        <v>34211.763330169597</v>
      </c>
      <c r="K1372">
        <v>28761.241395032201</v>
      </c>
      <c r="L1372">
        <v>22.709</v>
      </c>
      <c r="M1372">
        <v>74.799000000000007</v>
      </c>
      <c r="N1372">
        <v>7.5140000000000002</v>
      </c>
    </row>
    <row r="1373" spans="1:14" x14ac:dyDescent="0.45">
      <c r="A1373">
        <v>1987</v>
      </c>
      <c r="B1373" t="s">
        <v>117</v>
      </c>
      <c r="C1373">
        <v>0</v>
      </c>
      <c r="D1373">
        <v>0</v>
      </c>
      <c r="E1373">
        <v>0</v>
      </c>
      <c r="F1373">
        <v>1</v>
      </c>
      <c r="G1373">
        <v>0</v>
      </c>
      <c r="H1373">
        <v>0</v>
      </c>
      <c r="I1373">
        <v>0</v>
      </c>
      <c r="J1373">
        <v>8347.9543859382993</v>
      </c>
      <c r="K1373">
        <v>8175.1742514728503</v>
      </c>
      <c r="L1373">
        <v>60.673000000000002</v>
      </c>
      <c r="M1373">
        <v>64.278000000000006</v>
      </c>
      <c r="N1373">
        <v>32.668999999999997</v>
      </c>
    </row>
    <row r="1374" spans="1:14" x14ac:dyDescent="0.45">
      <c r="A1374">
        <v>1987</v>
      </c>
      <c r="B1374" t="s">
        <v>118</v>
      </c>
      <c r="C1374">
        <v>1</v>
      </c>
      <c r="D1374">
        <v>0</v>
      </c>
      <c r="E1374">
        <v>0</v>
      </c>
      <c r="F1374">
        <v>0</v>
      </c>
      <c r="G1374">
        <v>0</v>
      </c>
      <c r="H1374">
        <v>1</v>
      </c>
      <c r="I1374">
        <v>1</v>
      </c>
      <c r="J1374">
        <v>35024.982035415203</v>
      </c>
      <c r="K1374">
        <v>29242.315044171901</v>
      </c>
      <c r="L1374">
        <v>26.2</v>
      </c>
      <c r="M1374">
        <v>76.147000000000006</v>
      </c>
      <c r="N1374">
        <v>9.5220000000000002</v>
      </c>
    </row>
    <row r="1375" spans="1:14" x14ac:dyDescent="0.45">
      <c r="A1375">
        <v>1987</v>
      </c>
      <c r="B1375" t="s">
        <v>119</v>
      </c>
      <c r="C1375">
        <v>1</v>
      </c>
      <c r="D1375">
        <v>0</v>
      </c>
      <c r="E1375">
        <v>0</v>
      </c>
      <c r="F1375">
        <v>0</v>
      </c>
      <c r="G1375">
        <v>0</v>
      </c>
      <c r="H1375">
        <v>1</v>
      </c>
      <c r="I1375">
        <v>1</v>
      </c>
      <c r="L1375">
        <v>69.402000000000001</v>
      </c>
      <c r="M1375">
        <v>76.305999999999997</v>
      </c>
      <c r="N1375">
        <v>12.539</v>
      </c>
    </row>
    <row r="1376" spans="1:14" x14ac:dyDescent="0.45">
      <c r="A1376">
        <v>1987</v>
      </c>
      <c r="B1376" t="s">
        <v>120</v>
      </c>
      <c r="C1376">
        <v>0</v>
      </c>
      <c r="D1376">
        <v>0</v>
      </c>
      <c r="E1376">
        <v>0</v>
      </c>
      <c r="F1376">
        <v>1</v>
      </c>
      <c r="G1376">
        <v>0</v>
      </c>
      <c r="H1376">
        <v>0</v>
      </c>
      <c r="I1376">
        <v>0</v>
      </c>
      <c r="J1376">
        <v>3113.2379252093401</v>
      </c>
      <c r="K1376">
        <v>2817.9099199747402</v>
      </c>
      <c r="L1376">
        <v>73.983999999999995</v>
      </c>
      <c r="M1376">
        <v>63.206000000000003</v>
      </c>
      <c r="N1376">
        <v>53.234000000000002</v>
      </c>
    </row>
    <row r="1377" spans="1:14" x14ac:dyDescent="0.45">
      <c r="A1377">
        <v>1987</v>
      </c>
      <c r="B1377" t="s">
        <v>121</v>
      </c>
      <c r="C1377">
        <v>0</v>
      </c>
      <c r="D1377">
        <v>0</v>
      </c>
      <c r="E1377">
        <v>1</v>
      </c>
      <c r="F1377">
        <v>0</v>
      </c>
      <c r="G1377">
        <v>1</v>
      </c>
      <c r="H1377">
        <v>0</v>
      </c>
      <c r="I1377">
        <v>0</v>
      </c>
      <c r="J1377">
        <v>25577.4846758391</v>
      </c>
      <c r="K1377">
        <v>19352.945907740799</v>
      </c>
      <c r="L1377">
        <v>35</v>
      </c>
      <c r="M1377">
        <v>60.2</v>
      </c>
      <c r="N1377">
        <v>98.292000000000002</v>
      </c>
    </row>
    <row r="1378" spans="1:14" x14ac:dyDescent="0.45">
      <c r="A1378">
        <v>1987</v>
      </c>
      <c r="B1378" t="s">
        <v>122</v>
      </c>
      <c r="C1378">
        <v>1</v>
      </c>
      <c r="D1378">
        <v>0</v>
      </c>
      <c r="E1378">
        <v>0</v>
      </c>
      <c r="F1378">
        <v>0</v>
      </c>
      <c r="G1378">
        <v>0</v>
      </c>
      <c r="H1378">
        <v>1</v>
      </c>
      <c r="I1378">
        <v>1</v>
      </c>
      <c r="J1378">
        <v>30369.3608344883</v>
      </c>
      <c r="K1378">
        <v>26164.120203613202</v>
      </c>
      <c r="L1378">
        <v>21.71</v>
      </c>
      <c r="M1378">
        <v>75.147000000000006</v>
      </c>
      <c r="N1378">
        <v>10.868</v>
      </c>
    </row>
    <row r="1379" spans="1:14" x14ac:dyDescent="0.45">
      <c r="A1379">
        <v>1987</v>
      </c>
      <c r="B1379" t="s">
        <v>123</v>
      </c>
      <c r="C1379">
        <v>1</v>
      </c>
      <c r="D1379">
        <v>0</v>
      </c>
      <c r="E1379">
        <v>0</v>
      </c>
      <c r="F1379">
        <v>1</v>
      </c>
      <c r="G1379">
        <v>0</v>
      </c>
      <c r="H1379">
        <v>0</v>
      </c>
      <c r="I1379">
        <v>0</v>
      </c>
      <c r="J1379">
        <v>13292.3964830233</v>
      </c>
      <c r="K1379">
        <v>11230.555438498001</v>
      </c>
      <c r="L1379">
        <v>45.13</v>
      </c>
      <c r="M1379">
        <v>69.218999999999994</v>
      </c>
      <c r="N1379">
        <v>49.097999999999999</v>
      </c>
    </row>
    <row r="1380" spans="1:14" x14ac:dyDescent="0.45">
      <c r="A1380">
        <v>1987</v>
      </c>
      <c r="B1380" t="s">
        <v>124</v>
      </c>
      <c r="C1380">
        <v>0</v>
      </c>
      <c r="D1380">
        <v>0</v>
      </c>
      <c r="E1380">
        <v>1</v>
      </c>
      <c r="F1380">
        <v>0</v>
      </c>
      <c r="G1380">
        <v>0</v>
      </c>
      <c r="H1380">
        <v>0</v>
      </c>
      <c r="I1380">
        <v>0</v>
      </c>
      <c r="J1380">
        <v>2573.2483468898599</v>
      </c>
      <c r="K1380">
        <v>2220.0512947820798</v>
      </c>
      <c r="L1380">
        <v>65.706999999999994</v>
      </c>
      <c r="M1380">
        <v>53.817999999999998</v>
      </c>
      <c r="N1380">
        <v>143.69399999999999</v>
      </c>
    </row>
    <row r="1381" spans="1:14" x14ac:dyDescent="0.45">
      <c r="A1381">
        <v>1987</v>
      </c>
      <c r="B1381" t="s">
        <v>125</v>
      </c>
      <c r="C1381">
        <v>1</v>
      </c>
      <c r="D1381">
        <v>0</v>
      </c>
      <c r="E1381">
        <v>0</v>
      </c>
      <c r="F1381">
        <v>0</v>
      </c>
      <c r="G1381">
        <v>1</v>
      </c>
      <c r="H1381">
        <v>0</v>
      </c>
      <c r="I1381">
        <v>0</v>
      </c>
      <c r="L1381">
        <v>0</v>
      </c>
      <c r="M1381">
        <v>75.870999999999995</v>
      </c>
      <c r="N1381">
        <v>22.43</v>
      </c>
    </row>
    <row r="1382" spans="1:14" x14ac:dyDescent="0.45">
      <c r="A1382">
        <v>1987</v>
      </c>
      <c r="B1382" t="s">
        <v>126</v>
      </c>
      <c r="C1382">
        <v>0</v>
      </c>
      <c r="D1382">
        <v>0</v>
      </c>
      <c r="E1382">
        <v>1</v>
      </c>
      <c r="F1382">
        <v>0</v>
      </c>
      <c r="G1382">
        <v>0</v>
      </c>
      <c r="H1382">
        <v>0</v>
      </c>
      <c r="I1382">
        <v>0</v>
      </c>
      <c r="J1382">
        <v>1994.80421419616</v>
      </c>
      <c r="K1382">
        <v>1608.3424383735901</v>
      </c>
      <c r="L1382">
        <v>72.822000000000003</v>
      </c>
      <c r="M1382">
        <v>46.106999999999999</v>
      </c>
      <c r="N1382">
        <v>248.386</v>
      </c>
    </row>
    <row r="1383" spans="1:14" x14ac:dyDescent="0.45">
      <c r="A1383">
        <v>1987</v>
      </c>
      <c r="B1383" t="s">
        <v>127</v>
      </c>
      <c r="C1383">
        <v>0</v>
      </c>
      <c r="D1383">
        <v>0</v>
      </c>
      <c r="E1383">
        <v>1</v>
      </c>
      <c r="F1383">
        <v>0</v>
      </c>
      <c r="G1383">
        <v>0</v>
      </c>
      <c r="H1383">
        <v>0</v>
      </c>
      <c r="I1383">
        <v>0</v>
      </c>
      <c r="J1383">
        <v>2644.0961246051302</v>
      </c>
      <c r="K1383">
        <v>2128.22494641189</v>
      </c>
      <c r="L1383">
        <v>64.906000000000006</v>
      </c>
      <c r="M1383">
        <v>49.392000000000003</v>
      </c>
      <c r="N1383">
        <v>184.40700000000001</v>
      </c>
    </row>
    <row r="1384" spans="1:14" x14ac:dyDescent="0.45">
      <c r="A1384">
        <v>1987</v>
      </c>
      <c r="B1384" t="s">
        <v>128</v>
      </c>
      <c r="C1384">
        <v>0</v>
      </c>
      <c r="D1384">
        <v>0</v>
      </c>
      <c r="E1384">
        <v>1</v>
      </c>
      <c r="F1384">
        <v>0</v>
      </c>
      <c r="G1384">
        <v>0</v>
      </c>
      <c r="H1384">
        <v>0</v>
      </c>
      <c r="I1384">
        <v>0</v>
      </c>
      <c r="J1384">
        <v>1842.26688497699</v>
      </c>
      <c r="K1384">
        <v>1657.30043182026</v>
      </c>
      <c r="L1384">
        <v>73.587000000000003</v>
      </c>
      <c r="M1384">
        <v>45.844000000000001</v>
      </c>
      <c r="N1384">
        <v>235.03200000000001</v>
      </c>
    </row>
    <row r="1385" spans="1:14" x14ac:dyDescent="0.45">
      <c r="A1385">
        <v>1987</v>
      </c>
      <c r="B1385" t="s">
        <v>129</v>
      </c>
      <c r="C1385">
        <v>0</v>
      </c>
      <c r="D1385">
        <v>0</v>
      </c>
      <c r="E1385">
        <v>1</v>
      </c>
      <c r="F1385">
        <v>0</v>
      </c>
      <c r="G1385">
        <v>0</v>
      </c>
      <c r="H1385">
        <v>0</v>
      </c>
      <c r="I1385">
        <v>0</v>
      </c>
      <c r="J1385">
        <v>1196.78613774462</v>
      </c>
      <c r="K1385">
        <v>991.55258431453001</v>
      </c>
      <c r="L1385">
        <v>68.183000000000007</v>
      </c>
      <c r="M1385">
        <v>50.99</v>
      </c>
      <c r="N1385">
        <v>184.33500000000001</v>
      </c>
    </row>
    <row r="1386" spans="1:14" x14ac:dyDescent="0.45">
      <c r="A1386">
        <v>1987</v>
      </c>
      <c r="B1386" t="s">
        <v>130</v>
      </c>
      <c r="C1386">
        <v>1</v>
      </c>
      <c r="D1386">
        <v>0</v>
      </c>
      <c r="E1386">
        <v>0</v>
      </c>
      <c r="F1386">
        <v>0</v>
      </c>
      <c r="G1386">
        <v>1</v>
      </c>
      <c r="H1386">
        <v>0</v>
      </c>
      <c r="I1386">
        <v>0</v>
      </c>
      <c r="J1386">
        <v>25751.205807213901</v>
      </c>
      <c r="K1386">
        <v>23052.3278209153</v>
      </c>
      <c r="L1386">
        <v>29.1</v>
      </c>
      <c r="M1386">
        <v>76.105000000000004</v>
      </c>
      <c r="N1386">
        <v>13.28</v>
      </c>
    </row>
    <row r="1387" spans="1:14" x14ac:dyDescent="0.45">
      <c r="A1387">
        <v>1987</v>
      </c>
      <c r="B1387" t="s">
        <v>131</v>
      </c>
      <c r="C1387">
        <v>0</v>
      </c>
      <c r="D1387">
        <v>1</v>
      </c>
      <c r="E1387">
        <v>0</v>
      </c>
      <c r="F1387">
        <v>1</v>
      </c>
      <c r="G1387">
        <v>0</v>
      </c>
      <c r="H1387">
        <v>0</v>
      </c>
      <c r="I1387">
        <v>0</v>
      </c>
      <c r="J1387">
        <v>7809.60282864904</v>
      </c>
      <c r="K1387">
        <v>7205.96014212104</v>
      </c>
      <c r="L1387">
        <v>66.722999999999999</v>
      </c>
      <c r="M1387">
        <v>69.808000000000007</v>
      </c>
      <c r="N1387">
        <v>26.056999999999999</v>
      </c>
    </row>
    <row r="1388" spans="1:14" x14ac:dyDescent="0.45">
      <c r="A1388">
        <v>1987</v>
      </c>
      <c r="B1388" t="s">
        <v>132</v>
      </c>
      <c r="C1388">
        <v>1</v>
      </c>
      <c r="D1388">
        <v>0</v>
      </c>
      <c r="E1388">
        <v>0</v>
      </c>
      <c r="F1388">
        <v>0</v>
      </c>
      <c r="G1388">
        <v>0</v>
      </c>
      <c r="H1388">
        <v>1</v>
      </c>
      <c r="I1388">
        <v>1</v>
      </c>
      <c r="J1388">
        <v>39417.348838097001</v>
      </c>
      <c r="K1388">
        <v>35679.3295207868</v>
      </c>
      <c r="L1388">
        <v>21.332000000000001</v>
      </c>
      <c r="M1388">
        <v>62.914000000000001</v>
      </c>
      <c r="N1388">
        <v>37.715000000000003</v>
      </c>
    </row>
    <row r="1389" spans="1:14" x14ac:dyDescent="0.45">
      <c r="A1389">
        <v>1987</v>
      </c>
      <c r="B1389" t="s">
        <v>133</v>
      </c>
      <c r="C1389">
        <v>0</v>
      </c>
      <c r="D1389">
        <v>1</v>
      </c>
      <c r="E1389">
        <v>0</v>
      </c>
      <c r="F1389">
        <v>1</v>
      </c>
      <c r="G1389">
        <v>0</v>
      </c>
      <c r="H1389">
        <v>0</v>
      </c>
      <c r="I1389">
        <v>0</v>
      </c>
      <c r="J1389">
        <v>7385.2757977542497</v>
      </c>
      <c r="K1389">
        <v>6415.4093258898301</v>
      </c>
      <c r="L1389">
        <v>58.997999999999998</v>
      </c>
      <c r="M1389">
        <v>60.991</v>
      </c>
      <c r="N1389">
        <v>91.79</v>
      </c>
    </row>
    <row r="1390" spans="1:14" x14ac:dyDescent="0.45">
      <c r="A1390">
        <v>1987</v>
      </c>
      <c r="B1390" t="s">
        <v>134</v>
      </c>
      <c r="C1390">
        <v>0</v>
      </c>
      <c r="D1390">
        <v>0</v>
      </c>
      <c r="E1390">
        <v>0</v>
      </c>
      <c r="F1390">
        <v>0</v>
      </c>
      <c r="G1390">
        <v>0</v>
      </c>
      <c r="H1390">
        <v>1</v>
      </c>
      <c r="I1390">
        <v>1</v>
      </c>
      <c r="L1390">
        <v>8.3050000000000104</v>
      </c>
      <c r="M1390">
        <v>73.468000000000004</v>
      </c>
      <c r="N1390">
        <v>13.455</v>
      </c>
    </row>
    <row r="1391" spans="1:14" x14ac:dyDescent="0.45">
      <c r="A1391">
        <v>1987</v>
      </c>
      <c r="B1391" t="s">
        <v>135</v>
      </c>
      <c r="C1391">
        <v>0</v>
      </c>
      <c r="D1391">
        <v>1</v>
      </c>
      <c r="E1391">
        <v>0</v>
      </c>
      <c r="F1391">
        <v>0</v>
      </c>
      <c r="G1391">
        <v>0</v>
      </c>
      <c r="H1391">
        <v>0</v>
      </c>
      <c r="I1391">
        <v>0</v>
      </c>
      <c r="J1391">
        <v>5399.0624460886402</v>
      </c>
      <c r="K1391">
        <v>5163.5506898654303</v>
      </c>
      <c r="L1391">
        <v>70.147000000000006</v>
      </c>
      <c r="M1391">
        <v>61.698</v>
      </c>
      <c r="N1391">
        <v>64.453999999999994</v>
      </c>
    </row>
    <row r="1392" spans="1:14" x14ac:dyDescent="0.45">
      <c r="A1392">
        <v>1987</v>
      </c>
      <c r="B1392" t="s">
        <v>136</v>
      </c>
      <c r="C1392">
        <v>0</v>
      </c>
      <c r="D1392">
        <v>0</v>
      </c>
      <c r="E1392">
        <v>0</v>
      </c>
      <c r="F1392">
        <v>0</v>
      </c>
      <c r="G1392">
        <v>0</v>
      </c>
      <c r="H1392">
        <v>1</v>
      </c>
      <c r="I1392">
        <v>1</v>
      </c>
      <c r="J1392">
        <v>25843.0595488586</v>
      </c>
      <c r="K1392">
        <v>23323.4503468148</v>
      </c>
      <c r="L1392">
        <v>3.14</v>
      </c>
      <c r="M1392">
        <v>77.057000000000002</v>
      </c>
      <c r="N1392">
        <v>9.0410000000000004</v>
      </c>
    </row>
    <row r="1393" spans="1:14" x14ac:dyDescent="0.45">
      <c r="A1393">
        <v>1987</v>
      </c>
      <c r="B1393" t="s">
        <v>137</v>
      </c>
      <c r="C1393">
        <v>0</v>
      </c>
      <c r="D1393">
        <v>1</v>
      </c>
      <c r="E1393">
        <v>0</v>
      </c>
      <c r="F1393">
        <v>1</v>
      </c>
      <c r="G1393">
        <v>0</v>
      </c>
      <c r="H1393">
        <v>0</v>
      </c>
      <c r="I1393">
        <v>0</v>
      </c>
      <c r="J1393">
        <v>4322.6694246582101</v>
      </c>
      <c r="K1393">
        <v>3983.2449161226</v>
      </c>
      <c r="L1393">
        <v>61.093000000000004</v>
      </c>
      <c r="M1393">
        <v>64.066000000000003</v>
      </c>
      <c r="N1393">
        <v>67.265000000000001</v>
      </c>
    </row>
    <row r="1394" spans="1:14" x14ac:dyDescent="0.45">
      <c r="A1394">
        <v>1987</v>
      </c>
      <c r="B1394" t="s">
        <v>138</v>
      </c>
      <c r="C1394">
        <v>1</v>
      </c>
      <c r="D1394">
        <v>0</v>
      </c>
      <c r="E1394">
        <v>0</v>
      </c>
      <c r="F1394">
        <v>0</v>
      </c>
      <c r="G1394">
        <v>1</v>
      </c>
      <c r="H1394">
        <v>0</v>
      </c>
      <c r="I1394">
        <v>0</v>
      </c>
      <c r="L1394">
        <v>50.012999999999998</v>
      </c>
      <c r="M1394">
        <v>71.938000000000002</v>
      </c>
      <c r="N1394">
        <v>15.532</v>
      </c>
    </row>
    <row r="1395" spans="1:14" x14ac:dyDescent="0.45">
      <c r="A1395">
        <v>1987</v>
      </c>
      <c r="B1395" t="s">
        <v>139</v>
      </c>
      <c r="C1395">
        <v>0</v>
      </c>
      <c r="D1395">
        <v>1</v>
      </c>
      <c r="E1395">
        <v>0</v>
      </c>
      <c r="F1395">
        <v>0</v>
      </c>
      <c r="G1395">
        <v>0</v>
      </c>
      <c r="H1395">
        <v>0</v>
      </c>
      <c r="I1395">
        <v>0</v>
      </c>
      <c r="J1395">
        <v>4327.3182455014003</v>
      </c>
      <c r="K1395">
        <v>4159.2268565081804</v>
      </c>
      <c r="L1395">
        <v>74.722999999999999</v>
      </c>
      <c r="M1395">
        <v>52.244999999999997</v>
      </c>
      <c r="N1395">
        <v>157.43600000000001</v>
      </c>
    </row>
    <row r="1396" spans="1:14" x14ac:dyDescent="0.45">
      <c r="A1396">
        <v>1987</v>
      </c>
      <c r="B1396" t="s">
        <v>140</v>
      </c>
      <c r="C1396">
        <v>1</v>
      </c>
      <c r="D1396">
        <v>0</v>
      </c>
      <c r="E1396">
        <v>0</v>
      </c>
      <c r="F1396">
        <v>0</v>
      </c>
      <c r="G1396">
        <v>1</v>
      </c>
      <c r="H1396">
        <v>0</v>
      </c>
      <c r="I1396">
        <v>0</v>
      </c>
      <c r="J1396">
        <v>20046.770635971399</v>
      </c>
      <c r="K1396">
        <v>17469.106347722201</v>
      </c>
      <c r="L1396">
        <v>34.546999999999997</v>
      </c>
      <c r="M1396">
        <v>69.563999999999993</v>
      </c>
      <c r="N1396">
        <v>19.501999999999999</v>
      </c>
    </row>
    <row r="1397" spans="1:14" x14ac:dyDescent="0.45">
      <c r="A1397">
        <v>1987</v>
      </c>
      <c r="B1397" t="s">
        <v>141</v>
      </c>
      <c r="C1397">
        <v>0</v>
      </c>
      <c r="D1397">
        <v>0</v>
      </c>
      <c r="E1397">
        <v>0</v>
      </c>
      <c r="F1397">
        <v>0</v>
      </c>
      <c r="G1397">
        <v>0</v>
      </c>
      <c r="H1397">
        <v>0</v>
      </c>
      <c r="I1397">
        <v>0</v>
      </c>
      <c r="J1397">
        <v>4324.4807980989699</v>
      </c>
      <c r="K1397">
        <v>3925.9469689622701</v>
      </c>
      <c r="L1397">
        <v>72.165000000000006</v>
      </c>
      <c r="M1397">
        <v>62.087000000000003</v>
      </c>
      <c r="N1397">
        <v>94.751999999999995</v>
      </c>
    </row>
    <row r="1398" spans="1:14" x14ac:dyDescent="0.45">
      <c r="A1398">
        <v>1987</v>
      </c>
      <c r="B1398" t="s">
        <v>142</v>
      </c>
      <c r="C1398">
        <v>1</v>
      </c>
      <c r="D1398">
        <v>0</v>
      </c>
      <c r="E1398">
        <v>0</v>
      </c>
      <c r="F1398">
        <v>0</v>
      </c>
      <c r="G1398">
        <v>0</v>
      </c>
      <c r="H1398">
        <v>1</v>
      </c>
      <c r="I1398">
        <v>1</v>
      </c>
      <c r="L1398">
        <v>48.243000000000002</v>
      </c>
      <c r="M1398">
        <v>70.685000000000002</v>
      </c>
      <c r="N1398">
        <v>41.433999999999997</v>
      </c>
    </row>
    <row r="1399" spans="1:14" x14ac:dyDescent="0.45">
      <c r="A1399">
        <v>1987</v>
      </c>
      <c r="B1399" t="s">
        <v>143</v>
      </c>
      <c r="C1399">
        <v>0</v>
      </c>
      <c r="D1399">
        <v>0</v>
      </c>
      <c r="E1399">
        <v>0</v>
      </c>
      <c r="F1399">
        <v>0</v>
      </c>
      <c r="G1399">
        <v>0</v>
      </c>
      <c r="H1399">
        <v>0</v>
      </c>
      <c r="I1399">
        <v>0</v>
      </c>
      <c r="J1399">
        <v>1930.1745049620599</v>
      </c>
      <c r="K1399">
        <v>1618.8090745136899</v>
      </c>
      <c r="L1399">
        <v>75.177000000000007</v>
      </c>
      <c r="M1399">
        <v>57.290999999999997</v>
      </c>
      <c r="N1399">
        <v>137.851</v>
      </c>
    </row>
    <row r="1400" spans="1:14" x14ac:dyDescent="0.45">
      <c r="A1400">
        <v>1987</v>
      </c>
      <c r="B1400" t="s">
        <v>144</v>
      </c>
      <c r="C1400">
        <v>1</v>
      </c>
      <c r="D1400">
        <v>0</v>
      </c>
      <c r="E1400">
        <v>0</v>
      </c>
      <c r="F1400">
        <v>0</v>
      </c>
      <c r="G1400">
        <v>0</v>
      </c>
      <c r="H1400">
        <v>1</v>
      </c>
      <c r="I1400">
        <v>1</v>
      </c>
      <c r="J1400">
        <v>26036.777935206301</v>
      </c>
      <c r="K1400">
        <v>23939.4589112342</v>
      </c>
      <c r="L1400">
        <v>43.447000000000003</v>
      </c>
      <c r="M1400">
        <v>74.406999999999996</v>
      </c>
      <c r="N1400">
        <v>9.3490000000000002</v>
      </c>
    </row>
    <row r="1401" spans="1:14" x14ac:dyDescent="0.45">
      <c r="A1401">
        <v>1987</v>
      </c>
      <c r="B1401" t="s">
        <v>145</v>
      </c>
      <c r="C1401">
        <v>0</v>
      </c>
      <c r="D1401">
        <v>0</v>
      </c>
      <c r="E1401">
        <v>0</v>
      </c>
      <c r="F1401">
        <v>0</v>
      </c>
      <c r="G1401">
        <v>1</v>
      </c>
      <c r="H1401">
        <v>0</v>
      </c>
      <c r="I1401">
        <v>0</v>
      </c>
      <c r="J1401">
        <v>9043.9580623191905</v>
      </c>
      <c r="K1401">
        <v>9021.2999801580099</v>
      </c>
      <c r="L1401">
        <v>45.283000000000001</v>
      </c>
      <c r="M1401">
        <v>62.685000000000002</v>
      </c>
      <c r="N1401">
        <v>68.450999999999993</v>
      </c>
    </row>
    <row r="1402" spans="1:14" x14ac:dyDescent="0.45">
      <c r="A1402">
        <v>1987</v>
      </c>
      <c r="B1402" t="s">
        <v>146</v>
      </c>
      <c r="C1402">
        <v>0</v>
      </c>
      <c r="D1402">
        <v>0</v>
      </c>
      <c r="E1402">
        <v>0</v>
      </c>
      <c r="F1402">
        <v>0</v>
      </c>
      <c r="G1402">
        <v>1</v>
      </c>
      <c r="H1402">
        <v>0</v>
      </c>
      <c r="I1402">
        <v>0</v>
      </c>
      <c r="J1402">
        <v>7473.1349398483899</v>
      </c>
      <c r="K1402">
        <v>5282.6751442361201</v>
      </c>
      <c r="L1402">
        <v>29.983000000000001</v>
      </c>
      <c r="M1402">
        <v>60.259</v>
      </c>
      <c r="N1402">
        <v>57.79</v>
      </c>
    </row>
    <row r="1403" spans="1:14" x14ac:dyDescent="0.45">
      <c r="A1403">
        <v>1987</v>
      </c>
      <c r="B1403" t="s">
        <v>147</v>
      </c>
      <c r="C1403">
        <v>1</v>
      </c>
      <c r="D1403">
        <v>0</v>
      </c>
      <c r="E1403">
        <v>0</v>
      </c>
      <c r="F1403">
        <v>0</v>
      </c>
      <c r="G1403">
        <v>0</v>
      </c>
      <c r="H1403">
        <v>1</v>
      </c>
      <c r="I1403">
        <v>1</v>
      </c>
      <c r="J1403">
        <v>38363.590842605299</v>
      </c>
      <c r="K1403">
        <v>33195.5887752692</v>
      </c>
      <c r="L1403">
        <v>9.9429999999999996</v>
      </c>
      <c r="M1403">
        <v>77.051000000000002</v>
      </c>
      <c r="N1403">
        <v>8.5879999999999992</v>
      </c>
    </row>
    <row r="1404" spans="1:14" x14ac:dyDescent="0.45">
      <c r="A1404">
        <v>1987</v>
      </c>
      <c r="B1404" t="s">
        <v>148</v>
      </c>
      <c r="C1404">
        <v>0</v>
      </c>
      <c r="D1404">
        <v>0</v>
      </c>
      <c r="E1404">
        <v>0</v>
      </c>
      <c r="F1404">
        <v>0</v>
      </c>
      <c r="G1404">
        <v>0</v>
      </c>
      <c r="H1404">
        <v>1</v>
      </c>
      <c r="I1404">
        <v>1</v>
      </c>
      <c r="J1404">
        <v>23583.398671423602</v>
      </c>
      <c r="K1404">
        <v>21632.5132996965</v>
      </c>
      <c r="L1404">
        <v>9.9559999999999995</v>
      </c>
      <c r="M1404">
        <v>76.376000000000005</v>
      </c>
      <c r="N1404">
        <v>12.933999999999999</v>
      </c>
    </row>
    <row r="1405" spans="1:14" x14ac:dyDescent="0.45">
      <c r="A1405">
        <v>1987</v>
      </c>
      <c r="B1405" t="s">
        <v>149</v>
      </c>
      <c r="C1405">
        <v>1</v>
      </c>
      <c r="D1405">
        <v>0</v>
      </c>
      <c r="E1405">
        <v>0</v>
      </c>
      <c r="F1405">
        <v>0</v>
      </c>
      <c r="G1405">
        <v>0</v>
      </c>
      <c r="H1405">
        <v>1</v>
      </c>
      <c r="I1405">
        <v>1</v>
      </c>
      <c r="J1405">
        <v>38424.175187362001</v>
      </c>
      <c r="K1405">
        <v>32728.4488859095</v>
      </c>
      <c r="L1405">
        <v>33.213999999999999</v>
      </c>
      <c r="M1405">
        <v>76.343999999999994</v>
      </c>
      <c r="N1405">
        <v>11.082000000000001</v>
      </c>
    </row>
    <row r="1406" spans="1:14" x14ac:dyDescent="0.45">
      <c r="A1406">
        <v>1987</v>
      </c>
      <c r="B1406" t="s">
        <v>150</v>
      </c>
      <c r="C1406">
        <v>0</v>
      </c>
      <c r="D1406">
        <v>1</v>
      </c>
      <c r="E1406">
        <v>0</v>
      </c>
      <c r="F1406">
        <v>1</v>
      </c>
      <c r="G1406">
        <v>0</v>
      </c>
      <c r="H1406">
        <v>0</v>
      </c>
      <c r="I1406">
        <v>0</v>
      </c>
      <c r="J1406">
        <v>7430.8404098748797</v>
      </c>
      <c r="K1406">
        <v>7323.3173197073002</v>
      </c>
      <c r="L1406">
        <v>51.167999999999999</v>
      </c>
      <c r="M1406">
        <v>70.87</v>
      </c>
      <c r="N1406">
        <v>30.370999999999999</v>
      </c>
    </row>
    <row r="1407" spans="1:14" x14ac:dyDescent="0.45">
      <c r="A1407">
        <v>1987</v>
      </c>
      <c r="B1407" t="s">
        <v>151</v>
      </c>
      <c r="C1407">
        <v>0</v>
      </c>
      <c r="D1407">
        <v>0</v>
      </c>
      <c r="E1407">
        <v>0</v>
      </c>
      <c r="F1407">
        <v>1</v>
      </c>
      <c r="G1407">
        <v>0</v>
      </c>
      <c r="H1407">
        <v>0</v>
      </c>
      <c r="I1407">
        <v>0</v>
      </c>
      <c r="J1407">
        <v>9415.3084107110299</v>
      </c>
      <c r="K1407">
        <v>9340.41237338477</v>
      </c>
      <c r="L1407">
        <v>30.393999999999998</v>
      </c>
      <c r="M1407">
        <v>69.296999999999997</v>
      </c>
      <c r="N1407">
        <v>40.530999999999999</v>
      </c>
    </row>
    <row r="1408" spans="1:14" x14ac:dyDescent="0.45">
      <c r="A1408">
        <v>1987</v>
      </c>
      <c r="B1408" t="s">
        <v>152</v>
      </c>
      <c r="C1408">
        <v>0</v>
      </c>
      <c r="D1408">
        <v>0</v>
      </c>
      <c r="E1408">
        <v>0</v>
      </c>
      <c r="F1408">
        <v>0</v>
      </c>
      <c r="G1408">
        <v>0</v>
      </c>
      <c r="H1408">
        <v>1</v>
      </c>
      <c r="I1408">
        <v>1</v>
      </c>
      <c r="J1408">
        <v>30510.325793170901</v>
      </c>
      <c r="K1408">
        <v>28262.700978585701</v>
      </c>
      <c r="L1408">
        <v>23.038</v>
      </c>
      <c r="M1408">
        <v>78.631</v>
      </c>
      <c r="N1408">
        <v>6.758</v>
      </c>
    </row>
    <row r="1409" spans="1:14" x14ac:dyDescent="0.45">
      <c r="A1409">
        <v>1987</v>
      </c>
      <c r="B1409" t="s">
        <v>153</v>
      </c>
      <c r="C1409">
        <v>1</v>
      </c>
      <c r="D1409">
        <v>0</v>
      </c>
      <c r="E1409">
        <v>0</v>
      </c>
      <c r="F1409">
        <v>1</v>
      </c>
      <c r="G1409">
        <v>0</v>
      </c>
      <c r="H1409">
        <v>0</v>
      </c>
      <c r="I1409">
        <v>0</v>
      </c>
      <c r="L1409">
        <v>43.768999999999998</v>
      </c>
      <c r="M1409">
        <v>65.995999999999995</v>
      </c>
      <c r="N1409">
        <v>55.871000000000002</v>
      </c>
    </row>
    <row r="1410" spans="1:14" x14ac:dyDescent="0.45">
      <c r="A1410">
        <v>1987</v>
      </c>
      <c r="B1410" t="s">
        <v>154</v>
      </c>
      <c r="C1410">
        <v>0</v>
      </c>
      <c r="D1410">
        <v>0</v>
      </c>
      <c r="E1410">
        <v>1</v>
      </c>
      <c r="F1410">
        <v>0</v>
      </c>
      <c r="G1410">
        <v>0</v>
      </c>
      <c r="H1410">
        <v>0</v>
      </c>
      <c r="I1410">
        <v>0</v>
      </c>
      <c r="J1410">
        <v>3941.7415454499501</v>
      </c>
      <c r="K1410">
        <v>3397.1751268422599</v>
      </c>
      <c r="L1410">
        <v>83.718999999999994</v>
      </c>
      <c r="M1410">
        <v>60.720999999999997</v>
      </c>
      <c r="N1410">
        <v>96.659000000000006</v>
      </c>
    </row>
    <row r="1411" spans="1:14" x14ac:dyDescent="0.45">
      <c r="A1411">
        <v>1987</v>
      </c>
      <c r="B1411" t="s">
        <v>155</v>
      </c>
      <c r="C1411">
        <v>1</v>
      </c>
      <c r="D1411">
        <v>0</v>
      </c>
      <c r="E1411">
        <v>0</v>
      </c>
      <c r="F1411">
        <v>1</v>
      </c>
      <c r="G1411">
        <v>0</v>
      </c>
      <c r="H1411">
        <v>0</v>
      </c>
      <c r="I1411">
        <v>0</v>
      </c>
      <c r="J1411">
        <v>5371.92795286412</v>
      </c>
      <c r="K1411">
        <v>4540.1817947617301</v>
      </c>
      <c r="L1411">
        <v>61.722999999999999</v>
      </c>
      <c r="M1411">
        <v>65.444999999999993</v>
      </c>
      <c r="N1411">
        <v>72.128</v>
      </c>
    </row>
    <row r="1412" spans="1:14" x14ac:dyDescent="0.45">
      <c r="A1412">
        <v>1987</v>
      </c>
      <c r="B1412" t="s">
        <v>156</v>
      </c>
      <c r="C1412">
        <v>0</v>
      </c>
      <c r="D1412">
        <v>0</v>
      </c>
      <c r="E1412">
        <v>0</v>
      </c>
      <c r="F1412">
        <v>0</v>
      </c>
      <c r="G1412">
        <v>0</v>
      </c>
      <c r="H1412">
        <v>0</v>
      </c>
      <c r="I1412">
        <v>0</v>
      </c>
      <c r="J1412">
        <v>2114.5322289444698</v>
      </c>
      <c r="K1412">
        <v>1896.0339918238301</v>
      </c>
      <c r="L1412">
        <v>85.441000000000003</v>
      </c>
      <c r="M1412">
        <v>53.673999999999999</v>
      </c>
      <c r="N1412">
        <v>127.372</v>
      </c>
    </row>
    <row r="1413" spans="1:14" x14ac:dyDescent="0.45">
      <c r="A1413">
        <v>1987</v>
      </c>
      <c r="B1413" t="s">
        <v>157</v>
      </c>
      <c r="C1413">
        <v>0</v>
      </c>
      <c r="D1413">
        <v>0</v>
      </c>
      <c r="E1413">
        <v>0</v>
      </c>
      <c r="F1413">
        <v>1</v>
      </c>
      <c r="G1413">
        <v>0</v>
      </c>
      <c r="H1413">
        <v>0</v>
      </c>
      <c r="I1413">
        <v>0</v>
      </c>
      <c r="J1413">
        <v>2234.2115355603801</v>
      </c>
      <c r="K1413">
        <v>2021.0661852653</v>
      </c>
      <c r="L1413">
        <v>65.884</v>
      </c>
      <c r="M1413">
        <v>59.576000000000001</v>
      </c>
      <c r="N1413">
        <v>101.202</v>
      </c>
    </row>
    <row r="1414" spans="1:14" x14ac:dyDescent="0.45">
      <c r="A1414">
        <v>1987</v>
      </c>
      <c r="B1414" t="s">
        <v>158</v>
      </c>
      <c r="C1414">
        <v>0</v>
      </c>
      <c r="D1414">
        <v>1</v>
      </c>
      <c r="E1414">
        <v>0</v>
      </c>
      <c r="F1414">
        <v>0</v>
      </c>
      <c r="G1414">
        <v>1</v>
      </c>
      <c r="H1414">
        <v>0</v>
      </c>
      <c r="I1414">
        <v>0</v>
      </c>
      <c r="J1414">
        <v>11429.049613937699</v>
      </c>
      <c r="K1414">
        <v>11287.741052772701</v>
      </c>
      <c r="L1414">
        <v>65.010999999999996</v>
      </c>
      <c r="M1414">
        <v>65.516000000000005</v>
      </c>
      <c r="N1414">
        <v>34.122999999999998</v>
      </c>
    </row>
    <row r="1415" spans="1:14" x14ac:dyDescent="0.45">
      <c r="A1415">
        <v>1987</v>
      </c>
      <c r="B1415" t="s">
        <v>159</v>
      </c>
      <c r="C1415">
        <v>0</v>
      </c>
      <c r="D1415">
        <v>0</v>
      </c>
      <c r="E1415">
        <v>0</v>
      </c>
      <c r="F1415">
        <v>0</v>
      </c>
      <c r="G1415">
        <v>1</v>
      </c>
      <c r="H1415">
        <v>0</v>
      </c>
      <c r="I1415">
        <v>0</v>
      </c>
      <c r="J1415">
        <v>10546.231074327001</v>
      </c>
      <c r="K1415">
        <v>9614.1815010065093</v>
      </c>
      <c r="L1415">
        <v>31.437000000000001</v>
      </c>
      <c r="M1415">
        <v>69.314999999999998</v>
      </c>
      <c r="N1415">
        <v>20.74</v>
      </c>
    </row>
    <row r="1416" spans="1:14" x14ac:dyDescent="0.45">
      <c r="A1416">
        <v>1987</v>
      </c>
      <c r="B1416" t="s">
        <v>160</v>
      </c>
      <c r="C1416">
        <v>0</v>
      </c>
      <c r="D1416">
        <v>0</v>
      </c>
      <c r="E1416">
        <v>0</v>
      </c>
      <c r="F1416">
        <v>0</v>
      </c>
      <c r="G1416">
        <v>0</v>
      </c>
      <c r="H1416">
        <v>1</v>
      </c>
      <c r="I1416">
        <v>1</v>
      </c>
      <c r="J1416">
        <v>35739.017755248897</v>
      </c>
      <c r="K1416">
        <v>31829.173687861199</v>
      </c>
      <c r="L1416">
        <v>2.0680000000000001</v>
      </c>
      <c r="M1416">
        <v>74.22</v>
      </c>
      <c r="N1416">
        <v>20.91</v>
      </c>
    </row>
    <row r="1417" spans="1:14" x14ac:dyDescent="0.45">
      <c r="A1417">
        <v>1987</v>
      </c>
      <c r="B1417" t="s">
        <v>161</v>
      </c>
      <c r="C1417">
        <v>0</v>
      </c>
      <c r="D1417">
        <v>0</v>
      </c>
      <c r="E1417">
        <v>0</v>
      </c>
      <c r="F1417">
        <v>0</v>
      </c>
      <c r="G1417">
        <v>0</v>
      </c>
      <c r="H1417">
        <v>0</v>
      </c>
      <c r="I1417">
        <v>0</v>
      </c>
      <c r="J1417">
        <v>1980.94797200468</v>
      </c>
      <c r="K1417">
        <v>1903.5079526341999</v>
      </c>
      <c r="L1417">
        <v>85.561000000000007</v>
      </c>
      <c r="M1417">
        <v>52.597000000000001</v>
      </c>
      <c r="N1417">
        <v>168.45</v>
      </c>
    </row>
    <row r="1418" spans="1:14" x14ac:dyDescent="0.45">
      <c r="A1418">
        <v>1987</v>
      </c>
      <c r="B1418" t="s">
        <v>162</v>
      </c>
      <c r="C1418">
        <v>0</v>
      </c>
      <c r="D1418">
        <v>0</v>
      </c>
      <c r="E1418">
        <v>0</v>
      </c>
      <c r="F1418">
        <v>1</v>
      </c>
      <c r="G1418">
        <v>0</v>
      </c>
      <c r="H1418">
        <v>0</v>
      </c>
      <c r="I1418">
        <v>0</v>
      </c>
      <c r="J1418">
        <v>16037.584987166299</v>
      </c>
      <c r="K1418">
        <v>20845.547255644098</v>
      </c>
      <c r="L1418">
        <v>18.553999999999998</v>
      </c>
      <c r="M1418">
        <v>62.539000000000001</v>
      </c>
      <c r="N1418">
        <v>58.502000000000002</v>
      </c>
    </row>
    <row r="1419" spans="1:14" x14ac:dyDescent="0.45">
      <c r="A1419">
        <v>1987</v>
      </c>
      <c r="B1419" t="s">
        <v>163</v>
      </c>
      <c r="C1419">
        <v>0</v>
      </c>
      <c r="D1419">
        <v>0</v>
      </c>
      <c r="E1419">
        <v>1</v>
      </c>
      <c r="F1419">
        <v>0</v>
      </c>
      <c r="G1419">
        <v>0</v>
      </c>
      <c r="H1419">
        <v>0</v>
      </c>
      <c r="I1419">
        <v>0</v>
      </c>
      <c r="J1419">
        <v>2862.4985634797299</v>
      </c>
      <c r="K1419">
        <v>4229.18547273279</v>
      </c>
      <c r="L1419">
        <v>52.433</v>
      </c>
      <c r="M1419">
        <v>44.267000000000003</v>
      </c>
      <c r="N1419">
        <v>249.41900000000001</v>
      </c>
    </row>
    <row r="1420" spans="1:14" x14ac:dyDescent="0.45">
      <c r="A1420">
        <v>1987</v>
      </c>
      <c r="B1420" t="s">
        <v>164</v>
      </c>
      <c r="C1420">
        <v>0</v>
      </c>
      <c r="D1420">
        <v>0</v>
      </c>
      <c r="E1420">
        <v>0</v>
      </c>
      <c r="F1420">
        <v>0</v>
      </c>
      <c r="G1420">
        <v>1</v>
      </c>
      <c r="H1420">
        <v>0</v>
      </c>
      <c r="I1420">
        <v>0</v>
      </c>
      <c r="J1420">
        <v>20021.7209837587</v>
      </c>
      <c r="K1420">
        <v>23399.288094742999</v>
      </c>
      <c r="L1420">
        <v>24.44</v>
      </c>
      <c r="M1420">
        <v>68.257999999999996</v>
      </c>
      <c r="N1420">
        <v>49.03</v>
      </c>
    </row>
    <row r="1421" spans="1:14" x14ac:dyDescent="0.45">
      <c r="A1421">
        <v>1987</v>
      </c>
      <c r="B1421" t="s">
        <v>165</v>
      </c>
      <c r="C1421">
        <v>0</v>
      </c>
      <c r="D1421">
        <v>1</v>
      </c>
      <c r="E1421">
        <v>0</v>
      </c>
      <c r="F1421">
        <v>1</v>
      </c>
      <c r="G1421">
        <v>0</v>
      </c>
      <c r="H1421">
        <v>0</v>
      </c>
      <c r="I1421">
        <v>0</v>
      </c>
      <c r="J1421">
        <v>13809.556028656199</v>
      </c>
      <c r="K1421">
        <v>9934.6913753600093</v>
      </c>
      <c r="L1421">
        <v>71.512</v>
      </c>
      <c r="M1421">
        <v>69.671000000000006</v>
      </c>
      <c r="N1421">
        <v>22.553999999999998</v>
      </c>
    </row>
    <row r="1422" spans="1:14" x14ac:dyDescent="0.45">
      <c r="A1422">
        <v>1987</v>
      </c>
      <c r="B1422" t="s">
        <v>166</v>
      </c>
      <c r="C1422">
        <v>1</v>
      </c>
      <c r="D1422">
        <v>0</v>
      </c>
      <c r="E1422">
        <v>0</v>
      </c>
      <c r="F1422">
        <v>0</v>
      </c>
      <c r="G1422">
        <v>0</v>
      </c>
      <c r="H1422">
        <v>1</v>
      </c>
      <c r="I1422">
        <v>1</v>
      </c>
      <c r="L1422">
        <v>82.66</v>
      </c>
      <c r="M1422">
        <v>77.753</v>
      </c>
      <c r="N1422">
        <v>13.465</v>
      </c>
    </row>
    <row r="1423" spans="1:14" x14ac:dyDescent="0.45">
      <c r="A1423">
        <v>1987</v>
      </c>
      <c r="B1423" t="s">
        <v>167</v>
      </c>
      <c r="C1423">
        <v>0</v>
      </c>
      <c r="D1423">
        <v>0</v>
      </c>
      <c r="E1423">
        <v>0</v>
      </c>
      <c r="F1423">
        <v>0</v>
      </c>
      <c r="G1423">
        <v>0</v>
      </c>
      <c r="H1423">
        <v>0</v>
      </c>
      <c r="I1423">
        <v>0</v>
      </c>
      <c r="J1423">
        <v>4418.3032811864196</v>
      </c>
      <c r="K1423">
        <v>4126.6254329007697</v>
      </c>
      <c r="L1423">
        <v>81.418000000000006</v>
      </c>
      <c r="M1423">
        <v>69.009</v>
      </c>
      <c r="N1423">
        <v>26.087</v>
      </c>
    </row>
    <row r="1424" spans="1:14" x14ac:dyDescent="0.45">
      <c r="A1424">
        <v>1987</v>
      </c>
      <c r="B1424" t="s">
        <v>168</v>
      </c>
      <c r="C1424">
        <v>0</v>
      </c>
      <c r="D1424">
        <v>0</v>
      </c>
      <c r="E1424">
        <v>1</v>
      </c>
      <c r="F1424">
        <v>0</v>
      </c>
      <c r="G1424">
        <v>0</v>
      </c>
      <c r="H1424">
        <v>0</v>
      </c>
      <c r="I1424">
        <v>0</v>
      </c>
      <c r="J1424">
        <v>1309.41730982219</v>
      </c>
      <c r="K1424">
        <v>1172.47870387745</v>
      </c>
      <c r="L1424">
        <v>87.605999999999995</v>
      </c>
      <c r="M1424">
        <v>59.557000000000002</v>
      </c>
      <c r="N1424">
        <v>91.873999999999995</v>
      </c>
    </row>
    <row r="1425" spans="1:14" x14ac:dyDescent="0.45">
      <c r="A1425">
        <v>1987</v>
      </c>
      <c r="B1425" t="s">
        <v>169</v>
      </c>
      <c r="C1425">
        <v>1</v>
      </c>
      <c r="D1425">
        <v>0</v>
      </c>
      <c r="E1425">
        <v>0</v>
      </c>
      <c r="F1425">
        <v>0</v>
      </c>
      <c r="G1425">
        <v>1</v>
      </c>
      <c r="H1425">
        <v>0</v>
      </c>
      <c r="I1425">
        <v>0</v>
      </c>
      <c r="L1425">
        <v>33.46</v>
      </c>
      <c r="M1425">
        <v>72.227999999999994</v>
      </c>
      <c r="N1425">
        <v>15.332000000000001</v>
      </c>
    </row>
    <row r="1426" spans="1:14" x14ac:dyDescent="0.45">
      <c r="A1426">
        <v>1987</v>
      </c>
      <c r="B1426" t="s">
        <v>170</v>
      </c>
      <c r="C1426">
        <v>1</v>
      </c>
      <c r="D1426">
        <v>0</v>
      </c>
      <c r="E1426">
        <v>0</v>
      </c>
      <c r="F1426">
        <v>0</v>
      </c>
      <c r="G1426">
        <v>0</v>
      </c>
      <c r="H1426">
        <v>1</v>
      </c>
      <c r="I1426">
        <v>1</v>
      </c>
      <c r="J1426">
        <v>67356.150918207801</v>
      </c>
      <c r="K1426">
        <v>57559.9607795876</v>
      </c>
      <c r="L1426">
        <v>19.22</v>
      </c>
      <c r="M1426">
        <v>73.867000000000004</v>
      </c>
      <c r="N1426">
        <v>11.365</v>
      </c>
    </row>
    <row r="1427" spans="1:14" x14ac:dyDescent="0.45">
      <c r="A1427">
        <v>1987</v>
      </c>
      <c r="B1427" t="s">
        <v>171</v>
      </c>
      <c r="C1427">
        <v>1</v>
      </c>
      <c r="D1427">
        <v>0</v>
      </c>
      <c r="E1427">
        <v>0</v>
      </c>
      <c r="F1427">
        <v>0</v>
      </c>
      <c r="G1427">
        <v>1</v>
      </c>
      <c r="H1427">
        <v>0</v>
      </c>
      <c r="I1427">
        <v>0</v>
      </c>
      <c r="L1427">
        <v>31.053000000000001</v>
      </c>
      <c r="M1427">
        <v>71.013000000000005</v>
      </c>
      <c r="N1427">
        <v>15.164999999999999</v>
      </c>
    </row>
    <row r="1428" spans="1:14" x14ac:dyDescent="0.45">
      <c r="A1428">
        <v>1987</v>
      </c>
      <c r="B1428" t="s">
        <v>172</v>
      </c>
      <c r="C1428">
        <v>0</v>
      </c>
      <c r="D1428">
        <v>0</v>
      </c>
      <c r="E1428">
        <v>0</v>
      </c>
      <c r="F1428">
        <v>0</v>
      </c>
      <c r="G1428">
        <v>1</v>
      </c>
      <c r="H1428">
        <v>0</v>
      </c>
      <c r="I1428">
        <v>0</v>
      </c>
      <c r="J1428">
        <v>49321.210037122699</v>
      </c>
      <c r="K1428">
        <v>44696.926660375699</v>
      </c>
      <c r="L1428">
        <v>0.42400000000000698</v>
      </c>
      <c r="M1428">
        <v>75.165000000000006</v>
      </c>
      <c r="N1428">
        <v>15.698</v>
      </c>
    </row>
    <row r="1429" spans="1:14" x14ac:dyDescent="0.45">
      <c r="A1429">
        <v>1987</v>
      </c>
      <c r="B1429" t="s">
        <v>173</v>
      </c>
      <c r="C1429">
        <v>0</v>
      </c>
      <c r="D1429">
        <v>1</v>
      </c>
      <c r="E1429">
        <v>0</v>
      </c>
      <c r="F1429">
        <v>0</v>
      </c>
      <c r="G1429">
        <v>0</v>
      </c>
      <c r="H1429">
        <v>1</v>
      </c>
      <c r="I1429">
        <v>1</v>
      </c>
      <c r="L1429">
        <v>0</v>
      </c>
      <c r="M1429">
        <v>73.519000000000005</v>
      </c>
      <c r="N1429">
        <v>23.841999999999999</v>
      </c>
    </row>
    <row r="1430" spans="1:14" x14ac:dyDescent="0.45">
      <c r="A1430">
        <v>1987</v>
      </c>
      <c r="B1430" t="s">
        <v>174</v>
      </c>
      <c r="C1430">
        <v>0</v>
      </c>
      <c r="D1430">
        <v>0</v>
      </c>
      <c r="E1430">
        <v>0</v>
      </c>
      <c r="F1430">
        <v>1</v>
      </c>
      <c r="G1430">
        <v>0</v>
      </c>
      <c r="H1430">
        <v>0</v>
      </c>
      <c r="I1430">
        <v>0</v>
      </c>
      <c r="J1430">
        <v>4087.2310436088201</v>
      </c>
      <c r="K1430">
        <v>3925.24770000133</v>
      </c>
      <c r="L1430">
        <v>53.780999999999999</v>
      </c>
      <c r="M1430">
        <v>60.62</v>
      </c>
      <c r="N1430">
        <v>93.11</v>
      </c>
    </row>
    <row r="1431" spans="1:14" x14ac:dyDescent="0.45">
      <c r="A1431">
        <v>1987</v>
      </c>
      <c r="B1431" t="s">
        <v>175</v>
      </c>
      <c r="C1431">
        <v>1</v>
      </c>
      <c r="D1431">
        <v>0</v>
      </c>
      <c r="E1431">
        <v>0</v>
      </c>
      <c r="F1431">
        <v>0</v>
      </c>
      <c r="G1431">
        <v>0</v>
      </c>
      <c r="H1431">
        <v>1</v>
      </c>
      <c r="I1431">
        <v>1</v>
      </c>
      <c r="L1431">
        <v>0</v>
      </c>
      <c r="M1431">
        <v>79.257000000000005</v>
      </c>
      <c r="N1431">
        <v>10.904</v>
      </c>
    </row>
    <row r="1432" spans="1:14" x14ac:dyDescent="0.45">
      <c r="A1432">
        <v>1987</v>
      </c>
      <c r="B1432" t="s">
        <v>176</v>
      </c>
      <c r="C1432">
        <v>1</v>
      </c>
      <c r="D1432">
        <v>0</v>
      </c>
      <c r="E1432">
        <v>0</v>
      </c>
      <c r="F1432">
        <v>1</v>
      </c>
      <c r="G1432">
        <v>0</v>
      </c>
      <c r="H1432">
        <v>0</v>
      </c>
      <c r="I1432">
        <v>0</v>
      </c>
      <c r="L1432">
        <v>54.286000000000001</v>
      </c>
      <c r="M1432">
        <v>67.921999999999997</v>
      </c>
      <c r="N1432">
        <v>37.554000000000002</v>
      </c>
    </row>
    <row r="1433" spans="1:14" x14ac:dyDescent="0.45">
      <c r="A1433">
        <v>1987</v>
      </c>
      <c r="B1433" t="s">
        <v>177</v>
      </c>
      <c r="C1433">
        <v>0</v>
      </c>
      <c r="D1433">
        <v>0</v>
      </c>
      <c r="E1433">
        <v>1</v>
      </c>
      <c r="F1433">
        <v>0</v>
      </c>
      <c r="G1433">
        <v>0</v>
      </c>
      <c r="H1433">
        <v>0</v>
      </c>
      <c r="I1433">
        <v>0</v>
      </c>
      <c r="J1433">
        <v>1970.6565060000501</v>
      </c>
      <c r="K1433">
        <v>1825.6684969094399</v>
      </c>
      <c r="L1433">
        <v>78.040999999999997</v>
      </c>
      <c r="M1433">
        <v>51.097999999999999</v>
      </c>
      <c r="N1433">
        <v>169.346</v>
      </c>
    </row>
    <row r="1434" spans="1:14" x14ac:dyDescent="0.45">
      <c r="A1434">
        <v>1987</v>
      </c>
      <c r="B1434" t="s">
        <v>178</v>
      </c>
      <c r="C1434">
        <v>0</v>
      </c>
      <c r="D1434">
        <v>0</v>
      </c>
      <c r="E1434">
        <v>0</v>
      </c>
      <c r="F1434">
        <v>0</v>
      </c>
      <c r="G1434">
        <v>0</v>
      </c>
      <c r="H1434">
        <v>0</v>
      </c>
      <c r="I1434">
        <v>0</v>
      </c>
      <c r="J1434">
        <v>7645.9179492072199</v>
      </c>
      <c r="K1434">
        <v>7543.33495039841</v>
      </c>
      <c r="L1434">
        <v>74.352000000000004</v>
      </c>
      <c r="M1434">
        <v>60.789000000000001</v>
      </c>
      <c r="N1434">
        <v>101.90600000000001</v>
      </c>
    </row>
    <row r="1435" spans="1:14" x14ac:dyDescent="0.45">
      <c r="A1435">
        <v>1987</v>
      </c>
      <c r="B1435" t="s">
        <v>179</v>
      </c>
      <c r="C1435">
        <v>0</v>
      </c>
      <c r="D1435">
        <v>1</v>
      </c>
      <c r="E1435">
        <v>0</v>
      </c>
      <c r="F1435">
        <v>1</v>
      </c>
      <c r="G1435">
        <v>0</v>
      </c>
      <c r="H1435">
        <v>0</v>
      </c>
      <c r="I1435">
        <v>0</v>
      </c>
      <c r="J1435">
        <v>17014.758906385599</v>
      </c>
      <c r="K1435">
        <v>15818.199242856999</v>
      </c>
      <c r="L1435">
        <v>30.036999999999999</v>
      </c>
      <c r="M1435">
        <v>67.903999999999996</v>
      </c>
      <c r="N1435">
        <v>51.905000000000001</v>
      </c>
    </row>
    <row r="1436" spans="1:14" x14ac:dyDescent="0.45">
      <c r="A1436">
        <v>1987</v>
      </c>
      <c r="B1436" t="s">
        <v>180</v>
      </c>
      <c r="C1436">
        <v>0</v>
      </c>
      <c r="D1436">
        <v>0</v>
      </c>
      <c r="E1436">
        <v>0</v>
      </c>
      <c r="F1436">
        <v>1</v>
      </c>
      <c r="G1436">
        <v>0</v>
      </c>
      <c r="H1436">
        <v>0</v>
      </c>
      <c r="I1436">
        <v>0</v>
      </c>
      <c r="J1436">
        <v>3923.8286502373098</v>
      </c>
      <c r="K1436">
        <v>3549.0437130629298</v>
      </c>
      <c r="L1436">
        <v>36.53</v>
      </c>
      <c r="M1436">
        <v>61.808</v>
      </c>
      <c r="N1436">
        <v>52.834000000000003</v>
      </c>
    </row>
    <row r="1437" spans="1:14" x14ac:dyDescent="0.45">
      <c r="A1437">
        <v>1987</v>
      </c>
      <c r="B1437" t="s">
        <v>181</v>
      </c>
      <c r="C1437">
        <v>1</v>
      </c>
      <c r="D1437">
        <v>0</v>
      </c>
      <c r="E1437">
        <v>0</v>
      </c>
      <c r="F1437">
        <v>0</v>
      </c>
      <c r="G1437">
        <v>1</v>
      </c>
      <c r="H1437">
        <v>0</v>
      </c>
      <c r="I1437">
        <v>0</v>
      </c>
      <c r="L1437">
        <v>43.463999999999999</v>
      </c>
      <c r="M1437">
        <v>70.418999999999997</v>
      </c>
      <c r="N1437">
        <v>45.317999999999998</v>
      </c>
    </row>
    <row r="1438" spans="1:14" x14ac:dyDescent="0.45">
      <c r="A1438">
        <v>1987</v>
      </c>
      <c r="B1438" t="s">
        <v>182</v>
      </c>
      <c r="C1438">
        <v>0</v>
      </c>
      <c r="D1438">
        <v>0</v>
      </c>
      <c r="E1438">
        <v>1</v>
      </c>
      <c r="F1438">
        <v>0</v>
      </c>
      <c r="G1438">
        <v>0</v>
      </c>
      <c r="H1438">
        <v>0</v>
      </c>
      <c r="I1438">
        <v>0</v>
      </c>
      <c r="J1438">
        <v>1525.85669476978</v>
      </c>
      <c r="K1438">
        <v>1412.34788230241</v>
      </c>
      <c r="L1438">
        <v>77.930999999999997</v>
      </c>
      <c r="M1438">
        <v>45.228000000000002</v>
      </c>
      <c r="N1438">
        <v>250.97900000000001</v>
      </c>
    </row>
    <row r="1439" spans="1:14" x14ac:dyDescent="0.45">
      <c r="A1439">
        <v>1987</v>
      </c>
      <c r="B1439" t="s">
        <v>183</v>
      </c>
      <c r="C1439">
        <v>0</v>
      </c>
      <c r="D1439">
        <v>0</v>
      </c>
      <c r="E1439">
        <v>0</v>
      </c>
      <c r="F1439">
        <v>0</v>
      </c>
      <c r="G1439">
        <v>1</v>
      </c>
      <c r="H1439">
        <v>0</v>
      </c>
      <c r="I1439">
        <v>0</v>
      </c>
      <c r="J1439">
        <v>15422.9990896075</v>
      </c>
      <c r="K1439">
        <v>13341.6491029917</v>
      </c>
      <c r="L1439">
        <v>9.9719999999999906</v>
      </c>
      <c r="M1439">
        <v>75.302000000000007</v>
      </c>
      <c r="N1439">
        <v>11.340999999999999</v>
      </c>
    </row>
    <row r="1440" spans="1:14" x14ac:dyDescent="0.45">
      <c r="A1440">
        <v>1987</v>
      </c>
      <c r="B1440" t="s">
        <v>184</v>
      </c>
      <c r="C1440">
        <v>0</v>
      </c>
      <c r="D1440">
        <v>0</v>
      </c>
      <c r="E1440">
        <v>0</v>
      </c>
      <c r="F1440">
        <v>0</v>
      </c>
      <c r="G1440">
        <v>0</v>
      </c>
      <c r="H1440">
        <v>0</v>
      </c>
      <c r="I1440">
        <v>0</v>
      </c>
      <c r="J1440">
        <v>956.33937234098903</v>
      </c>
      <c r="K1440">
        <v>765.74393078319997</v>
      </c>
      <c r="L1440">
        <v>75.275999999999996</v>
      </c>
      <c r="M1440">
        <v>56.353000000000002</v>
      </c>
      <c r="N1440">
        <v>122.295</v>
      </c>
    </row>
    <row r="1441" spans="1:14" x14ac:dyDescent="0.45">
      <c r="A1441">
        <v>1987</v>
      </c>
      <c r="B1441" t="s">
        <v>185</v>
      </c>
      <c r="C1441">
        <v>1</v>
      </c>
      <c r="D1441">
        <v>0</v>
      </c>
      <c r="E1441">
        <v>0</v>
      </c>
      <c r="F1441">
        <v>0</v>
      </c>
      <c r="G1441">
        <v>1</v>
      </c>
      <c r="H1441">
        <v>0</v>
      </c>
      <c r="I1441">
        <v>0</v>
      </c>
      <c r="L1441">
        <v>55.405999999999999</v>
      </c>
      <c r="M1441">
        <v>73.179000000000002</v>
      </c>
      <c r="N1441">
        <v>21.771999999999998</v>
      </c>
    </row>
    <row r="1442" spans="1:14" x14ac:dyDescent="0.45">
      <c r="A1442">
        <v>1987</v>
      </c>
      <c r="B1442" t="s">
        <v>186</v>
      </c>
      <c r="C1442">
        <v>0</v>
      </c>
      <c r="D1442">
        <v>0</v>
      </c>
      <c r="E1442">
        <v>0</v>
      </c>
      <c r="F1442">
        <v>1</v>
      </c>
      <c r="G1442">
        <v>0</v>
      </c>
      <c r="H1442">
        <v>0</v>
      </c>
      <c r="I1442">
        <v>0</v>
      </c>
      <c r="J1442">
        <v>6314.7993992747697</v>
      </c>
      <c r="K1442">
        <v>4865.4007602572301</v>
      </c>
      <c r="L1442">
        <v>43.784999999999997</v>
      </c>
      <c r="M1442">
        <v>57.119</v>
      </c>
      <c r="N1442">
        <v>122.169</v>
      </c>
    </row>
    <row r="1443" spans="1:14" x14ac:dyDescent="0.45">
      <c r="A1443">
        <v>1987</v>
      </c>
      <c r="B1443" t="s">
        <v>187</v>
      </c>
      <c r="C1443">
        <v>0</v>
      </c>
      <c r="D1443">
        <v>0</v>
      </c>
      <c r="E1443">
        <v>0</v>
      </c>
      <c r="F1443">
        <v>1</v>
      </c>
      <c r="G1443">
        <v>0</v>
      </c>
      <c r="H1443">
        <v>0</v>
      </c>
      <c r="I1443">
        <v>0</v>
      </c>
      <c r="L1443">
        <v>11.029</v>
      </c>
      <c r="M1443">
        <v>69.48</v>
      </c>
      <c r="N1443">
        <v>10.71</v>
      </c>
    </row>
    <row r="1444" spans="1:14" x14ac:dyDescent="0.45">
      <c r="A1444">
        <v>1987</v>
      </c>
      <c r="B1444" t="s">
        <v>188</v>
      </c>
      <c r="C1444">
        <v>0</v>
      </c>
      <c r="D1444">
        <v>0</v>
      </c>
      <c r="E1444">
        <v>1</v>
      </c>
      <c r="F1444">
        <v>0</v>
      </c>
      <c r="G1444">
        <v>0</v>
      </c>
      <c r="H1444">
        <v>0</v>
      </c>
      <c r="I1444">
        <v>0</v>
      </c>
      <c r="J1444">
        <v>456.46312925193803</v>
      </c>
      <c r="K1444">
        <v>382.196534994248</v>
      </c>
      <c r="L1444">
        <v>79.185000000000002</v>
      </c>
      <c r="M1444">
        <v>41.002000000000002</v>
      </c>
      <c r="N1444">
        <v>251.738</v>
      </c>
    </row>
    <row r="1445" spans="1:14" x14ac:dyDescent="0.45">
      <c r="A1445">
        <v>1987</v>
      </c>
      <c r="B1445" t="s">
        <v>189</v>
      </c>
      <c r="C1445">
        <v>0</v>
      </c>
      <c r="D1445">
        <v>0</v>
      </c>
      <c r="E1445">
        <v>1</v>
      </c>
      <c r="F1445">
        <v>0</v>
      </c>
      <c r="G1445">
        <v>0</v>
      </c>
      <c r="H1445">
        <v>0</v>
      </c>
      <c r="I1445">
        <v>0</v>
      </c>
      <c r="J1445">
        <v>5520.9359100817901</v>
      </c>
      <c r="K1445">
        <v>4884.44581837642</v>
      </c>
      <c r="L1445">
        <v>61.695</v>
      </c>
      <c r="M1445">
        <v>56.963999999999999</v>
      </c>
      <c r="N1445">
        <v>128.398</v>
      </c>
    </row>
    <row r="1446" spans="1:14" x14ac:dyDescent="0.45">
      <c r="A1446">
        <v>1987</v>
      </c>
      <c r="B1446" t="s">
        <v>190</v>
      </c>
      <c r="C1446">
        <v>0</v>
      </c>
      <c r="D1446">
        <v>0</v>
      </c>
      <c r="E1446">
        <v>1</v>
      </c>
      <c r="F1446">
        <v>1</v>
      </c>
      <c r="G1446">
        <v>0</v>
      </c>
      <c r="H1446">
        <v>0</v>
      </c>
      <c r="I1446">
        <v>0</v>
      </c>
      <c r="J1446">
        <v>7532.7446653562502</v>
      </c>
      <c r="K1446">
        <v>7070.4200759108398</v>
      </c>
      <c r="L1446">
        <v>57.046999999999997</v>
      </c>
      <c r="M1446">
        <v>69.185000000000002</v>
      </c>
      <c r="N1446">
        <v>25.201000000000001</v>
      </c>
    </row>
    <row r="1447" spans="1:14" x14ac:dyDescent="0.45">
      <c r="A1447">
        <v>1987</v>
      </c>
      <c r="B1447" t="s">
        <v>191</v>
      </c>
      <c r="C1447">
        <v>0</v>
      </c>
      <c r="D1447">
        <v>0</v>
      </c>
      <c r="E1447">
        <v>1</v>
      </c>
      <c r="F1447">
        <v>0</v>
      </c>
      <c r="G1447">
        <v>0</v>
      </c>
      <c r="H1447">
        <v>0</v>
      </c>
      <c r="I1447">
        <v>0</v>
      </c>
      <c r="J1447">
        <v>1144.01889247132</v>
      </c>
      <c r="K1447">
        <v>978.892771362193</v>
      </c>
      <c r="L1447">
        <v>89.358999999999995</v>
      </c>
      <c r="M1447">
        <v>43.902000000000001</v>
      </c>
      <c r="N1447">
        <v>250.405</v>
      </c>
    </row>
    <row r="1448" spans="1:14" x14ac:dyDescent="0.45">
      <c r="A1448">
        <v>1987</v>
      </c>
      <c r="B1448" t="s">
        <v>192</v>
      </c>
      <c r="C1448">
        <v>0</v>
      </c>
      <c r="D1448">
        <v>0</v>
      </c>
      <c r="E1448">
        <v>0</v>
      </c>
      <c r="F1448">
        <v>1</v>
      </c>
      <c r="G1448">
        <v>0</v>
      </c>
      <c r="H1448">
        <v>0</v>
      </c>
      <c r="I1448">
        <v>0</v>
      </c>
      <c r="J1448">
        <v>10445.346542438499</v>
      </c>
      <c r="K1448">
        <v>9336.9073485853805</v>
      </c>
      <c r="L1448">
        <v>52.55</v>
      </c>
      <c r="M1448">
        <v>70.350999999999999</v>
      </c>
      <c r="N1448">
        <v>19.492999999999999</v>
      </c>
    </row>
    <row r="1449" spans="1:14" x14ac:dyDescent="0.45">
      <c r="A1449">
        <v>1987</v>
      </c>
      <c r="B1449" t="s">
        <v>193</v>
      </c>
      <c r="C1449">
        <v>0</v>
      </c>
      <c r="D1449">
        <v>0</v>
      </c>
      <c r="E1449">
        <v>1</v>
      </c>
      <c r="F1449">
        <v>1</v>
      </c>
      <c r="G1449">
        <v>0</v>
      </c>
      <c r="H1449">
        <v>0</v>
      </c>
      <c r="I1449">
        <v>0</v>
      </c>
      <c r="J1449">
        <v>7803.6488448474502</v>
      </c>
      <c r="K1449">
        <v>6763.4209274935502</v>
      </c>
      <c r="L1449">
        <v>73.123000000000005</v>
      </c>
      <c r="M1449">
        <v>59.122999999999998</v>
      </c>
      <c r="N1449">
        <v>83.866</v>
      </c>
    </row>
    <row r="1450" spans="1:14" x14ac:dyDescent="0.45">
      <c r="A1450">
        <v>1987</v>
      </c>
      <c r="B1450" t="s">
        <v>194</v>
      </c>
      <c r="C1450">
        <v>0</v>
      </c>
      <c r="D1450">
        <v>0</v>
      </c>
      <c r="E1450">
        <v>0</v>
      </c>
      <c r="F1450">
        <v>0</v>
      </c>
      <c r="G1450">
        <v>1</v>
      </c>
      <c r="H1450">
        <v>0</v>
      </c>
      <c r="I1450">
        <v>0</v>
      </c>
      <c r="L1450">
        <v>40.865000000000002</v>
      </c>
      <c r="M1450">
        <v>68.596999999999994</v>
      </c>
      <c r="N1450">
        <v>36.488</v>
      </c>
    </row>
    <row r="1451" spans="1:14" x14ac:dyDescent="0.45">
      <c r="A1451">
        <v>1987</v>
      </c>
      <c r="B1451" t="s">
        <v>195</v>
      </c>
      <c r="C1451">
        <v>0</v>
      </c>
      <c r="D1451">
        <v>0</v>
      </c>
      <c r="E1451">
        <v>1</v>
      </c>
      <c r="F1451">
        <v>0</v>
      </c>
      <c r="G1451">
        <v>0</v>
      </c>
      <c r="H1451">
        <v>0</v>
      </c>
      <c r="I1451">
        <v>0</v>
      </c>
      <c r="J1451">
        <v>1431.96958659898</v>
      </c>
      <c r="K1451">
        <v>1138.1755138463</v>
      </c>
      <c r="L1451">
        <v>85.007000000000005</v>
      </c>
      <c r="M1451">
        <v>40.468000000000004</v>
      </c>
      <c r="N1451">
        <v>342.01100000000002</v>
      </c>
    </row>
    <row r="1452" spans="1:14" x14ac:dyDescent="0.45">
      <c r="A1452">
        <v>1987</v>
      </c>
      <c r="B1452" t="s">
        <v>196</v>
      </c>
      <c r="C1452">
        <v>0</v>
      </c>
      <c r="D1452">
        <v>0</v>
      </c>
      <c r="E1452">
        <v>1</v>
      </c>
      <c r="F1452">
        <v>0</v>
      </c>
      <c r="G1452">
        <v>0</v>
      </c>
      <c r="H1452">
        <v>0</v>
      </c>
      <c r="I1452">
        <v>0</v>
      </c>
      <c r="J1452">
        <v>3504.1066776522498</v>
      </c>
      <c r="K1452">
        <v>3098.1025794993898</v>
      </c>
      <c r="L1452">
        <v>72.790999999999997</v>
      </c>
      <c r="M1452">
        <v>45.89</v>
      </c>
      <c r="N1452">
        <v>209.173</v>
      </c>
    </row>
    <row r="1453" spans="1:14" x14ac:dyDescent="0.45">
      <c r="A1453">
        <v>1987</v>
      </c>
      <c r="B1453" t="s">
        <v>197</v>
      </c>
      <c r="C1453">
        <v>0</v>
      </c>
      <c r="D1453">
        <v>1</v>
      </c>
      <c r="E1453">
        <v>0</v>
      </c>
      <c r="F1453">
        <v>1</v>
      </c>
      <c r="G1453">
        <v>0</v>
      </c>
      <c r="H1453">
        <v>0</v>
      </c>
      <c r="I1453">
        <v>0</v>
      </c>
      <c r="J1453">
        <v>5291.8329376170605</v>
      </c>
      <c r="K1453">
        <v>4457.12647099892</v>
      </c>
      <c r="L1453">
        <v>47.759</v>
      </c>
      <c r="M1453">
        <v>57.329000000000001</v>
      </c>
      <c r="N1453">
        <v>91.86</v>
      </c>
    </row>
    <row r="1454" spans="1:14" x14ac:dyDescent="0.45">
      <c r="A1454">
        <v>1987</v>
      </c>
      <c r="B1454" t="s">
        <v>198</v>
      </c>
      <c r="C1454">
        <v>1</v>
      </c>
      <c r="D1454">
        <v>0</v>
      </c>
      <c r="E1454">
        <v>0</v>
      </c>
      <c r="F1454">
        <v>0</v>
      </c>
      <c r="G1454">
        <v>0</v>
      </c>
      <c r="H1454">
        <v>1</v>
      </c>
      <c r="I1454">
        <v>1</v>
      </c>
      <c r="J1454">
        <v>39487.798613856903</v>
      </c>
      <c r="K1454">
        <v>33333.349771654997</v>
      </c>
      <c r="L1454">
        <v>32.487000000000002</v>
      </c>
      <c r="M1454">
        <v>76.813000000000002</v>
      </c>
      <c r="N1454">
        <v>9.3239999999999998</v>
      </c>
    </row>
    <row r="1455" spans="1:14" x14ac:dyDescent="0.45">
      <c r="A1455">
        <v>1987</v>
      </c>
      <c r="B1455" t="s">
        <v>199</v>
      </c>
      <c r="C1455">
        <v>1</v>
      </c>
      <c r="D1455">
        <v>0</v>
      </c>
      <c r="E1455">
        <v>0</v>
      </c>
      <c r="F1455">
        <v>0</v>
      </c>
      <c r="G1455">
        <v>0</v>
      </c>
      <c r="H1455">
        <v>1</v>
      </c>
      <c r="I1455">
        <v>1</v>
      </c>
      <c r="J1455">
        <v>56483.840202350402</v>
      </c>
      <c r="K1455">
        <v>41735.209537773197</v>
      </c>
      <c r="L1455">
        <v>28.43</v>
      </c>
      <c r="M1455">
        <v>76.102000000000004</v>
      </c>
      <c r="N1455">
        <v>10.246</v>
      </c>
    </row>
    <row r="1456" spans="1:14" x14ac:dyDescent="0.45">
      <c r="A1456">
        <v>1987</v>
      </c>
      <c r="B1456" t="s">
        <v>200</v>
      </c>
      <c r="C1456">
        <v>0</v>
      </c>
      <c r="D1456">
        <v>0</v>
      </c>
      <c r="E1456">
        <v>0</v>
      </c>
      <c r="F1456">
        <v>0</v>
      </c>
      <c r="G1456">
        <v>0</v>
      </c>
      <c r="H1456">
        <v>0</v>
      </c>
      <c r="I1456">
        <v>0</v>
      </c>
      <c r="J1456">
        <v>1663.64121179024</v>
      </c>
      <c r="K1456">
        <v>1472.8330816477401</v>
      </c>
      <c r="L1456">
        <v>92.055999999999997</v>
      </c>
      <c r="M1456">
        <v>52.381999999999998</v>
      </c>
      <c r="N1456">
        <v>159.70400000000001</v>
      </c>
    </row>
    <row r="1457" spans="1:14" x14ac:dyDescent="0.45">
      <c r="A1457">
        <v>1987</v>
      </c>
      <c r="B1457" t="s">
        <v>201</v>
      </c>
      <c r="C1457">
        <v>0</v>
      </c>
      <c r="D1457">
        <v>0</v>
      </c>
      <c r="E1457">
        <v>0</v>
      </c>
      <c r="F1457">
        <v>0</v>
      </c>
      <c r="G1457">
        <v>0</v>
      </c>
      <c r="H1457">
        <v>1</v>
      </c>
      <c r="I1457">
        <v>1</v>
      </c>
      <c r="J1457">
        <v>35794.859966074502</v>
      </c>
      <c r="K1457">
        <v>32384.342510701299</v>
      </c>
      <c r="L1457">
        <v>0</v>
      </c>
      <c r="M1457">
        <v>58.625</v>
      </c>
      <c r="N1457">
        <v>63.844999999999999</v>
      </c>
    </row>
    <row r="1458" spans="1:14" x14ac:dyDescent="0.45">
      <c r="A1458">
        <v>1987</v>
      </c>
      <c r="B1458" t="s">
        <v>202</v>
      </c>
      <c r="C1458">
        <v>0</v>
      </c>
      <c r="D1458">
        <v>0</v>
      </c>
      <c r="E1458">
        <v>0</v>
      </c>
      <c r="F1458">
        <v>0</v>
      </c>
      <c r="G1458">
        <v>0</v>
      </c>
      <c r="H1458">
        <v>1</v>
      </c>
      <c r="I1458">
        <v>1</v>
      </c>
      <c r="J1458">
        <v>30156.750452521599</v>
      </c>
      <c r="K1458">
        <v>27429.132688795198</v>
      </c>
      <c r="L1458">
        <v>15.975</v>
      </c>
      <c r="M1458">
        <v>74.206999999999994</v>
      </c>
      <c r="N1458">
        <v>12.398999999999999</v>
      </c>
    </row>
    <row r="1459" spans="1:14" x14ac:dyDescent="0.45">
      <c r="A1459">
        <v>1987</v>
      </c>
      <c r="B1459" t="s">
        <v>203</v>
      </c>
      <c r="C1459">
        <v>0</v>
      </c>
      <c r="D1459">
        <v>0</v>
      </c>
      <c r="E1459">
        <v>0</v>
      </c>
      <c r="F1459">
        <v>0</v>
      </c>
      <c r="G1459">
        <v>1</v>
      </c>
      <c r="H1459">
        <v>0</v>
      </c>
      <c r="I1459">
        <v>0</v>
      </c>
      <c r="J1459">
        <v>36508.792573223101</v>
      </c>
      <c r="K1459">
        <v>31723.241448990899</v>
      </c>
      <c r="L1459">
        <v>39.216999999999999</v>
      </c>
      <c r="M1459">
        <v>66.978999999999999</v>
      </c>
      <c r="N1459">
        <v>53.37</v>
      </c>
    </row>
    <row r="1460" spans="1:14" x14ac:dyDescent="0.45">
      <c r="A1460">
        <v>1987</v>
      </c>
      <c r="B1460" t="s">
        <v>204</v>
      </c>
      <c r="C1460">
        <v>0</v>
      </c>
      <c r="D1460">
        <v>0</v>
      </c>
      <c r="E1460">
        <v>0</v>
      </c>
      <c r="F1460">
        <v>0</v>
      </c>
      <c r="G1460">
        <v>0</v>
      </c>
      <c r="H1460">
        <v>0</v>
      </c>
      <c r="I1460">
        <v>0</v>
      </c>
      <c r="J1460">
        <v>2970.53152632106</v>
      </c>
      <c r="K1460">
        <v>2827.6453362779098</v>
      </c>
      <c r="L1460">
        <v>70.167000000000002</v>
      </c>
      <c r="M1460">
        <v>59.222000000000001</v>
      </c>
      <c r="N1460">
        <v>147.755</v>
      </c>
    </row>
    <row r="1461" spans="1:14" x14ac:dyDescent="0.45">
      <c r="A1461">
        <v>1987</v>
      </c>
      <c r="B1461" t="s">
        <v>205</v>
      </c>
      <c r="C1461">
        <v>0</v>
      </c>
      <c r="D1461">
        <v>1</v>
      </c>
      <c r="E1461">
        <v>0</v>
      </c>
      <c r="F1461">
        <v>0</v>
      </c>
      <c r="G1461">
        <v>1</v>
      </c>
      <c r="H1461">
        <v>0</v>
      </c>
      <c r="I1461">
        <v>0</v>
      </c>
      <c r="J1461">
        <v>13740.612263022</v>
      </c>
      <c r="K1461">
        <v>14408.104160012301</v>
      </c>
      <c r="L1461">
        <v>47.18</v>
      </c>
      <c r="M1461">
        <v>70.811000000000007</v>
      </c>
      <c r="N1461">
        <v>33.594999999999999</v>
      </c>
    </row>
    <row r="1462" spans="1:14" x14ac:dyDescent="0.45">
      <c r="A1462">
        <v>1987</v>
      </c>
      <c r="B1462" t="s">
        <v>206</v>
      </c>
      <c r="C1462">
        <v>0</v>
      </c>
      <c r="D1462">
        <v>1</v>
      </c>
      <c r="E1462">
        <v>0</v>
      </c>
      <c r="F1462">
        <v>1</v>
      </c>
      <c r="G1462">
        <v>0</v>
      </c>
      <c r="H1462">
        <v>0</v>
      </c>
      <c r="I1462">
        <v>0</v>
      </c>
      <c r="J1462">
        <v>7760.0819019873497</v>
      </c>
      <c r="K1462">
        <v>6484.2020110208096</v>
      </c>
      <c r="L1462">
        <v>32.313000000000002</v>
      </c>
      <c r="M1462">
        <v>62.543999999999997</v>
      </c>
      <c r="N1462">
        <v>94.411000000000001</v>
      </c>
    </row>
    <row r="1463" spans="1:14" x14ac:dyDescent="0.45">
      <c r="A1463">
        <v>1987</v>
      </c>
      <c r="B1463" t="s">
        <v>207</v>
      </c>
      <c r="C1463">
        <v>0</v>
      </c>
      <c r="D1463">
        <v>0</v>
      </c>
      <c r="E1463">
        <v>0</v>
      </c>
      <c r="F1463">
        <v>1</v>
      </c>
      <c r="G1463">
        <v>0</v>
      </c>
      <c r="H1463">
        <v>0</v>
      </c>
      <c r="I1463">
        <v>0</v>
      </c>
      <c r="J1463">
        <v>4120.4324711853396</v>
      </c>
      <c r="K1463">
        <v>3731.46601024147</v>
      </c>
      <c r="L1463">
        <v>55.805</v>
      </c>
      <c r="M1463">
        <v>63.298999999999999</v>
      </c>
      <c r="N1463">
        <v>66.611000000000004</v>
      </c>
    </row>
    <row r="1464" spans="1:14" x14ac:dyDescent="0.45">
      <c r="A1464">
        <v>1987</v>
      </c>
      <c r="B1464" t="s">
        <v>208</v>
      </c>
      <c r="C1464">
        <v>0</v>
      </c>
      <c r="D1464">
        <v>0</v>
      </c>
      <c r="E1464">
        <v>0</v>
      </c>
      <c r="F1464">
        <v>0</v>
      </c>
      <c r="G1464">
        <v>1</v>
      </c>
      <c r="H1464">
        <v>0</v>
      </c>
      <c r="I1464">
        <v>0</v>
      </c>
      <c r="J1464">
        <v>16221.9699997113</v>
      </c>
      <c r="K1464">
        <v>14676.348312770901</v>
      </c>
      <c r="L1464">
        <v>31.459</v>
      </c>
      <c r="M1464">
        <v>62.771000000000001</v>
      </c>
      <c r="N1464">
        <v>37.494999999999997</v>
      </c>
    </row>
    <row r="1465" spans="1:14" x14ac:dyDescent="0.45">
      <c r="A1465">
        <v>1987</v>
      </c>
      <c r="B1465" t="s">
        <v>209</v>
      </c>
      <c r="C1465">
        <v>0</v>
      </c>
      <c r="D1465">
        <v>0</v>
      </c>
      <c r="E1465">
        <v>0</v>
      </c>
      <c r="F1465">
        <v>1</v>
      </c>
      <c r="G1465">
        <v>0</v>
      </c>
      <c r="H1465">
        <v>0</v>
      </c>
      <c r="I1465">
        <v>0</v>
      </c>
      <c r="J1465">
        <v>3240.88836290984</v>
      </c>
      <c r="K1465">
        <v>2931.7119750392599</v>
      </c>
      <c r="L1465">
        <v>85.61</v>
      </c>
      <c r="M1465">
        <v>59.231999999999999</v>
      </c>
      <c r="N1465">
        <v>90.025999999999996</v>
      </c>
    </row>
    <row r="1466" spans="1:14" x14ac:dyDescent="0.45">
      <c r="A1466">
        <v>1987</v>
      </c>
      <c r="B1466" t="s">
        <v>210</v>
      </c>
      <c r="C1466">
        <v>1</v>
      </c>
      <c r="D1466">
        <v>0</v>
      </c>
      <c r="E1466">
        <v>0</v>
      </c>
      <c r="F1466">
        <v>1</v>
      </c>
      <c r="G1466">
        <v>0</v>
      </c>
      <c r="H1466">
        <v>0</v>
      </c>
      <c r="I1466">
        <v>0</v>
      </c>
      <c r="J1466">
        <v>11846.4871882179</v>
      </c>
      <c r="K1466">
        <v>10225.544945179699</v>
      </c>
      <c r="L1466">
        <v>39.323999999999998</v>
      </c>
      <c r="M1466">
        <v>70.769000000000005</v>
      </c>
      <c r="N1466">
        <v>22.9</v>
      </c>
    </row>
    <row r="1467" spans="1:14" x14ac:dyDescent="0.45">
      <c r="A1467">
        <v>1987</v>
      </c>
      <c r="B1467" t="s">
        <v>211</v>
      </c>
      <c r="C1467">
        <v>0</v>
      </c>
      <c r="D1467">
        <v>1</v>
      </c>
      <c r="E1467">
        <v>0</v>
      </c>
      <c r="F1467">
        <v>0</v>
      </c>
      <c r="G1467">
        <v>1</v>
      </c>
      <c r="H1467">
        <v>0</v>
      </c>
      <c r="I1467">
        <v>0</v>
      </c>
      <c r="J1467">
        <v>23542.9863744209</v>
      </c>
      <c r="K1467">
        <v>18086.6810783199</v>
      </c>
      <c r="L1467">
        <v>11.34</v>
      </c>
      <c r="M1467">
        <v>73.402000000000001</v>
      </c>
      <c r="N1467">
        <v>22.768999999999998</v>
      </c>
    </row>
    <row r="1468" spans="1:14" x14ac:dyDescent="0.45">
      <c r="A1468">
        <v>1987</v>
      </c>
      <c r="B1468" t="s">
        <v>212</v>
      </c>
      <c r="C1468">
        <v>0</v>
      </c>
      <c r="D1468">
        <v>0</v>
      </c>
      <c r="E1468">
        <v>0</v>
      </c>
      <c r="F1468">
        <v>1</v>
      </c>
      <c r="G1468">
        <v>0</v>
      </c>
      <c r="H1468">
        <v>0</v>
      </c>
      <c r="I1468">
        <v>0</v>
      </c>
      <c r="L1468">
        <v>42.06</v>
      </c>
      <c r="M1468">
        <v>69.766999999999996</v>
      </c>
      <c r="N1468">
        <v>37.856999999999999</v>
      </c>
    </row>
    <row r="1469" spans="1:14" x14ac:dyDescent="0.45">
      <c r="A1469">
        <v>1987</v>
      </c>
      <c r="B1469" t="s">
        <v>213</v>
      </c>
      <c r="C1469">
        <v>1</v>
      </c>
      <c r="D1469">
        <v>0</v>
      </c>
      <c r="E1469">
        <v>0</v>
      </c>
      <c r="F1469">
        <v>0</v>
      </c>
      <c r="G1469">
        <v>1</v>
      </c>
      <c r="H1469">
        <v>0</v>
      </c>
      <c r="I1469">
        <v>0</v>
      </c>
      <c r="J1469">
        <v>22424.630112613198</v>
      </c>
      <c r="K1469">
        <v>19383.4711553874</v>
      </c>
      <c r="L1469">
        <v>53.658000000000001</v>
      </c>
      <c r="M1469">
        <v>74.063000000000002</v>
      </c>
      <c r="N1469">
        <v>17.571000000000002</v>
      </c>
    </row>
    <row r="1470" spans="1:14" x14ac:dyDescent="0.45">
      <c r="A1470">
        <v>1987</v>
      </c>
      <c r="B1470" t="s">
        <v>214</v>
      </c>
      <c r="C1470">
        <v>0</v>
      </c>
      <c r="D1470">
        <v>1</v>
      </c>
      <c r="E1470">
        <v>0</v>
      </c>
      <c r="F1470">
        <v>1</v>
      </c>
      <c r="G1470">
        <v>0</v>
      </c>
      <c r="H1470">
        <v>0</v>
      </c>
      <c r="I1470">
        <v>0</v>
      </c>
      <c r="J1470">
        <v>8886.3090380119393</v>
      </c>
      <c r="K1470">
        <v>8107.3266115096803</v>
      </c>
      <c r="L1470">
        <v>53.536999999999999</v>
      </c>
      <c r="M1470">
        <v>66.453999999999994</v>
      </c>
      <c r="N1470">
        <v>50.84</v>
      </c>
    </row>
    <row r="1471" spans="1:14" x14ac:dyDescent="0.45">
      <c r="A1471">
        <v>1987</v>
      </c>
      <c r="B1471" t="s">
        <v>215</v>
      </c>
      <c r="C1471">
        <v>0</v>
      </c>
      <c r="D1471">
        <v>0</v>
      </c>
      <c r="E1471">
        <v>0</v>
      </c>
      <c r="F1471">
        <v>1</v>
      </c>
      <c r="G1471">
        <v>0</v>
      </c>
      <c r="H1471">
        <v>0</v>
      </c>
      <c r="I1471">
        <v>0</v>
      </c>
      <c r="L1471">
        <v>33.847999999999999</v>
      </c>
      <c r="M1471">
        <v>66.293000000000006</v>
      </c>
      <c r="N1471">
        <v>52.53</v>
      </c>
    </row>
    <row r="1472" spans="1:14" x14ac:dyDescent="0.45">
      <c r="A1472">
        <v>1987</v>
      </c>
      <c r="B1472" t="s">
        <v>216</v>
      </c>
      <c r="C1472">
        <v>0</v>
      </c>
      <c r="D1472">
        <v>0</v>
      </c>
      <c r="E1472">
        <v>0</v>
      </c>
      <c r="F1472">
        <v>0</v>
      </c>
      <c r="G1472">
        <v>0</v>
      </c>
      <c r="H1472">
        <v>1</v>
      </c>
      <c r="I1472">
        <v>1</v>
      </c>
      <c r="L1472">
        <v>41.581000000000003</v>
      </c>
      <c r="M1472">
        <v>72.447999999999993</v>
      </c>
      <c r="N1472">
        <v>24.497</v>
      </c>
    </row>
    <row r="1473" spans="1:14" x14ac:dyDescent="0.45">
      <c r="A1473">
        <v>1987</v>
      </c>
      <c r="B1473" t="s">
        <v>217</v>
      </c>
      <c r="C1473">
        <v>0</v>
      </c>
      <c r="D1473">
        <v>0</v>
      </c>
      <c r="E1473">
        <v>0</v>
      </c>
      <c r="F1473">
        <v>0</v>
      </c>
      <c r="G1473">
        <v>0</v>
      </c>
      <c r="H1473">
        <v>1</v>
      </c>
      <c r="I1473">
        <v>1</v>
      </c>
      <c r="J1473">
        <v>70794.061301241396</v>
      </c>
      <c r="K1473">
        <v>61130.520572218797</v>
      </c>
      <c r="L1473">
        <v>8.9440000000000008</v>
      </c>
      <c r="M1473">
        <v>72.52</v>
      </c>
      <c r="N1473">
        <v>25.082999999999998</v>
      </c>
    </row>
    <row r="1474" spans="1:14" x14ac:dyDescent="0.45">
      <c r="A1474">
        <v>1987</v>
      </c>
      <c r="B1474" t="s">
        <v>218</v>
      </c>
      <c r="C1474">
        <v>1</v>
      </c>
      <c r="D1474">
        <v>0</v>
      </c>
      <c r="E1474">
        <v>0</v>
      </c>
      <c r="F1474">
        <v>0</v>
      </c>
      <c r="G1474">
        <v>1</v>
      </c>
      <c r="H1474">
        <v>0</v>
      </c>
      <c r="I1474">
        <v>0</v>
      </c>
      <c r="J1474">
        <v>17513.981719323201</v>
      </c>
      <c r="K1474">
        <v>14235.9959855871</v>
      </c>
      <c r="L1474">
        <v>48.927</v>
      </c>
      <c r="M1474">
        <v>69.052999999999997</v>
      </c>
      <c r="N1474">
        <v>36.817</v>
      </c>
    </row>
    <row r="1475" spans="1:14" x14ac:dyDescent="0.45">
      <c r="A1475">
        <v>1987</v>
      </c>
      <c r="B1475" t="s">
        <v>219</v>
      </c>
      <c r="C1475">
        <v>1</v>
      </c>
      <c r="D1475">
        <v>0</v>
      </c>
      <c r="E1475">
        <v>0</v>
      </c>
      <c r="F1475">
        <v>0</v>
      </c>
      <c r="G1475">
        <v>1</v>
      </c>
      <c r="H1475">
        <v>0</v>
      </c>
      <c r="I1475">
        <v>0</v>
      </c>
      <c r="L1475">
        <v>27.234999999999999</v>
      </c>
      <c r="M1475">
        <v>70.061999999999998</v>
      </c>
      <c r="N1475">
        <v>23.504999999999999</v>
      </c>
    </row>
    <row r="1476" spans="1:14" x14ac:dyDescent="0.45">
      <c r="A1476">
        <v>1987</v>
      </c>
      <c r="B1476" t="s">
        <v>220</v>
      </c>
      <c r="C1476">
        <v>0</v>
      </c>
      <c r="D1476">
        <v>0</v>
      </c>
      <c r="E1476">
        <v>1</v>
      </c>
      <c r="F1476">
        <v>0</v>
      </c>
      <c r="G1476">
        <v>0</v>
      </c>
      <c r="H1476">
        <v>0</v>
      </c>
      <c r="I1476">
        <v>0</v>
      </c>
      <c r="J1476">
        <v>1301.0075510715601</v>
      </c>
      <c r="K1476">
        <v>1088.7531872043701</v>
      </c>
      <c r="L1476">
        <v>94.802000000000007</v>
      </c>
      <c r="M1476">
        <v>51.465000000000003</v>
      </c>
      <c r="N1476">
        <v>154.595</v>
      </c>
    </row>
    <row r="1477" spans="1:14" x14ac:dyDescent="0.45">
      <c r="A1477">
        <v>1987</v>
      </c>
      <c r="B1477" t="s">
        <v>221</v>
      </c>
      <c r="C1477">
        <v>0</v>
      </c>
      <c r="D1477">
        <v>0</v>
      </c>
      <c r="E1477">
        <v>0</v>
      </c>
      <c r="F1477">
        <v>0</v>
      </c>
      <c r="G1477">
        <v>0</v>
      </c>
      <c r="H1477">
        <v>1</v>
      </c>
      <c r="I1477">
        <v>1</v>
      </c>
      <c r="J1477">
        <v>72831.460788121098</v>
      </c>
      <c r="K1477">
        <v>66770.283923647905</v>
      </c>
      <c r="L1477">
        <v>25.411000000000001</v>
      </c>
      <c r="M1477">
        <v>67.242000000000004</v>
      </c>
      <c r="N1477">
        <v>55.893999999999998</v>
      </c>
    </row>
    <row r="1478" spans="1:14" x14ac:dyDescent="0.45">
      <c r="A1478">
        <v>1987</v>
      </c>
      <c r="B1478" t="s">
        <v>222</v>
      </c>
      <c r="C1478">
        <v>0</v>
      </c>
      <c r="D1478">
        <v>0</v>
      </c>
      <c r="E1478">
        <v>1</v>
      </c>
      <c r="F1478">
        <v>0</v>
      </c>
      <c r="G1478">
        <v>0</v>
      </c>
      <c r="H1478">
        <v>0</v>
      </c>
      <c r="I1478">
        <v>0</v>
      </c>
      <c r="J1478">
        <v>2066.7786670995001</v>
      </c>
      <c r="K1478">
        <v>2164.1898193479201</v>
      </c>
      <c r="L1478">
        <v>74.893000000000001</v>
      </c>
      <c r="M1478">
        <v>54.747</v>
      </c>
      <c r="N1478">
        <v>137.589</v>
      </c>
    </row>
    <row r="1479" spans="1:14" x14ac:dyDescent="0.45">
      <c r="A1479">
        <v>1987</v>
      </c>
      <c r="B1479" t="s">
        <v>223</v>
      </c>
      <c r="C1479">
        <v>0</v>
      </c>
      <c r="D1479">
        <v>0</v>
      </c>
      <c r="E1479">
        <v>1</v>
      </c>
      <c r="F1479">
        <v>1</v>
      </c>
      <c r="G1479">
        <v>0</v>
      </c>
      <c r="H1479">
        <v>0</v>
      </c>
      <c r="I1479">
        <v>0</v>
      </c>
      <c r="J1479">
        <v>2907.6491699589301</v>
      </c>
      <c r="K1479">
        <v>2429.16354080068</v>
      </c>
      <c r="L1479">
        <v>61.728999999999999</v>
      </c>
      <c r="M1479">
        <v>54.631999999999998</v>
      </c>
      <c r="N1479">
        <v>157.215</v>
      </c>
    </row>
    <row r="1480" spans="1:14" x14ac:dyDescent="0.45">
      <c r="A1480">
        <v>1987</v>
      </c>
      <c r="B1480" t="s">
        <v>224</v>
      </c>
      <c r="C1480">
        <v>0</v>
      </c>
      <c r="D1480">
        <v>0</v>
      </c>
      <c r="E1480">
        <v>0</v>
      </c>
      <c r="F1480">
        <v>0</v>
      </c>
      <c r="G1480">
        <v>0</v>
      </c>
      <c r="H1480">
        <v>1</v>
      </c>
      <c r="I1480">
        <v>1</v>
      </c>
      <c r="J1480">
        <v>35979.588518898403</v>
      </c>
      <c r="K1480">
        <v>29576.564274811401</v>
      </c>
      <c r="L1480">
        <v>0</v>
      </c>
      <c r="M1480">
        <v>74.034999999999997</v>
      </c>
      <c r="N1480">
        <v>9.5969999999999995</v>
      </c>
    </row>
    <row r="1481" spans="1:14" x14ac:dyDescent="0.45">
      <c r="A1481">
        <v>1987</v>
      </c>
      <c r="B1481" t="s">
        <v>225</v>
      </c>
      <c r="C1481">
        <v>0</v>
      </c>
      <c r="D1481">
        <v>0</v>
      </c>
      <c r="E1481">
        <v>0</v>
      </c>
      <c r="F1481">
        <v>0</v>
      </c>
      <c r="G1481">
        <v>0</v>
      </c>
      <c r="H1481">
        <v>0</v>
      </c>
      <c r="I1481">
        <v>0</v>
      </c>
      <c r="J1481">
        <v>2262.5987727664601</v>
      </c>
      <c r="K1481">
        <v>2046.6856690161701</v>
      </c>
      <c r="L1481">
        <v>86.888999999999996</v>
      </c>
      <c r="M1481">
        <v>65.683000000000007</v>
      </c>
      <c r="N1481">
        <v>41.387</v>
      </c>
    </row>
    <row r="1482" spans="1:14" x14ac:dyDescent="0.45">
      <c r="A1482">
        <v>1987</v>
      </c>
      <c r="B1482" t="s">
        <v>226</v>
      </c>
      <c r="C1482">
        <v>0</v>
      </c>
      <c r="D1482">
        <v>0</v>
      </c>
      <c r="E1482">
        <v>1</v>
      </c>
      <c r="F1482">
        <v>0</v>
      </c>
      <c r="G1482">
        <v>0</v>
      </c>
      <c r="H1482">
        <v>0</v>
      </c>
      <c r="I1482">
        <v>0</v>
      </c>
      <c r="J1482">
        <v>2916.90473451346</v>
      </c>
      <c r="K1482">
        <v>2647.5886138638798</v>
      </c>
      <c r="L1482">
        <v>67.444999999999993</v>
      </c>
      <c r="M1482">
        <v>43.747999999999998</v>
      </c>
      <c r="N1482">
        <v>267.15199999999999</v>
      </c>
    </row>
    <row r="1483" spans="1:14" x14ac:dyDescent="0.45">
      <c r="A1483">
        <v>1987</v>
      </c>
      <c r="B1483" t="s">
        <v>227</v>
      </c>
      <c r="C1483">
        <v>0</v>
      </c>
      <c r="D1483">
        <v>1</v>
      </c>
      <c r="E1483">
        <v>0</v>
      </c>
      <c r="F1483">
        <v>1</v>
      </c>
      <c r="G1483">
        <v>0</v>
      </c>
      <c r="H1483">
        <v>0</v>
      </c>
      <c r="I1483">
        <v>0</v>
      </c>
      <c r="J1483">
        <v>6015.2842863272699</v>
      </c>
      <c r="K1483">
        <v>5358.1168563843703</v>
      </c>
      <c r="L1483">
        <v>52.286000000000001</v>
      </c>
      <c r="M1483">
        <v>59.402000000000001</v>
      </c>
      <c r="N1483">
        <v>91.290999999999997</v>
      </c>
    </row>
    <row r="1484" spans="1:14" x14ac:dyDescent="0.45">
      <c r="A1484">
        <v>1987</v>
      </c>
      <c r="B1484" t="s">
        <v>228</v>
      </c>
      <c r="C1484">
        <v>1</v>
      </c>
      <c r="D1484">
        <v>0</v>
      </c>
      <c r="E1484">
        <v>0</v>
      </c>
      <c r="F1484">
        <v>0</v>
      </c>
      <c r="G1484">
        <v>0</v>
      </c>
      <c r="H1484">
        <v>1</v>
      </c>
      <c r="I1484">
        <v>1</v>
      </c>
      <c r="L1484">
        <v>9.5999999999999908</v>
      </c>
      <c r="M1484">
        <v>77.453000000000003</v>
      </c>
      <c r="N1484">
        <v>12.032999999999999</v>
      </c>
    </row>
    <row r="1485" spans="1:14" x14ac:dyDescent="0.45">
      <c r="A1485">
        <v>1987</v>
      </c>
      <c r="B1485" t="s">
        <v>229</v>
      </c>
      <c r="C1485">
        <v>0</v>
      </c>
      <c r="D1485">
        <v>0</v>
      </c>
      <c r="E1485">
        <v>1</v>
      </c>
      <c r="F1485">
        <v>0</v>
      </c>
      <c r="G1485">
        <v>0</v>
      </c>
      <c r="H1485">
        <v>0</v>
      </c>
      <c r="I1485">
        <v>0</v>
      </c>
      <c r="J1485">
        <v>697.63132138638696</v>
      </c>
      <c r="K1485">
        <v>647.07696767282198</v>
      </c>
      <c r="L1485">
        <v>71.373000000000005</v>
      </c>
      <c r="M1485">
        <v>49.002000000000002</v>
      </c>
      <c r="N1485">
        <v>187.94499999999999</v>
      </c>
    </row>
    <row r="1486" spans="1:14" x14ac:dyDescent="0.45">
      <c r="A1486">
        <v>1987</v>
      </c>
      <c r="B1486" t="s">
        <v>230</v>
      </c>
      <c r="C1486">
        <v>1</v>
      </c>
      <c r="D1486">
        <v>0</v>
      </c>
      <c r="E1486">
        <v>0</v>
      </c>
      <c r="F1486">
        <v>0</v>
      </c>
      <c r="G1486">
        <v>1</v>
      </c>
      <c r="H1486">
        <v>0</v>
      </c>
      <c r="I1486">
        <v>0</v>
      </c>
      <c r="L1486">
        <v>50.838999999999999</v>
      </c>
      <c r="M1486">
        <v>71.850999999999999</v>
      </c>
      <c r="N1486">
        <v>20.780999999999999</v>
      </c>
    </row>
    <row r="1487" spans="1:14" x14ac:dyDescent="0.45">
      <c r="A1487">
        <v>1987</v>
      </c>
      <c r="B1487" t="s">
        <v>231</v>
      </c>
      <c r="C1487">
        <v>0</v>
      </c>
      <c r="D1487">
        <v>0</v>
      </c>
      <c r="E1487">
        <v>1</v>
      </c>
      <c r="F1487">
        <v>1</v>
      </c>
      <c r="G1487">
        <v>0</v>
      </c>
      <c r="H1487">
        <v>0</v>
      </c>
      <c r="I1487">
        <v>0</v>
      </c>
      <c r="L1487">
        <v>88.888999999999996</v>
      </c>
      <c r="M1487">
        <v>20.721</v>
      </c>
      <c r="N1487">
        <v>337.702</v>
      </c>
    </row>
    <row r="1488" spans="1:14" x14ac:dyDescent="0.45">
      <c r="A1488">
        <v>1987</v>
      </c>
      <c r="B1488" t="s">
        <v>232</v>
      </c>
      <c r="C1488">
        <v>0</v>
      </c>
      <c r="D1488">
        <v>0</v>
      </c>
      <c r="E1488">
        <v>1</v>
      </c>
      <c r="F1488">
        <v>0</v>
      </c>
      <c r="G1488">
        <v>0</v>
      </c>
      <c r="H1488">
        <v>0</v>
      </c>
      <c r="I1488">
        <v>0</v>
      </c>
      <c r="J1488">
        <v>4139.7573986903399</v>
      </c>
      <c r="K1488">
        <v>2576.5199349016698</v>
      </c>
      <c r="L1488">
        <v>59.74</v>
      </c>
      <c r="M1488">
        <v>60.662999999999997</v>
      </c>
      <c r="N1488">
        <v>116.374</v>
      </c>
    </row>
    <row r="1489" spans="1:14" x14ac:dyDescent="0.45">
      <c r="A1489">
        <v>1987</v>
      </c>
      <c r="B1489" t="s">
        <v>233</v>
      </c>
      <c r="C1489">
        <v>0</v>
      </c>
      <c r="D1489">
        <v>1</v>
      </c>
      <c r="E1489">
        <v>0</v>
      </c>
      <c r="F1489">
        <v>0</v>
      </c>
      <c r="G1489">
        <v>1</v>
      </c>
      <c r="H1489">
        <v>0</v>
      </c>
      <c r="I1489">
        <v>0</v>
      </c>
      <c r="J1489">
        <v>16931.902597333799</v>
      </c>
      <c r="K1489">
        <v>13477.449503195499</v>
      </c>
      <c r="L1489">
        <v>34.517000000000003</v>
      </c>
      <c r="M1489">
        <v>61.314</v>
      </c>
      <c r="N1489">
        <v>49.783999999999999</v>
      </c>
    </row>
    <row r="1490" spans="1:14" x14ac:dyDescent="0.45">
      <c r="A1490">
        <v>1987</v>
      </c>
      <c r="B1490" t="s">
        <v>234</v>
      </c>
      <c r="C1490">
        <v>1</v>
      </c>
      <c r="D1490">
        <v>0</v>
      </c>
      <c r="E1490">
        <v>0</v>
      </c>
      <c r="F1490">
        <v>0</v>
      </c>
      <c r="G1490">
        <v>1</v>
      </c>
      <c r="H1490">
        <v>0</v>
      </c>
      <c r="I1490">
        <v>0</v>
      </c>
      <c r="L1490">
        <v>44.895000000000003</v>
      </c>
      <c r="M1490">
        <v>71.067999999999998</v>
      </c>
      <c r="N1490">
        <v>16.420999999999999</v>
      </c>
    </row>
    <row r="1491" spans="1:14" x14ac:dyDescent="0.45">
      <c r="A1491">
        <v>1987</v>
      </c>
      <c r="B1491" t="s">
        <v>235</v>
      </c>
      <c r="C1491">
        <v>1</v>
      </c>
      <c r="D1491">
        <v>0</v>
      </c>
      <c r="E1491">
        <v>0</v>
      </c>
      <c r="F1491">
        <v>0</v>
      </c>
      <c r="G1491">
        <v>1</v>
      </c>
      <c r="H1491">
        <v>0</v>
      </c>
      <c r="I1491">
        <v>0</v>
      </c>
      <c r="L1491">
        <v>50.093000000000004</v>
      </c>
      <c r="M1491">
        <v>72.444000000000003</v>
      </c>
      <c r="N1491">
        <v>12.978</v>
      </c>
    </row>
    <row r="1492" spans="1:14" x14ac:dyDescent="0.45">
      <c r="A1492">
        <v>1987</v>
      </c>
      <c r="B1492" t="s">
        <v>236</v>
      </c>
      <c r="C1492">
        <v>1</v>
      </c>
      <c r="D1492">
        <v>0</v>
      </c>
      <c r="E1492">
        <v>0</v>
      </c>
      <c r="F1492">
        <v>0</v>
      </c>
      <c r="G1492">
        <v>0</v>
      </c>
      <c r="H1492">
        <v>1</v>
      </c>
      <c r="I1492">
        <v>1</v>
      </c>
      <c r="J1492">
        <v>37543.793223624103</v>
      </c>
      <c r="K1492">
        <v>32070.600924383001</v>
      </c>
      <c r="L1492">
        <v>16.899999999999999</v>
      </c>
      <c r="M1492">
        <v>77.108999999999995</v>
      </c>
      <c r="N1492">
        <v>7.4029999999999996</v>
      </c>
    </row>
    <row r="1493" spans="1:14" x14ac:dyDescent="0.45">
      <c r="A1493">
        <v>1987</v>
      </c>
      <c r="B1493" t="s">
        <v>237</v>
      </c>
      <c r="C1493">
        <v>0</v>
      </c>
      <c r="D1493">
        <v>0</v>
      </c>
      <c r="E1493">
        <v>1</v>
      </c>
      <c r="F1493">
        <v>1</v>
      </c>
      <c r="G1493">
        <v>0</v>
      </c>
      <c r="H1493">
        <v>0</v>
      </c>
      <c r="I1493">
        <v>0</v>
      </c>
      <c r="J1493">
        <v>4566.1554418579999</v>
      </c>
      <c r="K1493">
        <v>4043.3314802809</v>
      </c>
      <c r="L1493">
        <v>80.977999999999994</v>
      </c>
      <c r="M1493">
        <v>61.899000000000001</v>
      </c>
      <c r="N1493">
        <v>78.394999999999996</v>
      </c>
    </row>
    <row r="1494" spans="1:14" x14ac:dyDescent="0.45">
      <c r="A1494">
        <v>1987</v>
      </c>
      <c r="B1494" t="s">
        <v>238</v>
      </c>
      <c r="C1494">
        <v>0</v>
      </c>
      <c r="D1494">
        <v>1</v>
      </c>
      <c r="E1494">
        <v>0</v>
      </c>
      <c r="F1494">
        <v>0</v>
      </c>
      <c r="G1494">
        <v>0</v>
      </c>
      <c r="H1494">
        <v>1</v>
      </c>
      <c r="I1494">
        <v>1</v>
      </c>
      <c r="L1494">
        <v>0</v>
      </c>
      <c r="M1494">
        <v>72.435000000000002</v>
      </c>
      <c r="N1494">
        <v>25.204999999999998</v>
      </c>
    </row>
    <row r="1495" spans="1:14" x14ac:dyDescent="0.45">
      <c r="A1495">
        <v>1987</v>
      </c>
      <c r="B1495" t="s">
        <v>239</v>
      </c>
      <c r="C1495">
        <v>0</v>
      </c>
      <c r="D1495">
        <v>0</v>
      </c>
      <c r="E1495">
        <v>1</v>
      </c>
      <c r="F1495">
        <v>0</v>
      </c>
      <c r="G1495">
        <v>1</v>
      </c>
      <c r="H1495">
        <v>0</v>
      </c>
      <c r="I1495">
        <v>0</v>
      </c>
      <c r="J1495">
        <v>13386.382114510599</v>
      </c>
      <c r="K1495">
        <v>12996.1674690536</v>
      </c>
      <c r="L1495">
        <v>50.738</v>
      </c>
      <c r="M1495">
        <v>69.887</v>
      </c>
      <c r="N1495">
        <v>18.582000000000001</v>
      </c>
    </row>
    <row r="1496" spans="1:14" x14ac:dyDescent="0.45">
      <c r="A1496">
        <v>1987</v>
      </c>
      <c r="B1496" t="s">
        <v>240</v>
      </c>
      <c r="C1496">
        <v>0</v>
      </c>
      <c r="D1496">
        <v>0</v>
      </c>
      <c r="E1496">
        <v>0</v>
      </c>
      <c r="F1496">
        <v>1</v>
      </c>
      <c r="G1496">
        <v>0</v>
      </c>
      <c r="H1496">
        <v>0</v>
      </c>
      <c r="I1496">
        <v>0</v>
      </c>
      <c r="J1496">
        <v>6226.0739423410596</v>
      </c>
      <c r="K1496">
        <v>4083.8526704635801</v>
      </c>
      <c r="L1496">
        <v>51.692999999999998</v>
      </c>
      <c r="M1496">
        <v>68.796999999999997</v>
      </c>
      <c r="N1496">
        <v>41.978999999999999</v>
      </c>
    </row>
    <row r="1497" spans="1:14" x14ac:dyDescent="0.45">
      <c r="A1497">
        <v>1987</v>
      </c>
      <c r="B1497" t="s">
        <v>241</v>
      </c>
      <c r="C1497">
        <v>0</v>
      </c>
      <c r="D1497">
        <v>1</v>
      </c>
      <c r="E1497">
        <v>0</v>
      </c>
      <c r="F1497">
        <v>0</v>
      </c>
      <c r="G1497">
        <v>0</v>
      </c>
      <c r="H1497">
        <v>1</v>
      </c>
      <c r="I1497">
        <v>1</v>
      </c>
      <c r="L1497">
        <v>30.803000000000001</v>
      </c>
      <c r="M1497">
        <v>69.3</v>
      </c>
      <c r="N1497">
        <v>22.494</v>
      </c>
    </row>
    <row r="1498" spans="1:14" x14ac:dyDescent="0.45">
      <c r="A1498">
        <v>1987</v>
      </c>
      <c r="B1498" t="s">
        <v>242</v>
      </c>
      <c r="C1498">
        <v>0</v>
      </c>
      <c r="D1498">
        <v>0</v>
      </c>
      <c r="E1498">
        <v>1</v>
      </c>
      <c r="F1498">
        <v>0</v>
      </c>
      <c r="G1498">
        <v>0</v>
      </c>
      <c r="H1498">
        <v>0</v>
      </c>
      <c r="I1498">
        <v>0</v>
      </c>
      <c r="J1498">
        <v>1598.27668638266</v>
      </c>
      <c r="K1498">
        <v>1342.6102400081199</v>
      </c>
      <c r="L1498">
        <v>79.813000000000002</v>
      </c>
      <c r="M1498">
        <v>43.070999999999998</v>
      </c>
      <c r="N1498">
        <v>221.44300000000001</v>
      </c>
    </row>
    <row r="1499" spans="1:14" x14ac:dyDescent="0.45">
      <c r="A1499">
        <v>1987</v>
      </c>
      <c r="B1499" t="s">
        <v>243</v>
      </c>
      <c r="C1499">
        <v>0</v>
      </c>
      <c r="D1499">
        <v>0</v>
      </c>
      <c r="E1499">
        <v>1</v>
      </c>
      <c r="F1499">
        <v>0</v>
      </c>
      <c r="G1499">
        <v>0</v>
      </c>
      <c r="H1499">
        <v>0</v>
      </c>
      <c r="I1499">
        <v>0</v>
      </c>
      <c r="J1499">
        <v>2138.93309654207</v>
      </c>
      <c r="K1499">
        <v>1777.5341331955101</v>
      </c>
      <c r="L1499">
        <v>72.638000000000005</v>
      </c>
      <c r="M1499">
        <v>54.820999999999998</v>
      </c>
      <c r="N1499">
        <v>155.089</v>
      </c>
    </row>
    <row r="1500" spans="1:14" x14ac:dyDescent="0.45">
      <c r="A1500">
        <v>1987</v>
      </c>
      <c r="B1500" t="s">
        <v>244</v>
      </c>
      <c r="C1500">
        <v>0</v>
      </c>
      <c r="D1500">
        <v>0</v>
      </c>
      <c r="E1500">
        <v>0</v>
      </c>
      <c r="F1500">
        <v>1</v>
      </c>
      <c r="G1500">
        <v>0</v>
      </c>
      <c r="H1500">
        <v>0</v>
      </c>
      <c r="I1500">
        <v>0</v>
      </c>
      <c r="J1500">
        <v>6588.9593323623303</v>
      </c>
      <c r="K1500">
        <v>5762.2233319724201</v>
      </c>
      <c r="L1500">
        <v>71.372</v>
      </c>
      <c r="M1500">
        <v>67.832999999999998</v>
      </c>
      <c r="N1500">
        <v>43.529000000000003</v>
      </c>
    </row>
    <row r="1501" spans="1:14" x14ac:dyDescent="0.45">
      <c r="A1501">
        <v>1987</v>
      </c>
      <c r="B1501" t="s">
        <v>245</v>
      </c>
      <c r="C1501">
        <v>1</v>
      </c>
      <c r="D1501">
        <v>0</v>
      </c>
      <c r="E1501">
        <v>0</v>
      </c>
      <c r="F1501">
        <v>1</v>
      </c>
      <c r="G1501">
        <v>0</v>
      </c>
      <c r="H1501">
        <v>0</v>
      </c>
      <c r="I1501">
        <v>0</v>
      </c>
      <c r="J1501">
        <v>4377.5616054907796</v>
      </c>
      <c r="K1501">
        <v>3986.7994553261001</v>
      </c>
      <c r="L1501">
        <v>67.182000000000002</v>
      </c>
      <c r="M1501">
        <v>61.582000000000001</v>
      </c>
      <c r="N1501">
        <v>111.492</v>
      </c>
    </row>
    <row r="1502" spans="1:14" x14ac:dyDescent="0.45">
      <c r="A1502">
        <v>1987</v>
      </c>
      <c r="B1502" t="s">
        <v>246</v>
      </c>
      <c r="C1502">
        <v>1</v>
      </c>
      <c r="D1502">
        <v>0</v>
      </c>
      <c r="E1502">
        <v>0</v>
      </c>
      <c r="F1502">
        <v>1</v>
      </c>
      <c r="G1502">
        <v>0</v>
      </c>
      <c r="H1502">
        <v>0</v>
      </c>
      <c r="I1502">
        <v>0</v>
      </c>
      <c r="J1502">
        <v>5998.1509851226601</v>
      </c>
      <c r="K1502">
        <v>5645.5732075676997</v>
      </c>
      <c r="L1502">
        <v>54.463000000000001</v>
      </c>
      <c r="M1502">
        <v>63.530999999999999</v>
      </c>
      <c r="N1502">
        <v>87.391999999999996</v>
      </c>
    </row>
    <row r="1503" spans="1:14" x14ac:dyDescent="0.45">
      <c r="A1503">
        <v>1987</v>
      </c>
      <c r="B1503" t="s">
        <v>247</v>
      </c>
      <c r="C1503">
        <v>0</v>
      </c>
      <c r="D1503">
        <v>0</v>
      </c>
      <c r="E1503">
        <v>0</v>
      </c>
      <c r="F1503">
        <v>0</v>
      </c>
      <c r="G1503">
        <v>0</v>
      </c>
      <c r="H1503">
        <v>0</v>
      </c>
      <c r="I1503">
        <v>0</v>
      </c>
      <c r="L1503">
        <v>80.549000000000007</v>
      </c>
      <c r="M1503">
        <v>35.973999999999997</v>
      </c>
      <c r="N1503">
        <v>230.471</v>
      </c>
    </row>
    <row r="1504" spans="1:14" x14ac:dyDescent="0.45">
      <c r="A1504">
        <v>1987</v>
      </c>
      <c r="B1504" t="s">
        <v>248</v>
      </c>
      <c r="C1504">
        <v>0</v>
      </c>
      <c r="D1504">
        <v>0</v>
      </c>
      <c r="E1504">
        <v>0</v>
      </c>
      <c r="F1504">
        <v>1</v>
      </c>
      <c r="G1504">
        <v>0</v>
      </c>
      <c r="H1504">
        <v>0</v>
      </c>
      <c r="I1504">
        <v>0</v>
      </c>
      <c r="J1504">
        <v>4600.9295431451301</v>
      </c>
      <c r="K1504">
        <v>4164.9052957007798</v>
      </c>
      <c r="L1504">
        <v>77.391000000000005</v>
      </c>
      <c r="M1504">
        <v>67.188999999999993</v>
      </c>
      <c r="N1504">
        <v>24.337</v>
      </c>
    </row>
    <row r="1505" spans="1:14" x14ac:dyDescent="0.45">
      <c r="A1505">
        <v>1987</v>
      </c>
      <c r="B1505" t="s">
        <v>249</v>
      </c>
      <c r="C1505">
        <v>0</v>
      </c>
      <c r="D1505">
        <v>1</v>
      </c>
      <c r="E1505">
        <v>0</v>
      </c>
      <c r="F1505">
        <v>0</v>
      </c>
      <c r="G1505">
        <v>1</v>
      </c>
      <c r="H1505">
        <v>0</v>
      </c>
      <c r="I1505">
        <v>0</v>
      </c>
      <c r="J1505">
        <v>13487.279522803899</v>
      </c>
      <c r="K1505">
        <v>11256.389417398101</v>
      </c>
      <c r="L1505">
        <v>46.427</v>
      </c>
      <c r="M1505">
        <v>67.135000000000005</v>
      </c>
      <c r="N1505">
        <v>32.161000000000001</v>
      </c>
    </row>
    <row r="1506" spans="1:14" x14ac:dyDescent="0.45">
      <c r="A1506">
        <v>1987</v>
      </c>
      <c r="B1506" t="s">
        <v>250</v>
      </c>
      <c r="C1506">
        <v>0</v>
      </c>
      <c r="D1506">
        <v>0</v>
      </c>
      <c r="E1506">
        <v>0</v>
      </c>
      <c r="F1506">
        <v>1</v>
      </c>
      <c r="G1506">
        <v>0</v>
      </c>
      <c r="H1506">
        <v>0</v>
      </c>
      <c r="I1506">
        <v>0</v>
      </c>
      <c r="J1506">
        <v>6651.2685418320198</v>
      </c>
      <c r="K1506">
        <v>5796.4694290962298</v>
      </c>
      <c r="L1506">
        <v>44.509</v>
      </c>
      <c r="M1506">
        <v>68.010999999999996</v>
      </c>
      <c r="N1506">
        <v>63.747999999999998</v>
      </c>
    </row>
    <row r="1507" spans="1:14" x14ac:dyDescent="0.45">
      <c r="A1507">
        <v>1987</v>
      </c>
      <c r="B1507" t="s">
        <v>251</v>
      </c>
      <c r="C1507">
        <v>1</v>
      </c>
      <c r="D1507">
        <v>0</v>
      </c>
      <c r="E1507">
        <v>0</v>
      </c>
      <c r="F1507">
        <v>1</v>
      </c>
      <c r="G1507">
        <v>0</v>
      </c>
      <c r="H1507">
        <v>0</v>
      </c>
      <c r="I1507">
        <v>0</v>
      </c>
      <c r="J1507">
        <v>11350.327492422601</v>
      </c>
      <c r="K1507">
        <v>11380.6914401864</v>
      </c>
      <c r="L1507">
        <v>44.738999999999997</v>
      </c>
      <c r="M1507">
        <v>66.379000000000005</v>
      </c>
      <c r="N1507">
        <v>87.805000000000007</v>
      </c>
    </row>
    <row r="1508" spans="1:14" x14ac:dyDescent="0.45">
      <c r="A1508">
        <v>1987</v>
      </c>
      <c r="B1508" t="s">
        <v>252</v>
      </c>
      <c r="C1508">
        <v>0</v>
      </c>
      <c r="D1508">
        <v>0</v>
      </c>
      <c r="E1508">
        <v>0</v>
      </c>
      <c r="F1508">
        <v>1</v>
      </c>
      <c r="G1508">
        <v>0</v>
      </c>
      <c r="H1508">
        <v>0</v>
      </c>
      <c r="I1508">
        <v>0</v>
      </c>
      <c r="J1508">
        <v>2323.8508251315602</v>
      </c>
      <c r="K1508">
        <v>2102.2819108334302</v>
      </c>
      <c r="L1508">
        <v>63.238</v>
      </c>
      <c r="M1508">
        <v>61.286000000000001</v>
      </c>
      <c r="N1508">
        <v>55.228000000000002</v>
      </c>
    </row>
    <row r="1509" spans="1:14" x14ac:dyDescent="0.45">
      <c r="A1509">
        <v>1987</v>
      </c>
      <c r="B1509" t="s">
        <v>253</v>
      </c>
      <c r="C1509">
        <v>0</v>
      </c>
      <c r="D1509">
        <v>0</v>
      </c>
      <c r="E1509">
        <v>0</v>
      </c>
      <c r="F1509">
        <v>0</v>
      </c>
      <c r="G1509">
        <v>0</v>
      </c>
      <c r="H1509">
        <v>1</v>
      </c>
      <c r="I1509">
        <v>1</v>
      </c>
      <c r="L1509">
        <v>75.741</v>
      </c>
      <c r="M1509">
        <v>73.613</v>
      </c>
      <c r="N1509">
        <v>9.7460000000000004</v>
      </c>
    </row>
    <row r="1510" spans="1:14" x14ac:dyDescent="0.45">
      <c r="A1510">
        <v>1987</v>
      </c>
      <c r="B1510" t="s">
        <v>254</v>
      </c>
      <c r="C1510">
        <v>0</v>
      </c>
      <c r="D1510">
        <v>0</v>
      </c>
      <c r="E1510">
        <v>1</v>
      </c>
      <c r="F1510">
        <v>0</v>
      </c>
      <c r="G1510">
        <v>0</v>
      </c>
      <c r="H1510">
        <v>0</v>
      </c>
      <c r="I1510">
        <v>0</v>
      </c>
      <c r="J1510">
        <v>1711.7657188400699</v>
      </c>
      <c r="K1510">
        <v>1275.0373452546801</v>
      </c>
      <c r="L1510">
        <v>82.275000000000006</v>
      </c>
      <c r="M1510">
        <v>52.182000000000002</v>
      </c>
      <c r="N1510">
        <v>173.44800000000001</v>
      </c>
    </row>
    <row r="1511" spans="1:14" x14ac:dyDescent="0.45">
      <c r="A1511">
        <v>1987</v>
      </c>
      <c r="B1511" t="s">
        <v>255</v>
      </c>
      <c r="C1511">
        <v>0</v>
      </c>
      <c r="D1511">
        <v>0</v>
      </c>
      <c r="E1511">
        <v>1</v>
      </c>
      <c r="F1511">
        <v>0</v>
      </c>
      <c r="G1511">
        <v>0</v>
      </c>
      <c r="H1511">
        <v>0</v>
      </c>
      <c r="I1511">
        <v>0</v>
      </c>
      <c r="J1511">
        <v>980.08890255173105</v>
      </c>
      <c r="K1511">
        <v>831.41387583843903</v>
      </c>
      <c r="L1511">
        <v>90.117999999999995</v>
      </c>
      <c r="M1511">
        <v>47.36</v>
      </c>
      <c r="N1511">
        <v>191.179</v>
      </c>
    </row>
    <row r="1512" spans="1:14" x14ac:dyDescent="0.45">
      <c r="A1512">
        <v>1987</v>
      </c>
      <c r="B1512" t="s">
        <v>256</v>
      </c>
      <c r="C1512">
        <v>1</v>
      </c>
      <c r="D1512">
        <v>0</v>
      </c>
      <c r="E1512">
        <v>0</v>
      </c>
      <c r="F1512">
        <v>1</v>
      </c>
      <c r="G1512">
        <v>0</v>
      </c>
      <c r="H1512">
        <v>0</v>
      </c>
      <c r="I1512">
        <v>0</v>
      </c>
      <c r="J1512">
        <v>21150.448945428801</v>
      </c>
      <c r="K1512">
        <v>14959.406559556999</v>
      </c>
      <c r="L1512">
        <v>34.17</v>
      </c>
      <c r="M1512">
        <v>71.179000000000002</v>
      </c>
      <c r="N1512">
        <v>18.905000000000001</v>
      </c>
    </row>
    <row r="1513" spans="1:14" x14ac:dyDescent="0.45">
      <c r="A1513">
        <v>1987</v>
      </c>
      <c r="B1513" t="s">
        <v>257</v>
      </c>
      <c r="C1513">
        <v>0</v>
      </c>
      <c r="D1513">
        <v>1</v>
      </c>
      <c r="E1513">
        <v>0</v>
      </c>
      <c r="F1513">
        <v>0</v>
      </c>
      <c r="G1513">
        <v>1</v>
      </c>
      <c r="H1513">
        <v>0</v>
      </c>
      <c r="I1513">
        <v>0</v>
      </c>
      <c r="J1513">
        <v>12913.5164571066</v>
      </c>
      <c r="K1513">
        <v>10242.5954986139</v>
      </c>
      <c r="L1513">
        <v>12.074</v>
      </c>
      <c r="M1513">
        <v>72.195999999999998</v>
      </c>
      <c r="N1513">
        <v>28.047000000000001</v>
      </c>
    </row>
    <row r="1514" spans="1:14" x14ac:dyDescent="0.45">
      <c r="A1514">
        <v>1987</v>
      </c>
      <c r="B1514" t="s">
        <v>258</v>
      </c>
      <c r="C1514">
        <v>0</v>
      </c>
      <c r="D1514">
        <v>0</v>
      </c>
      <c r="E1514">
        <v>0</v>
      </c>
      <c r="F1514">
        <v>0</v>
      </c>
      <c r="G1514">
        <v>0</v>
      </c>
      <c r="H1514">
        <v>1</v>
      </c>
      <c r="I1514">
        <v>1</v>
      </c>
      <c r="J1514">
        <v>40823.949356168501</v>
      </c>
      <c r="K1514">
        <v>37054.862200543401</v>
      </c>
      <c r="L1514">
        <v>25.207000000000001</v>
      </c>
      <c r="M1514">
        <v>74.86</v>
      </c>
      <c r="N1514">
        <v>12.307</v>
      </c>
    </row>
    <row r="1515" spans="1:14" x14ac:dyDescent="0.45">
      <c r="A1515">
        <v>1987</v>
      </c>
      <c r="B1515" t="s">
        <v>259</v>
      </c>
      <c r="C1515">
        <v>1</v>
      </c>
      <c r="D1515">
        <v>0</v>
      </c>
      <c r="E1515">
        <v>0</v>
      </c>
      <c r="F1515">
        <v>1</v>
      </c>
      <c r="G1515">
        <v>0</v>
      </c>
      <c r="H1515">
        <v>0</v>
      </c>
      <c r="I1515">
        <v>0</v>
      </c>
      <c r="J1515">
        <v>3723.5982233780501</v>
      </c>
      <c r="K1515">
        <v>3617.6134542117002</v>
      </c>
      <c r="L1515">
        <v>59.302999999999997</v>
      </c>
      <c r="M1515">
        <v>65.486000000000004</v>
      </c>
      <c r="N1515">
        <v>77.018000000000001</v>
      </c>
    </row>
    <row r="1516" spans="1:14" x14ac:dyDescent="0.45">
      <c r="A1516">
        <v>1987</v>
      </c>
      <c r="B1516" t="s">
        <v>260</v>
      </c>
      <c r="C1516">
        <v>0</v>
      </c>
      <c r="D1516">
        <v>1</v>
      </c>
      <c r="E1516">
        <v>0</v>
      </c>
      <c r="F1516">
        <v>1</v>
      </c>
      <c r="G1516">
        <v>0</v>
      </c>
      <c r="H1516">
        <v>0</v>
      </c>
      <c r="I1516">
        <v>0</v>
      </c>
      <c r="J1516">
        <v>6544.2523197826404</v>
      </c>
      <c r="K1516">
        <v>5719.42246935807</v>
      </c>
      <c r="L1516">
        <v>60.283000000000001</v>
      </c>
      <c r="M1516">
        <v>70.427999999999997</v>
      </c>
      <c r="N1516">
        <v>28.004999999999999</v>
      </c>
    </row>
    <row r="1517" spans="1:14" x14ac:dyDescent="0.45">
      <c r="A1517">
        <v>1987</v>
      </c>
      <c r="B1517" t="s">
        <v>261</v>
      </c>
      <c r="C1517">
        <v>0</v>
      </c>
      <c r="D1517">
        <v>1</v>
      </c>
      <c r="E1517">
        <v>0</v>
      </c>
      <c r="F1517">
        <v>0</v>
      </c>
      <c r="G1517">
        <v>1</v>
      </c>
      <c r="H1517">
        <v>0</v>
      </c>
      <c r="I1517">
        <v>0</v>
      </c>
      <c r="L1517">
        <v>17.100000000000001</v>
      </c>
      <c r="M1517">
        <v>70.673000000000002</v>
      </c>
      <c r="N1517">
        <v>33.658999999999999</v>
      </c>
    </row>
    <row r="1518" spans="1:14" x14ac:dyDescent="0.45">
      <c r="A1518">
        <v>1987</v>
      </c>
      <c r="B1518" t="s">
        <v>262</v>
      </c>
      <c r="C1518">
        <v>0</v>
      </c>
      <c r="D1518">
        <v>1</v>
      </c>
      <c r="E1518">
        <v>0</v>
      </c>
      <c r="F1518">
        <v>0</v>
      </c>
      <c r="G1518">
        <v>0</v>
      </c>
      <c r="H1518">
        <v>1</v>
      </c>
      <c r="I1518">
        <v>1</v>
      </c>
      <c r="L1518">
        <v>67.153999999999996</v>
      </c>
      <c r="M1518">
        <v>71.492000000000004</v>
      </c>
      <c r="N1518">
        <v>26.295000000000002</v>
      </c>
    </row>
    <row r="1519" spans="1:14" x14ac:dyDescent="0.45">
      <c r="A1519">
        <v>1987</v>
      </c>
      <c r="B1519" t="s">
        <v>263</v>
      </c>
      <c r="C1519">
        <v>0</v>
      </c>
      <c r="D1519">
        <v>1</v>
      </c>
      <c r="E1519">
        <v>0</v>
      </c>
      <c r="F1519">
        <v>0</v>
      </c>
      <c r="G1519">
        <v>0</v>
      </c>
      <c r="H1519">
        <v>1</v>
      </c>
      <c r="I1519">
        <v>1</v>
      </c>
      <c r="L1519">
        <v>14.273999999999999</v>
      </c>
      <c r="M1519">
        <v>70.194000000000003</v>
      </c>
      <c r="N1519">
        <v>20.834</v>
      </c>
    </row>
    <row r="1520" spans="1:14" x14ac:dyDescent="0.45">
      <c r="A1520">
        <v>1987</v>
      </c>
      <c r="B1520" t="s">
        <v>264</v>
      </c>
      <c r="C1520">
        <v>0</v>
      </c>
      <c r="D1520">
        <v>0</v>
      </c>
      <c r="E1520">
        <v>0</v>
      </c>
      <c r="F1520">
        <v>0</v>
      </c>
      <c r="G1520">
        <v>0</v>
      </c>
      <c r="H1520">
        <v>0</v>
      </c>
      <c r="I1520">
        <v>0</v>
      </c>
      <c r="J1520">
        <v>2257.92102545646</v>
      </c>
      <c r="K1520">
        <v>2011.99479511808</v>
      </c>
      <c r="L1520">
        <v>80.311999999999998</v>
      </c>
      <c r="M1520">
        <v>68.004999999999995</v>
      </c>
      <c r="N1520">
        <v>58.137999999999998</v>
      </c>
    </row>
    <row r="1521" spans="1:14" x14ac:dyDescent="0.45">
      <c r="A1521">
        <v>1987</v>
      </c>
      <c r="B1521" t="s">
        <v>265</v>
      </c>
      <c r="C1521">
        <v>0</v>
      </c>
      <c r="D1521">
        <v>0</v>
      </c>
      <c r="E1521">
        <v>0</v>
      </c>
      <c r="F1521">
        <v>1</v>
      </c>
      <c r="G1521">
        <v>0</v>
      </c>
      <c r="H1521">
        <v>0</v>
      </c>
      <c r="I1521">
        <v>0</v>
      </c>
      <c r="J1521">
        <v>3455.5299014115699</v>
      </c>
      <c r="K1521">
        <v>3125.8769996565802</v>
      </c>
      <c r="L1521">
        <v>82.427000000000007</v>
      </c>
      <c r="M1521">
        <v>64.438999999999993</v>
      </c>
      <c r="N1521">
        <v>46.832000000000001</v>
      </c>
    </row>
    <row r="1522" spans="1:14" x14ac:dyDescent="0.45">
      <c r="A1522">
        <v>1987</v>
      </c>
      <c r="B1522" t="s">
        <v>266</v>
      </c>
      <c r="C1522">
        <v>0</v>
      </c>
      <c r="D1522">
        <v>0</v>
      </c>
      <c r="E1522">
        <v>0</v>
      </c>
      <c r="F1522">
        <v>1</v>
      </c>
      <c r="G1522">
        <v>0</v>
      </c>
      <c r="H1522">
        <v>0</v>
      </c>
      <c r="I1522">
        <v>0</v>
      </c>
      <c r="J1522">
        <v>4019.6528205873601</v>
      </c>
      <c r="K1522">
        <v>3636.1833516028801</v>
      </c>
      <c r="L1522">
        <v>78.8</v>
      </c>
      <c r="M1522">
        <v>67.046999999999997</v>
      </c>
      <c r="N1522">
        <v>32.972999999999999</v>
      </c>
    </row>
    <row r="1523" spans="1:14" x14ac:dyDescent="0.45">
      <c r="A1523">
        <v>1987</v>
      </c>
      <c r="B1523" t="s">
        <v>267</v>
      </c>
      <c r="C1523">
        <v>1</v>
      </c>
      <c r="D1523">
        <v>0</v>
      </c>
      <c r="E1523">
        <v>0</v>
      </c>
      <c r="F1523">
        <v>0</v>
      </c>
      <c r="G1523">
        <v>1</v>
      </c>
      <c r="H1523">
        <v>0</v>
      </c>
      <c r="I1523">
        <v>0</v>
      </c>
      <c r="L1523">
        <v>50.838999999999999</v>
      </c>
      <c r="M1523">
        <v>63.567999999999998</v>
      </c>
      <c r="N1523">
        <v>126.866</v>
      </c>
    </row>
    <row r="1524" spans="1:14" x14ac:dyDescent="0.45">
      <c r="A1524">
        <v>1987</v>
      </c>
      <c r="B1524" t="s">
        <v>268</v>
      </c>
      <c r="C1524">
        <v>0</v>
      </c>
      <c r="D1524">
        <v>0</v>
      </c>
      <c r="E1524">
        <v>0</v>
      </c>
      <c r="F1524">
        <v>1</v>
      </c>
      <c r="G1524">
        <v>0</v>
      </c>
      <c r="H1524">
        <v>0</v>
      </c>
      <c r="I1524">
        <v>0</v>
      </c>
      <c r="L1524">
        <v>80.677000000000007</v>
      </c>
      <c r="M1524">
        <v>56.828000000000003</v>
      </c>
      <c r="N1524">
        <v>142.79900000000001</v>
      </c>
    </row>
    <row r="1525" spans="1:14" x14ac:dyDescent="0.45">
      <c r="A1525">
        <v>1987</v>
      </c>
      <c r="B1525" t="s">
        <v>269</v>
      </c>
      <c r="C1525">
        <v>0</v>
      </c>
      <c r="D1525">
        <v>0</v>
      </c>
      <c r="E1525">
        <v>1</v>
      </c>
      <c r="F1525">
        <v>1</v>
      </c>
      <c r="G1525">
        <v>0</v>
      </c>
      <c r="H1525">
        <v>0</v>
      </c>
      <c r="I1525">
        <v>0</v>
      </c>
      <c r="J1525">
        <v>10883.334529488</v>
      </c>
      <c r="K1525">
        <v>10247.107125959699</v>
      </c>
      <c r="L1525">
        <v>49.561</v>
      </c>
      <c r="M1525">
        <v>62.694000000000003</v>
      </c>
      <c r="N1525">
        <v>69.468000000000004</v>
      </c>
    </row>
    <row r="1526" spans="1:14" x14ac:dyDescent="0.45">
      <c r="A1526">
        <v>1987</v>
      </c>
      <c r="B1526" t="s">
        <v>270</v>
      </c>
      <c r="C1526">
        <v>0</v>
      </c>
      <c r="D1526">
        <v>0</v>
      </c>
      <c r="E1526">
        <v>1</v>
      </c>
      <c r="F1526">
        <v>0</v>
      </c>
      <c r="G1526">
        <v>0</v>
      </c>
      <c r="H1526">
        <v>0</v>
      </c>
      <c r="I1526">
        <v>0</v>
      </c>
      <c r="J1526">
        <v>2439.0263849842499</v>
      </c>
      <c r="K1526">
        <v>2289.8976459300602</v>
      </c>
      <c r="L1526">
        <v>60.444000000000003</v>
      </c>
      <c r="M1526">
        <v>50.420999999999999</v>
      </c>
      <c r="N1526">
        <v>174.95099999999999</v>
      </c>
    </row>
    <row r="1527" spans="1:14" x14ac:dyDescent="0.45">
      <c r="A1527">
        <v>1987</v>
      </c>
      <c r="B1527" t="s">
        <v>271</v>
      </c>
      <c r="C1527">
        <v>0</v>
      </c>
      <c r="D1527">
        <v>0</v>
      </c>
      <c r="E1527">
        <v>1</v>
      </c>
      <c r="F1527">
        <v>1</v>
      </c>
      <c r="G1527">
        <v>0</v>
      </c>
      <c r="H1527">
        <v>0</v>
      </c>
      <c r="I1527">
        <v>0</v>
      </c>
      <c r="J1527">
        <v>3619.8061846042501</v>
      </c>
      <c r="K1527">
        <v>2410.1968628465302</v>
      </c>
      <c r="L1527">
        <v>73.191000000000003</v>
      </c>
      <c r="M1527">
        <v>60.723999999999997</v>
      </c>
      <c r="N1527">
        <v>79.947999999999993</v>
      </c>
    </row>
    <row r="1528" spans="1:14" x14ac:dyDescent="0.45">
      <c r="A1528">
        <v>1988</v>
      </c>
      <c r="B1528" t="s">
        <v>54</v>
      </c>
      <c r="C1528">
        <v>0</v>
      </c>
      <c r="D1528">
        <v>1</v>
      </c>
      <c r="E1528">
        <v>0</v>
      </c>
      <c r="F1528">
        <v>0</v>
      </c>
      <c r="G1528">
        <v>0</v>
      </c>
      <c r="H1528">
        <v>1</v>
      </c>
      <c r="I1528">
        <v>1</v>
      </c>
      <c r="J1528">
        <v>27318.0539161544</v>
      </c>
      <c r="K1528">
        <v>26586.129462862202</v>
      </c>
      <c r="L1528">
        <v>49.65</v>
      </c>
      <c r="M1528">
        <v>72.519000000000005</v>
      </c>
      <c r="N1528">
        <v>22.687000000000001</v>
      </c>
    </row>
    <row r="1529" spans="1:14" x14ac:dyDescent="0.45">
      <c r="A1529">
        <v>1988</v>
      </c>
      <c r="B1529" t="s">
        <v>55</v>
      </c>
      <c r="C1529">
        <v>0</v>
      </c>
      <c r="D1529">
        <v>0</v>
      </c>
      <c r="E1529">
        <v>0</v>
      </c>
      <c r="F1529">
        <v>0</v>
      </c>
      <c r="G1529">
        <v>0</v>
      </c>
      <c r="H1529">
        <v>0</v>
      </c>
      <c r="I1529">
        <v>0</v>
      </c>
      <c r="L1529">
        <v>79.001999999999995</v>
      </c>
      <c r="M1529">
        <v>43.238</v>
      </c>
      <c r="N1529">
        <v>214.85900000000001</v>
      </c>
    </row>
    <row r="1530" spans="1:14" x14ac:dyDescent="0.45">
      <c r="A1530">
        <v>1988</v>
      </c>
      <c r="B1530" t="s">
        <v>56</v>
      </c>
      <c r="C1530">
        <v>0</v>
      </c>
      <c r="D1530">
        <v>0</v>
      </c>
      <c r="E1530">
        <v>1</v>
      </c>
      <c r="F1530">
        <v>1</v>
      </c>
      <c r="G1530">
        <v>0</v>
      </c>
      <c r="H1530">
        <v>0</v>
      </c>
      <c r="I1530">
        <v>0</v>
      </c>
      <c r="J1530">
        <v>7453.2043251037103</v>
      </c>
      <c r="K1530">
        <v>5763.9414935595696</v>
      </c>
      <c r="L1530">
        <v>65.656999999999996</v>
      </c>
      <c r="M1530">
        <v>41.470999999999997</v>
      </c>
      <c r="N1530">
        <v>239.62700000000001</v>
      </c>
    </row>
    <row r="1531" spans="1:14" x14ac:dyDescent="0.45">
      <c r="A1531">
        <v>1988</v>
      </c>
      <c r="B1531" t="s">
        <v>57</v>
      </c>
      <c r="C1531">
        <v>1</v>
      </c>
      <c r="D1531">
        <v>0</v>
      </c>
      <c r="E1531">
        <v>0</v>
      </c>
      <c r="F1531">
        <v>1</v>
      </c>
      <c r="G1531">
        <v>0</v>
      </c>
      <c r="H1531">
        <v>0</v>
      </c>
      <c r="I1531">
        <v>0</v>
      </c>
      <c r="J1531">
        <v>5375.8659108580996</v>
      </c>
      <c r="K1531">
        <v>4870.2879367527803</v>
      </c>
      <c r="L1531">
        <v>64.111999999999995</v>
      </c>
      <c r="M1531">
        <v>72.216999999999999</v>
      </c>
      <c r="N1531">
        <v>45.31</v>
      </c>
    </row>
    <row r="1532" spans="1:14" x14ac:dyDescent="0.45">
      <c r="A1532">
        <v>1988</v>
      </c>
      <c r="B1532" t="s">
        <v>58</v>
      </c>
      <c r="C1532">
        <v>1</v>
      </c>
      <c r="D1532">
        <v>0</v>
      </c>
      <c r="E1532">
        <v>0</v>
      </c>
      <c r="F1532">
        <v>0</v>
      </c>
      <c r="G1532">
        <v>0</v>
      </c>
      <c r="H1532">
        <v>1</v>
      </c>
      <c r="I1532">
        <v>1</v>
      </c>
      <c r="J1532">
        <v>48953.732229199501</v>
      </c>
      <c r="K1532">
        <v>41092.919783486897</v>
      </c>
      <c r="L1532">
        <v>4.9729999999999999</v>
      </c>
      <c r="M1532">
        <v>78.364000000000004</v>
      </c>
      <c r="N1532">
        <v>11.401</v>
      </c>
    </row>
    <row r="1533" spans="1:14" x14ac:dyDescent="0.45">
      <c r="A1533">
        <v>1988</v>
      </c>
      <c r="B1533" t="s">
        <v>59</v>
      </c>
      <c r="C1533">
        <v>0</v>
      </c>
      <c r="D1533">
        <v>0</v>
      </c>
      <c r="E1533">
        <v>0</v>
      </c>
      <c r="F1533">
        <v>0</v>
      </c>
      <c r="G1533">
        <v>0</v>
      </c>
      <c r="H1533">
        <v>1</v>
      </c>
      <c r="I1533">
        <v>1</v>
      </c>
      <c r="J1533">
        <v>112304.4570637</v>
      </c>
      <c r="K1533">
        <v>110953.287350054</v>
      </c>
      <c r="L1533">
        <v>20.661000000000001</v>
      </c>
      <c r="M1533">
        <v>70.808000000000007</v>
      </c>
      <c r="N1533">
        <v>18.702999999999999</v>
      </c>
    </row>
    <row r="1534" spans="1:14" x14ac:dyDescent="0.45">
      <c r="A1534">
        <v>1988</v>
      </c>
      <c r="B1534" t="s">
        <v>60</v>
      </c>
      <c r="C1534">
        <v>0</v>
      </c>
      <c r="D1534">
        <v>1</v>
      </c>
      <c r="E1534">
        <v>0</v>
      </c>
      <c r="F1534">
        <v>0</v>
      </c>
      <c r="G1534">
        <v>1</v>
      </c>
      <c r="H1534">
        <v>0</v>
      </c>
      <c r="I1534">
        <v>0</v>
      </c>
      <c r="J1534">
        <v>19099.7105807593</v>
      </c>
      <c r="K1534">
        <v>15763.1781466017</v>
      </c>
      <c r="L1534">
        <v>13.766999999999999</v>
      </c>
      <c r="M1534">
        <v>71.096999999999994</v>
      </c>
      <c r="N1534">
        <v>31.132000000000001</v>
      </c>
    </row>
    <row r="1535" spans="1:14" x14ac:dyDescent="0.45">
      <c r="A1535">
        <v>1988</v>
      </c>
      <c r="B1535" t="s">
        <v>61</v>
      </c>
      <c r="C1535">
        <v>1</v>
      </c>
      <c r="D1535">
        <v>0</v>
      </c>
      <c r="E1535">
        <v>0</v>
      </c>
      <c r="F1535">
        <v>1</v>
      </c>
      <c r="G1535">
        <v>0</v>
      </c>
      <c r="H1535">
        <v>0</v>
      </c>
      <c r="I1535">
        <v>0</v>
      </c>
      <c r="L1535">
        <v>32.293999999999997</v>
      </c>
      <c r="M1535">
        <v>52.709000000000003</v>
      </c>
      <c r="N1535">
        <v>101.566</v>
      </c>
    </row>
    <row r="1536" spans="1:14" x14ac:dyDescent="0.45">
      <c r="A1536">
        <v>1988</v>
      </c>
      <c r="B1536" t="s">
        <v>62</v>
      </c>
      <c r="C1536">
        <v>0</v>
      </c>
      <c r="D1536">
        <v>0</v>
      </c>
      <c r="E1536">
        <v>0</v>
      </c>
      <c r="F1536">
        <v>0</v>
      </c>
      <c r="G1536">
        <v>0</v>
      </c>
      <c r="H1536">
        <v>1</v>
      </c>
      <c r="I1536">
        <v>1</v>
      </c>
      <c r="L1536">
        <v>20.341000000000001</v>
      </c>
      <c r="M1536">
        <v>70.882999999999996</v>
      </c>
      <c r="N1536">
        <v>16.106999999999999</v>
      </c>
    </row>
    <row r="1537" spans="1:14" x14ac:dyDescent="0.45">
      <c r="A1537">
        <v>1988</v>
      </c>
      <c r="B1537" t="s">
        <v>63</v>
      </c>
      <c r="C1537">
        <v>0</v>
      </c>
      <c r="D1537">
        <v>1</v>
      </c>
      <c r="E1537">
        <v>0</v>
      </c>
      <c r="F1537">
        <v>0</v>
      </c>
      <c r="G1537">
        <v>1</v>
      </c>
      <c r="H1537">
        <v>0</v>
      </c>
      <c r="I1537">
        <v>0</v>
      </c>
      <c r="J1537">
        <v>18845.9447209604</v>
      </c>
      <c r="K1537">
        <v>14843.006341329199</v>
      </c>
      <c r="L1537">
        <v>64.736000000000004</v>
      </c>
      <c r="M1537">
        <v>73.811000000000007</v>
      </c>
      <c r="N1537">
        <v>13.106</v>
      </c>
    </row>
    <row r="1538" spans="1:14" x14ac:dyDescent="0.45">
      <c r="A1538">
        <v>1988</v>
      </c>
      <c r="B1538" t="s">
        <v>64</v>
      </c>
      <c r="C1538">
        <v>0</v>
      </c>
      <c r="D1538">
        <v>0</v>
      </c>
      <c r="E1538">
        <v>0</v>
      </c>
      <c r="F1538">
        <v>0</v>
      </c>
      <c r="G1538">
        <v>0</v>
      </c>
      <c r="H1538">
        <v>1</v>
      </c>
      <c r="I1538">
        <v>1</v>
      </c>
      <c r="J1538">
        <v>34782.753449294702</v>
      </c>
      <c r="K1538">
        <v>30127.137237470099</v>
      </c>
      <c r="L1538">
        <v>14.507</v>
      </c>
      <c r="M1538">
        <v>76.343999999999994</v>
      </c>
      <c r="N1538">
        <v>9.8740000000000006</v>
      </c>
    </row>
    <row r="1539" spans="1:14" x14ac:dyDescent="0.45">
      <c r="A1539">
        <v>1988</v>
      </c>
      <c r="B1539" t="s">
        <v>65</v>
      </c>
      <c r="C1539">
        <v>1</v>
      </c>
      <c r="D1539">
        <v>0</v>
      </c>
      <c r="E1539">
        <v>0</v>
      </c>
      <c r="F1539">
        <v>0</v>
      </c>
      <c r="G1539">
        <v>0</v>
      </c>
      <c r="H1539">
        <v>1</v>
      </c>
      <c r="I1539">
        <v>1</v>
      </c>
      <c r="J1539">
        <v>41538.851595853099</v>
      </c>
      <c r="K1539">
        <v>35397.562269006099</v>
      </c>
      <c r="L1539">
        <v>36.5</v>
      </c>
      <c r="M1539">
        <v>75.373999999999995</v>
      </c>
      <c r="N1539">
        <v>9.4949999999999992</v>
      </c>
    </row>
    <row r="1540" spans="1:14" x14ac:dyDescent="0.45">
      <c r="A1540">
        <v>1988</v>
      </c>
      <c r="B1540" t="s">
        <v>66</v>
      </c>
      <c r="C1540">
        <v>1</v>
      </c>
      <c r="D1540">
        <v>0</v>
      </c>
      <c r="E1540">
        <v>0</v>
      </c>
      <c r="F1540">
        <v>1</v>
      </c>
      <c r="G1540">
        <v>0</v>
      </c>
      <c r="H1540">
        <v>0</v>
      </c>
      <c r="I1540">
        <v>0</v>
      </c>
      <c r="J1540">
        <v>10794.6458040262</v>
      </c>
      <c r="K1540">
        <v>7860.7944447379896</v>
      </c>
      <c r="L1540">
        <v>45.905999999999999</v>
      </c>
      <c r="M1540">
        <v>62.671999999999997</v>
      </c>
      <c r="N1540">
        <v>98.619</v>
      </c>
    </row>
    <row r="1541" spans="1:14" x14ac:dyDescent="0.45">
      <c r="A1541">
        <v>1988</v>
      </c>
      <c r="B1541" t="s">
        <v>67</v>
      </c>
      <c r="C1541">
        <v>0</v>
      </c>
      <c r="D1541">
        <v>0</v>
      </c>
      <c r="E1541">
        <v>1</v>
      </c>
      <c r="F1541">
        <v>0</v>
      </c>
      <c r="G1541">
        <v>0</v>
      </c>
      <c r="H1541">
        <v>0</v>
      </c>
      <c r="I1541">
        <v>0</v>
      </c>
      <c r="J1541">
        <v>1367.46682251425</v>
      </c>
      <c r="K1541">
        <v>1181.6325162625801</v>
      </c>
      <c r="L1541">
        <v>94.17</v>
      </c>
      <c r="M1541">
        <v>42.889000000000003</v>
      </c>
      <c r="N1541">
        <v>183.874</v>
      </c>
    </row>
    <row r="1542" spans="1:14" x14ac:dyDescent="0.45">
      <c r="A1542">
        <v>1988</v>
      </c>
      <c r="B1542" t="s">
        <v>68</v>
      </c>
      <c r="C1542">
        <v>1</v>
      </c>
      <c r="D1542">
        <v>0</v>
      </c>
      <c r="E1542">
        <v>0</v>
      </c>
      <c r="F1542">
        <v>0</v>
      </c>
      <c r="G1542">
        <v>0</v>
      </c>
      <c r="H1542">
        <v>1</v>
      </c>
      <c r="I1542">
        <v>1</v>
      </c>
      <c r="J1542">
        <v>38708.585299366503</v>
      </c>
      <c r="K1542">
        <v>32573.918116671099</v>
      </c>
      <c r="L1542">
        <v>3.79600000000001</v>
      </c>
      <c r="M1542">
        <v>75.590999999999994</v>
      </c>
      <c r="N1542">
        <v>10.714</v>
      </c>
    </row>
    <row r="1543" spans="1:14" x14ac:dyDescent="0.45">
      <c r="A1543">
        <v>1988</v>
      </c>
      <c r="B1543" t="s">
        <v>69</v>
      </c>
      <c r="C1543">
        <v>0</v>
      </c>
      <c r="D1543">
        <v>0</v>
      </c>
      <c r="E1543">
        <v>1</v>
      </c>
      <c r="F1543">
        <v>0</v>
      </c>
      <c r="G1543">
        <v>0</v>
      </c>
      <c r="H1543">
        <v>0</v>
      </c>
      <c r="I1543">
        <v>0</v>
      </c>
      <c r="J1543">
        <v>2335.3329387949502</v>
      </c>
      <c r="K1543">
        <v>2215.6515266852598</v>
      </c>
      <c r="L1543">
        <v>67.015000000000001</v>
      </c>
      <c r="M1543">
        <v>52.018999999999998</v>
      </c>
      <c r="N1543">
        <v>179.875</v>
      </c>
    </row>
    <row r="1544" spans="1:14" x14ac:dyDescent="0.45">
      <c r="A1544">
        <v>1988</v>
      </c>
      <c r="B1544" t="s">
        <v>70</v>
      </c>
      <c r="C1544">
        <v>0</v>
      </c>
      <c r="D1544">
        <v>0</v>
      </c>
      <c r="E1544">
        <v>1</v>
      </c>
      <c r="F1544">
        <v>0</v>
      </c>
      <c r="G1544">
        <v>0</v>
      </c>
      <c r="H1544">
        <v>0</v>
      </c>
      <c r="I1544">
        <v>0</v>
      </c>
      <c r="J1544">
        <v>1081.3749262711201</v>
      </c>
      <c r="K1544">
        <v>989.39002480200304</v>
      </c>
      <c r="L1544">
        <v>86.683999999999997</v>
      </c>
      <c r="M1544">
        <v>49.215000000000003</v>
      </c>
      <c r="N1544">
        <v>204.35599999999999</v>
      </c>
    </row>
    <row r="1545" spans="1:14" x14ac:dyDescent="0.45">
      <c r="A1545">
        <v>1988</v>
      </c>
      <c r="B1545" t="s">
        <v>71</v>
      </c>
      <c r="C1545">
        <v>0</v>
      </c>
      <c r="D1545">
        <v>0</v>
      </c>
      <c r="E1545">
        <v>0</v>
      </c>
      <c r="F1545">
        <v>0</v>
      </c>
      <c r="G1545">
        <v>0</v>
      </c>
      <c r="H1545">
        <v>0</v>
      </c>
      <c r="I1545">
        <v>0</v>
      </c>
      <c r="J1545">
        <v>2017.0375488539601</v>
      </c>
      <c r="K1545">
        <v>1639.8405644627301</v>
      </c>
      <c r="L1545">
        <v>81.141000000000005</v>
      </c>
      <c r="M1545">
        <v>55.173999999999999</v>
      </c>
      <c r="N1545">
        <v>158.55099999999999</v>
      </c>
    </row>
    <row r="1546" spans="1:14" x14ac:dyDescent="0.45">
      <c r="A1546">
        <v>1988</v>
      </c>
      <c r="B1546" t="s">
        <v>72</v>
      </c>
      <c r="C1546">
        <v>1</v>
      </c>
      <c r="D1546">
        <v>0</v>
      </c>
      <c r="E1546">
        <v>0</v>
      </c>
      <c r="F1546">
        <v>1</v>
      </c>
      <c r="G1546">
        <v>0</v>
      </c>
      <c r="H1546">
        <v>0</v>
      </c>
      <c r="I1546">
        <v>0</v>
      </c>
      <c r="J1546">
        <v>13790.8746633545</v>
      </c>
      <c r="K1546">
        <v>11443.660524242599</v>
      </c>
      <c r="L1546">
        <v>34.308</v>
      </c>
      <c r="M1546">
        <v>71.415999999999997</v>
      </c>
      <c r="N1546">
        <v>17.731000000000002</v>
      </c>
    </row>
    <row r="1547" spans="1:14" x14ac:dyDescent="0.45">
      <c r="A1547">
        <v>1988</v>
      </c>
      <c r="B1547" t="s">
        <v>73</v>
      </c>
      <c r="C1547">
        <v>0</v>
      </c>
      <c r="D1547">
        <v>0</v>
      </c>
      <c r="E1547">
        <v>0</v>
      </c>
      <c r="F1547">
        <v>0</v>
      </c>
      <c r="G1547">
        <v>0</v>
      </c>
      <c r="H1547">
        <v>1</v>
      </c>
      <c r="I1547">
        <v>1</v>
      </c>
      <c r="J1547">
        <v>41879.403272681899</v>
      </c>
      <c r="K1547">
        <v>39021.646943512103</v>
      </c>
      <c r="L1547">
        <v>12.246</v>
      </c>
      <c r="M1547">
        <v>72.459999999999994</v>
      </c>
      <c r="N1547">
        <v>23.614999999999998</v>
      </c>
    </row>
    <row r="1548" spans="1:14" x14ac:dyDescent="0.45">
      <c r="A1548">
        <v>1988</v>
      </c>
      <c r="B1548" t="s">
        <v>74</v>
      </c>
      <c r="C1548">
        <v>0</v>
      </c>
      <c r="D1548">
        <v>1</v>
      </c>
      <c r="E1548">
        <v>0</v>
      </c>
      <c r="F1548">
        <v>0</v>
      </c>
      <c r="G1548">
        <v>0</v>
      </c>
      <c r="H1548">
        <v>1</v>
      </c>
      <c r="I1548">
        <v>1</v>
      </c>
      <c r="J1548">
        <v>32731.191845998201</v>
      </c>
      <c r="K1548">
        <v>33951.606569283103</v>
      </c>
      <c r="L1548">
        <v>21.346</v>
      </c>
      <c r="M1548">
        <v>70.507999999999996</v>
      </c>
      <c r="N1548">
        <v>25.388000000000002</v>
      </c>
    </row>
    <row r="1549" spans="1:14" x14ac:dyDescent="0.45">
      <c r="A1549">
        <v>1988</v>
      </c>
      <c r="B1549" t="s">
        <v>75</v>
      </c>
      <c r="C1549">
        <v>1</v>
      </c>
      <c r="D1549">
        <v>0</v>
      </c>
      <c r="E1549">
        <v>0</v>
      </c>
      <c r="F1549">
        <v>0</v>
      </c>
      <c r="G1549">
        <v>1</v>
      </c>
      <c r="H1549">
        <v>0</v>
      </c>
      <c r="I1549">
        <v>0</v>
      </c>
      <c r="L1549">
        <v>61.417000000000002</v>
      </c>
      <c r="M1549">
        <v>70.97</v>
      </c>
      <c r="N1549">
        <v>20.294</v>
      </c>
    </row>
    <row r="1550" spans="1:14" x14ac:dyDescent="0.45">
      <c r="A1550">
        <v>1988</v>
      </c>
      <c r="B1550" t="s">
        <v>76</v>
      </c>
      <c r="C1550">
        <v>1</v>
      </c>
      <c r="D1550">
        <v>0</v>
      </c>
      <c r="E1550">
        <v>0</v>
      </c>
      <c r="F1550">
        <v>0</v>
      </c>
      <c r="G1550">
        <v>1</v>
      </c>
      <c r="H1550">
        <v>0</v>
      </c>
      <c r="I1550">
        <v>0</v>
      </c>
      <c r="L1550">
        <v>35.128</v>
      </c>
      <c r="M1550">
        <v>71.75</v>
      </c>
      <c r="N1550">
        <v>16.263999999999999</v>
      </c>
    </row>
    <row r="1551" spans="1:14" x14ac:dyDescent="0.45">
      <c r="A1551">
        <v>1988</v>
      </c>
      <c r="B1551" t="s">
        <v>77</v>
      </c>
      <c r="C1551">
        <v>0</v>
      </c>
      <c r="D1551">
        <v>1</v>
      </c>
      <c r="E1551">
        <v>0</v>
      </c>
      <c r="F1551">
        <v>1</v>
      </c>
      <c r="G1551">
        <v>0</v>
      </c>
      <c r="H1551">
        <v>0</v>
      </c>
      <c r="I1551">
        <v>0</v>
      </c>
      <c r="J1551">
        <v>6945.5369856534498</v>
      </c>
      <c r="K1551">
        <v>5473.7303109264803</v>
      </c>
      <c r="L1551">
        <v>52.154000000000003</v>
      </c>
      <c r="M1551">
        <v>69.400999999999996</v>
      </c>
      <c r="N1551">
        <v>44.573999999999998</v>
      </c>
    </row>
    <row r="1552" spans="1:14" x14ac:dyDescent="0.45">
      <c r="A1552">
        <v>1988</v>
      </c>
      <c r="B1552" t="s">
        <v>78</v>
      </c>
      <c r="C1552">
        <v>0</v>
      </c>
      <c r="D1552">
        <v>0</v>
      </c>
      <c r="E1552">
        <v>0</v>
      </c>
      <c r="F1552">
        <v>0</v>
      </c>
      <c r="G1552">
        <v>0</v>
      </c>
      <c r="H1552">
        <v>1</v>
      </c>
      <c r="I1552">
        <v>1</v>
      </c>
      <c r="J1552">
        <v>80583.860228963793</v>
      </c>
      <c r="K1552">
        <v>71595.852206622905</v>
      </c>
      <c r="L1552">
        <v>0</v>
      </c>
      <c r="M1552">
        <v>73.555000000000007</v>
      </c>
      <c r="N1552">
        <v>11.606999999999999</v>
      </c>
    </row>
    <row r="1553" spans="1:14" x14ac:dyDescent="0.45">
      <c r="A1553">
        <v>1988</v>
      </c>
      <c r="B1553" t="s">
        <v>79</v>
      </c>
      <c r="C1553">
        <v>0</v>
      </c>
      <c r="D1553">
        <v>1</v>
      </c>
      <c r="E1553">
        <v>0</v>
      </c>
      <c r="F1553">
        <v>1</v>
      </c>
      <c r="G1553">
        <v>0</v>
      </c>
      <c r="H1553">
        <v>0</v>
      </c>
      <c r="I1553">
        <v>0</v>
      </c>
      <c r="J1553">
        <v>5005.3886025491101</v>
      </c>
      <c r="K1553">
        <v>4417.5067758754603</v>
      </c>
      <c r="L1553">
        <v>46.436999999999998</v>
      </c>
      <c r="M1553">
        <v>55.505000000000003</v>
      </c>
      <c r="N1553">
        <v>164.71100000000001</v>
      </c>
    </row>
    <row r="1554" spans="1:14" x14ac:dyDescent="0.45">
      <c r="A1554">
        <v>1988</v>
      </c>
      <c r="B1554" t="s">
        <v>80</v>
      </c>
      <c r="C1554">
        <v>0</v>
      </c>
      <c r="D1554">
        <v>1</v>
      </c>
      <c r="E1554">
        <v>0</v>
      </c>
      <c r="F1554">
        <v>1</v>
      </c>
      <c r="G1554">
        <v>0</v>
      </c>
      <c r="H1554">
        <v>0</v>
      </c>
      <c r="I1554">
        <v>0</v>
      </c>
      <c r="J1554">
        <v>12699.8724747096</v>
      </c>
      <c r="K1554">
        <v>10431.7913451146</v>
      </c>
      <c r="L1554">
        <v>27.658000000000001</v>
      </c>
      <c r="M1554">
        <v>65.161000000000001</v>
      </c>
      <c r="N1554">
        <v>68.225999999999999</v>
      </c>
    </row>
    <row r="1555" spans="1:14" x14ac:dyDescent="0.45">
      <c r="A1555">
        <v>1988</v>
      </c>
      <c r="B1555" t="s">
        <v>81</v>
      </c>
      <c r="C1555">
        <v>0</v>
      </c>
      <c r="D1555">
        <v>1</v>
      </c>
      <c r="E1555">
        <v>0</v>
      </c>
      <c r="F1555">
        <v>0</v>
      </c>
      <c r="G1555">
        <v>1</v>
      </c>
      <c r="H1555">
        <v>0</v>
      </c>
      <c r="I1555">
        <v>0</v>
      </c>
      <c r="J1555">
        <v>15882.942795581401</v>
      </c>
      <c r="K1555">
        <v>15169.791825308699</v>
      </c>
      <c r="L1555">
        <v>62.076999999999998</v>
      </c>
      <c r="M1555">
        <v>73.430999999999997</v>
      </c>
      <c r="N1555">
        <v>19.579000000000001</v>
      </c>
    </row>
    <row r="1556" spans="1:14" x14ac:dyDescent="0.45">
      <c r="A1556">
        <v>1988</v>
      </c>
      <c r="B1556" t="s">
        <v>82</v>
      </c>
      <c r="C1556">
        <v>0</v>
      </c>
      <c r="D1556">
        <v>0</v>
      </c>
      <c r="E1556">
        <v>0</v>
      </c>
      <c r="F1556">
        <v>0</v>
      </c>
      <c r="G1556">
        <v>0</v>
      </c>
      <c r="H1556">
        <v>1</v>
      </c>
      <c r="I1556">
        <v>1</v>
      </c>
      <c r="J1556">
        <v>125326.320019254</v>
      </c>
      <c r="K1556">
        <v>97855.351350422396</v>
      </c>
      <c r="L1556">
        <v>33.856999999999999</v>
      </c>
      <c r="M1556">
        <v>71.183000000000007</v>
      </c>
      <c r="N1556">
        <v>13.802</v>
      </c>
    </row>
    <row r="1557" spans="1:14" x14ac:dyDescent="0.45">
      <c r="A1557">
        <v>1988</v>
      </c>
      <c r="B1557" t="s">
        <v>83</v>
      </c>
      <c r="C1557">
        <v>0</v>
      </c>
      <c r="D1557">
        <v>0</v>
      </c>
      <c r="E1557">
        <v>0</v>
      </c>
      <c r="F1557">
        <v>0</v>
      </c>
      <c r="G1557">
        <v>0</v>
      </c>
      <c r="H1557">
        <v>0</v>
      </c>
      <c r="I1557">
        <v>0</v>
      </c>
      <c r="J1557">
        <v>3218.3783307026902</v>
      </c>
      <c r="K1557">
        <v>2787.5226337049598</v>
      </c>
      <c r="L1557">
        <v>85.070999999999998</v>
      </c>
      <c r="M1557">
        <v>54.384999999999998</v>
      </c>
      <c r="N1557">
        <v>140.16399999999999</v>
      </c>
    </row>
    <row r="1558" spans="1:14" x14ac:dyDescent="0.45">
      <c r="A1558">
        <v>1988</v>
      </c>
      <c r="B1558" t="s">
        <v>84</v>
      </c>
      <c r="C1558">
        <v>0</v>
      </c>
      <c r="D1558">
        <v>0</v>
      </c>
      <c r="E1558">
        <v>1</v>
      </c>
      <c r="F1558">
        <v>1</v>
      </c>
      <c r="G1558">
        <v>0</v>
      </c>
      <c r="H1558">
        <v>0</v>
      </c>
      <c r="I1558">
        <v>0</v>
      </c>
      <c r="J1558">
        <v>8252.3693697864892</v>
      </c>
      <c r="K1558">
        <v>7466.6318621314404</v>
      </c>
      <c r="L1558">
        <v>64.533000000000001</v>
      </c>
      <c r="M1558">
        <v>61.695999999999998</v>
      </c>
      <c r="N1558">
        <v>51.848999999999997</v>
      </c>
    </row>
    <row r="1559" spans="1:14" x14ac:dyDescent="0.45">
      <c r="A1559">
        <v>1988</v>
      </c>
      <c r="B1559" t="s">
        <v>85</v>
      </c>
      <c r="C1559">
        <v>0</v>
      </c>
      <c r="D1559">
        <v>0</v>
      </c>
      <c r="E1559">
        <v>1</v>
      </c>
      <c r="F1559">
        <v>0</v>
      </c>
      <c r="G1559">
        <v>0</v>
      </c>
      <c r="H1559">
        <v>0</v>
      </c>
      <c r="I1559">
        <v>0</v>
      </c>
      <c r="J1559">
        <v>1489.5398849251701</v>
      </c>
      <c r="K1559">
        <v>1192.6005911099301</v>
      </c>
      <c r="L1559">
        <v>63.454999999999998</v>
      </c>
      <c r="M1559">
        <v>50.243000000000002</v>
      </c>
      <c r="N1559">
        <v>177.96700000000001</v>
      </c>
    </row>
    <row r="1560" spans="1:14" x14ac:dyDescent="0.45">
      <c r="A1560">
        <v>1988</v>
      </c>
      <c r="B1560" t="s">
        <v>86</v>
      </c>
      <c r="C1560">
        <v>0</v>
      </c>
      <c r="D1560">
        <v>0</v>
      </c>
      <c r="E1560">
        <v>0</v>
      </c>
      <c r="F1560">
        <v>0</v>
      </c>
      <c r="G1560">
        <v>0</v>
      </c>
      <c r="H1560">
        <v>1</v>
      </c>
      <c r="I1560">
        <v>1</v>
      </c>
      <c r="J1560">
        <v>39068.9419437131</v>
      </c>
      <c r="K1560">
        <v>33818.723735354601</v>
      </c>
      <c r="L1560">
        <v>23.457999999999998</v>
      </c>
      <c r="M1560">
        <v>76.861999999999995</v>
      </c>
      <c r="N1560">
        <v>8.8460000000000001</v>
      </c>
    </row>
    <row r="1561" spans="1:14" x14ac:dyDescent="0.45">
      <c r="A1561">
        <v>1988</v>
      </c>
      <c r="B1561" t="s">
        <v>87</v>
      </c>
      <c r="C1561">
        <v>1</v>
      </c>
      <c r="D1561">
        <v>0</v>
      </c>
      <c r="E1561">
        <v>0</v>
      </c>
      <c r="F1561">
        <v>0</v>
      </c>
      <c r="G1561">
        <v>0</v>
      </c>
      <c r="H1561">
        <v>1</v>
      </c>
      <c r="I1561">
        <v>1</v>
      </c>
      <c r="J1561">
        <v>60269.583855642297</v>
      </c>
      <c r="K1561">
        <v>52432.5431244992</v>
      </c>
      <c r="L1561">
        <v>25.954000000000001</v>
      </c>
      <c r="M1561">
        <v>77.364999999999995</v>
      </c>
      <c r="N1561">
        <v>8.6750000000000007</v>
      </c>
    </row>
    <row r="1562" spans="1:14" x14ac:dyDescent="0.45">
      <c r="A1562">
        <v>1988</v>
      </c>
      <c r="B1562" t="s">
        <v>88</v>
      </c>
      <c r="C1562">
        <v>1</v>
      </c>
      <c r="D1562">
        <v>0</v>
      </c>
      <c r="E1562">
        <v>0</v>
      </c>
      <c r="F1562">
        <v>0</v>
      </c>
      <c r="G1562">
        <v>0</v>
      </c>
      <c r="H1562">
        <v>1</v>
      </c>
      <c r="I1562">
        <v>1</v>
      </c>
      <c r="L1562">
        <v>68.397999999999996</v>
      </c>
      <c r="M1562">
        <v>76.029258792624702</v>
      </c>
      <c r="N1562">
        <v>16.3679118988643</v>
      </c>
    </row>
    <row r="1563" spans="1:14" x14ac:dyDescent="0.45">
      <c r="A1563">
        <v>1988</v>
      </c>
      <c r="B1563" t="s">
        <v>89</v>
      </c>
      <c r="C1563">
        <v>0</v>
      </c>
      <c r="D1563">
        <v>1</v>
      </c>
      <c r="E1563">
        <v>0</v>
      </c>
      <c r="F1563">
        <v>1</v>
      </c>
      <c r="G1563">
        <v>0</v>
      </c>
      <c r="H1563">
        <v>0</v>
      </c>
      <c r="I1563">
        <v>0</v>
      </c>
      <c r="J1563">
        <v>9590.4456322040896</v>
      </c>
      <c r="K1563">
        <v>8354.0640539292599</v>
      </c>
      <c r="L1563">
        <v>16.986000000000001</v>
      </c>
      <c r="M1563">
        <v>72.787999999999997</v>
      </c>
      <c r="N1563">
        <v>21.524000000000001</v>
      </c>
    </row>
    <row r="1564" spans="1:14" x14ac:dyDescent="0.45">
      <c r="A1564">
        <v>1988</v>
      </c>
      <c r="B1564" t="s">
        <v>90</v>
      </c>
      <c r="C1564">
        <v>0</v>
      </c>
      <c r="D1564">
        <v>0</v>
      </c>
      <c r="E1564">
        <v>0</v>
      </c>
      <c r="F1564">
        <v>0</v>
      </c>
      <c r="G1564">
        <v>0</v>
      </c>
      <c r="H1564">
        <v>0</v>
      </c>
      <c r="I1564">
        <v>0</v>
      </c>
      <c r="J1564">
        <v>1484.1587865842901</v>
      </c>
      <c r="K1564">
        <v>1330.45225347266</v>
      </c>
      <c r="L1564">
        <v>75.025999999999996</v>
      </c>
      <c r="M1564">
        <v>67.606999999999999</v>
      </c>
      <c r="N1564">
        <v>53.856999999999999</v>
      </c>
    </row>
    <row r="1565" spans="1:14" x14ac:dyDescent="0.45">
      <c r="A1565">
        <v>1988</v>
      </c>
      <c r="B1565" t="s">
        <v>91</v>
      </c>
      <c r="C1565">
        <v>0</v>
      </c>
      <c r="D1565">
        <v>0</v>
      </c>
      <c r="E1565">
        <v>1</v>
      </c>
      <c r="F1565">
        <v>1</v>
      </c>
      <c r="G1565">
        <v>0</v>
      </c>
      <c r="H1565">
        <v>0</v>
      </c>
      <c r="I1565">
        <v>0</v>
      </c>
      <c r="J1565">
        <v>5451.5428582661598</v>
      </c>
      <c r="K1565">
        <v>4601.9050335923102</v>
      </c>
      <c r="L1565">
        <v>61.392000000000003</v>
      </c>
      <c r="M1565">
        <v>53.061999999999998</v>
      </c>
      <c r="N1565">
        <v>152.833</v>
      </c>
    </row>
    <row r="1566" spans="1:14" x14ac:dyDescent="0.45">
      <c r="A1566">
        <v>1988</v>
      </c>
      <c r="B1566" t="s">
        <v>92</v>
      </c>
      <c r="C1566">
        <v>0</v>
      </c>
      <c r="D1566">
        <v>0</v>
      </c>
      <c r="E1566">
        <v>1</v>
      </c>
      <c r="F1566">
        <v>1</v>
      </c>
      <c r="G1566">
        <v>0</v>
      </c>
      <c r="H1566">
        <v>0</v>
      </c>
      <c r="I1566">
        <v>0</v>
      </c>
      <c r="J1566">
        <v>5305.3940827961596</v>
      </c>
      <c r="K1566">
        <v>4165.8620954872604</v>
      </c>
      <c r="L1566">
        <v>61.488999999999997</v>
      </c>
      <c r="M1566">
        <v>54.359000000000002</v>
      </c>
      <c r="N1566">
        <v>139.81100000000001</v>
      </c>
    </row>
    <row r="1567" spans="1:14" x14ac:dyDescent="0.45">
      <c r="A1567">
        <v>1988</v>
      </c>
      <c r="B1567" t="s">
        <v>93</v>
      </c>
      <c r="C1567">
        <v>0</v>
      </c>
      <c r="D1567">
        <v>0</v>
      </c>
      <c r="E1567">
        <v>1</v>
      </c>
      <c r="F1567">
        <v>0</v>
      </c>
      <c r="G1567">
        <v>0</v>
      </c>
      <c r="H1567">
        <v>0</v>
      </c>
      <c r="I1567">
        <v>0</v>
      </c>
      <c r="J1567">
        <v>2333.42184189305</v>
      </c>
      <c r="K1567">
        <v>1868.0547263074</v>
      </c>
      <c r="L1567">
        <v>70.224999999999994</v>
      </c>
      <c r="M1567">
        <v>47.755000000000003</v>
      </c>
      <c r="N1567">
        <v>190.56800000000001</v>
      </c>
    </row>
    <row r="1568" spans="1:14" x14ac:dyDescent="0.45">
      <c r="A1568">
        <v>1988</v>
      </c>
      <c r="B1568" t="s">
        <v>94</v>
      </c>
      <c r="C1568">
        <v>0</v>
      </c>
      <c r="D1568">
        <v>0</v>
      </c>
      <c r="E1568">
        <v>1</v>
      </c>
      <c r="F1568">
        <v>1</v>
      </c>
      <c r="G1568">
        <v>0</v>
      </c>
      <c r="H1568">
        <v>0</v>
      </c>
      <c r="I1568">
        <v>0</v>
      </c>
      <c r="J1568">
        <v>8828.8009536288791</v>
      </c>
      <c r="K1568">
        <v>5322.4003796484503</v>
      </c>
      <c r="L1568">
        <v>46.515000000000001</v>
      </c>
      <c r="M1568">
        <v>57.493000000000002</v>
      </c>
      <c r="N1568">
        <v>91.405000000000001</v>
      </c>
    </row>
    <row r="1569" spans="1:14" x14ac:dyDescent="0.45">
      <c r="A1569">
        <v>1988</v>
      </c>
      <c r="B1569" t="s">
        <v>95</v>
      </c>
      <c r="C1569">
        <v>0</v>
      </c>
      <c r="D1569">
        <v>1</v>
      </c>
      <c r="E1569">
        <v>0</v>
      </c>
      <c r="F1569">
        <v>1</v>
      </c>
      <c r="G1569">
        <v>0</v>
      </c>
      <c r="H1569">
        <v>0</v>
      </c>
      <c r="I1569">
        <v>0</v>
      </c>
      <c r="J1569">
        <v>9680.0627065336703</v>
      </c>
      <c r="K1569">
        <v>8059.7120222189797</v>
      </c>
      <c r="L1569">
        <v>31.468</v>
      </c>
      <c r="M1569">
        <v>68.301000000000002</v>
      </c>
      <c r="N1569">
        <v>38.825000000000003</v>
      </c>
    </row>
    <row r="1570" spans="1:14" x14ac:dyDescent="0.45">
      <c r="A1570">
        <v>1988</v>
      </c>
      <c r="B1570" t="s">
        <v>96</v>
      </c>
      <c r="C1570">
        <v>0</v>
      </c>
      <c r="D1570">
        <v>0</v>
      </c>
      <c r="E1570">
        <v>1</v>
      </c>
      <c r="F1570">
        <v>0</v>
      </c>
      <c r="G1570">
        <v>0</v>
      </c>
      <c r="H1570">
        <v>0</v>
      </c>
      <c r="I1570">
        <v>0</v>
      </c>
      <c r="J1570">
        <v>2527.0718269625399</v>
      </c>
      <c r="K1570">
        <v>2613.3147772860498</v>
      </c>
      <c r="L1570">
        <v>73.106999999999999</v>
      </c>
      <c r="M1570">
        <v>54.677999999999997</v>
      </c>
      <c r="N1570">
        <v>134.78299999999999</v>
      </c>
    </row>
    <row r="1571" spans="1:14" x14ac:dyDescent="0.45">
      <c r="A1571">
        <v>1988</v>
      </c>
      <c r="B1571" t="s">
        <v>97</v>
      </c>
      <c r="C1571">
        <v>0</v>
      </c>
      <c r="D1571">
        <v>0</v>
      </c>
      <c r="E1571">
        <v>1</v>
      </c>
      <c r="F1571">
        <v>1</v>
      </c>
      <c r="G1571">
        <v>0</v>
      </c>
      <c r="H1571">
        <v>0</v>
      </c>
      <c r="I1571">
        <v>0</v>
      </c>
      <c r="J1571">
        <v>1694.77226713659</v>
      </c>
      <c r="K1571">
        <v>1633.27594108169</v>
      </c>
      <c r="L1571">
        <v>61.097999999999999</v>
      </c>
      <c r="M1571">
        <v>63.241999999999997</v>
      </c>
      <c r="N1571">
        <v>64.858999999999995</v>
      </c>
    </row>
    <row r="1572" spans="1:14" x14ac:dyDescent="0.45">
      <c r="A1572">
        <v>1988</v>
      </c>
      <c r="B1572" t="s">
        <v>98</v>
      </c>
      <c r="C1572">
        <v>0</v>
      </c>
      <c r="D1572">
        <v>1</v>
      </c>
      <c r="E1572">
        <v>0</v>
      </c>
      <c r="F1572">
        <v>1</v>
      </c>
      <c r="G1572">
        <v>0</v>
      </c>
      <c r="H1572">
        <v>0</v>
      </c>
      <c r="I1572">
        <v>0</v>
      </c>
      <c r="J1572">
        <v>10566.407665086899</v>
      </c>
      <c r="K1572">
        <v>9460.6800390786593</v>
      </c>
      <c r="L1572">
        <v>51.823</v>
      </c>
      <c r="M1572">
        <v>75.546000000000006</v>
      </c>
      <c r="N1572">
        <v>19.076000000000001</v>
      </c>
    </row>
    <row r="1573" spans="1:14" x14ac:dyDescent="0.45">
      <c r="A1573">
        <v>1988</v>
      </c>
      <c r="B1573" t="s">
        <v>99</v>
      </c>
      <c r="C1573">
        <v>0</v>
      </c>
      <c r="D1573">
        <v>1</v>
      </c>
      <c r="E1573">
        <v>0</v>
      </c>
      <c r="F1573">
        <v>1</v>
      </c>
      <c r="G1573">
        <v>0</v>
      </c>
      <c r="H1573">
        <v>0</v>
      </c>
      <c r="I1573">
        <v>0</v>
      </c>
      <c r="L1573">
        <v>27.591999999999999</v>
      </c>
      <c r="M1573">
        <v>73.724000000000004</v>
      </c>
      <c r="N1573">
        <v>14.92</v>
      </c>
    </row>
    <row r="1574" spans="1:14" x14ac:dyDescent="0.45">
      <c r="A1574">
        <v>1988</v>
      </c>
      <c r="B1574" t="s">
        <v>100</v>
      </c>
      <c r="C1574">
        <v>0</v>
      </c>
      <c r="D1574">
        <v>1</v>
      </c>
      <c r="E1574">
        <v>0</v>
      </c>
      <c r="F1574">
        <v>0</v>
      </c>
      <c r="G1574">
        <v>0</v>
      </c>
      <c r="H1574">
        <v>1</v>
      </c>
      <c r="I1574">
        <v>1</v>
      </c>
      <c r="L1574">
        <v>15.871</v>
      </c>
      <c r="M1574">
        <v>72.23</v>
      </c>
      <c r="N1574">
        <v>19.257000000000001</v>
      </c>
    </row>
    <row r="1575" spans="1:14" x14ac:dyDescent="0.45">
      <c r="A1575">
        <v>1988</v>
      </c>
      <c r="B1575" t="s">
        <v>101</v>
      </c>
      <c r="C1575">
        <v>0</v>
      </c>
      <c r="D1575">
        <v>1</v>
      </c>
      <c r="E1575">
        <v>0</v>
      </c>
      <c r="F1575">
        <v>0</v>
      </c>
      <c r="G1575">
        <v>0</v>
      </c>
      <c r="H1575">
        <v>1</v>
      </c>
      <c r="I1575">
        <v>1</v>
      </c>
      <c r="L1575">
        <v>0</v>
      </c>
      <c r="M1575">
        <v>72.350999999999999</v>
      </c>
      <c r="N1575">
        <v>10.606</v>
      </c>
    </row>
    <row r="1576" spans="1:14" x14ac:dyDescent="0.45">
      <c r="A1576">
        <v>1988</v>
      </c>
      <c r="B1576" t="s">
        <v>102</v>
      </c>
      <c r="C1576">
        <v>1</v>
      </c>
      <c r="D1576">
        <v>0</v>
      </c>
      <c r="E1576">
        <v>0</v>
      </c>
      <c r="F1576">
        <v>0</v>
      </c>
      <c r="G1576">
        <v>0</v>
      </c>
      <c r="H1576">
        <v>1</v>
      </c>
      <c r="I1576">
        <v>1</v>
      </c>
      <c r="J1576">
        <v>24340.416306070401</v>
      </c>
      <c r="K1576">
        <v>21683.468848954901</v>
      </c>
      <c r="L1576">
        <v>34.055</v>
      </c>
      <c r="M1576">
        <v>75.39</v>
      </c>
      <c r="N1576">
        <v>11.831</v>
      </c>
    </row>
    <row r="1577" spans="1:14" x14ac:dyDescent="0.45">
      <c r="A1577">
        <v>1988</v>
      </c>
      <c r="B1577" t="s">
        <v>103</v>
      </c>
      <c r="C1577">
        <v>1</v>
      </c>
      <c r="D1577">
        <v>0</v>
      </c>
      <c r="E1577">
        <v>0</v>
      </c>
      <c r="F1577">
        <v>0</v>
      </c>
      <c r="G1577">
        <v>1</v>
      </c>
      <c r="H1577">
        <v>0</v>
      </c>
      <c r="I1577">
        <v>0</v>
      </c>
      <c r="L1577">
        <v>24.722000000000001</v>
      </c>
      <c r="M1577">
        <v>71.713999999999999</v>
      </c>
      <c r="N1577">
        <v>12.901999999999999</v>
      </c>
    </row>
    <row r="1578" spans="1:14" x14ac:dyDescent="0.45">
      <c r="A1578">
        <v>1988</v>
      </c>
      <c r="B1578" t="s">
        <v>104</v>
      </c>
      <c r="C1578">
        <v>1</v>
      </c>
      <c r="D1578">
        <v>0</v>
      </c>
      <c r="E1578">
        <v>0</v>
      </c>
      <c r="F1578">
        <v>0</v>
      </c>
      <c r="G1578">
        <v>0</v>
      </c>
      <c r="H1578">
        <v>1</v>
      </c>
      <c r="I1578">
        <v>1</v>
      </c>
      <c r="J1578">
        <v>39769.675978647203</v>
      </c>
      <c r="K1578">
        <v>34482.382388157399</v>
      </c>
      <c r="L1578">
        <v>27.001000000000001</v>
      </c>
      <c r="M1578">
        <v>75.281000000000006</v>
      </c>
      <c r="N1578">
        <v>9.5050000000000008</v>
      </c>
    </row>
    <row r="1579" spans="1:14" x14ac:dyDescent="0.45">
      <c r="A1579">
        <v>1988</v>
      </c>
      <c r="B1579" t="s">
        <v>105</v>
      </c>
      <c r="C1579">
        <v>0</v>
      </c>
      <c r="D1579">
        <v>0</v>
      </c>
      <c r="E1579">
        <v>0</v>
      </c>
      <c r="F1579">
        <v>1</v>
      </c>
      <c r="G1579">
        <v>0</v>
      </c>
      <c r="H1579">
        <v>0</v>
      </c>
      <c r="I1579">
        <v>0</v>
      </c>
      <c r="L1579">
        <v>24.452000000000002</v>
      </c>
      <c r="M1579">
        <v>55.133000000000003</v>
      </c>
      <c r="N1579">
        <v>122.93</v>
      </c>
    </row>
    <row r="1580" spans="1:14" x14ac:dyDescent="0.45">
      <c r="A1580">
        <v>1988</v>
      </c>
      <c r="B1580" t="s">
        <v>106</v>
      </c>
      <c r="C1580">
        <v>0</v>
      </c>
      <c r="D1580">
        <v>1</v>
      </c>
      <c r="E1580">
        <v>0</v>
      </c>
      <c r="F1580">
        <v>1</v>
      </c>
      <c r="G1580">
        <v>0</v>
      </c>
      <c r="H1580">
        <v>0</v>
      </c>
      <c r="I1580">
        <v>0</v>
      </c>
      <c r="J1580">
        <v>10317.1763809151</v>
      </c>
      <c r="K1580">
        <v>8029.1189491038003</v>
      </c>
      <c r="L1580">
        <v>40.201999999999998</v>
      </c>
      <c r="M1580">
        <v>70.974000000000004</v>
      </c>
      <c r="N1580">
        <v>17.978999999999999</v>
      </c>
    </row>
    <row r="1581" spans="1:14" x14ac:dyDescent="0.45">
      <c r="A1581">
        <v>1988</v>
      </c>
      <c r="B1581" t="s">
        <v>107</v>
      </c>
      <c r="C1581">
        <v>1</v>
      </c>
      <c r="D1581">
        <v>0</v>
      </c>
      <c r="E1581">
        <v>0</v>
      </c>
      <c r="F1581">
        <v>0</v>
      </c>
      <c r="G1581">
        <v>0</v>
      </c>
      <c r="H1581">
        <v>1</v>
      </c>
      <c r="I1581">
        <v>1</v>
      </c>
      <c r="J1581">
        <v>45430.851751455797</v>
      </c>
      <c r="K1581">
        <v>38395.752088517198</v>
      </c>
      <c r="L1581">
        <v>15.329000000000001</v>
      </c>
      <c r="M1581">
        <v>74.84</v>
      </c>
      <c r="N1581">
        <v>9.52</v>
      </c>
    </row>
    <row r="1582" spans="1:14" x14ac:dyDescent="0.45">
      <c r="A1582">
        <v>1988</v>
      </c>
      <c r="B1582" t="s">
        <v>108</v>
      </c>
      <c r="C1582">
        <v>0</v>
      </c>
      <c r="D1582">
        <v>1</v>
      </c>
      <c r="E1582">
        <v>0</v>
      </c>
      <c r="F1582">
        <v>1</v>
      </c>
      <c r="G1582">
        <v>0</v>
      </c>
      <c r="H1582">
        <v>0</v>
      </c>
      <c r="I1582">
        <v>0</v>
      </c>
      <c r="J1582">
        <v>7190.3176761599898</v>
      </c>
      <c r="K1582">
        <v>6211.1761441738699</v>
      </c>
      <c r="L1582">
        <v>45.316000000000003</v>
      </c>
      <c r="M1582">
        <v>66.914000000000001</v>
      </c>
      <c r="N1582">
        <v>68.962000000000003</v>
      </c>
    </row>
    <row r="1583" spans="1:14" x14ac:dyDescent="0.45">
      <c r="A1583">
        <v>1988</v>
      </c>
      <c r="B1583" t="s">
        <v>109</v>
      </c>
      <c r="C1583">
        <v>0</v>
      </c>
      <c r="D1583">
        <v>0</v>
      </c>
      <c r="E1583">
        <v>0</v>
      </c>
      <c r="F1583">
        <v>0</v>
      </c>
      <c r="G1583">
        <v>1</v>
      </c>
      <c r="H1583">
        <v>0</v>
      </c>
      <c r="I1583">
        <v>0</v>
      </c>
      <c r="J1583">
        <v>11982.2279516571</v>
      </c>
      <c r="K1583">
        <v>10480.0654336027</v>
      </c>
      <c r="L1583">
        <v>49.488999999999997</v>
      </c>
      <c r="M1583">
        <v>66.91</v>
      </c>
      <c r="N1583">
        <v>57.353999999999999</v>
      </c>
    </row>
    <row r="1584" spans="1:14" x14ac:dyDescent="0.45">
      <c r="A1584">
        <v>1988</v>
      </c>
      <c r="B1584" t="s">
        <v>110</v>
      </c>
      <c r="C1584">
        <v>0</v>
      </c>
      <c r="D1584">
        <v>1</v>
      </c>
      <c r="E1584">
        <v>0</v>
      </c>
      <c r="F1584">
        <v>1</v>
      </c>
      <c r="G1584">
        <v>0</v>
      </c>
      <c r="H1584">
        <v>0</v>
      </c>
      <c r="I1584">
        <v>0</v>
      </c>
      <c r="J1584">
        <v>8915.3664871061392</v>
      </c>
      <c r="K1584">
        <v>7415.3362495941401</v>
      </c>
      <c r="L1584">
        <v>46.454000000000001</v>
      </c>
      <c r="M1584">
        <v>67.037999999999997</v>
      </c>
      <c r="N1584">
        <v>59.344999999999999</v>
      </c>
    </row>
    <row r="1585" spans="1:14" x14ac:dyDescent="0.45">
      <c r="A1585">
        <v>1988</v>
      </c>
      <c r="B1585" t="s">
        <v>111</v>
      </c>
      <c r="C1585">
        <v>0</v>
      </c>
      <c r="D1585">
        <v>0</v>
      </c>
      <c r="E1585">
        <v>0</v>
      </c>
      <c r="F1585">
        <v>1</v>
      </c>
      <c r="G1585">
        <v>0</v>
      </c>
      <c r="H1585">
        <v>0</v>
      </c>
      <c r="I1585">
        <v>0</v>
      </c>
      <c r="J1585">
        <v>7531.0701698509201</v>
      </c>
      <c r="K1585">
        <v>5976.5303986040499</v>
      </c>
      <c r="L1585">
        <v>56.256</v>
      </c>
      <c r="M1585">
        <v>61.357999999999997</v>
      </c>
      <c r="N1585">
        <v>96.954999999999998</v>
      </c>
    </row>
    <row r="1586" spans="1:14" x14ac:dyDescent="0.45">
      <c r="A1586">
        <v>1988</v>
      </c>
      <c r="B1586" t="s">
        <v>112</v>
      </c>
      <c r="C1586">
        <v>0</v>
      </c>
      <c r="D1586">
        <v>0</v>
      </c>
      <c r="E1586">
        <v>1</v>
      </c>
      <c r="F1586">
        <v>0</v>
      </c>
      <c r="G1586">
        <v>0</v>
      </c>
      <c r="H1586">
        <v>0</v>
      </c>
      <c r="I1586">
        <v>0</v>
      </c>
      <c r="L1586">
        <v>82.408000000000001</v>
      </c>
      <c r="M1586">
        <v>48.094000000000001</v>
      </c>
      <c r="N1586">
        <v>164.029</v>
      </c>
    </row>
    <row r="1587" spans="1:14" x14ac:dyDescent="0.45">
      <c r="A1587">
        <v>1988</v>
      </c>
      <c r="B1587" t="s">
        <v>113</v>
      </c>
      <c r="C1587">
        <v>1</v>
      </c>
      <c r="D1587">
        <v>0</v>
      </c>
      <c r="E1587">
        <v>0</v>
      </c>
      <c r="F1587">
        <v>0</v>
      </c>
      <c r="G1587">
        <v>0</v>
      </c>
      <c r="H1587">
        <v>1</v>
      </c>
      <c r="I1587">
        <v>1</v>
      </c>
      <c r="J1587">
        <v>28846.501777330701</v>
      </c>
      <c r="K1587">
        <v>25385.6887687907</v>
      </c>
      <c r="L1587">
        <v>25.1</v>
      </c>
      <c r="M1587">
        <v>76.948999999999998</v>
      </c>
      <c r="N1587">
        <v>9.7249999999999996</v>
      </c>
    </row>
    <row r="1588" spans="1:14" x14ac:dyDescent="0.45">
      <c r="A1588">
        <v>1988</v>
      </c>
      <c r="B1588" t="s">
        <v>114</v>
      </c>
      <c r="C1588">
        <v>1</v>
      </c>
      <c r="D1588">
        <v>0</v>
      </c>
      <c r="E1588">
        <v>0</v>
      </c>
      <c r="F1588">
        <v>0</v>
      </c>
      <c r="G1588">
        <v>1</v>
      </c>
      <c r="H1588">
        <v>0</v>
      </c>
      <c r="I1588">
        <v>0</v>
      </c>
      <c r="L1588">
        <v>28.61</v>
      </c>
      <c r="M1588">
        <v>70.971000000000004</v>
      </c>
      <c r="N1588">
        <v>16.535</v>
      </c>
    </row>
    <row r="1589" spans="1:14" x14ac:dyDescent="0.45">
      <c r="A1589">
        <v>1988</v>
      </c>
      <c r="B1589" t="s">
        <v>115</v>
      </c>
      <c r="C1589">
        <v>0</v>
      </c>
      <c r="D1589">
        <v>0</v>
      </c>
      <c r="E1589">
        <v>1</v>
      </c>
      <c r="F1589">
        <v>0</v>
      </c>
      <c r="G1589">
        <v>0</v>
      </c>
      <c r="H1589">
        <v>0</v>
      </c>
      <c r="I1589">
        <v>0</v>
      </c>
      <c r="J1589">
        <v>933.09260177818305</v>
      </c>
      <c r="K1589">
        <v>841.54726254679997</v>
      </c>
      <c r="L1589">
        <v>87.856999999999999</v>
      </c>
      <c r="M1589">
        <v>45.682000000000002</v>
      </c>
      <c r="N1589">
        <v>213.542</v>
      </c>
    </row>
    <row r="1590" spans="1:14" x14ac:dyDescent="0.45">
      <c r="A1590">
        <v>1988</v>
      </c>
      <c r="B1590" t="s">
        <v>116</v>
      </c>
      <c r="C1590">
        <v>1</v>
      </c>
      <c r="D1590">
        <v>0</v>
      </c>
      <c r="E1590">
        <v>0</v>
      </c>
      <c r="F1590">
        <v>0</v>
      </c>
      <c r="G1590">
        <v>0</v>
      </c>
      <c r="H1590">
        <v>1</v>
      </c>
      <c r="I1590">
        <v>1</v>
      </c>
      <c r="J1590">
        <v>35329.078876958098</v>
      </c>
      <c r="K1590">
        <v>29700.549370639099</v>
      </c>
      <c r="L1590">
        <v>22</v>
      </c>
      <c r="M1590">
        <v>74.765000000000001</v>
      </c>
      <c r="N1590">
        <v>7.2169999999999996</v>
      </c>
    </row>
    <row r="1591" spans="1:14" x14ac:dyDescent="0.45">
      <c r="A1591">
        <v>1988</v>
      </c>
      <c r="B1591" t="s">
        <v>117</v>
      </c>
      <c r="C1591">
        <v>0</v>
      </c>
      <c r="D1591">
        <v>0</v>
      </c>
      <c r="E1591">
        <v>0</v>
      </c>
      <c r="F1591">
        <v>1</v>
      </c>
      <c r="G1591">
        <v>0</v>
      </c>
      <c r="H1591">
        <v>0</v>
      </c>
      <c r="I1591">
        <v>0</v>
      </c>
      <c r="J1591">
        <v>7670.5500187958296</v>
      </c>
      <c r="K1591">
        <v>7511.79032721153</v>
      </c>
      <c r="L1591">
        <v>59.914999999999999</v>
      </c>
      <c r="M1591">
        <v>64.950999999999993</v>
      </c>
      <c r="N1591">
        <v>31.382999999999999</v>
      </c>
    </row>
    <row r="1592" spans="1:14" x14ac:dyDescent="0.45">
      <c r="A1592">
        <v>1988</v>
      </c>
      <c r="B1592" t="s">
        <v>118</v>
      </c>
      <c r="C1592">
        <v>1</v>
      </c>
      <c r="D1592">
        <v>0</v>
      </c>
      <c r="E1592">
        <v>0</v>
      </c>
      <c r="F1592">
        <v>0</v>
      </c>
      <c r="G1592">
        <v>0</v>
      </c>
      <c r="H1592">
        <v>1</v>
      </c>
      <c r="I1592">
        <v>1</v>
      </c>
      <c r="J1592">
        <v>35729.598442461996</v>
      </c>
      <c r="K1592">
        <v>29830.598428280999</v>
      </c>
      <c r="L1592">
        <v>26.125</v>
      </c>
      <c r="M1592">
        <v>76.397999999999996</v>
      </c>
      <c r="N1592">
        <v>9.6370000000000005</v>
      </c>
    </row>
    <row r="1593" spans="1:14" x14ac:dyDescent="0.45">
      <c r="A1593">
        <v>1988</v>
      </c>
      <c r="B1593" t="s">
        <v>119</v>
      </c>
      <c r="C1593">
        <v>1</v>
      </c>
      <c r="D1593">
        <v>0</v>
      </c>
      <c r="E1593">
        <v>0</v>
      </c>
      <c r="F1593">
        <v>0</v>
      </c>
      <c r="G1593">
        <v>0</v>
      </c>
      <c r="H1593">
        <v>1</v>
      </c>
      <c r="I1593">
        <v>1</v>
      </c>
      <c r="L1593">
        <v>69.484999999999999</v>
      </c>
      <c r="M1593">
        <v>76.486000000000004</v>
      </c>
      <c r="N1593">
        <v>12.24</v>
      </c>
    </row>
    <row r="1594" spans="1:14" x14ac:dyDescent="0.45">
      <c r="A1594">
        <v>1988</v>
      </c>
      <c r="B1594" t="s">
        <v>120</v>
      </c>
      <c r="C1594">
        <v>0</v>
      </c>
      <c r="D1594">
        <v>0</v>
      </c>
      <c r="E1594">
        <v>0</v>
      </c>
      <c r="F1594">
        <v>1</v>
      </c>
      <c r="G1594">
        <v>0</v>
      </c>
      <c r="H1594">
        <v>0</v>
      </c>
      <c r="I1594">
        <v>0</v>
      </c>
      <c r="J1594">
        <v>3075.2588259414701</v>
      </c>
      <c r="K1594">
        <v>2783.5335943774999</v>
      </c>
      <c r="L1594">
        <v>74.05</v>
      </c>
      <c r="M1594">
        <v>63.460999999999999</v>
      </c>
      <c r="N1594">
        <v>51.292000000000002</v>
      </c>
    </row>
    <row r="1595" spans="1:14" x14ac:dyDescent="0.45">
      <c r="A1595">
        <v>1988</v>
      </c>
      <c r="B1595" t="s">
        <v>121</v>
      </c>
      <c r="C1595">
        <v>0</v>
      </c>
      <c r="D1595">
        <v>0</v>
      </c>
      <c r="E1595">
        <v>1</v>
      </c>
      <c r="F1595">
        <v>0</v>
      </c>
      <c r="G1595">
        <v>1</v>
      </c>
      <c r="H1595">
        <v>0</v>
      </c>
      <c r="I1595">
        <v>0</v>
      </c>
      <c r="J1595">
        <v>20612.146503057102</v>
      </c>
      <c r="K1595">
        <v>15595.972839851</v>
      </c>
      <c r="L1595">
        <v>33.588000000000001</v>
      </c>
      <c r="M1595">
        <v>60.398000000000003</v>
      </c>
      <c r="N1595">
        <v>96.323999999999998</v>
      </c>
    </row>
    <row r="1596" spans="1:14" x14ac:dyDescent="0.45">
      <c r="A1596">
        <v>1988</v>
      </c>
      <c r="B1596" t="s">
        <v>122</v>
      </c>
      <c r="C1596">
        <v>1</v>
      </c>
      <c r="D1596">
        <v>0</v>
      </c>
      <c r="E1596">
        <v>0</v>
      </c>
      <c r="F1596">
        <v>0</v>
      </c>
      <c r="G1596">
        <v>0</v>
      </c>
      <c r="H1596">
        <v>1</v>
      </c>
      <c r="I1596">
        <v>1</v>
      </c>
      <c r="J1596">
        <v>31947.473632765701</v>
      </c>
      <c r="K1596">
        <v>27523.711970263099</v>
      </c>
      <c r="L1596">
        <v>21.76</v>
      </c>
      <c r="M1596">
        <v>75.259</v>
      </c>
      <c r="N1596">
        <v>10.666</v>
      </c>
    </row>
    <row r="1597" spans="1:14" x14ac:dyDescent="0.45">
      <c r="A1597">
        <v>1988</v>
      </c>
      <c r="B1597" t="s">
        <v>123</v>
      </c>
      <c r="C1597">
        <v>1</v>
      </c>
      <c r="D1597">
        <v>0</v>
      </c>
      <c r="E1597">
        <v>0</v>
      </c>
      <c r="F1597">
        <v>1</v>
      </c>
      <c r="G1597">
        <v>0</v>
      </c>
      <c r="H1597">
        <v>0</v>
      </c>
      <c r="I1597">
        <v>0</v>
      </c>
      <c r="J1597">
        <v>13352.0483599851</v>
      </c>
      <c r="K1597">
        <v>11280.954455115199</v>
      </c>
      <c r="L1597">
        <v>44.792000000000002</v>
      </c>
      <c r="M1597">
        <v>68.825000000000003</v>
      </c>
      <c r="N1597">
        <v>48.503999999999998</v>
      </c>
    </row>
    <row r="1598" spans="1:14" x14ac:dyDescent="0.45">
      <c r="A1598">
        <v>1988</v>
      </c>
      <c r="B1598" t="s">
        <v>124</v>
      </c>
      <c r="C1598">
        <v>0</v>
      </c>
      <c r="D1598">
        <v>0</v>
      </c>
      <c r="E1598">
        <v>1</v>
      </c>
      <c r="F1598">
        <v>0</v>
      </c>
      <c r="G1598">
        <v>0</v>
      </c>
      <c r="H1598">
        <v>0</v>
      </c>
      <c r="I1598">
        <v>0</v>
      </c>
      <c r="J1598">
        <v>2635.5081292415798</v>
      </c>
      <c r="K1598">
        <v>2273.7654691601101</v>
      </c>
      <c r="L1598">
        <v>64.995999999999995</v>
      </c>
      <c r="M1598">
        <v>54.396000000000001</v>
      </c>
      <c r="N1598">
        <v>138.53299999999999</v>
      </c>
    </row>
    <row r="1599" spans="1:14" x14ac:dyDescent="0.45">
      <c r="A1599">
        <v>1988</v>
      </c>
      <c r="B1599" t="s">
        <v>125</v>
      </c>
      <c r="C1599">
        <v>1</v>
      </c>
      <c r="D1599">
        <v>0</v>
      </c>
      <c r="E1599">
        <v>0</v>
      </c>
      <c r="F1599">
        <v>0</v>
      </c>
      <c r="G1599">
        <v>1</v>
      </c>
      <c r="H1599">
        <v>0</v>
      </c>
      <c r="I1599">
        <v>0</v>
      </c>
      <c r="L1599">
        <v>0</v>
      </c>
      <c r="M1599">
        <v>76.180000000000007</v>
      </c>
      <c r="N1599">
        <v>21.821999999999999</v>
      </c>
    </row>
    <row r="1600" spans="1:14" x14ac:dyDescent="0.45">
      <c r="A1600">
        <v>1988</v>
      </c>
      <c r="B1600" t="s">
        <v>126</v>
      </c>
      <c r="C1600">
        <v>0</v>
      </c>
      <c r="D1600">
        <v>0</v>
      </c>
      <c r="E1600">
        <v>1</v>
      </c>
      <c r="F1600">
        <v>0</v>
      </c>
      <c r="G1600">
        <v>0</v>
      </c>
      <c r="H1600">
        <v>0</v>
      </c>
      <c r="I1600">
        <v>0</v>
      </c>
      <c r="J1600">
        <v>2007.7439904845501</v>
      </c>
      <c r="K1600">
        <v>1618.7753376022799</v>
      </c>
      <c r="L1600">
        <v>72.540999999999997</v>
      </c>
      <c r="M1600">
        <v>46.478000000000002</v>
      </c>
      <c r="N1600">
        <v>243.303</v>
      </c>
    </row>
    <row r="1601" spans="1:14" x14ac:dyDescent="0.45">
      <c r="A1601">
        <v>1988</v>
      </c>
      <c r="B1601" t="s">
        <v>127</v>
      </c>
      <c r="C1601">
        <v>0</v>
      </c>
      <c r="D1601">
        <v>0</v>
      </c>
      <c r="E1601">
        <v>1</v>
      </c>
      <c r="F1601">
        <v>0</v>
      </c>
      <c r="G1601">
        <v>0</v>
      </c>
      <c r="H1601">
        <v>0</v>
      </c>
      <c r="I1601">
        <v>0</v>
      </c>
      <c r="J1601">
        <v>2612.9821227173602</v>
      </c>
      <c r="K1601">
        <v>2103.1813807169601</v>
      </c>
      <c r="L1601">
        <v>63.844999999999999</v>
      </c>
      <c r="M1601">
        <v>50.146000000000001</v>
      </c>
      <c r="N1601">
        <v>177.95599999999999</v>
      </c>
    </row>
    <row r="1602" spans="1:14" x14ac:dyDescent="0.45">
      <c r="A1602">
        <v>1988</v>
      </c>
      <c r="B1602" t="s">
        <v>128</v>
      </c>
      <c r="C1602">
        <v>0</v>
      </c>
      <c r="D1602">
        <v>0</v>
      </c>
      <c r="E1602">
        <v>1</v>
      </c>
      <c r="F1602">
        <v>0</v>
      </c>
      <c r="G1602">
        <v>0</v>
      </c>
      <c r="H1602">
        <v>0</v>
      </c>
      <c r="I1602">
        <v>0</v>
      </c>
      <c r="J1602">
        <v>1914.5054764060001</v>
      </c>
      <c r="K1602">
        <v>1722.2861566062099</v>
      </c>
      <c r="L1602">
        <v>72.159000000000006</v>
      </c>
      <c r="M1602">
        <v>46.279000000000003</v>
      </c>
      <c r="N1602">
        <v>230.209</v>
      </c>
    </row>
    <row r="1603" spans="1:14" x14ac:dyDescent="0.45">
      <c r="A1603">
        <v>1988</v>
      </c>
      <c r="B1603" t="s">
        <v>129</v>
      </c>
      <c r="C1603">
        <v>0</v>
      </c>
      <c r="D1603">
        <v>0</v>
      </c>
      <c r="E1603">
        <v>1</v>
      </c>
      <c r="F1603">
        <v>0</v>
      </c>
      <c r="G1603">
        <v>0</v>
      </c>
      <c r="H1603">
        <v>0</v>
      </c>
      <c r="I1603">
        <v>0</v>
      </c>
      <c r="J1603">
        <v>1197.2471487407699</v>
      </c>
      <c r="K1603">
        <v>991.93453780665197</v>
      </c>
      <c r="L1603">
        <v>67.22</v>
      </c>
      <c r="M1603">
        <v>51.183999999999997</v>
      </c>
      <c r="N1603">
        <v>181.82599999999999</v>
      </c>
    </row>
    <row r="1604" spans="1:14" x14ac:dyDescent="0.45">
      <c r="A1604">
        <v>1988</v>
      </c>
      <c r="B1604" t="s">
        <v>130</v>
      </c>
      <c r="C1604">
        <v>1</v>
      </c>
      <c r="D1604">
        <v>0</v>
      </c>
      <c r="E1604">
        <v>0</v>
      </c>
      <c r="F1604">
        <v>0</v>
      </c>
      <c r="G1604">
        <v>1</v>
      </c>
      <c r="H1604">
        <v>0</v>
      </c>
      <c r="I1604">
        <v>0</v>
      </c>
      <c r="J1604">
        <v>25086.060144087402</v>
      </c>
      <c r="K1604">
        <v>22456.8933395227</v>
      </c>
      <c r="L1604">
        <v>28.91</v>
      </c>
      <c r="M1604">
        <v>77.001000000000005</v>
      </c>
      <c r="N1604">
        <v>12.051</v>
      </c>
    </row>
    <row r="1605" spans="1:14" x14ac:dyDescent="0.45">
      <c r="A1605">
        <v>1988</v>
      </c>
      <c r="B1605" t="s">
        <v>131</v>
      </c>
      <c r="C1605">
        <v>0</v>
      </c>
      <c r="D1605">
        <v>1</v>
      </c>
      <c r="E1605">
        <v>0</v>
      </c>
      <c r="F1605">
        <v>1</v>
      </c>
      <c r="G1605">
        <v>0</v>
      </c>
      <c r="H1605">
        <v>0</v>
      </c>
      <c r="I1605">
        <v>0</v>
      </c>
      <c r="J1605">
        <v>8455.8218003648508</v>
      </c>
      <c r="K1605">
        <v>7802.22966509653</v>
      </c>
      <c r="L1605">
        <v>66.673000000000002</v>
      </c>
      <c r="M1605">
        <v>70.045000000000002</v>
      </c>
      <c r="N1605">
        <v>24.776</v>
      </c>
    </row>
    <row r="1606" spans="1:14" x14ac:dyDescent="0.45">
      <c r="A1606">
        <v>1988</v>
      </c>
      <c r="B1606" t="s">
        <v>132</v>
      </c>
      <c r="C1606">
        <v>1</v>
      </c>
      <c r="D1606">
        <v>0</v>
      </c>
      <c r="E1606">
        <v>0</v>
      </c>
      <c r="F1606">
        <v>0</v>
      </c>
      <c r="G1606">
        <v>0</v>
      </c>
      <c r="H1606">
        <v>1</v>
      </c>
      <c r="I1606">
        <v>1</v>
      </c>
      <c r="J1606">
        <v>41094.422805651702</v>
      </c>
      <c r="K1606">
        <v>37197.363495240199</v>
      </c>
      <c r="L1606">
        <v>20.984000000000002</v>
      </c>
      <c r="M1606">
        <v>62.984999999999999</v>
      </c>
      <c r="N1606">
        <v>36.783999999999999</v>
      </c>
    </row>
    <row r="1607" spans="1:14" x14ac:dyDescent="0.45">
      <c r="A1607">
        <v>1988</v>
      </c>
      <c r="B1607" t="s">
        <v>133</v>
      </c>
      <c r="C1607">
        <v>0</v>
      </c>
      <c r="D1607">
        <v>1</v>
      </c>
      <c r="E1607">
        <v>0</v>
      </c>
      <c r="F1607">
        <v>1</v>
      </c>
      <c r="G1607">
        <v>0</v>
      </c>
      <c r="H1607">
        <v>0</v>
      </c>
      <c r="I1607">
        <v>0</v>
      </c>
      <c r="J1607">
        <v>7439.0077322222696</v>
      </c>
      <c r="K1607">
        <v>6462.0849495123102</v>
      </c>
      <c r="L1607">
        <v>58.667999999999999</v>
      </c>
      <c r="M1607">
        <v>61.537999999999997</v>
      </c>
      <c r="N1607">
        <v>87.698999999999998</v>
      </c>
    </row>
    <row r="1608" spans="1:14" x14ac:dyDescent="0.45">
      <c r="A1608">
        <v>1988</v>
      </c>
      <c r="B1608" t="s">
        <v>134</v>
      </c>
      <c r="C1608">
        <v>0</v>
      </c>
      <c r="D1608">
        <v>0</v>
      </c>
      <c r="E1608">
        <v>0</v>
      </c>
      <c r="F1608">
        <v>0</v>
      </c>
      <c r="G1608">
        <v>0</v>
      </c>
      <c r="H1608">
        <v>1</v>
      </c>
      <c r="I1608">
        <v>1</v>
      </c>
      <c r="L1608">
        <v>8.6460000000000008</v>
      </c>
      <c r="M1608">
        <v>73.429000000000002</v>
      </c>
      <c r="N1608">
        <v>13.233000000000001</v>
      </c>
    </row>
    <row r="1609" spans="1:14" x14ac:dyDescent="0.45">
      <c r="A1609">
        <v>1988</v>
      </c>
      <c r="B1609" t="s">
        <v>135</v>
      </c>
      <c r="C1609">
        <v>0</v>
      </c>
      <c r="D1609">
        <v>1</v>
      </c>
      <c r="E1609">
        <v>0</v>
      </c>
      <c r="F1609">
        <v>0</v>
      </c>
      <c r="G1609">
        <v>0</v>
      </c>
      <c r="H1609">
        <v>0</v>
      </c>
      <c r="I1609">
        <v>0</v>
      </c>
      <c r="J1609">
        <v>5475.9818791333901</v>
      </c>
      <c r="K1609">
        <v>5237.1148309599703</v>
      </c>
      <c r="L1609">
        <v>70.236999999999995</v>
      </c>
      <c r="M1609">
        <v>61.848999999999997</v>
      </c>
      <c r="N1609">
        <v>63.231000000000002</v>
      </c>
    </row>
    <row r="1610" spans="1:14" x14ac:dyDescent="0.45">
      <c r="A1610">
        <v>1988</v>
      </c>
      <c r="B1610" t="s">
        <v>136</v>
      </c>
      <c r="C1610">
        <v>0</v>
      </c>
      <c r="D1610">
        <v>0</v>
      </c>
      <c r="E1610">
        <v>0</v>
      </c>
      <c r="F1610">
        <v>0</v>
      </c>
      <c r="G1610">
        <v>0</v>
      </c>
      <c r="H1610">
        <v>1</v>
      </c>
      <c r="I1610">
        <v>1</v>
      </c>
      <c r="J1610">
        <v>29011.287625236699</v>
      </c>
      <c r="K1610">
        <v>26182.787109441</v>
      </c>
      <c r="L1610">
        <v>1.6910000000000001</v>
      </c>
      <c r="M1610">
        <v>77.09</v>
      </c>
      <c r="N1610">
        <v>8.4920000000000009</v>
      </c>
    </row>
    <row r="1611" spans="1:14" x14ac:dyDescent="0.45">
      <c r="A1611">
        <v>1988</v>
      </c>
      <c r="B1611" t="s">
        <v>137</v>
      </c>
      <c r="C1611">
        <v>0</v>
      </c>
      <c r="D1611">
        <v>1</v>
      </c>
      <c r="E1611">
        <v>0</v>
      </c>
      <c r="F1611">
        <v>1</v>
      </c>
      <c r="G1611">
        <v>0</v>
      </c>
      <c r="H1611">
        <v>0</v>
      </c>
      <c r="I1611">
        <v>0</v>
      </c>
      <c r="J1611">
        <v>4480.7006252894798</v>
      </c>
      <c r="K1611">
        <v>4128.8671959371304</v>
      </c>
      <c r="L1611">
        <v>60.518999999999998</v>
      </c>
      <c r="M1611">
        <v>64.393000000000001</v>
      </c>
      <c r="N1611">
        <v>64.156999999999996</v>
      </c>
    </row>
    <row r="1612" spans="1:14" x14ac:dyDescent="0.45">
      <c r="A1612">
        <v>1988</v>
      </c>
      <c r="B1612" t="s">
        <v>138</v>
      </c>
      <c r="C1612">
        <v>1</v>
      </c>
      <c r="D1612">
        <v>0</v>
      </c>
      <c r="E1612">
        <v>0</v>
      </c>
      <c r="F1612">
        <v>0</v>
      </c>
      <c r="G1612">
        <v>1</v>
      </c>
      <c r="H1612">
        <v>0</v>
      </c>
      <c r="I1612">
        <v>0</v>
      </c>
      <c r="L1612">
        <v>49.661999999999999</v>
      </c>
      <c r="M1612">
        <v>72.150000000000006</v>
      </c>
      <c r="N1612">
        <v>14.212999999999999</v>
      </c>
    </row>
    <row r="1613" spans="1:14" x14ac:dyDescent="0.45">
      <c r="A1613">
        <v>1988</v>
      </c>
      <c r="B1613" t="s">
        <v>139</v>
      </c>
      <c r="C1613">
        <v>0</v>
      </c>
      <c r="D1613">
        <v>1</v>
      </c>
      <c r="E1613">
        <v>0</v>
      </c>
      <c r="F1613">
        <v>0</v>
      </c>
      <c r="G1613">
        <v>0</v>
      </c>
      <c r="H1613">
        <v>0</v>
      </c>
      <c r="I1613">
        <v>0</v>
      </c>
      <c r="J1613">
        <v>4217.5273055043399</v>
      </c>
      <c r="K1613">
        <v>4053.70066214709</v>
      </c>
      <c r="L1613">
        <v>73.671000000000006</v>
      </c>
      <c r="M1613">
        <v>52.554000000000002</v>
      </c>
      <c r="N1613">
        <v>153.191</v>
      </c>
    </row>
    <row r="1614" spans="1:14" x14ac:dyDescent="0.45">
      <c r="A1614">
        <v>1988</v>
      </c>
      <c r="B1614" t="s">
        <v>140</v>
      </c>
      <c r="C1614">
        <v>1</v>
      </c>
      <c r="D1614">
        <v>0</v>
      </c>
      <c r="E1614">
        <v>0</v>
      </c>
      <c r="F1614">
        <v>0</v>
      </c>
      <c r="G1614">
        <v>1</v>
      </c>
      <c r="H1614">
        <v>0</v>
      </c>
      <c r="I1614">
        <v>0</v>
      </c>
      <c r="J1614">
        <v>20893.941088875999</v>
      </c>
      <c r="K1614">
        <v>18207.345488837698</v>
      </c>
      <c r="L1614">
        <v>34.368000000000002</v>
      </c>
      <c r="M1614">
        <v>69.941999999999993</v>
      </c>
      <c r="N1614">
        <v>17.670000000000002</v>
      </c>
    </row>
    <row r="1615" spans="1:14" x14ac:dyDescent="0.45">
      <c r="A1615">
        <v>1988</v>
      </c>
      <c r="B1615" t="s">
        <v>141</v>
      </c>
      <c r="C1615">
        <v>0</v>
      </c>
      <c r="D1615">
        <v>0</v>
      </c>
      <c r="E1615">
        <v>0</v>
      </c>
      <c r="F1615">
        <v>0</v>
      </c>
      <c r="G1615">
        <v>0</v>
      </c>
      <c r="H1615">
        <v>0</v>
      </c>
      <c r="I1615">
        <v>0</v>
      </c>
      <c r="J1615">
        <v>4449.54169942519</v>
      </c>
      <c r="K1615">
        <v>4039.4825561044699</v>
      </c>
      <c r="L1615">
        <v>71.263999999999996</v>
      </c>
      <c r="M1615">
        <v>62.386000000000003</v>
      </c>
      <c r="N1615">
        <v>91.018000000000001</v>
      </c>
    </row>
    <row r="1616" spans="1:14" x14ac:dyDescent="0.45">
      <c r="A1616">
        <v>1988</v>
      </c>
      <c r="B1616" t="s">
        <v>142</v>
      </c>
      <c r="C1616">
        <v>1</v>
      </c>
      <c r="D1616">
        <v>0</v>
      </c>
      <c r="E1616">
        <v>0</v>
      </c>
      <c r="F1616">
        <v>0</v>
      </c>
      <c r="G1616">
        <v>0</v>
      </c>
      <c r="H1616">
        <v>1</v>
      </c>
      <c r="I1616">
        <v>1</v>
      </c>
      <c r="L1616">
        <v>48.246000000000002</v>
      </c>
      <c r="M1616">
        <v>71.057000000000002</v>
      </c>
      <c r="N1616">
        <v>39.856999999999999</v>
      </c>
    </row>
    <row r="1617" spans="1:14" x14ac:dyDescent="0.45">
      <c r="A1617">
        <v>1988</v>
      </c>
      <c r="B1617" t="s">
        <v>143</v>
      </c>
      <c r="C1617">
        <v>0</v>
      </c>
      <c r="D1617">
        <v>0</v>
      </c>
      <c r="E1617">
        <v>0</v>
      </c>
      <c r="F1617">
        <v>0</v>
      </c>
      <c r="G1617">
        <v>0</v>
      </c>
      <c r="H1617">
        <v>0</v>
      </c>
      <c r="I1617">
        <v>0</v>
      </c>
      <c r="J1617">
        <v>2042.3555812802599</v>
      </c>
      <c r="K1617">
        <v>1712.8936994353001</v>
      </c>
      <c r="L1617">
        <v>74.936999999999998</v>
      </c>
      <c r="M1617">
        <v>57.744</v>
      </c>
      <c r="N1617">
        <v>133.977</v>
      </c>
    </row>
    <row r="1618" spans="1:14" x14ac:dyDescent="0.45">
      <c r="A1618">
        <v>1988</v>
      </c>
      <c r="B1618" t="s">
        <v>144</v>
      </c>
      <c r="C1618">
        <v>1</v>
      </c>
      <c r="D1618">
        <v>0</v>
      </c>
      <c r="E1618">
        <v>0</v>
      </c>
      <c r="F1618">
        <v>0</v>
      </c>
      <c r="G1618">
        <v>0</v>
      </c>
      <c r="H1618">
        <v>1</v>
      </c>
      <c r="I1618">
        <v>1</v>
      </c>
      <c r="J1618">
        <v>26981.9342983754</v>
      </c>
      <c r="K1618">
        <v>24808.480876128899</v>
      </c>
      <c r="L1618">
        <v>43.322000000000003</v>
      </c>
      <c r="M1618">
        <v>74.424999999999997</v>
      </c>
      <c r="N1618">
        <v>10.401999999999999</v>
      </c>
    </row>
    <row r="1619" spans="1:14" x14ac:dyDescent="0.45">
      <c r="A1619">
        <v>1988</v>
      </c>
      <c r="B1619" t="s">
        <v>145</v>
      </c>
      <c r="C1619">
        <v>0</v>
      </c>
      <c r="D1619">
        <v>0</v>
      </c>
      <c r="E1619">
        <v>0</v>
      </c>
      <c r="F1619">
        <v>0</v>
      </c>
      <c r="G1619">
        <v>1</v>
      </c>
      <c r="H1619">
        <v>0</v>
      </c>
      <c r="I1619">
        <v>0</v>
      </c>
      <c r="J1619">
        <v>8306.6062777844909</v>
      </c>
      <c r="K1619">
        <v>8285.7955037599204</v>
      </c>
      <c r="L1619">
        <v>44.743000000000002</v>
      </c>
      <c r="M1619">
        <v>63.255000000000003</v>
      </c>
      <c r="N1619">
        <v>64.451999999999998</v>
      </c>
    </row>
    <row r="1620" spans="1:14" x14ac:dyDescent="0.45">
      <c r="A1620">
        <v>1988</v>
      </c>
      <c r="B1620" t="s">
        <v>146</v>
      </c>
      <c r="C1620">
        <v>0</v>
      </c>
      <c r="D1620">
        <v>0</v>
      </c>
      <c r="E1620">
        <v>0</v>
      </c>
      <c r="F1620">
        <v>0</v>
      </c>
      <c r="G1620">
        <v>1</v>
      </c>
      <c r="H1620">
        <v>0</v>
      </c>
      <c r="I1620">
        <v>0</v>
      </c>
      <c r="J1620">
        <v>7300.3634822611402</v>
      </c>
      <c r="K1620">
        <v>5160.5449415867697</v>
      </c>
      <c r="L1620">
        <v>29.928000000000001</v>
      </c>
      <c r="M1620">
        <v>56.692</v>
      </c>
      <c r="N1620">
        <v>69.716999999999999</v>
      </c>
    </row>
    <row r="1621" spans="1:14" x14ac:dyDescent="0.45">
      <c r="A1621">
        <v>1988</v>
      </c>
      <c r="B1621" t="s">
        <v>147</v>
      </c>
      <c r="C1621">
        <v>1</v>
      </c>
      <c r="D1621">
        <v>0</v>
      </c>
      <c r="E1621">
        <v>0</v>
      </c>
      <c r="F1621">
        <v>0</v>
      </c>
      <c r="G1621">
        <v>0</v>
      </c>
      <c r="H1621">
        <v>1</v>
      </c>
      <c r="I1621">
        <v>1</v>
      </c>
      <c r="J1621">
        <v>41188.406001677497</v>
      </c>
      <c r="K1621">
        <v>35639.869936837902</v>
      </c>
      <c r="L1621">
        <v>9.7059999999999995</v>
      </c>
      <c r="M1621">
        <v>76.893000000000001</v>
      </c>
      <c r="N1621">
        <v>8.1950000000000003</v>
      </c>
    </row>
    <row r="1622" spans="1:14" x14ac:dyDescent="0.45">
      <c r="A1622">
        <v>1988</v>
      </c>
      <c r="B1622" t="s">
        <v>148</v>
      </c>
      <c r="C1622">
        <v>0</v>
      </c>
      <c r="D1622">
        <v>0</v>
      </c>
      <c r="E1622">
        <v>0</v>
      </c>
      <c r="F1622">
        <v>0</v>
      </c>
      <c r="G1622">
        <v>0</v>
      </c>
      <c r="H1622">
        <v>1</v>
      </c>
      <c r="I1622">
        <v>1</v>
      </c>
      <c r="J1622">
        <v>24943.713350525199</v>
      </c>
      <c r="K1622">
        <v>22880.298905046599</v>
      </c>
      <c r="L1622">
        <v>9.8499999999999908</v>
      </c>
      <c r="M1622">
        <v>76.891000000000005</v>
      </c>
      <c r="N1622">
        <v>11.757</v>
      </c>
    </row>
    <row r="1623" spans="1:14" x14ac:dyDescent="0.45">
      <c r="A1623">
        <v>1988</v>
      </c>
      <c r="B1623" t="s">
        <v>149</v>
      </c>
      <c r="C1623">
        <v>1</v>
      </c>
      <c r="D1623">
        <v>0</v>
      </c>
      <c r="E1623">
        <v>0</v>
      </c>
      <c r="F1623">
        <v>0</v>
      </c>
      <c r="G1623">
        <v>0</v>
      </c>
      <c r="H1623">
        <v>1</v>
      </c>
      <c r="I1623">
        <v>1</v>
      </c>
      <c r="J1623">
        <v>39646.653500439999</v>
      </c>
      <c r="K1623">
        <v>33769.715713072699</v>
      </c>
      <c r="L1623">
        <v>33.234000000000002</v>
      </c>
      <c r="M1623">
        <v>76.531999999999996</v>
      </c>
      <c r="N1623">
        <v>10.586</v>
      </c>
    </row>
    <row r="1624" spans="1:14" x14ac:dyDescent="0.45">
      <c r="A1624">
        <v>1988</v>
      </c>
      <c r="B1624" t="s">
        <v>150</v>
      </c>
      <c r="C1624">
        <v>0</v>
      </c>
      <c r="D1624">
        <v>1</v>
      </c>
      <c r="E1624">
        <v>0</v>
      </c>
      <c r="F1624">
        <v>1</v>
      </c>
      <c r="G1624">
        <v>0</v>
      </c>
      <c r="H1624">
        <v>0</v>
      </c>
      <c r="I1624">
        <v>0</v>
      </c>
      <c r="J1624">
        <v>7953.3442408901501</v>
      </c>
      <c r="K1624">
        <v>7838.2606025966197</v>
      </c>
      <c r="L1624">
        <v>50.963999999999999</v>
      </c>
      <c r="M1624">
        <v>71.161000000000001</v>
      </c>
      <c r="N1624">
        <v>29.701000000000001</v>
      </c>
    </row>
    <row r="1625" spans="1:14" x14ac:dyDescent="0.45">
      <c r="A1625">
        <v>1988</v>
      </c>
      <c r="B1625" t="s">
        <v>151</v>
      </c>
      <c r="C1625">
        <v>0</v>
      </c>
      <c r="D1625">
        <v>0</v>
      </c>
      <c r="E1625">
        <v>0</v>
      </c>
      <c r="F1625">
        <v>1</v>
      </c>
      <c r="G1625">
        <v>0</v>
      </c>
      <c r="H1625">
        <v>0</v>
      </c>
      <c r="I1625">
        <v>0</v>
      </c>
      <c r="J1625">
        <v>9202.9679353617194</v>
      </c>
      <c r="K1625">
        <v>9129.7610046981299</v>
      </c>
      <c r="L1625">
        <v>29.132000000000001</v>
      </c>
      <c r="M1625">
        <v>69.605000000000004</v>
      </c>
      <c r="N1625">
        <v>38.884999999999998</v>
      </c>
    </row>
    <row r="1626" spans="1:14" x14ac:dyDescent="0.45">
      <c r="A1626">
        <v>1988</v>
      </c>
      <c r="B1626" t="s">
        <v>152</v>
      </c>
      <c r="C1626">
        <v>0</v>
      </c>
      <c r="D1626">
        <v>0</v>
      </c>
      <c r="E1626">
        <v>0</v>
      </c>
      <c r="F1626">
        <v>0</v>
      </c>
      <c r="G1626">
        <v>0</v>
      </c>
      <c r="H1626">
        <v>1</v>
      </c>
      <c r="I1626">
        <v>1</v>
      </c>
      <c r="J1626">
        <v>31775.175924512801</v>
      </c>
      <c r="K1626">
        <v>29434.372539459098</v>
      </c>
      <c r="L1626">
        <v>22.911999999999999</v>
      </c>
      <c r="M1626">
        <v>78.545000000000002</v>
      </c>
      <c r="N1626">
        <v>6.5650000000000004</v>
      </c>
    </row>
    <row r="1627" spans="1:14" x14ac:dyDescent="0.45">
      <c r="A1627">
        <v>1988</v>
      </c>
      <c r="B1627" t="s">
        <v>153</v>
      </c>
      <c r="C1627">
        <v>1</v>
      </c>
      <c r="D1627">
        <v>0</v>
      </c>
      <c r="E1627">
        <v>0</v>
      </c>
      <c r="F1627">
        <v>1</v>
      </c>
      <c r="G1627">
        <v>0</v>
      </c>
      <c r="H1627">
        <v>0</v>
      </c>
      <c r="I1627">
        <v>0</v>
      </c>
      <c r="L1627">
        <v>43.658999999999999</v>
      </c>
      <c r="M1627">
        <v>66.031999999999996</v>
      </c>
      <c r="N1627">
        <v>54.421999999999997</v>
      </c>
    </row>
    <row r="1628" spans="1:14" x14ac:dyDescent="0.45">
      <c r="A1628">
        <v>1988</v>
      </c>
      <c r="B1628" t="s">
        <v>154</v>
      </c>
      <c r="C1628">
        <v>0</v>
      </c>
      <c r="D1628">
        <v>0</v>
      </c>
      <c r="E1628">
        <v>1</v>
      </c>
      <c r="F1628">
        <v>0</v>
      </c>
      <c r="G1628">
        <v>0</v>
      </c>
      <c r="H1628">
        <v>0</v>
      </c>
      <c r="I1628">
        <v>0</v>
      </c>
      <c r="J1628">
        <v>4031.0555593253898</v>
      </c>
      <c r="K1628">
        <v>3474.1500738086202</v>
      </c>
      <c r="L1628">
        <v>83.617000000000004</v>
      </c>
      <c r="M1628">
        <v>60.32</v>
      </c>
      <c r="N1628">
        <v>97.539000000000001</v>
      </c>
    </row>
    <row r="1629" spans="1:14" x14ac:dyDescent="0.45">
      <c r="A1629">
        <v>1988</v>
      </c>
      <c r="B1629" t="s">
        <v>155</v>
      </c>
      <c r="C1629">
        <v>1</v>
      </c>
      <c r="D1629">
        <v>0</v>
      </c>
      <c r="E1629">
        <v>0</v>
      </c>
      <c r="F1629">
        <v>1</v>
      </c>
      <c r="G1629">
        <v>0</v>
      </c>
      <c r="H1629">
        <v>0</v>
      </c>
      <c r="I1629">
        <v>0</v>
      </c>
      <c r="J1629">
        <v>5444.6319319780796</v>
      </c>
      <c r="K1629">
        <v>4601.6288739623997</v>
      </c>
      <c r="L1629">
        <v>61.773000000000003</v>
      </c>
      <c r="M1629">
        <v>65.290999999999997</v>
      </c>
      <c r="N1629">
        <v>69.274000000000001</v>
      </c>
    </row>
    <row r="1630" spans="1:14" x14ac:dyDescent="0.45">
      <c r="A1630">
        <v>1988</v>
      </c>
      <c r="B1630" t="s">
        <v>156</v>
      </c>
      <c r="C1630">
        <v>0</v>
      </c>
      <c r="D1630">
        <v>0</v>
      </c>
      <c r="E1630">
        <v>0</v>
      </c>
      <c r="F1630">
        <v>0</v>
      </c>
      <c r="G1630">
        <v>0</v>
      </c>
      <c r="H1630">
        <v>0</v>
      </c>
      <c r="I1630">
        <v>0</v>
      </c>
      <c r="J1630">
        <v>2463.1283241165502</v>
      </c>
      <c r="K1630">
        <v>2208.6090553844601</v>
      </c>
      <c r="L1630">
        <v>85.117000000000004</v>
      </c>
      <c r="M1630">
        <v>54.433</v>
      </c>
      <c r="N1630">
        <v>123.629</v>
      </c>
    </row>
    <row r="1631" spans="1:14" x14ac:dyDescent="0.45">
      <c r="A1631">
        <v>1988</v>
      </c>
      <c r="B1631" t="s">
        <v>157</v>
      </c>
      <c r="C1631">
        <v>0</v>
      </c>
      <c r="D1631">
        <v>0</v>
      </c>
      <c r="E1631">
        <v>0</v>
      </c>
      <c r="F1631">
        <v>1</v>
      </c>
      <c r="G1631">
        <v>0</v>
      </c>
      <c r="H1631">
        <v>0</v>
      </c>
      <c r="I1631">
        <v>0</v>
      </c>
      <c r="J1631">
        <v>2200.7679180004998</v>
      </c>
      <c r="K1631">
        <v>1990.8131123188</v>
      </c>
      <c r="L1631">
        <v>65.594999999999999</v>
      </c>
      <c r="M1631">
        <v>60.055</v>
      </c>
      <c r="N1631">
        <v>97.757999999999996</v>
      </c>
    </row>
    <row r="1632" spans="1:14" x14ac:dyDescent="0.45">
      <c r="A1632">
        <v>1988</v>
      </c>
      <c r="B1632" t="s">
        <v>158</v>
      </c>
      <c r="C1632">
        <v>0</v>
      </c>
      <c r="D1632">
        <v>1</v>
      </c>
      <c r="E1632">
        <v>0</v>
      </c>
      <c r="F1632">
        <v>0</v>
      </c>
      <c r="G1632">
        <v>1</v>
      </c>
      <c r="H1632">
        <v>0</v>
      </c>
      <c r="I1632">
        <v>0</v>
      </c>
      <c r="J1632">
        <v>12257.2123781136</v>
      </c>
      <c r="K1632">
        <v>12105.6644276233</v>
      </c>
      <c r="L1632">
        <v>65.138000000000005</v>
      </c>
      <c r="M1632">
        <v>65.450999999999993</v>
      </c>
      <c r="N1632">
        <v>32.756999999999998</v>
      </c>
    </row>
    <row r="1633" spans="1:14" x14ac:dyDescent="0.45">
      <c r="A1633">
        <v>1988</v>
      </c>
      <c r="B1633" t="s">
        <v>159</v>
      </c>
      <c r="C1633">
        <v>0</v>
      </c>
      <c r="D1633">
        <v>0</v>
      </c>
      <c r="E1633">
        <v>0</v>
      </c>
      <c r="F1633">
        <v>0</v>
      </c>
      <c r="G1633">
        <v>1</v>
      </c>
      <c r="H1633">
        <v>0</v>
      </c>
      <c r="I1633">
        <v>0</v>
      </c>
      <c r="J1633">
        <v>11771.559380034199</v>
      </c>
      <c r="K1633">
        <v>10731.2183501296</v>
      </c>
      <c r="L1633">
        <v>29.611000000000001</v>
      </c>
      <c r="M1633">
        <v>70.16</v>
      </c>
      <c r="N1633">
        <v>18.777999999999999</v>
      </c>
    </row>
    <row r="1634" spans="1:14" x14ac:dyDescent="0.45">
      <c r="A1634">
        <v>1988</v>
      </c>
      <c r="B1634" t="s">
        <v>160</v>
      </c>
      <c r="C1634">
        <v>0</v>
      </c>
      <c r="D1634">
        <v>0</v>
      </c>
      <c r="E1634">
        <v>0</v>
      </c>
      <c r="F1634">
        <v>0</v>
      </c>
      <c r="G1634">
        <v>0</v>
      </c>
      <c r="H1634">
        <v>1</v>
      </c>
      <c r="I1634">
        <v>1</v>
      </c>
      <c r="J1634">
        <v>37134.037312361703</v>
      </c>
      <c r="K1634">
        <v>33071.578280102302</v>
      </c>
      <c r="L1634">
        <v>2.0539999999999998</v>
      </c>
      <c r="M1634">
        <v>74.643000000000001</v>
      </c>
      <c r="N1634">
        <v>19.751999999999999</v>
      </c>
    </row>
    <row r="1635" spans="1:14" x14ac:dyDescent="0.45">
      <c r="A1635">
        <v>1988</v>
      </c>
      <c r="B1635" t="s">
        <v>161</v>
      </c>
      <c r="C1635">
        <v>0</v>
      </c>
      <c r="D1635">
        <v>0</v>
      </c>
      <c r="E1635">
        <v>0</v>
      </c>
      <c r="F1635">
        <v>0</v>
      </c>
      <c r="G1635">
        <v>0</v>
      </c>
      <c r="H1635">
        <v>0</v>
      </c>
      <c r="I1635">
        <v>0</v>
      </c>
      <c r="J1635">
        <v>1897.9874636192999</v>
      </c>
      <c r="K1635">
        <v>1823.79056999827</v>
      </c>
      <c r="L1635">
        <v>85.233999999999995</v>
      </c>
      <c r="M1635">
        <v>53.076999999999998</v>
      </c>
      <c r="N1635">
        <v>163.28899999999999</v>
      </c>
    </row>
    <row r="1636" spans="1:14" x14ac:dyDescent="0.45">
      <c r="A1636">
        <v>1988</v>
      </c>
      <c r="B1636" t="s">
        <v>162</v>
      </c>
      <c r="C1636">
        <v>0</v>
      </c>
      <c r="D1636">
        <v>0</v>
      </c>
      <c r="E1636">
        <v>0</v>
      </c>
      <c r="F1636">
        <v>1</v>
      </c>
      <c r="G1636">
        <v>0</v>
      </c>
      <c r="H1636">
        <v>0</v>
      </c>
      <c r="I1636">
        <v>0</v>
      </c>
      <c r="J1636">
        <v>18249.456152298801</v>
      </c>
      <c r="K1636">
        <v>23720.522816681601</v>
      </c>
      <c r="L1636">
        <v>17.600000000000001</v>
      </c>
      <c r="M1636">
        <v>62.92</v>
      </c>
      <c r="N1636">
        <v>56.332999999999998</v>
      </c>
    </row>
    <row r="1637" spans="1:14" x14ac:dyDescent="0.45">
      <c r="A1637">
        <v>1988</v>
      </c>
      <c r="B1637" t="s">
        <v>163</v>
      </c>
      <c r="C1637">
        <v>0</v>
      </c>
      <c r="D1637">
        <v>0</v>
      </c>
      <c r="E1637">
        <v>1</v>
      </c>
      <c r="F1637">
        <v>0</v>
      </c>
      <c r="G1637">
        <v>0</v>
      </c>
      <c r="H1637">
        <v>0</v>
      </c>
      <c r="I1637">
        <v>0</v>
      </c>
      <c r="J1637">
        <v>2751.9134798884002</v>
      </c>
      <c r="K1637">
        <v>4065.8020443558498</v>
      </c>
      <c r="L1637">
        <v>49.805</v>
      </c>
      <c r="M1637">
        <v>44.064999999999998</v>
      </c>
      <c r="N1637">
        <v>252.303</v>
      </c>
    </row>
    <row r="1638" spans="1:14" x14ac:dyDescent="0.45">
      <c r="A1638">
        <v>1988</v>
      </c>
      <c r="B1638" t="s">
        <v>164</v>
      </c>
      <c r="C1638">
        <v>0</v>
      </c>
      <c r="D1638">
        <v>0</v>
      </c>
      <c r="E1638">
        <v>0</v>
      </c>
      <c r="F1638">
        <v>0</v>
      </c>
      <c r="G1638">
        <v>1</v>
      </c>
      <c r="H1638">
        <v>0</v>
      </c>
      <c r="I1638">
        <v>0</v>
      </c>
      <c r="J1638">
        <v>16589.9119137423</v>
      </c>
      <c r="K1638">
        <v>19388.549498365301</v>
      </c>
      <c r="L1638">
        <v>24.385999999999999</v>
      </c>
      <c r="M1638">
        <v>68.608000000000004</v>
      </c>
      <c r="N1638">
        <v>46.551000000000002</v>
      </c>
    </row>
    <row r="1639" spans="1:14" x14ac:dyDescent="0.45">
      <c r="A1639">
        <v>1988</v>
      </c>
      <c r="B1639" t="s">
        <v>165</v>
      </c>
      <c r="C1639">
        <v>0</v>
      </c>
      <c r="D1639">
        <v>1</v>
      </c>
      <c r="E1639">
        <v>0</v>
      </c>
      <c r="F1639">
        <v>1</v>
      </c>
      <c r="G1639">
        <v>0</v>
      </c>
      <c r="H1639">
        <v>0</v>
      </c>
      <c r="I1639">
        <v>0</v>
      </c>
      <c r="J1639">
        <v>14224.4645676334</v>
      </c>
      <c r="K1639">
        <v>10233.1794857081</v>
      </c>
      <c r="L1639">
        <v>71.225999999999999</v>
      </c>
      <c r="M1639">
        <v>69.736000000000004</v>
      </c>
      <c r="N1639">
        <v>21.812999999999999</v>
      </c>
    </row>
    <row r="1640" spans="1:14" x14ac:dyDescent="0.45">
      <c r="A1640">
        <v>1988</v>
      </c>
      <c r="B1640" t="s">
        <v>166</v>
      </c>
      <c r="C1640">
        <v>1</v>
      </c>
      <c r="D1640">
        <v>0</v>
      </c>
      <c r="E1640">
        <v>0</v>
      </c>
      <c r="F1640">
        <v>0</v>
      </c>
      <c r="G1640">
        <v>0</v>
      </c>
      <c r="H1640">
        <v>1</v>
      </c>
      <c r="I1640">
        <v>1</v>
      </c>
      <c r="L1640">
        <v>82.799000000000007</v>
      </c>
      <c r="M1640">
        <v>77.992999999999995</v>
      </c>
      <c r="N1640">
        <v>13.023</v>
      </c>
    </row>
    <row r="1641" spans="1:14" x14ac:dyDescent="0.45">
      <c r="A1641">
        <v>1988</v>
      </c>
      <c r="B1641" t="s">
        <v>167</v>
      </c>
      <c r="C1641">
        <v>0</v>
      </c>
      <c r="D1641">
        <v>0</v>
      </c>
      <c r="E1641">
        <v>0</v>
      </c>
      <c r="F1641">
        <v>0</v>
      </c>
      <c r="G1641">
        <v>0</v>
      </c>
      <c r="H1641">
        <v>0</v>
      </c>
      <c r="I1641">
        <v>0</v>
      </c>
      <c r="J1641">
        <v>4442.2146127661099</v>
      </c>
      <c r="K1641">
        <v>4148.9582386751999</v>
      </c>
      <c r="L1641">
        <v>81.433999999999997</v>
      </c>
      <c r="M1641">
        <v>68.995000000000005</v>
      </c>
      <c r="N1641">
        <v>24.533000000000001</v>
      </c>
    </row>
    <row r="1642" spans="1:14" x14ac:dyDescent="0.45">
      <c r="A1642">
        <v>1988</v>
      </c>
      <c r="B1642" t="s">
        <v>168</v>
      </c>
      <c r="C1642">
        <v>0</v>
      </c>
      <c r="D1642">
        <v>0</v>
      </c>
      <c r="E1642">
        <v>1</v>
      </c>
      <c r="F1642">
        <v>0</v>
      </c>
      <c r="G1642">
        <v>0</v>
      </c>
      <c r="H1642">
        <v>0</v>
      </c>
      <c r="I1642">
        <v>0</v>
      </c>
      <c r="J1642">
        <v>1290.12836461508</v>
      </c>
      <c r="K1642">
        <v>1155.2069927843099</v>
      </c>
      <c r="L1642">
        <v>87.099000000000004</v>
      </c>
      <c r="M1642">
        <v>59.572000000000003</v>
      </c>
      <c r="N1642">
        <v>89.320999999999998</v>
      </c>
    </row>
    <row r="1643" spans="1:14" x14ac:dyDescent="0.45">
      <c r="A1643">
        <v>1988</v>
      </c>
      <c r="B1643" t="s">
        <v>169</v>
      </c>
      <c r="C1643">
        <v>1</v>
      </c>
      <c r="D1643">
        <v>0</v>
      </c>
      <c r="E1643">
        <v>0</v>
      </c>
      <c r="F1643">
        <v>0</v>
      </c>
      <c r="G1643">
        <v>1</v>
      </c>
      <c r="H1643">
        <v>0</v>
      </c>
      <c r="I1643">
        <v>0</v>
      </c>
      <c r="L1643">
        <v>32.72</v>
      </c>
      <c r="M1643">
        <v>72.028999999999996</v>
      </c>
      <c r="N1643">
        <v>14.784000000000001</v>
      </c>
    </row>
    <row r="1644" spans="1:14" x14ac:dyDescent="0.45">
      <c r="A1644">
        <v>1988</v>
      </c>
      <c r="B1644" t="s">
        <v>170</v>
      </c>
      <c r="C1644">
        <v>1</v>
      </c>
      <c r="D1644">
        <v>0</v>
      </c>
      <c r="E1644">
        <v>0</v>
      </c>
      <c r="F1644">
        <v>0</v>
      </c>
      <c r="G1644">
        <v>0</v>
      </c>
      <c r="H1644">
        <v>1</v>
      </c>
      <c r="I1644">
        <v>1</v>
      </c>
      <c r="J1644">
        <v>69565.1154882103</v>
      </c>
      <c r="K1644">
        <v>59447.656443302702</v>
      </c>
      <c r="L1644">
        <v>19.164000000000001</v>
      </c>
      <c r="M1644">
        <v>74.277000000000001</v>
      </c>
      <c r="N1644">
        <v>10.552</v>
      </c>
    </row>
    <row r="1645" spans="1:14" x14ac:dyDescent="0.45">
      <c r="A1645">
        <v>1988</v>
      </c>
      <c r="B1645" t="s">
        <v>171</v>
      </c>
      <c r="C1645">
        <v>1</v>
      </c>
      <c r="D1645">
        <v>0</v>
      </c>
      <c r="E1645">
        <v>0</v>
      </c>
      <c r="F1645">
        <v>0</v>
      </c>
      <c r="G1645">
        <v>1</v>
      </c>
      <c r="H1645">
        <v>0</v>
      </c>
      <c r="I1645">
        <v>0</v>
      </c>
      <c r="L1645">
        <v>30.888000000000002</v>
      </c>
      <c r="M1645">
        <v>70.914000000000001</v>
      </c>
      <c r="N1645">
        <v>14.574999999999999</v>
      </c>
    </row>
    <row r="1646" spans="1:14" x14ac:dyDescent="0.45">
      <c r="A1646">
        <v>1988</v>
      </c>
      <c r="B1646" t="s">
        <v>172</v>
      </c>
      <c r="C1646">
        <v>0</v>
      </c>
      <c r="D1646">
        <v>0</v>
      </c>
      <c r="E1646">
        <v>0</v>
      </c>
      <c r="F1646">
        <v>0</v>
      </c>
      <c r="G1646">
        <v>1</v>
      </c>
      <c r="H1646">
        <v>0</v>
      </c>
      <c r="I1646">
        <v>0</v>
      </c>
      <c r="J1646">
        <v>51634.125997679403</v>
      </c>
      <c r="K1646">
        <v>46792.987056760998</v>
      </c>
      <c r="L1646">
        <v>0.34900000000000397</v>
      </c>
      <c r="M1646">
        <v>75.543999999999997</v>
      </c>
      <c r="N1646">
        <v>14.88</v>
      </c>
    </row>
    <row r="1647" spans="1:14" x14ac:dyDescent="0.45">
      <c r="A1647">
        <v>1988</v>
      </c>
      <c r="B1647" t="s">
        <v>173</v>
      </c>
      <c r="C1647">
        <v>0</v>
      </c>
      <c r="D1647">
        <v>1</v>
      </c>
      <c r="E1647">
        <v>0</v>
      </c>
      <c r="F1647">
        <v>0</v>
      </c>
      <c r="G1647">
        <v>0</v>
      </c>
      <c r="H1647">
        <v>1</v>
      </c>
      <c r="I1647">
        <v>1</v>
      </c>
      <c r="L1647">
        <v>0</v>
      </c>
      <c r="M1647">
        <v>73.858000000000004</v>
      </c>
      <c r="N1647">
        <v>22.663</v>
      </c>
    </row>
    <row r="1648" spans="1:14" x14ac:dyDescent="0.45">
      <c r="A1648">
        <v>1988</v>
      </c>
      <c r="B1648" t="s">
        <v>174</v>
      </c>
      <c r="C1648">
        <v>0</v>
      </c>
      <c r="D1648">
        <v>0</v>
      </c>
      <c r="E1648">
        <v>0</v>
      </c>
      <c r="F1648">
        <v>1</v>
      </c>
      <c r="G1648">
        <v>0</v>
      </c>
      <c r="H1648">
        <v>0</v>
      </c>
      <c r="I1648">
        <v>0</v>
      </c>
      <c r="J1648">
        <v>3997.5593770934202</v>
      </c>
      <c r="K1648">
        <v>3839.1298615455698</v>
      </c>
      <c r="L1648">
        <v>53.057000000000002</v>
      </c>
      <c r="M1648">
        <v>61.231000000000002</v>
      </c>
      <c r="N1648">
        <v>88.813999999999993</v>
      </c>
    </row>
    <row r="1649" spans="1:14" x14ac:dyDescent="0.45">
      <c r="A1649">
        <v>1988</v>
      </c>
      <c r="B1649" t="s">
        <v>175</v>
      </c>
      <c r="C1649">
        <v>1</v>
      </c>
      <c r="D1649">
        <v>0</v>
      </c>
      <c r="E1649">
        <v>0</v>
      </c>
      <c r="F1649">
        <v>0</v>
      </c>
      <c r="G1649">
        <v>0</v>
      </c>
      <c r="H1649">
        <v>1</v>
      </c>
      <c r="I1649">
        <v>1</v>
      </c>
      <c r="L1649">
        <v>0</v>
      </c>
      <c r="M1649">
        <v>79.408000000000001</v>
      </c>
      <c r="N1649">
        <v>10.749000000000001</v>
      </c>
    </row>
    <row r="1650" spans="1:14" x14ac:dyDescent="0.45">
      <c r="A1650">
        <v>1988</v>
      </c>
      <c r="B1650" t="s">
        <v>176</v>
      </c>
      <c r="C1650">
        <v>1</v>
      </c>
      <c r="D1650">
        <v>0</v>
      </c>
      <c r="E1650">
        <v>0</v>
      </c>
      <c r="F1650">
        <v>1</v>
      </c>
      <c r="G1650">
        <v>0</v>
      </c>
      <c r="H1650">
        <v>0</v>
      </c>
      <c r="I1650">
        <v>0</v>
      </c>
      <c r="L1650">
        <v>53.512</v>
      </c>
      <c r="M1650">
        <v>68.191000000000003</v>
      </c>
      <c r="N1650">
        <v>36.503</v>
      </c>
    </row>
    <row r="1651" spans="1:14" x14ac:dyDescent="0.45">
      <c r="A1651">
        <v>1988</v>
      </c>
      <c r="B1651" t="s">
        <v>177</v>
      </c>
      <c r="C1651">
        <v>0</v>
      </c>
      <c r="D1651">
        <v>0</v>
      </c>
      <c r="E1651">
        <v>1</v>
      </c>
      <c r="F1651">
        <v>0</v>
      </c>
      <c r="G1651">
        <v>0</v>
      </c>
      <c r="H1651">
        <v>0</v>
      </c>
      <c r="I1651">
        <v>0</v>
      </c>
      <c r="J1651">
        <v>1937.7831610890501</v>
      </c>
      <c r="K1651">
        <v>1795.21375758306</v>
      </c>
      <c r="L1651">
        <v>77.513000000000005</v>
      </c>
      <c r="M1651">
        <v>51.424999999999997</v>
      </c>
      <c r="N1651">
        <v>165.25200000000001</v>
      </c>
    </row>
    <row r="1652" spans="1:14" x14ac:dyDescent="0.45">
      <c r="A1652">
        <v>1988</v>
      </c>
      <c r="B1652" t="s">
        <v>178</v>
      </c>
      <c r="C1652">
        <v>0</v>
      </c>
      <c r="D1652">
        <v>0</v>
      </c>
      <c r="E1652">
        <v>0</v>
      </c>
      <c r="F1652">
        <v>0</v>
      </c>
      <c r="G1652">
        <v>0</v>
      </c>
      <c r="H1652">
        <v>0</v>
      </c>
      <c r="I1652">
        <v>0</v>
      </c>
      <c r="J1652">
        <v>8037.76722235124</v>
      </c>
      <c r="K1652">
        <v>7929.9268988121403</v>
      </c>
      <c r="L1652">
        <v>74.272999999999996</v>
      </c>
      <c r="M1652">
        <v>61.59</v>
      </c>
      <c r="N1652">
        <v>96.284000000000006</v>
      </c>
    </row>
    <row r="1653" spans="1:14" x14ac:dyDescent="0.45">
      <c r="A1653">
        <v>1988</v>
      </c>
      <c r="B1653" t="s">
        <v>179</v>
      </c>
      <c r="C1653">
        <v>0</v>
      </c>
      <c r="D1653">
        <v>1</v>
      </c>
      <c r="E1653">
        <v>0</v>
      </c>
      <c r="F1653">
        <v>1</v>
      </c>
      <c r="G1653">
        <v>0</v>
      </c>
      <c r="H1653">
        <v>0</v>
      </c>
      <c r="I1653">
        <v>0</v>
      </c>
      <c r="J1653">
        <v>17021.1244400834</v>
      </c>
      <c r="K1653">
        <v>15824.1171216159</v>
      </c>
      <c r="L1653">
        <v>29.538</v>
      </c>
      <c r="M1653">
        <v>68.299000000000007</v>
      </c>
      <c r="N1653">
        <v>49.552999999999997</v>
      </c>
    </row>
    <row r="1654" spans="1:14" x14ac:dyDescent="0.45">
      <c r="A1654">
        <v>1988</v>
      </c>
      <c r="B1654" t="s">
        <v>180</v>
      </c>
      <c r="C1654">
        <v>0</v>
      </c>
      <c r="D1654">
        <v>0</v>
      </c>
      <c r="E1654">
        <v>0</v>
      </c>
      <c r="F1654">
        <v>1</v>
      </c>
      <c r="G1654">
        <v>0</v>
      </c>
      <c r="H1654">
        <v>0</v>
      </c>
      <c r="I1654">
        <v>0</v>
      </c>
      <c r="J1654">
        <v>4080.2507131715302</v>
      </c>
      <c r="K1654">
        <v>3690.5251049701601</v>
      </c>
      <c r="L1654">
        <v>35.776000000000003</v>
      </c>
      <c r="M1654">
        <v>61.777999999999999</v>
      </c>
      <c r="N1654">
        <v>51.127000000000002</v>
      </c>
    </row>
    <row r="1655" spans="1:14" x14ac:dyDescent="0.45">
      <c r="A1655">
        <v>1988</v>
      </c>
      <c r="B1655" t="s">
        <v>181</v>
      </c>
      <c r="C1655">
        <v>1</v>
      </c>
      <c r="D1655">
        <v>0</v>
      </c>
      <c r="E1655">
        <v>0</v>
      </c>
      <c r="F1655">
        <v>0</v>
      </c>
      <c r="G1655">
        <v>1</v>
      </c>
      <c r="H1655">
        <v>0</v>
      </c>
      <c r="I1655">
        <v>0</v>
      </c>
      <c r="L1655">
        <v>43.045000000000002</v>
      </c>
      <c r="M1655">
        <v>70.471000000000004</v>
      </c>
      <c r="N1655">
        <v>44.424999999999997</v>
      </c>
    </row>
    <row r="1656" spans="1:14" x14ac:dyDescent="0.45">
      <c r="A1656">
        <v>1988</v>
      </c>
      <c r="B1656" t="s">
        <v>182</v>
      </c>
      <c r="C1656">
        <v>0</v>
      </c>
      <c r="D1656">
        <v>0</v>
      </c>
      <c r="E1656">
        <v>1</v>
      </c>
      <c r="F1656">
        <v>0</v>
      </c>
      <c r="G1656">
        <v>0</v>
      </c>
      <c r="H1656">
        <v>0</v>
      </c>
      <c r="I1656">
        <v>0</v>
      </c>
      <c r="J1656">
        <v>1497.42480578859</v>
      </c>
      <c r="K1656">
        <v>1386.0310477464</v>
      </c>
      <c r="L1656">
        <v>77.518000000000001</v>
      </c>
      <c r="M1656">
        <v>45.72</v>
      </c>
      <c r="N1656">
        <v>244.82599999999999</v>
      </c>
    </row>
    <row r="1657" spans="1:14" x14ac:dyDescent="0.45">
      <c r="A1657">
        <v>1988</v>
      </c>
      <c r="B1657" t="s">
        <v>183</v>
      </c>
      <c r="C1657">
        <v>0</v>
      </c>
      <c r="D1657">
        <v>0</v>
      </c>
      <c r="E1657">
        <v>0</v>
      </c>
      <c r="F1657">
        <v>0</v>
      </c>
      <c r="G1657">
        <v>1</v>
      </c>
      <c r="H1657">
        <v>0</v>
      </c>
      <c r="I1657">
        <v>0</v>
      </c>
      <c r="J1657">
        <v>16190.2376789807</v>
      </c>
      <c r="K1657">
        <v>14005.3480358789</v>
      </c>
      <c r="L1657">
        <v>9.8529999999999909</v>
      </c>
      <c r="M1657">
        <v>75.867000000000004</v>
      </c>
      <c r="N1657">
        <v>10.195</v>
      </c>
    </row>
    <row r="1658" spans="1:14" x14ac:dyDescent="0.45">
      <c r="A1658">
        <v>1988</v>
      </c>
      <c r="B1658" t="s">
        <v>184</v>
      </c>
      <c r="C1658">
        <v>0</v>
      </c>
      <c r="D1658">
        <v>0</v>
      </c>
      <c r="E1658">
        <v>0</v>
      </c>
      <c r="F1658">
        <v>0</v>
      </c>
      <c r="G1658">
        <v>0</v>
      </c>
      <c r="H1658">
        <v>0</v>
      </c>
      <c r="I1658">
        <v>0</v>
      </c>
      <c r="J1658">
        <v>922.99080757674199</v>
      </c>
      <c r="K1658">
        <v>739.04163052545505</v>
      </c>
      <c r="L1658">
        <v>75.103999999999999</v>
      </c>
      <c r="M1658">
        <v>56.57</v>
      </c>
      <c r="N1658">
        <v>120.04900000000001</v>
      </c>
    </row>
    <row r="1659" spans="1:14" x14ac:dyDescent="0.45">
      <c r="A1659">
        <v>1988</v>
      </c>
      <c r="B1659" t="s">
        <v>185</v>
      </c>
      <c r="C1659">
        <v>1</v>
      </c>
      <c r="D1659">
        <v>0</v>
      </c>
      <c r="E1659">
        <v>0</v>
      </c>
      <c r="F1659">
        <v>0</v>
      </c>
      <c r="G1659">
        <v>1</v>
      </c>
      <c r="H1659">
        <v>0</v>
      </c>
      <c r="I1659">
        <v>0</v>
      </c>
      <c r="L1659">
        <v>54.261000000000003</v>
      </c>
      <c r="M1659">
        <v>73.41</v>
      </c>
      <c r="N1659">
        <v>20.189</v>
      </c>
    </row>
    <row r="1660" spans="1:14" x14ac:dyDescent="0.45">
      <c r="A1660">
        <v>1988</v>
      </c>
      <c r="B1660" t="s">
        <v>186</v>
      </c>
      <c r="C1660">
        <v>0</v>
      </c>
      <c r="D1660">
        <v>0</v>
      </c>
      <c r="E1660">
        <v>0</v>
      </c>
      <c r="F1660">
        <v>1</v>
      </c>
      <c r="G1660">
        <v>0</v>
      </c>
      <c r="H1660">
        <v>0</v>
      </c>
      <c r="I1660">
        <v>0</v>
      </c>
      <c r="J1660">
        <v>6365.7902330286197</v>
      </c>
      <c r="K1660">
        <v>4904.6879688644603</v>
      </c>
      <c r="L1660">
        <v>43.2</v>
      </c>
      <c r="M1660">
        <v>57.508000000000003</v>
      </c>
      <c r="N1660">
        <v>117.035</v>
      </c>
    </row>
    <row r="1661" spans="1:14" x14ac:dyDescent="0.45">
      <c r="A1661">
        <v>1988</v>
      </c>
      <c r="B1661" t="s">
        <v>187</v>
      </c>
      <c r="C1661">
        <v>0</v>
      </c>
      <c r="D1661">
        <v>0</v>
      </c>
      <c r="E1661">
        <v>0</v>
      </c>
      <c r="F1661">
        <v>1</v>
      </c>
      <c r="G1661">
        <v>0</v>
      </c>
      <c r="H1661">
        <v>0</v>
      </c>
      <c r="I1661">
        <v>0</v>
      </c>
      <c r="L1661">
        <v>10.743</v>
      </c>
      <c r="M1661">
        <v>69.614000000000004</v>
      </c>
      <c r="N1661">
        <v>10.241</v>
      </c>
    </row>
    <row r="1662" spans="1:14" x14ac:dyDescent="0.45">
      <c r="A1662">
        <v>1988</v>
      </c>
      <c r="B1662" t="s">
        <v>188</v>
      </c>
      <c r="C1662">
        <v>0</v>
      </c>
      <c r="D1662">
        <v>0</v>
      </c>
      <c r="E1662">
        <v>1</v>
      </c>
      <c r="F1662">
        <v>0</v>
      </c>
      <c r="G1662">
        <v>0</v>
      </c>
      <c r="H1662">
        <v>0</v>
      </c>
      <c r="I1662">
        <v>0</v>
      </c>
      <c r="J1662">
        <v>444.15609771426102</v>
      </c>
      <c r="K1662">
        <v>371.89185865056697</v>
      </c>
      <c r="L1662">
        <v>77.847999999999999</v>
      </c>
      <c r="M1662">
        <v>43.691000000000003</v>
      </c>
      <c r="N1662">
        <v>248.73500000000001</v>
      </c>
    </row>
    <row r="1663" spans="1:14" x14ac:dyDescent="0.45">
      <c r="A1663">
        <v>1988</v>
      </c>
      <c r="B1663" t="s">
        <v>189</v>
      </c>
      <c r="C1663">
        <v>0</v>
      </c>
      <c r="D1663">
        <v>0</v>
      </c>
      <c r="E1663">
        <v>1</v>
      </c>
      <c r="F1663">
        <v>0</v>
      </c>
      <c r="G1663">
        <v>0</v>
      </c>
      <c r="H1663">
        <v>0</v>
      </c>
      <c r="I1663">
        <v>0</v>
      </c>
      <c r="J1663">
        <v>5466.1636131118303</v>
      </c>
      <c r="K1663">
        <v>4835.9880349036503</v>
      </c>
      <c r="L1663">
        <v>60.43</v>
      </c>
      <c r="M1663">
        <v>57.482999999999997</v>
      </c>
      <c r="N1663">
        <v>123.9</v>
      </c>
    </row>
    <row r="1664" spans="1:14" x14ac:dyDescent="0.45">
      <c r="A1664">
        <v>1988</v>
      </c>
      <c r="B1664" t="s">
        <v>190</v>
      </c>
      <c r="C1664">
        <v>0</v>
      </c>
      <c r="D1664">
        <v>0</v>
      </c>
      <c r="E1664">
        <v>1</v>
      </c>
      <c r="F1664">
        <v>1</v>
      </c>
      <c r="G1664">
        <v>0</v>
      </c>
      <c r="H1664">
        <v>0</v>
      </c>
      <c r="I1664">
        <v>0</v>
      </c>
      <c r="J1664">
        <v>8141.3503375171904</v>
      </c>
      <c r="K1664">
        <v>7641.6723821983696</v>
      </c>
      <c r="L1664">
        <v>56.731000000000002</v>
      </c>
      <c r="M1664">
        <v>69.441000000000003</v>
      </c>
      <c r="N1664">
        <v>24.25</v>
      </c>
    </row>
    <row r="1665" spans="1:14" x14ac:dyDescent="0.45">
      <c r="A1665">
        <v>1988</v>
      </c>
      <c r="B1665" t="s">
        <v>191</v>
      </c>
      <c r="C1665">
        <v>0</v>
      </c>
      <c r="D1665">
        <v>0</v>
      </c>
      <c r="E1665">
        <v>1</v>
      </c>
      <c r="F1665">
        <v>0</v>
      </c>
      <c r="G1665">
        <v>0</v>
      </c>
      <c r="H1665">
        <v>0</v>
      </c>
      <c r="I1665">
        <v>0</v>
      </c>
      <c r="J1665">
        <v>1108.4016855323</v>
      </c>
      <c r="K1665">
        <v>948.41650332312304</v>
      </c>
      <c r="L1665">
        <v>89.066000000000003</v>
      </c>
      <c r="M1665">
        <v>43.569000000000003</v>
      </c>
      <c r="N1665">
        <v>248.55600000000001</v>
      </c>
    </row>
    <row r="1666" spans="1:14" x14ac:dyDescent="0.45">
      <c r="A1666">
        <v>1988</v>
      </c>
      <c r="B1666" t="s">
        <v>192</v>
      </c>
      <c r="C1666">
        <v>0</v>
      </c>
      <c r="D1666">
        <v>0</v>
      </c>
      <c r="E1666">
        <v>0</v>
      </c>
      <c r="F1666">
        <v>1</v>
      </c>
      <c r="G1666">
        <v>0</v>
      </c>
      <c r="H1666">
        <v>0</v>
      </c>
      <c r="I1666">
        <v>0</v>
      </c>
      <c r="J1666">
        <v>10659.151296280999</v>
      </c>
      <c r="K1666">
        <v>9528.0235714128394</v>
      </c>
      <c r="L1666">
        <v>51.768000000000001</v>
      </c>
      <c r="M1666">
        <v>70.551000000000002</v>
      </c>
      <c r="N1666">
        <v>18.5</v>
      </c>
    </row>
    <row r="1667" spans="1:14" x14ac:dyDescent="0.45">
      <c r="A1667">
        <v>1988</v>
      </c>
      <c r="B1667" t="s">
        <v>193</v>
      </c>
      <c r="C1667">
        <v>0</v>
      </c>
      <c r="D1667">
        <v>0</v>
      </c>
      <c r="E1667">
        <v>1</v>
      </c>
      <c r="F1667">
        <v>1</v>
      </c>
      <c r="G1667">
        <v>0</v>
      </c>
      <c r="H1667">
        <v>0</v>
      </c>
      <c r="I1667">
        <v>0</v>
      </c>
      <c r="J1667">
        <v>7826.2869718455804</v>
      </c>
      <c r="K1667">
        <v>6783.0413877349802</v>
      </c>
      <c r="L1667">
        <v>72.864000000000004</v>
      </c>
      <c r="M1667">
        <v>59.033000000000001</v>
      </c>
      <c r="N1667">
        <v>81.438999999999993</v>
      </c>
    </row>
    <row r="1668" spans="1:14" x14ac:dyDescent="0.45">
      <c r="A1668">
        <v>1988</v>
      </c>
      <c r="B1668" t="s">
        <v>194</v>
      </c>
      <c r="C1668">
        <v>0</v>
      </c>
      <c r="D1668">
        <v>0</v>
      </c>
      <c r="E1668">
        <v>0</v>
      </c>
      <c r="F1668">
        <v>0</v>
      </c>
      <c r="G1668">
        <v>1</v>
      </c>
      <c r="H1668">
        <v>0</v>
      </c>
      <c r="I1668">
        <v>0</v>
      </c>
      <c r="L1668">
        <v>40.713999999999999</v>
      </c>
      <c r="M1668">
        <v>68.92</v>
      </c>
      <c r="N1668">
        <v>34.968000000000004</v>
      </c>
    </row>
    <row r="1669" spans="1:14" x14ac:dyDescent="0.45">
      <c r="A1669">
        <v>1988</v>
      </c>
      <c r="B1669" t="s">
        <v>195</v>
      </c>
      <c r="C1669">
        <v>0</v>
      </c>
      <c r="D1669">
        <v>0</v>
      </c>
      <c r="E1669">
        <v>1</v>
      </c>
      <c r="F1669">
        <v>0</v>
      </c>
      <c r="G1669">
        <v>0</v>
      </c>
      <c r="H1669">
        <v>0</v>
      </c>
      <c r="I1669">
        <v>0</v>
      </c>
      <c r="J1669">
        <v>1390.5198951831601</v>
      </c>
      <c r="K1669">
        <v>1105.22996509479</v>
      </c>
      <c r="L1669">
        <v>84.790999999999997</v>
      </c>
      <c r="M1669">
        <v>40.790999999999997</v>
      </c>
      <c r="N1669">
        <v>340.678</v>
      </c>
    </row>
    <row r="1670" spans="1:14" x14ac:dyDescent="0.45">
      <c r="A1670">
        <v>1988</v>
      </c>
      <c r="B1670" t="s">
        <v>196</v>
      </c>
      <c r="C1670">
        <v>0</v>
      </c>
      <c r="D1670">
        <v>0</v>
      </c>
      <c r="E1670">
        <v>1</v>
      </c>
      <c r="F1670">
        <v>0</v>
      </c>
      <c r="G1670">
        <v>0</v>
      </c>
      <c r="H1670">
        <v>0</v>
      </c>
      <c r="I1670">
        <v>0</v>
      </c>
      <c r="J1670">
        <v>3521.1557264788198</v>
      </c>
      <c r="K1670">
        <v>3113.1762364986098</v>
      </c>
      <c r="L1670">
        <v>71.980999999999995</v>
      </c>
      <c r="M1670">
        <v>45.834000000000003</v>
      </c>
      <c r="N1670">
        <v>209.61600000000001</v>
      </c>
    </row>
    <row r="1671" spans="1:14" x14ac:dyDescent="0.45">
      <c r="A1671">
        <v>1988</v>
      </c>
      <c r="B1671" t="s">
        <v>197</v>
      </c>
      <c r="C1671">
        <v>0</v>
      </c>
      <c r="D1671">
        <v>1</v>
      </c>
      <c r="E1671">
        <v>0</v>
      </c>
      <c r="F1671">
        <v>1</v>
      </c>
      <c r="G1671">
        <v>0</v>
      </c>
      <c r="H1671">
        <v>0</v>
      </c>
      <c r="I1671">
        <v>0</v>
      </c>
      <c r="J1671">
        <v>5135.3374298570798</v>
      </c>
      <c r="K1671">
        <v>4325.3157584439105</v>
      </c>
      <c r="L1671">
        <v>47.481000000000002</v>
      </c>
      <c r="M1671">
        <v>59.832999999999998</v>
      </c>
      <c r="N1671">
        <v>86.441999999999993</v>
      </c>
    </row>
    <row r="1672" spans="1:14" x14ac:dyDescent="0.45">
      <c r="A1672">
        <v>1988</v>
      </c>
      <c r="B1672" t="s">
        <v>198</v>
      </c>
      <c r="C1672">
        <v>1</v>
      </c>
      <c r="D1672">
        <v>0</v>
      </c>
      <c r="E1672">
        <v>0</v>
      </c>
      <c r="F1672">
        <v>0</v>
      </c>
      <c r="G1672">
        <v>0</v>
      </c>
      <c r="H1672">
        <v>1</v>
      </c>
      <c r="I1672">
        <v>1</v>
      </c>
      <c r="J1672">
        <v>39963.9644447588</v>
      </c>
      <c r="K1672">
        <v>33735.301836544102</v>
      </c>
      <c r="L1672">
        <v>32.094000000000001</v>
      </c>
      <c r="M1672">
        <v>77</v>
      </c>
      <c r="N1672">
        <v>8.3810000000000002</v>
      </c>
    </row>
    <row r="1673" spans="1:14" x14ac:dyDescent="0.45">
      <c r="A1673">
        <v>1988</v>
      </c>
      <c r="B1673" t="s">
        <v>199</v>
      </c>
      <c r="C1673">
        <v>1</v>
      </c>
      <c r="D1673">
        <v>0</v>
      </c>
      <c r="E1673">
        <v>0</v>
      </c>
      <c r="F1673">
        <v>0</v>
      </c>
      <c r="G1673">
        <v>0</v>
      </c>
      <c r="H1673">
        <v>1</v>
      </c>
      <c r="I1673">
        <v>1</v>
      </c>
      <c r="J1673">
        <v>57205.932439689299</v>
      </c>
      <c r="K1673">
        <v>42268.754543264498</v>
      </c>
      <c r="L1673">
        <v>28.300999999999998</v>
      </c>
      <c r="M1673">
        <v>76.271000000000001</v>
      </c>
      <c r="N1673">
        <v>9.9789999999999992</v>
      </c>
    </row>
    <row r="1674" spans="1:14" x14ac:dyDescent="0.45">
      <c r="A1674">
        <v>1988</v>
      </c>
      <c r="B1674" t="s">
        <v>200</v>
      </c>
      <c r="C1674">
        <v>0</v>
      </c>
      <c r="D1674">
        <v>0</v>
      </c>
      <c r="E1674">
        <v>0</v>
      </c>
      <c r="F1674">
        <v>0</v>
      </c>
      <c r="G1674">
        <v>0</v>
      </c>
      <c r="H1674">
        <v>0</v>
      </c>
      <c r="I1674">
        <v>0</v>
      </c>
      <c r="J1674">
        <v>1705.6869851011099</v>
      </c>
      <c r="K1674">
        <v>1510.05649582913</v>
      </c>
      <c r="L1674">
        <v>91.762</v>
      </c>
      <c r="M1674">
        <v>53.109000000000002</v>
      </c>
      <c r="N1674">
        <v>152.75299999999999</v>
      </c>
    </row>
    <row r="1675" spans="1:14" x14ac:dyDescent="0.45">
      <c r="A1675">
        <v>1988</v>
      </c>
      <c r="B1675" t="s">
        <v>201</v>
      </c>
      <c r="C1675">
        <v>0</v>
      </c>
      <c r="D1675">
        <v>0</v>
      </c>
      <c r="E1675">
        <v>0</v>
      </c>
      <c r="F1675">
        <v>0</v>
      </c>
      <c r="G1675">
        <v>0</v>
      </c>
      <c r="H1675">
        <v>1</v>
      </c>
      <c r="I1675">
        <v>1</v>
      </c>
      <c r="J1675">
        <v>33955.374545059603</v>
      </c>
      <c r="K1675">
        <v>30720.122397141698</v>
      </c>
      <c r="L1675">
        <v>0</v>
      </c>
      <c r="M1675">
        <v>58.725000000000001</v>
      </c>
      <c r="N1675">
        <v>63.435000000000002</v>
      </c>
    </row>
    <row r="1676" spans="1:14" x14ac:dyDescent="0.45">
      <c r="A1676">
        <v>1988</v>
      </c>
      <c r="B1676" t="s">
        <v>202</v>
      </c>
      <c r="C1676">
        <v>0</v>
      </c>
      <c r="D1676">
        <v>0</v>
      </c>
      <c r="E1676">
        <v>0</v>
      </c>
      <c r="F1676">
        <v>0</v>
      </c>
      <c r="G1676">
        <v>0</v>
      </c>
      <c r="H1676">
        <v>1</v>
      </c>
      <c r="I1676">
        <v>1</v>
      </c>
      <c r="J1676">
        <v>30626.270188596001</v>
      </c>
      <c r="K1676">
        <v>27856.185303799899</v>
      </c>
      <c r="L1676">
        <v>15.731999999999999</v>
      </c>
      <c r="M1676">
        <v>74.477999999999994</v>
      </c>
      <c r="N1676">
        <v>13.2</v>
      </c>
    </row>
    <row r="1677" spans="1:14" x14ac:dyDescent="0.45">
      <c r="A1677">
        <v>1988</v>
      </c>
      <c r="B1677" t="s">
        <v>203</v>
      </c>
      <c r="C1677">
        <v>0</v>
      </c>
      <c r="D1677">
        <v>0</v>
      </c>
      <c r="E1677">
        <v>0</v>
      </c>
      <c r="F1677">
        <v>0</v>
      </c>
      <c r="G1677">
        <v>1</v>
      </c>
      <c r="H1677">
        <v>0</v>
      </c>
      <c r="I1677">
        <v>0</v>
      </c>
      <c r="J1677">
        <v>33195.777365187001</v>
      </c>
      <c r="K1677">
        <v>28844.494331898099</v>
      </c>
      <c r="L1677">
        <v>37.405999999999999</v>
      </c>
      <c r="M1677">
        <v>67.718000000000004</v>
      </c>
      <c r="N1677">
        <v>48.137</v>
      </c>
    </row>
    <row r="1678" spans="1:14" x14ac:dyDescent="0.45">
      <c r="A1678">
        <v>1988</v>
      </c>
      <c r="B1678" t="s">
        <v>204</v>
      </c>
      <c r="C1678">
        <v>0</v>
      </c>
      <c r="D1678">
        <v>0</v>
      </c>
      <c r="E1678">
        <v>0</v>
      </c>
      <c r="F1678">
        <v>0</v>
      </c>
      <c r="G1678">
        <v>0</v>
      </c>
      <c r="H1678">
        <v>0</v>
      </c>
      <c r="I1678">
        <v>0</v>
      </c>
      <c r="J1678">
        <v>3073.5678016879701</v>
      </c>
      <c r="K1678">
        <v>2925.7254411100298</v>
      </c>
      <c r="L1678">
        <v>69.92</v>
      </c>
      <c r="M1678">
        <v>59.36</v>
      </c>
      <c r="N1678">
        <v>145.10599999999999</v>
      </c>
    </row>
    <row r="1679" spans="1:14" x14ac:dyDescent="0.45">
      <c r="A1679">
        <v>1988</v>
      </c>
      <c r="B1679" t="s">
        <v>205</v>
      </c>
      <c r="C1679">
        <v>0</v>
      </c>
      <c r="D1679">
        <v>1</v>
      </c>
      <c r="E1679">
        <v>0</v>
      </c>
      <c r="F1679">
        <v>1</v>
      </c>
      <c r="G1679">
        <v>0</v>
      </c>
      <c r="H1679">
        <v>0</v>
      </c>
      <c r="I1679">
        <v>0</v>
      </c>
      <c r="J1679">
        <v>13917.753529416201</v>
      </c>
      <c r="K1679">
        <v>14593.8506004467</v>
      </c>
      <c r="L1679">
        <v>46.841000000000001</v>
      </c>
      <c r="M1679">
        <v>70.944999999999993</v>
      </c>
      <c r="N1679">
        <v>32.642000000000003</v>
      </c>
    </row>
    <row r="1680" spans="1:14" x14ac:dyDescent="0.45">
      <c r="A1680">
        <v>1988</v>
      </c>
      <c r="B1680" t="s">
        <v>206</v>
      </c>
      <c r="C1680">
        <v>0</v>
      </c>
      <c r="D1680">
        <v>1</v>
      </c>
      <c r="E1680">
        <v>0</v>
      </c>
      <c r="F1680">
        <v>1</v>
      </c>
      <c r="G1680">
        <v>0</v>
      </c>
      <c r="H1680">
        <v>0</v>
      </c>
      <c r="I1680">
        <v>0</v>
      </c>
      <c r="J1680">
        <v>8322.3885024821393</v>
      </c>
      <c r="K1680">
        <v>6954.05653521145</v>
      </c>
      <c r="L1680">
        <v>31.905000000000001</v>
      </c>
      <c r="M1680">
        <v>62.994999999999997</v>
      </c>
      <c r="N1680">
        <v>89.546999999999997</v>
      </c>
    </row>
    <row r="1681" spans="1:14" x14ac:dyDescent="0.45">
      <c r="A1681">
        <v>1988</v>
      </c>
      <c r="B1681" t="s">
        <v>207</v>
      </c>
      <c r="C1681">
        <v>0</v>
      </c>
      <c r="D1681">
        <v>0</v>
      </c>
      <c r="E1681">
        <v>0</v>
      </c>
      <c r="F1681">
        <v>1</v>
      </c>
      <c r="G1681">
        <v>0</v>
      </c>
      <c r="H1681">
        <v>0</v>
      </c>
      <c r="I1681">
        <v>0</v>
      </c>
      <c r="J1681">
        <v>4188.3295343060799</v>
      </c>
      <c r="K1681">
        <v>3792.9536295634798</v>
      </c>
      <c r="L1681">
        <v>54.817</v>
      </c>
      <c r="M1681">
        <v>63.710999999999999</v>
      </c>
      <c r="N1681">
        <v>63.579000000000001</v>
      </c>
    </row>
    <row r="1682" spans="1:14" x14ac:dyDescent="0.45">
      <c r="A1682">
        <v>1988</v>
      </c>
      <c r="B1682" t="s">
        <v>208</v>
      </c>
      <c r="C1682">
        <v>0</v>
      </c>
      <c r="D1682">
        <v>0</v>
      </c>
      <c r="E1682">
        <v>0</v>
      </c>
      <c r="F1682">
        <v>0</v>
      </c>
      <c r="G1682">
        <v>1</v>
      </c>
      <c r="H1682">
        <v>0</v>
      </c>
      <c r="I1682">
        <v>0</v>
      </c>
      <c r="J1682">
        <v>16733.458025212902</v>
      </c>
      <c r="K1682">
        <v>15139.101999296499</v>
      </c>
      <c r="L1682">
        <v>31.108000000000001</v>
      </c>
      <c r="M1682">
        <v>62.779000000000003</v>
      </c>
      <c r="N1682">
        <v>36.728999999999999</v>
      </c>
    </row>
    <row r="1683" spans="1:14" x14ac:dyDescent="0.45">
      <c r="A1683">
        <v>1988</v>
      </c>
      <c r="B1683" t="s">
        <v>209</v>
      </c>
      <c r="C1683">
        <v>0</v>
      </c>
      <c r="D1683">
        <v>0</v>
      </c>
      <c r="E1683">
        <v>0</v>
      </c>
      <c r="F1683">
        <v>1</v>
      </c>
      <c r="G1683">
        <v>0</v>
      </c>
      <c r="H1683">
        <v>0</v>
      </c>
      <c r="I1683">
        <v>0</v>
      </c>
      <c r="J1683">
        <v>3259.3880799684098</v>
      </c>
      <c r="K1683">
        <v>2948.4468439894299</v>
      </c>
      <c r="L1683">
        <v>85.411000000000001</v>
      </c>
      <c r="M1683">
        <v>59.381</v>
      </c>
      <c r="N1683">
        <v>88.423000000000002</v>
      </c>
    </row>
    <row r="1684" spans="1:14" x14ac:dyDescent="0.45">
      <c r="A1684">
        <v>1988</v>
      </c>
      <c r="B1684" t="s">
        <v>210</v>
      </c>
      <c r="C1684">
        <v>1</v>
      </c>
      <c r="D1684">
        <v>0</v>
      </c>
      <c r="E1684">
        <v>0</v>
      </c>
      <c r="F1684">
        <v>1</v>
      </c>
      <c r="G1684">
        <v>0</v>
      </c>
      <c r="H1684">
        <v>0</v>
      </c>
      <c r="I1684">
        <v>0</v>
      </c>
      <c r="J1684">
        <v>12051.0089471479</v>
      </c>
      <c r="K1684">
        <v>10402.0822093475</v>
      </c>
      <c r="L1684">
        <v>38.957000000000001</v>
      </c>
      <c r="M1684">
        <v>70.822999999999993</v>
      </c>
      <c r="N1684">
        <v>22.603000000000002</v>
      </c>
    </row>
    <row r="1685" spans="1:14" x14ac:dyDescent="0.45">
      <c r="A1685">
        <v>1988</v>
      </c>
      <c r="B1685" t="s">
        <v>211</v>
      </c>
      <c r="C1685">
        <v>0</v>
      </c>
      <c r="D1685">
        <v>1</v>
      </c>
      <c r="E1685">
        <v>0</v>
      </c>
      <c r="F1685">
        <v>0</v>
      </c>
      <c r="G1685">
        <v>1</v>
      </c>
      <c r="H1685">
        <v>0</v>
      </c>
      <c r="I1685">
        <v>0</v>
      </c>
      <c r="J1685">
        <v>24447.385628655</v>
      </c>
      <c r="K1685">
        <v>18781.477423127501</v>
      </c>
      <c r="L1685">
        <v>9.5869999999999997</v>
      </c>
      <c r="M1685">
        <v>73.153000000000006</v>
      </c>
      <c r="N1685">
        <v>21.806999999999999</v>
      </c>
    </row>
    <row r="1686" spans="1:14" x14ac:dyDescent="0.45">
      <c r="A1686">
        <v>1988</v>
      </c>
      <c r="B1686" t="s">
        <v>212</v>
      </c>
      <c r="C1686">
        <v>0</v>
      </c>
      <c r="D1686">
        <v>0</v>
      </c>
      <c r="E1686">
        <v>0</v>
      </c>
      <c r="F1686">
        <v>1</v>
      </c>
      <c r="G1686">
        <v>0</v>
      </c>
      <c r="H1686">
        <v>0</v>
      </c>
      <c r="I1686">
        <v>0</v>
      </c>
      <c r="L1686">
        <v>41.911999999999999</v>
      </c>
      <c r="M1686">
        <v>70.052000000000007</v>
      </c>
      <c r="N1686">
        <v>38.44</v>
      </c>
    </row>
    <row r="1687" spans="1:14" x14ac:dyDescent="0.45">
      <c r="A1687">
        <v>1988</v>
      </c>
      <c r="B1687" t="s">
        <v>213</v>
      </c>
      <c r="C1687">
        <v>1</v>
      </c>
      <c r="D1687">
        <v>0</v>
      </c>
      <c r="E1687">
        <v>0</v>
      </c>
      <c r="F1687">
        <v>0</v>
      </c>
      <c r="G1687">
        <v>1</v>
      </c>
      <c r="H1687">
        <v>0</v>
      </c>
      <c r="I1687">
        <v>0</v>
      </c>
      <c r="J1687">
        <v>24142.6309651917</v>
      </c>
      <c r="K1687">
        <v>20868.4820475919</v>
      </c>
      <c r="L1687">
        <v>53.133000000000003</v>
      </c>
      <c r="M1687">
        <v>74.085999999999999</v>
      </c>
      <c r="N1687">
        <v>17.007000000000001</v>
      </c>
    </row>
    <row r="1688" spans="1:14" x14ac:dyDescent="0.45">
      <c r="A1688">
        <v>1988</v>
      </c>
      <c r="B1688" t="s">
        <v>214</v>
      </c>
      <c r="C1688">
        <v>0</v>
      </c>
      <c r="D1688">
        <v>1</v>
      </c>
      <c r="E1688">
        <v>0</v>
      </c>
      <c r="F1688">
        <v>1</v>
      </c>
      <c r="G1688">
        <v>0</v>
      </c>
      <c r="H1688">
        <v>0</v>
      </c>
      <c r="I1688">
        <v>0</v>
      </c>
      <c r="J1688">
        <v>9297.8071640226699</v>
      </c>
      <c r="K1688">
        <v>8482.7524146550004</v>
      </c>
      <c r="L1688">
        <v>52.792999999999999</v>
      </c>
      <c r="M1688">
        <v>66.709999999999994</v>
      </c>
      <c r="N1688">
        <v>49.03</v>
      </c>
    </row>
    <row r="1689" spans="1:14" x14ac:dyDescent="0.45">
      <c r="A1689">
        <v>1988</v>
      </c>
      <c r="B1689" t="s">
        <v>215</v>
      </c>
      <c r="C1689">
        <v>0</v>
      </c>
      <c r="D1689">
        <v>0</v>
      </c>
      <c r="E1689">
        <v>0</v>
      </c>
      <c r="F1689">
        <v>1</v>
      </c>
      <c r="G1689">
        <v>0</v>
      </c>
      <c r="H1689">
        <v>0</v>
      </c>
      <c r="I1689">
        <v>0</v>
      </c>
      <c r="L1689">
        <v>33.323999999999998</v>
      </c>
      <c r="M1689">
        <v>66.706000000000003</v>
      </c>
      <c r="N1689">
        <v>49.6</v>
      </c>
    </row>
    <row r="1690" spans="1:14" x14ac:dyDescent="0.45">
      <c r="A1690">
        <v>1988</v>
      </c>
      <c r="B1690" t="s">
        <v>216</v>
      </c>
      <c r="C1690">
        <v>0</v>
      </c>
      <c r="D1690">
        <v>0</v>
      </c>
      <c r="E1690">
        <v>0</v>
      </c>
      <c r="F1690">
        <v>0</v>
      </c>
      <c r="G1690">
        <v>0</v>
      </c>
      <c r="H1690">
        <v>1</v>
      </c>
      <c r="I1690">
        <v>1</v>
      </c>
      <c r="L1690">
        <v>41.69</v>
      </c>
      <c r="M1690">
        <v>73.087999999999994</v>
      </c>
      <c r="N1690">
        <v>22.452999999999999</v>
      </c>
    </row>
    <row r="1691" spans="1:14" x14ac:dyDescent="0.45">
      <c r="A1691">
        <v>1988</v>
      </c>
      <c r="B1691" t="s">
        <v>217</v>
      </c>
      <c r="C1691">
        <v>0</v>
      </c>
      <c r="D1691">
        <v>0</v>
      </c>
      <c r="E1691">
        <v>0</v>
      </c>
      <c r="F1691">
        <v>0</v>
      </c>
      <c r="G1691">
        <v>0</v>
      </c>
      <c r="H1691">
        <v>1</v>
      </c>
      <c r="I1691">
        <v>1</v>
      </c>
      <c r="J1691">
        <v>68224.957417962301</v>
      </c>
      <c r="K1691">
        <v>58912.1048618856</v>
      </c>
      <c r="L1691">
        <v>8.32899999999999</v>
      </c>
      <c r="M1691">
        <v>72.835999999999999</v>
      </c>
      <c r="N1691">
        <v>23.603000000000002</v>
      </c>
    </row>
    <row r="1692" spans="1:14" x14ac:dyDescent="0.45">
      <c r="A1692">
        <v>1988</v>
      </c>
      <c r="B1692" t="s">
        <v>218</v>
      </c>
      <c r="C1692">
        <v>1</v>
      </c>
      <c r="D1692">
        <v>0</v>
      </c>
      <c r="E1692">
        <v>0</v>
      </c>
      <c r="F1692">
        <v>0</v>
      </c>
      <c r="G1692">
        <v>1</v>
      </c>
      <c r="H1692">
        <v>0</v>
      </c>
      <c r="I1692">
        <v>0</v>
      </c>
      <c r="J1692">
        <v>17567.483283561902</v>
      </c>
      <c r="K1692">
        <v>14279.4839865415</v>
      </c>
      <c r="L1692">
        <v>48.21</v>
      </c>
      <c r="M1692">
        <v>69.388999999999996</v>
      </c>
      <c r="N1692">
        <v>33.6</v>
      </c>
    </row>
    <row r="1693" spans="1:14" x14ac:dyDescent="0.45">
      <c r="A1693">
        <v>1988</v>
      </c>
      <c r="B1693" t="s">
        <v>219</v>
      </c>
      <c r="C1693">
        <v>1</v>
      </c>
      <c r="D1693">
        <v>0</v>
      </c>
      <c r="E1693">
        <v>0</v>
      </c>
      <c r="F1693">
        <v>0</v>
      </c>
      <c r="G1693">
        <v>1</v>
      </c>
      <c r="H1693">
        <v>0</v>
      </c>
      <c r="I1693">
        <v>0</v>
      </c>
      <c r="L1693">
        <v>26.818999999999999</v>
      </c>
      <c r="M1693">
        <v>69.863</v>
      </c>
      <c r="N1693">
        <v>22.914999999999999</v>
      </c>
    </row>
    <row r="1694" spans="1:14" x14ac:dyDescent="0.45">
      <c r="A1694">
        <v>1988</v>
      </c>
      <c r="B1694" t="s">
        <v>220</v>
      </c>
      <c r="C1694">
        <v>0</v>
      </c>
      <c r="D1694">
        <v>0</v>
      </c>
      <c r="E1694">
        <v>1</v>
      </c>
      <c r="F1694">
        <v>0</v>
      </c>
      <c r="G1694">
        <v>0</v>
      </c>
      <c r="H1694">
        <v>0</v>
      </c>
      <c r="I1694">
        <v>0</v>
      </c>
      <c r="J1694">
        <v>1258.75885953438</v>
      </c>
      <c r="K1694">
        <v>1053.39720673491</v>
      </c>
      <c r="L1694">
        <v>94.73</v>
      </c>
      <c r="M1694">
        <v>50.914000000000001</v>
      </c>
      <c r="N1694">
        <v>153.71899999999999</v>
      </c>
    </row>
    <row r="1695" spans="1:14" x14ac:dyDescent="0.45">
      <c r="A1695">
        <v>1988</v>
      </c>
      <c r="B1695" t="s">
        <v>221</v>
      </c>
      <c r="C1695">
        <v>0</v>
      </c>
      <c r="D1695">
        <v>0</v>
      </c>
      <c r="E1695">
        <v>0</v>
      </c>
      <c r="F1695">
        <v>0</v>
      </c>
      <c r="G1695">
        <v>0</v>
      </c>
      <c r="H1695">
        <v>1</v>
      </c>
      <c r="I1695">
        <v>1</v>
      </c>
      <c r="J1695">
        <v>64265.382701009403</v>
      </c>
      <c r="K1695">
        <v>58917.091638345402</v>
      </c>
      <c r="L1695">
        <v>24.733000000000001</v>
      </c>
      <c r="M1695">
        <v>67.813999999999993</v>
      </c>
      <c r="N1695">
        <v>51.774000000000001</v>
      </c>
    </row>
    <row r="1696" spans="1:14" x14ac:dyDescent="0.45">
      <c r="A1696">
        <v>1988</v>
      </c>
      <c r="B1696" t="s">
        <v>222</v>
      </c>
      <c r="C1696">
        <v>0</v>
      </c>
      <c r="D1696">
        <v>0</v>
      </c>
      <c r="E1696">
        <v>1</v>
      </c>
      <c r="F1696">
        <v>0</v>
      </c>
      <c r="G1696">
        <v>0</v>
      </c>
      <c r="H1696">
        <v>0</v>
      </c>
      <c r="I1696">
        <v>0</v>
      </c>
      <c r="J1696">
        <v>2320.6571703173599</v>
      </c>
      <c r="K1696">
        <v>2430.03409225522</v>
      </c>
      <c r="L1696">
        <v>73.756</v>
      </c>
      <c r="M1696">
        <v>54.984000000000002</v>
      </c>
      <c r="N1696">
        <v>136.304</v>
      </c>
    </row>
    <row r="1697" spans="1:14" x14ac:dyDescent="0.45">
      <c r="A1697">
        <v>1988</v>
      </c>
      <c r="B1697" t="s">
        <v>223</v>
      </c>
      <c r="C1697">
        <v>0</v>
      </c>
      <c r="D1697">
        <v>0</v>
      </c>
      <c r="E1697">
        <v>1</v>
      </c>
      <c r="F1697">
        <v>1</v>
      </c>
      <c r="G1697">
        <v>0</v>
      </c>
      <c r="H1697">
        <v>0</v>
      </c>
      <c r="I1697">
        <v>0</v>
      </c>
      <c r="J1697">
        <v>2996.2741945380199</v>
      </c>
      <c r="K1697">
        <v>2503.2043434994098</v>
      </c>
      <c r="L1697">
        <v>61.387</v>
      </c>
      <c r="M1697">
        <v>55.545999999999999</v>
      </c>
      <c r="N1697">
        <v>150.87799999999999</v>
      </c>
    </row>
    <row r="1698" spans="1:14" x14ac:dyDescent="0.45">
      <c r="A1698">
        <v>1988</v>
      </c>
      <c r="B1698" t="s">
        <v>224</v>
      </c>
      <c r="C1698">
        <v>0</v>
      </c>
      <c r="D1698">
        <v>0</v>
      </c>
      <c r="E1698">
        <v>0</v>
      </c>
      <c r="F1698">
        <v>0</v>
      </c>
      <c r="G1698">
        <v>0</v>
      </c>
      <c r="H1698">
        <v>1</v>
      </c>
      <c r="I1698">
        <v>1</v>
      </c>
      <c r="J1698">
        <v>39269.624553632202</v>
      </c>
      <c r="K1698">
        <v>32281.0966570157</v>
      </c>
      <c r="L1698">
        <v>0</v>
      </c>
      <c r="M1698">
        <v>74.049000000000007</v>
      </c>
      <c r="N1698">
        <v>8.9239999999999995</v>
      </c>
    </row>
    <row r="1699" spans="1:14" x14ac:dyDescent="0.45">
      <c r="A1699">
        <v>1988</v>
      </c>
      <c r="B1699" t="s">
        <v>225</v>
      </c>
      <c r="C1699">
        <v>0</v>
      </c>
      <c r="D1699">
        <v>0</v>
      </c>
      <c r="E1699">
        <v>0</v>
      </c>
      <c r="F1699">
        <v>1</v>
      </c>
      <c r="G1699">
        <v>0</v>
      </c>
      <c r="H1699">
        <v>0</v>
      </c>
      <c r="I1699">
        <v>0</v>
      </c>
      <c r="J1699">
        <v>2375.2349014852198</v>
      </c>
      <c r="K1699">
        <v>2148.5732653663999</v>
      </c>
      <c r="L1699">
        <v>86.701999999999998</v>
      </c>
      <c r="M1699">
        <v>65.866</v>
      </c>
      <c r="N1699">
        <v>40.286999999999999</v>
      </c>
    </row>
    <row r="1700" spans="1:14" x14ac:dyDescent="0.45">
      <c r="A1700">
        <v>1988</v>
      </c>
      <c r="B1700" t="s">
        <v>226</v>
      </c>
      <c r="C1700">
        <v>0</v>
      </c>
      <c r="D1700">
        <v>0</v>
      </c>
      <c r="E1700">
        <v>1</v>
      </c>
      <c r="F1700">
        <v>0</v>
      </c>
      <c r="G1700">
        <v>0</v>
      </c>
      <c r="H1700">
        <v>0</v>
      </c>
      <c r="I1700">
        <v>0</v>
      </c>
      <c r="J1700">
        <v>3045.0159488485201</v>
      </c>
      <c r="K1700">
        <v>2763.8713941578199</v>
      </c>
      <c r="L1700">
        <v>67.212999999999994</v>
      </c>
      <c r="M1700">
        <v>43.765000000000001</v>
      </c>
      <c r="N1700">
        <v>264.625</v>
      </c>
    </row>
    <row r="1701" spans="1:14" x14ac:dyDescent="0.45">
      <c r="A1701">
        <v>1988</v>
      </c>
      <c r="B1701" t="s">
        <v>227</v>
      </c>
      <c r="C1701">
        <v>0</v>
      </c>
      <c r="D1701">
        <v>1</v>
      </c>
      <c r="E1701">
        <v>0</v>
      </c>
      <c r="F1701">
        <v>1</v>
      </c>
      <c r="G1701">
        <v>0</v>
      </c>
      <c r="H1701">
        <v>0</v>
      </c>
      <c r="I1701">
        <v>0</v>
      </c>
      <c r="J1701">
        <v>6045.4700614165304</v>
      </c>
      <c r="K1701">
        <v>5385.0048474800597</v>
      </c>
      <c r="L1701">
        <v>51.765999999999998</v>
      </c>
      <c r="M1701">
        <v>59.976999999999997</v>
      </c>
      <c r="N1701">
        <v>83.819000000000003</v>
      </c>
    </row>
    <row r="1702" spans="1:14" x14ac:dyDescent="0.45">
      <c r="A1702">
        <v>1988</v>
      </c>
      <c r="B1702" t="s">
        <v>228</v>
      </c>
      <c r="C1702">
        <v>1</v>
      </c>
      <c r="D1702">
        <v>0</v>
      </c>
      <c r="E1702">
        <v>0</v>
      </c>
      <c r="F1702">
        <v>0</v>
      </c>
      <c r="G1702">
        <v>0</v>
      </c>
      <c r="H1702">
        <v>1</v>
      </c>
      <c r="I1702">
        <v>1</v>
      </c>
      <c r="L1702">
        <v>9.5999999999999908</v>
      </c>
      <c r="M1702">
        <v>77.543999999999997</v>
      </c>
      <c r="N1702">
        <v>12.093</v>
      </c>
    </row>
    <row r="1703" spans="1:14" x14ac:dyDescent="0.45">
      <c r="A1703">
        <v>1988</v>
      </c>
      <c r="B1703" t="s">
        <v>229</v>
      </c>
      <c r="C1703">
        <v>0</v>
      </c>
      <c r="D1703">
        <v>0</v>
      </c>
      <c r="E1703">
        <v>1</v>
      </c>
      <c r="F1703">
        <v>0</v>
      </c>
      <c r="G1703">
        <v>0</v>
      </c>
      <c r="H1703">
        <v>0</v>
      </c>
      <c r="I1703">
        <v>0</v>
      </c>
      <c r="J1703">
        <v>720.75338707050503</v>
      </c>
      <c r="K1703">
        <v>668.523476294994</v>
      </c>
      <c r="L1703">
        <v>71.031000000000006</v>
      </c>
      <c r="M1703">
        <v>43.933</v>
      </c>
      <c r="N1703">
        <v>195.26499999999999</v>
      </c>
    </row>
    <row r="1704" spans="1:14" x14ac:dyDescent="0.45">
      <c r="A1704">
        <v>1988</v>
      </c>
      <c r="B1704" t="s">
        <v>230</v>
      </c>
      <c r="C1704">
        <v>1</v>
      </c>
      <c r="D1704">
        <v>0</v>
      </c>
      <c r="E1704">
        <v>0</v>
      </c>
      <c r="F1704">
        <v>0</v>
      </c>
      <c r="G1704">
        <v>1</v>
      </c>
      <c r="H1704">
        <v>0</v>
      </c>
      <c r="I1704">
        <v>0</v>
      </c>
      <c r="L1704">
        <v>50.427</v>
      </c>
      <c r="M1704">
        <v>72.039000000000001</v>
      </c>
      <c r="N1704">
        <v>19.452999999999999</v>
      </c>
    </row>
    <row r="1705" spans="1:14" x14ac:dyDescent="0.45">
      <c r="A1705">
        <v>1988</v>
      </c>
      <c r="B1705" t="s">
        <v>231</v>
      </c>
      <c r="C1705">
        <v>0</v>
      </c>
      <c r="D1705">
        <v>0</v>
      </c>
      <c r="E1705">
        <v>1</v>
      </c>
      <c r="F1705">
        <v>1</v>
      </c>
      <c r="G1705">
        <v>0</v>
      </c>
      <c r="H1705">
        <v>0</v>
      </c>
      <c r="I1705">
        <v>0</v>
      </c>
      <c r="L1705">
        <v>88.203000000000003</v>
      </c>
      <c r="M1705">
        <v>10.989000000000001</v>
      </c>
      <c r="N1705">
        <v>688.64200000000005</v>
      </c>
    </row>
    <row r="1706" spans="1:14" x14ac:dyDescent="0.45">
      <c r="A1706">
        <v>1988</v>
      </c>
      <c r="B1706" t="s">
        <v>232</v>
      </c>
      <c r="C1706">
        <v>0</v>
      </c>
      <c r="D1706">
        <v>0</v>
      </c>
      <c r="E1706">
        <v>1</v>
      </c>
      <c r="F1706">
        <v>0</v>
      </c>
      <c r="G1706">
        <v>0</v>
      </c>
      <c r="H1706">
        <v>0</v>
      </c>
      <c r="I1706">
        <v>0</v>
      </c>
      <c r="J1706">
        <v>3908.1026062861602</v>
      </c>
      <c r="K1706">
        <v>2432.3416333341202</v>
      </c>
      <c r="L1706">
        <v>58.618000000000002</v>
      </c>
      <c r="M1706">
        <v>60.808</v>
      </c>
      <c r="N1706">
        <v>113.694</v>
      </c>
    </row>
    <row r="1707" spans="1:14" x14ac:dyDescent="0.45">
      <c r="A1707">
        <v>1988</v>
      </c>
      <c r="B1707" t="s">
        <v>233</v>
      </c>
      <c r="C1707">
        <v>0</v>
      </c>
      <c r="D1707">
        <v>1</v>
      </c>
      <c r="E1707">
        <v>0</v>
      </c>
      <c r="F1707">
        <v>0</v>
      </c>
      <c r="G1707">
        <v>1</v>
      </c>
      <c r="H1707">
        <v>0</v>
      </c>
      <c r="I1707">
        <v>0</v>
      </c>
      <c r="J1707">
        <v>15698.8190121852</v>
      </c>
      <c r="K1707">
        <v>12495.940091803301</v>
      </c>
      <c r="L1707">
        <v>34.442999999999998</v>
      </c>
      <c r="M1707">
        <v>61.476999999999997</v>
      </c>
      <c r="N1707">
        <v>48.124000000000002</v>
      </c>
    </row>
    <row r="1708" spans="1:14" x14ac:dyDescent="0.45">
      <c r="A1708">
        <v>1988</v>
      </c>
      <c r="B1708" t="s">
        <v>234</v>
      </c>
      <c r="C1708">
        <v>1</v>
      </c>
      <c r="D1708">
        <v>0</v>
      </c>
      <c r="E1708">
        <v>0</v>
      </c>
      <c r="F1708">
        <v>0</v>
      </c>
      <c r="G1708">
        <v>1</v>
      </c>
      <c r="H1708">
        <v>0</v>
      </c>
      <c r="I1708">
        <v>0</v>
      </c>
      <c r="L1708">
        <v>44.432000000000002</v>
      </c>
      <c r="M1708">
        <v>71.126000000000005</v>
      </c>
      <c r="N1708">
        <v>15.696</v>
      </c>
    </row>
    <row r="1709" spans="1:14" x14ac:dyDescent="0.45">
      <c r="A1709">
        <v>1988</v>
      </c>
      <c r="B1709" t="s">
        <v>235</v>
      </c>
      <c r="C1709">
        <v>1</v>
      </c>
      <c r="D1709">
        <v>0</v>
      </c>
      <c r="E1709">
        <v>0</v>
      </c>
      <c r="F1709">
        <v>0</v>
      </c>
      <c r="G1709">
        <v>1</v>
      </c>
      <c r="H1709">
        <v>0</v>
      </c>
      <c r="I1709">
        <v>0</v>
      </c>
      <c r="L1709">
        <v>49.932000000000002</v>
      </c>
      <c r="M1709">
        <v>72.763000000000005</v>
      </c>
      <c r="N1709">
        <v>11.492000000000001</v>
      </c>
    </row>
    <row r="1710" spans="1:14" x14ac:dyDescent="0.45">
      <c r="A1710">
        <v>1988</v>
      </c>
      <c r="B1710" t="s">
        <v>236</v>
      </c>
      <c r="C1710">
        <v>1</v>
      </c>
      <c r="D1710">
        <v>0</v>
      </c>
      <c r="E1710">
        <v>0</v>
      </c>
      <c r="F1710">
        <v>0</v>
      </c>
      <c r="G1710">
        <v>0</v>
      </c>
      <c r="H1710">
        <v>1</v>
      </c>
      <c r="I1710">
        <v>1</v>
      </c>
      <c r="J1710">
        <v>38654.455576094799</v>
      </c>
      <c r="K1710">
        <v>33019.349199648197</v>
      </c>
      <c r="L1710">
        <v>16.899999999999999</v>
      </c>
      <c r="M1710">
        <v>76.998000000000005</v>
      </c>
      <c r="N1710">
        <v>7.1180000000000003</v>
      </c>
    </row>
    <row r="1711" spans="1:14" x14ac:dyDescent="0.45">
      <c r="A1711">
        <v>1988</v>
      </c>
      <c r="B1711" t="s">
        <v>237</v>
      </c>
      <c r="C1711">
        <v>0</v>
      </c>
      <c r="D1711">
        <v>0</v>
      </c>
      <c r="E1711">
        <v>1</v>
      </c>
      <c r="F1711">
        <v>1</v>
      </c>
      <c r="G1711">
        <v>0</v>
      </c>
      <c r="H1711">
        <v>0</v>
      </c>
      <c r="I1711">
        <v>0</v>
      </c>
      <c r="J1711">
        <v>5033.8865608821297</v>
      </c>
      <c r="K1711">
        <v>4457.5074718646902</v>
      </c>
      <c r="L1711">
        <v>80.59</v>
      </c>
      <c r="M1711">
        <v>61.933999999999997</v>
      </c>
      <c r="N1711">
        <v>75.22</v>
      </c>
    </row>
    <row r="1712" spans="1:14" x14ac:dyDescent="0.45">
      <c r="A1712">
        <v>1988</v>
      </c>
      <c r="B1712" t="s">
        <v>238</v>
      </c>
      <c r="C1712">
        <v>0</v>
      </c>
      <c r="D1712">
        <v>1</v>
      </c>
      <c r="E1712">
        <v>0</v>
      </c>
      <c r="F1712">
        <v>0</v>
      </c>
      <c r="G1712">
        <v>0</v>
      </c>
      <c r="H1712">
        <v>1</v>
      </c>
      <c r="I1712">
        <v>1</v>
      </c>
      <c r="L1712">
        <v>0</v>
      </c>
      <c r="M1712">
        <v>72.456000000000003</v>
      </c>
      <c r="N1712">
        <v>25.106999999999999</v>
      </c>
    </row>
    <row r="1713" spans="1:14" x14ac:dyDescent="0.45">
      <c r="A1713">
        <v>1988</v>
      </c>
      <c r="B1713" t="s">
        <v>239</v>
      </c>
      <c r="C1713">
        <v>0</v>
      </c>
      <c r="D1713">
        <v>0</v>
      </c>
      <c r="E1713">
        <v>1</v>
      </c>
      <c r="F1713">
        <v>0</v>
      </c>
      <c r="G1713">
        <v>1</v>
      </c>
      <c r="H1713">
        <v>0</v>
      </c>
      <c r="I1713">
        <v>0</v>
      </c>
      <c r="J1713">
        <v>13455.413491708499</v>
      </c>
      <c r="K1713">
        <v>13063.186573319999</v>
      </c>
      <c r="L1713">
        <v>50.753</v>
      </c>
      <c r="M1713">
        <v>69.989999999999995</v>
      </c>
      <c r="N1713">
        <v>17.763999999999999</v>
      </c>
    </row>
    <row r="1714" spans="1:14" x14ac:dyDescent="0.45">
      <c r="A1714">
        <v>1988</v>
      </c>
      <c r="B1714" t="s">
        <v>240</v>
      </c>
      <c r="C1714">
        <v>0</v>
      </c>
      <c r="D1714">
        <v>0</v>
      </c>
      <c r="E1714">
        <v>0</v>
      </c>
      <c r="F1714">
        <v>1</v>
      </c>
      <c r="G1714">
        <v>0</v>
      </c>
      <c r="H1714">
        <v>0</v>
      </c>
      <c r="I1714">
        <v>0</v>
      </c>
      <c r="J1714">
        <v>6116.2025400020402</v>
      </c>
      <c r="K1714">
        <v>4011.78500406496</v>
      </c>
      <c r="L1714">
        <v>51.484999999999999</v>
      </c>
      <c r="M1714">
        <v>69.171999999999997</v>
      </c>
      <c r="N1714">
        <v>40.125</v>
      </c>
    </row>
    <row r="1715" spans="1:14" x14ac:dyDescent="0.45">
      <c r="A1715">
        <v>1988</v>
      </c>
      <c r="B1715" t="s">
        <v>241</v>
      </c>
      <c r="C1715">
        <v>0</v>
      </c>
      <c r="D1715">
        <v>1</v>
      </c>
      <c r="E1715">
        <v>0</v>
      </c>
      <c r="F1715">
        <v>0</v>
      </c>
      <c r="G1715">
        <v>0</v>
      </c>
      <c r="H1715">
        <v>1</v>
      </c>
      <c r="I1715">
        <v>1</v>
      </c>
      <c r="L1715">
        <v>29.01</v>
      </c>
      <c r="M1715">
        <v>69.619</v>
      </c>
      <c r="N1715">
        <v>21.111000000000001</v>
      </c>
    </row>
    <row r="1716" spans="1:14" x14ac:dyDescent="0.45">
      <c r="A1716">
        <v>1988</v>
      </c>
      <c r="B1716" t="s">
        <v>242</v>
      </c>
      <c r="C1716">
        <v>0</v>
      </c>
      <c r="D1716">
        <v>0</v>
      </c>
      <c r="E1716">
        <v>1</v>
      </c>
      <c r="F1716">
        <v>0</v>
      </c>
      <c r="G1716">
        <v>0</v>
      </c>
      <c r="H1716">
        <v>0</v>
      </c>
      <c r="I1716">
        <v>0</v>
      </c>
      <c r="J1716">
        <v>1506.3830634590699</v>
      </c>
      <c r="K1716">
        <v>1265.4162721677401</v>
      </c>
      <c r="L1716">
        <v>79.605999999999995</v>
      </c>
      <c r="M1716">
        <v>46.351999999999997</v>
      </c>
      <c r="N1716">
        <v>218.98400000000001</v>
      </c>
    </row>
    <row r="1717" spans="1:14" x14ac:dyDescent="0.45">
      <c r="A1717">
        <v>1988</v>
      </c>
      <c r="B1717" t="s">
        <v>243</v>
      </c>
      <c r="C1717">
        <v>0</v>
      </c>
      <c r="D1717">
        <v>0</v>
      </c>
      <c r="E1717">
        <v>1</v>
      </c>
      <c r="F1717">
        <v>0</v>
      </c>
      <c r="G1717">
        <v>0</v>
      </c>
      <c r="H1717">
        <v>0</v>
      </c>
      <c r="I1717">
        <v>0</v>
      </c>
      <c r="J1717">
        <v>2085.1174756650798</v>
      </c>
      <c r="K1717">
        <v>1732.8113210782899</v>
      </c>
      <c r="L1717">
        <v>72.231999999999999</v>
      </c>
      <c r="M1717">
        <v>54.901000000000003</v>
      </c>
      <c r="N1717">
        <v>152.60400000000001</v>
      </c>
    </row>
    <row r="1718" spans="1:14" x14ac:dyDescent="0.45">
      <c r="A1718">
        <v>1988</v>
      </c>
      <c r="B1718" t="s">
        <v>244</v>
      </c>
      <c r="C1718">
        <v>0</v>
      </c>
      <c r="D1718">
        <v>0</v>
      </c>
      <c r="E1718">
        <v>0</v>
      </c>
      <c r="F1718">
        <v>1</v>
      </c>
      <c r="G1718">
        <v>0</v>
      </c>
      <c r="H1718">
        <v>0</v>
      </c>
      <c r="I1718">
        <v>0</v>
      </c>
      <c r="J1718">
        <v>7087.3049202104403</v>
      </c>
      <c r="K1718">
        <v>6198.0400412333001</v>
      </c>
      <c r="L1718">
        <v>71.102999999999994</v>
      </c>
      <c r="M1718">
        <v>68.194000000000003</v>
      </c>
      <c r="N1718">
        <v>41.576000000000001</v>
      </c>
    </row>
    <row r="1719" spans="1:14" x14ac:dyDescent="0.45">
      <c r="A1719">
        <v>1988</v>
      </c>
      <c r="B1719" t="s">
        <v>245</v>
      </c>
      <c r="C1719">
        <v>1</v>
      </c>
      <c r="D1719">
        <v>0</v>
      </c>
      <c r="E1719">
        <v>0</v>
      </c>
      <c r="F1719">
        <v>1</v>
      </c>
      <c r="G1719">
        <v>0</v>
      </c>
      <c r="H1719">
        <v>0</v>
      </c>
      <c r="I1719">
        <v>0</v>
      </c>
      <c r="J1719">
        <v>4178.8606653419401</v>
      </c>
      <c r="K1719">
        <v>3805.8355143584799</v>
      </c>
      <c r="L1719">
        <v>67.39</v>
      </c>
      <c r="M1719">
        <v>61.838999999999999</v>
      </c>
      <c r="N1719">
        <v>108.46599999999999</v>
      </c>
    </row>
    <row r="1720" spans="1:14" x14ac:dyDescent="0.45">
      <c r="A1720">
        <v>1988</v>
      </c>
      <c r="B1720" t="s">
        <v>246</v>
      </c>
      <c r="C1720">
        <v>1</v>
      </c>
      <c r="D1720">
        <v>0</v>
      </c>
      <c r="E1720">
        <v>0</v>
      </c>
      <c r="F1720">
        <v>1</v>
      </c>
      <c r="G1720">
        <v>0</v>
      </c>
      <c r="H1720">
        <v>0</v>
      </c>
      <c r="I1720">
        <v>0</v>
      </c>
      <c r="J1720">
        <v>6459.8621172700696</v>
      </c>
      <c r="K1720">
        <v>6080.14446190131</v>
      </c>
      <c r="L1720">
        <v>54.683</v>
      </c>
      <c r="M1720">
        <v>63.698999999999998</v>
      </c>
      <c r="N1720">
        <v>84.539000000000001</v>
      </c>
    </row>
    <row r="1721" spans="1:14" x14ac:dyDescent="0.45">
      <c r="A1721">
        <v>1988</v>
      </c>
      <c r="B1721" t="s">
        <v>247</v>
      </c>
      <c r="C1721">
        <v>0</v>
      </c>
      <c r="D1721">
        <v>0</v>
      </c>
      <c r="E1721">
        <v>0</v>
      </c>
      <c r="F1721">
        <v>0</v>
      </c>
      <c r="G1721">
        <v>0</v>
      </c>
      <c r="H1721">
        <v>0</v>
      </c>
      <c r="I1721">
        <v>0</v>
      </c>
      <c r="L1721">
        <v>80.093000000000004</v>
      </c>
      <c r="M1721">
        <v>36.046999999999997</v>
      </c>
      <c r="N1721">
        <v>230.06299999999999</v>
      </c>
    </row>
    <row r="1722" spans="1:14" x14ac:dyDescent="0.45">
      <c r="A1722">
        <v>1988</v>
      </c>
      <c r="B1722" t="s">
        <v>248</v>
      </c>
      <c r="C1722">
        <v>0</v>
      </c>
      <c r="D1722">
        <v>0</v>
      </c>
      <c r="E1722">
        <v>0</v>
      </c>
      <c r="F1722">
        <v>1</v>
      </c>
      <c r="G1722">
        <v>0</v>
      </c>
      <c r="H1722">
        <v>0</v>
      </c>
      <c r="I1722">
        <v>0</v>
      </c>
      <c r="J1722">
        <v>4607.4767648050101</v>
      </c>
      <c r="K1722">
        <v>4170.8320454820296</v>
      </c>
      <c r="L1722">
        <v>77.358999999999995</v>
      </c>
      <c r="M1722">
        <v>67.320999999999998</v>
      </c>
      <c r="N1722">
        <v>23.613</v>
      </c>
    </row>
    <row r="1723" spans="1:14" x14ac:dyDescent="0.45">
      <c r="A1723">
        <v>1988</v>
      </c>
      <c r="B1723" t="s">
        <v>249</v>
      </c>
      <c r="C1723">
        <v>0</v>
      </c>
      <c r="D1723">
        <v>1</v>
      </c>
      <c r="E1723">
        <v>0</v>
      </c>
      <c r="F1723">
        <v>0</v>
      </c>
      <c r="G1723">
        <v>1</v>
      </c>
      <c r="H1723">
        <v>0</v>
      </c>
      <c r="I1723">
        <v>0</v>
      </c>
      <c r="J1723">
        <v>12721.4505490338</v>
      </c>
      <c r="K1723">
        <v>10617.233897464899</v>
      </c>
      <c r="L1723">
        <v>46.243000000000002</v>
      </c>
      <c r="M1723">
        <v>67.379000000000005</v>
      </c>
      <c r="N1723">
        <v>31.445</v>
      </c>
    </row>
    <row r="1724" spans="1:14" x14ac:dyDescent="0.45">
      <c r="A1724">
        <v>1988</v>
      </c>
      <c r="B1724" t="s">
        <v>250</v>
      </c>
      <c r="C1724">
        <v>0</v>
      </c>
      <c r="D1724">
        <v>0</v>
      </c>
      <c r="E1724">
        <v>0</v>
      </c>
      <c r="F1724">
        <v>1</v>
      </c>
      <c r="G1724">
        <v>0</v>
      </c>
      <c r="H1724">
        <v>0</v>
      </c>
      <c r="I1724">
        <v>0</v>
      </c>
      <c r="J1724">
        <v>6924.1585235473904</v>
      </c>
      <c r="K1724">
        <v>6034.2884897117101</v>
      </c>
      <c r="L1724">
        <v>43.686</v>
      </c>
      <c r="M1724">
        <v>68.456000000000003</v>
      </c>
      <c r="N1724">
        <v>60.616</v>
      </c>
    </row>
    <row r="1725" spans="1:14" x14ac:dyDescent="0.45">
      <c r="A1725">
        <v>1988</v>
      </c>
      <c r="B1725" t="s">
        <v>251</v>
      </c>
      <c r="C1725">
        <v>1</v>
      </c>
      <c r="D1725">
        <v>0</v>
      </c>
      <c r="E1725">
        <v>0</v>
      </c>
      <c r="F1725">
        <v>1</v>
      </c>
      <c r="G1725">
        <v>0</v>
      </c>
      <c r="H1725">
        <v>0</v>
      </c>
      <c r="I1725">
        <v>0</v>
      </c>
      <c r="J1725">
        <v>12176.3043536365</v>
      </c>
      <c r="K1725">
        <v>12208.877922072899</v>
      </c>
      <c r="L1725">
        <v>43.412999999999997</v>
      </c>
      <c r="M1725">
        <v>66.902000000000001</v>
      </c>
      <c r="N1725">
        <v>82.960999999999999</v>
      </c>
    </row>
    <row r="1726" spans="1:14" x14ac:dyDescent="0.45">
      <c r="A1726">
        <v>1988</v>
      </c>
      <c r="B1726" t="s">
        <v>252</v>
      </c>
      <c r="C1726">
        <v>0</v>
      </c>
      <c r="D1726">
        <v>0</v>
      </c>
      <c r="E1726">
        <v>0</v>
      </c>
      <c r="F1726">
        <v>1</v>
      </c>
      <c r="G1726">
        <v>0</v>
      </c>
      <c r="H1726">
        <v>0</v>
      </c>
      <c r="I1726">
        <v>0</v>
      </c>
      <c r="J1726">
        <v>2724.6697967456398</v>
      </c>
      <c r="K1726">
        <v>2464.88456347806</v>
      </c>
      <c r="L1726">
        <v>61.953000000000003</v>
      </c>
      <c r="M1726">
        <v>61.366999999999997</v>
      </c>
      <c r="N1726">
        <v>54.624000000000002</v>
      </c>
    </row>
    <row r="1727" spans="1:14" x14ac:dyDescent="0.45">
      <c r="A1727">
        <v>1988</v>
      </c>
      <c r="B1727" t="s">
        <v>253</v>
      </c>
      <c r="C1727">
        <v>0</v>
      </c>
      <c r="D1727">
        <v>0</v>
      </c>
      <c r="E1727">
        <v>0</v>
      </c>
      <c r="F1727">
        <v>0</v>
      </c>
      <c r="G1727">
        <v>0</v>
      </c>
      <c r="H1727">
        <v>1</v>
      </c>
      <c r="I1727">
        <v>1</v>
      </c>
      <c r="L1727">
        <v>75.025999999999996</v>
      </c>
      <c r="M1727">
        <v>73.400999999999996</v>
      </c>
      <c r="N1727">
        <v>9.3170000000000002</v>
      </c>
    </row>
    <row r="1728" spans="1:14" x14ac:dyDescent="0.45">
      <c r="A1728">
        <v>1988</v>
      </c>
      <c r="B1728" t="s">
        <v>254</v>
      </c>
      <c r="C1728">
        <v>0</v>
      </c>
      <c r="D1728">
        <v>0</v>
      </c>
      <c r="E1728">
        <v>1</v>
      </c>
      <c r="F1728">
        <v>0</v>
      </c>
      <c r="G1728">
        <v>0</v>
      </c>
      <c r="H1728">
        <v>0</v>
      </c>
      <c r="I1728">
        <v>0</v>
      </c>
      <c r="J1728">
        <v>1759.4994202694099</v>
      </c>
      <c r="K1728">
        <v>1310.5925916764199</v>
      </c>
      <c r="L1728">
        <v>81.778999999999996</v>
      </c>
      <c r="M1728">
        <v>52.223999999999997</v>
      </c>
      <c r="N1728">
        <v>171.374</v>
      </c>
    </row>
    <row r="1729" spans="1:14" x14ac:dyDescent="0.45">
      <c r="A1729">
        <v>1988</v>
      </c>
      <c r="B1729" t="s">
        <v>255</v>
      </c>
      <c r="C1729">
        <v>0</v>
      </c>
      <c r="D1729">
        <v>0</v>
      </c>
      <c r="E1729">
        <v>1</v>
      </c>
      <c r="F1729">
        <v>0</v>
      </c>
      <c r="G1729">
        <v>0</v>
      </c>
      <c r="H1729">
        <v>0</v>
      </c>
      <c r="I1729">
        <v>0</v>
      </c>
      <c r="J1729">
        <v>1008.69391545414</v>
      </c>
      <c r="K1729">
        <v>855.67963844801602</v>
      </c>
      <c r="L1729">
        <v>89.733000000000004</v>
      </c>
      <c r="M1729">
        <v>47.475999999999999</v>
      </c>
      <c r="N1729">
        <v>187.97499999999999</v>
      </c>
    </row>
    <row r="1730" spans="1:14" x14ac:dyDescent="0.45">
      <c r="A1730">
        <v>1988</v>
      </c>
      <c r="B1730" t="s">
        <v>256</v>
      </c>
      <c r="C1730">
        <v>1</v>
      </c>
      <c r="D1730">
        <v>0</v>
      </c>
      <c r="E1730">
        <v>0</v>
      </c>
      <c r="F1730">
        <v>1</v>
      </c>
      <c r="G1730">
        <v>0</v>
      </c>
      <c r="H1730">
        <v>0</v>
      </c>
      <c r="I1730">
        <v>0</v>
      </c>
      <c r="J1730">
        <v>21615.855289425901</v>
      </c>
      <c r="K1730">
        <v>15288.581733720601</v>
      </c>
      <c r="L1730">
        <v>33.600999999999999</v>
      </c>
      <c r="M1730">
        <v>71.040000000000006</v>
      </c>
      <c r="N1730">
        <v>18.059999999999999</v>
      </c>
    </row>
    <row r="1731" spans="1:14" x14ac:dyDescent="0.45">
      <c r="A1731">
        <v>1988</v>
      </c>
      <c r="B1731" t="s">
        <v>257</v>
      </c>
      <c r="C1731">
        <v>0</v>
      </c>
      <c r="D1731">
        <v>1</v>
      </c>
      <c r="E1731">
        <v>0</v>
      </c>
      <c r="F1731">
        <v>0</v>
      </c>
      <c r="G1731">
        <v>1</v>
      </c>
      <c r="H1731">
        <v>0</v>
      </c>
      <c r="I1731">
        <v>0</v>
      </c>
      <c r="J1731">
        <v>13867.745453187499</v>
      </c>
      <c r="K1731">
        <v>10999.4599555083</v>
      </c>
      <c r="L1731">
        <v>11.715</v>
      </c>
      <c r="M1731">
        <v>72.408000000000001</v>
      </c>
      <c r="N1731">
        <v>25.379000000000001</v>
      </c>
    </row>
    <row r="1732" spans="1:14" x14ac:dyDescent="0.45">
      <c r="A1732">
        <v>1988</v>
      </c>
      <c r="B1732" t="s">
        <v>258</v>
      </c>
      <c r="C1732">
        <v>0</v>
      </c>
      <c r="D1732">
        <v>0</v>
      </c>
      <c r="E1732">
        <v>0</v>
      </c>
      <c r="F1732">
        <v>0</v>
      </c>
      <c r="G1732">
        <v>0</v>
      </c>
      <c r="H1732">
        <v>1</v>
      </c>
      <c r="I1732">
        <v>1</v>
      </c>
      <c r="J1732">
        <v>41858.522005465398</v>
      </c>
      <c r="K1732">
        <v>37993.917523723598</v>
      </c>
      <c r="L1732">
        <v>25.058</v>
      </c>
      <c r="M1732">
        <v>74.832999999999998</v>
      </c>
      <c r="N1732">
        <v>12.266</v>
      </c>
    </row>
    <row r="1733" spans="1:14" x14ac:dyDescent="0.45">
      <c r="A1733">
        <v>1988</v>
      </c>
      <c r="B1733" t="s">
        <v>259</v>
      </c>
      <c r="C1733">
        <v>1</v>
      </c>
      <c r="D1733">
        <v>0</v>
      </c>
      <c r="E1733">
        <v>0</v>
      </c>
      <c r="F1733">
        <v>1</v>
      </c>
      <c r="G1733">
        <v>0</v>
      </c>
      <c r="H1733">
        <v>0</v>
      </c>
      <c r="I1733">
        <v>0</v>
      </c>
      <c r="J1733">
        <v>3953.0876755663198</v>
      </c>
      <c r="K1733">
        <v>3840.57094855779</v>
      </c>
      <c r="L1733">
        <v>59.314999999999998</v>
      </c>
      <c r="M1733">
        <v>65.757000000000005</v>
      </c>
      <c r="N1733">
        <v>74.634</v>
      </c>
    </row>
    <row r="1734" spans="1:14" x14ac:dyDescent="0.45">
      <c r="A1734">
        <v>1988</v>
      </c>
      <c r="B1734" t="s">
        <v>260</v>
      </c>
      <c r="C1734">
        <v>0</v>
      </c>
      <c r="D1734">
        <v>1</v>
      </c>
      <c r="E1734">
        <v>0</v>
      </c>
      <c r="F1734">
        <v>1</v>
      </c>
      <c r="G1734">
        <v>0</v>
      </c>
      <c r="H1734">
        <v>0</v>
      </c>
      <c r="I1734">
        <v>0</v>
      </c>
      <c r="J1734">
        <v>6529.8941333381099</v>
      </c>
      <c r="K1734">
        <v>5706.87397181285</v>
      </c>
      <c r="L1734">
        <v>59.72</v>
      </c>
      <c r="M1734">
        <v>70.606999999999999</v>
      </c>
      <c r="N1734">
        <v>26.359000000000002</v>
      </c>
    </row>
    <row r="1735" spans="1:14" x14ac:dyDescent="0.45">
      <c r="A1735">
        <v>1988</v>
      </c>
      <c r="B1735" t="s">
        <v>261</v>
      </c>
      <c r="C1735">
        <v>0</v>
      </c>
      <c r="D1735">
        <v>1</v>
      </c>
      <c r="E1735">
        <v>0</v>
      </c>
      <c r="F1735">
        <v>0</v>
      </c>
      <c r="G1735">
        <v>1</v>
      </c>
      <c r="H1735">
        <v>0</v>
      </c>
      <c r="I1735">
        <v>0</v>
      </c>
      <c r="L1735">
        <v>16.628</v>
      </c>
      <c r="M1735">
        <v>70.762</v>
      </c>
      <c r="N1735">
        <v>32.417000000000002</v>
      </c>
    </row>
    <row r="1736" spans="1:14" x14ac:dyDescent="0.45">
      <c r="A1736">
        <v>1988</v>
      </c>
      <c r="B1736" t="s">
        <v>262</v>
      </c>
      <c r="C1736">
        <v>0</v>
      </c>
      <c r="D1736">
        <v>1</v>
      </c>
      <c r="E1736">
        <v>0</v>
      </c>
      <c r="F1736">
        <v>0</v>
      </c>
      <c r="G1736">
        <v>0</v>
      </c>
      <c r="H1736">
        <v>1</v>
      </c>
      <c r="I1736">
        <v>1</v>
      </c>
      <c r="L1736">
        <v>65.531999999999996</v>
      </c>
      <c r="M1736">
        <v>71.763000000000005</v>
      </c>
      <c r="N1736">
        <v>25.166</v>
      </c>
    </row>
    <row r="1737" spans="1:14" x14ac:dyDescent="0.45">
      <c r="A1737">
        <v>1988</v>
      </c>
      <c r="B1737" t="s">
        <v>263</v>
      </c>
      <c r="C1737">
        <v>0</v>
      </c>
      <c r="D1737">
        <v>1</v>
      </c>
      <c r="E1737">
        <v>0</v>
      </c>
      <c r="F1737">
        <v>0</v>
      </c>
      <c r="G1737">
        <v>0</v>
      </c>
      <c r="H1737">
        <v>1</v>
      </c>
      <c r="I1737">
        <v>1</v>
      </c>
      <c r="L1737">
        <v>13.593</v>
      </c>
      <c r="M1737">
        <v>70.400000000000006</v>
      </c>
      <c r="N1737">
        <v>19.946999999999999</v>
      </c>
    </row>
    <row r="1738" spans="1:14" x14ac:dyDescent="0.45">
      <c r="A1738">
        <v>1988</v>
      </c>
      <c r="B1738" t="s">
        <v>264</v>
      </c>
      <c r="C1738">
        <v>0</v>
      </c>
      <c r="D1738">
        <v>0</v>
      </c>
      <c r="E1738">
        <v>0</v>
      </c>
      <c r="F1738">
        <v>0</v>
      </c>
      <c r="G1738">
        <v>0</v>
      </c>
      <c r="H1738">
        <v>0</v>
      </c>
      <c r="I1738">
        <v>0</v>
      </c>
      <c r="J1738">
        <v>2268.9410056861302</v>
      </c>
      <c r="K1738">
        <v>2021.8145109604</v>
      </c>
      <c r="L1738">
        <v>80.248000000000005</v>
      </c>
      <c r="M1738">
        <v>68.584999999999994</v>
      </c>
      <c r="N1738">
        <v>56.006999999999998</v>
      </c>
    </row>
    <row r="1739" spans="1:14" x14ac:dyDescent="0.45">
      <c r="A1739">
        <v>1988</v>
      </c>
      <c r="B1739" t="s">
        <v>265</v>
      </c>
      <c r="C1739">
        <v>0</v>
      </c>
      <c r="D1739">
        <v>0</v>
      </c>
      <c r="E1739">
        <v>0</v>
      </c>
      <c r="F1739">
        <v>1</v>
      </c>
      <c r="G1739">
        <v>0</v>
      </c>
      <c r="H1739">
        <v>0</v>
      </c>
      <c r="I1739">
        <v>0</v>
      </c>
      <c r="J1739">
        <v>3270.7158191312801</v>
      </c>
      <c r="K1739">
        <v>2958.6939320822999</v>
      </c>
      <c r="L1739">
        <v>81.989000000000004</v>
      </c>
      <c r="M1739">
        <v>65.698999999999998</v>
      </c>
      <c r="N1739">
        <v>40.898000000000003</v>
      </c>
    </row>
    <row r="1740" spans="1:14" x14ac:dyDescent="0.45">
      <c r="A1740">
        <v>1988</v>
      </c>
      <c r="B1740" t="s">
        <v>266</v>
      </c>
      <c r="C1740">
        <v>0</v>
      </c>
      <c r="D1740">
        <v>0</v>
      </c>
      <c r="E1740">
        <v>0</v>
      </c>
      <c r="F1740">
        <v>1</v>
      </c>
      <c r="G1740">
        <v>0</v>
      </c>
      <c r="H1740">
        <v>0</v>
      </c>
      <c r="I1740">
        <v>0</v>
      </c>
      <c r="J1740">
        <v>3990.49204178632</v>
      </c>
      <c r="K1740">
        <v>3609.8044718516098</v>
      </c>
      <c r="L1740">
        <v>78.8</v>
      </c>
      <c r="M1740">
        <v>67.328000000000003</v>
      </c>
      <c r="N1740">
        <v>31.849</v>
      </c>
    </row>
    <row r="1741" spans="1:14" x14ac:dyDescent="0.45">
      <c r="A1741">
        <v>1988</v>
      </c>
      <c r="B1741" t="s">
        <v>267</v>
      </c>
      <c r="C1741">
        <v>1</v>
      </c>
      <c r="D1741">
        <v>0</v>
      </c>
      <c r="E1741">
        <v>0</v>
      </c>
      <c r="F1741">
        <v>0</v>
      </c>
      <c r="G1741">
        <v>1</v>
      </c>
      <c r="H1741">
        <v>0</v>
      </c>
      <c r="I1741">
        <v>0</v>
      </c>
      <c r="L1741">
        <v>50.427</v>
      </c>
      <c r="M1741">
        <v>64.213999999999999</v>
      </c>
      <c r="N1741">
        <v>119.03</v>
      </c>
    </row>
    <row r="1742" spans="1:14" x14ac:dyDescent="0.45">
      <c r="A1742">
        <v>1988</v>
      </c>
      <c r="B1742" t="s">
        <v>268</v>
      </c>
      <c r="C1742">
        <v>0</v>
      </c>
      <c r="D1742">
        <v>0</v>
      </c>
      <c r="E1742">
        <v>0</v>
      </c>
      <c r="F1742">
        <v>1</v>
      </c>
      <c r="G1742">
        <v>0</v>
      </c>
      <c r="H1742">
        <v>0</v>
      </c>
      <c r="I1742">
        <v>0</v>
      </c>
      <c r="L1742">
        <v>80.150999999999996</v>
      </c>
      <c r="M1742">
        <v>57.43</v>
      </c>
      <c r="N1742">
        <v>136.827</v>
      </c>
    </row>
    <row r="1743" spans="1:14" x14ac:dyDescent="0.45">
      <c r="A1743">
        <v>1988</v>
      </c>
      <c r="B1743" t="s">
        <v>269</v>
      </c>
      <c r="C1743">
        <v>0</v>
      </c>
      <c r="D1743">
        <v>0</v>
      </c>
      <c r="E1743">
        <v>1</v>
      </c>
      <c r="F1743">
        <v>0</v>
      </c>
      <c r="G1743">
        <v>1</v>
      </c>
      <c r="H1743">
        <v>0</v>
      </c>
      <c r="I1743">
        <v>0</v>
      </c>
      <c r="J1743">
        <v>10770.897668596999</v>
      </c>
      <c r="K1743">
        <v>10141.2431965423</v>
      </c>
      <c r="L1743">
        <v>49.027999999999999</v>
      </c>
      <c r="M1743">
        <v>62.902000000000001</v>
      </c>
      <c r="N1743">
        <v>66.759</v>
      </c>
    </row>
    <row r="1744" spans="1:14" x14ac:dyDescent="0.45">
      <c r="A1744">
        <v>1988</v>
      </c>
      <c r="B1744" t="s">
        <v>270</v>
      </c>
      <c r="C1744">
        <v>0</v>
      </c>
      <c r="D1744">
        <v>0</v>
      </c>
      <c r="E1744">
        <v>1</v>
      </c>
      <c r="F1744">
        <v>0</v>
      </c>
      <c r="G1744">
        <v>0</v>
      </c>
      <c r="H1744">
        <v>0</v>
      </c>
      <c r="I1744">
        <v>0</v>
      </c>
      <c r="J1744">
        <v>2432.9631424644899</v>
      </c>
      <c r="K1744">
        <v>2284.2051266288499</v>
      </c>
      <c r="L1744">
        <v>60.494</v>
      </c>
      <c r="M1744">
        <v>49.673999999999999</v>
      </c>
      <c r="N1744">
        <v>177.73099999999999</v>
      </c>
    </row>
    <row r="1745" spans="1:14" x14ac:dyDescent="0.45">
      <c r="A1745">
        <v>1988</v>
      </c>
      <c r="B1745" t="s">
        <v>271</v>
      </c>
      <c r="C1745">
        <v>0</v>
      </c>
      <c r="D1745">
        <v>0</v>
      </c>
      <c r="E1745">
        <v>1</v>
      </c>
      <c r="F1745">
        <v>1</v>
      </c>
      <c r="G1745">
        <v>0</v>
      </c>
      <c r="H1745">
        <v>0</v>
      </c>
      <c r="I1745">
        <v>0</v>
      </c>
      <c r="J1745">
        <v>3771.9404611822301</v>
      </c>
      <c r="K1745">
        <v>2511.4933238833701</v>
      </c>
      <c r="L1745">
        <v>72.475999999999999</v>
      </c>
      <c r="M1745">
        <v>60.241</v>
      </c>
      <c r="N1745">
        <v>79.245000000000005</v>
      </c>
    </row>
    <row r="1746" spans="1:14" x14ac:dyDescent="0.45">
      <c r="A1746">
        <v>1989</v>
      </c>
      <c r="B1746" t="s">
        <v>54</v>
      </c>
      <c r="C1746">
        <v>0</v>
      </c>
      <c r="D1746">
        <v>1</v>
      </c>
      <c r="E1746">
        <v>0</v>
      </c>
      <c r="F1746">
        <v>0</v>
      </c>
      <c r="G1746">
        <v>0</v>
      </c>
      <c r="H1746">
        <v>1</v>
      </c>
      <c r="I1746">
        <v>1</v>
      </c>
      <c r="J1746">
        <v>31361.524466151899</v>
      </c>
      <c r="K1746">
        <v>30521.2645149946</v>
      </c>
      <c r="L1746">
        <v>49.664999999999999</v>
      </c>
      <c r="M1746">
        <v>72.531000000000006</v>
      </c>
      <c r="N1746">
        <v>22.513999999999999</v>
      </c>
    </row>
    <row r="1747" spans="1:14" x14ac:dyDescent="0.45">
      <c r="A1747">
        <v>1989</v>
      </c>
      <c r="B1747" t="s">
        <v>55</v>
      </c>
      <c r="C1747">
        <v>0</v>
      </c>
      <c r="D1747">
        <v>0</v>
      </c>
      <c r="E1747">
        <v>0</v>
      </c>
      <c r="F1747">
        <v>0</v>
      </c>
      <c r="G1747">
        <v>0</v>
      </c>
      <c r="H1747">
        <v>0</v>
      </c>
      <c r="I1747">
        <v>0</v>
      </c>
      <c r="L1747">
        <v>78.912000000000006</v>
      </c>
      <c r="M1747">
        <v>44.496000000000002</v>
      </c>
      <c r="N1747">
        <v>205.703</v>
      </c>
    </row>
    <row r="1748" spans="1:14" x14ac:dyDescent="0.45">
      <c r="A1748">
        <v>1989</v>
      </c>
      <c r="B1748" t="s">
        <v>56</v>
      </c>
      <c r="C1748">
        <v>0</v>
      </c>
      <c r="D1748">
        <v>0</v>
      </c>
      <c r="E1748">
        <v>1</v>
      </c>
      <c r="F1748">
        <v>1</v>
      </c>
      <c r="G1748">
        <v>0</v>
      </c>
      <c r="H1748">
        <v>0</v>
      </c>
      <c r="I1748">
        <v>0</v>
      </c>
      <c r="J1748">
        <v>7645.3230239960303</v>
      </c>
      <c r="K1748">
        <v>5912.5166421710701</v>
      </c>
      <c r="L1748">
        <v>64.269000000000005</v>
      </c>
      <c r="M1748">
        <v>41.698</v>
      </c>
      <c r="N1748">
        <v>238.13499999999999</v>
      </c>
    </row>
    <row r="1749" spans="1:14" x14ac:dyDescent="0.45">
      <c r="A1749">
        <v>1989</v>
      </c>
      <c r="B1749" t="s">
        <v>57</v>
      </c>
      <c r="C1749">
        <v>1</v>
      </c>
      <c r="D1749">
        <v>0</v>
      </c>
      <c r="E1749">
        <v>0</v>
      </c>
      <c r="F1749">
        <v>1</v>
      </c>
      <c r="G1749">
        <v>0</v>
      </c>
      <c r="H1749">
        <v>0</v>
      </c>
      <c r="I1749">
        <v>0</v>
      </c>
      <c r="J1749">
        <v>5200.4770598189298</v>
      </c>
      <c r="K1749">
        <v>4711.3936823905697</v>
      </c>
      <c r="L1749">
        <v>63.841999999999999</v>
      </c>
      <c r="M1749">
        <v>72.456999999999994</v>
      </c>
      <c r="N1749">
        <v>43.281999999999996</v>
      </c>
    </row>
    <row r="1750" spans="1:14" x14ac:dyDescent="0.45">
      <c r="A1750">
        <v>1989</v>
      </c>
      <c r="B1750" t="s">
        <v>58</v>
      </c>
      <c r="C1750">
        <v>1</v>
      </c>
      <c r="D1750">
        <v>0</v>
      </c>
      <c r="E1750">
        <v>0</v>
      </c>
      <c r="F1750">
        <v>0</v>
      </c>
      <c r="G1750">
        <v>0</v>
      </c>
      <c r="H1750">
        <v>1</v>
      </c>
      <c r="I1750">
        <v>1</v>
      </c>
      <c r="J1750">
        <v>50096.173520561199</v>
      </c>
      <c r="K1750">
        <v>42051.912003395002</v>
      </c>
      <c r="L1750">
        <v>5.1280000000000001</v>
      </c>
      <c r="M1750">
        <v>78.557000000000002</v>
      </c>
      <c r="N1750">
        <v>11.115</v>
      </c>
    </row>
    <row r="1751" spans="1:14" x14ac:dyDescent="0.45">
      <c r="A1751">
        <v>1989</v>
      </c>
      <c r="B1751" t="s">
        <v>59</v>
      </c>
      <c r="C1751">
        <v>0</v>
      </c>
      <c r="D1751">
        <v>0</v>
      </c>
      <c r="E1751">
        <v>0</v>
      </c>
      <c r="F1751">
        <v>0</v>
      </c>
      <c r="G1751">
        <v>0</v>
      </c>
      <c r="H1751">
        <v>1</v>
      </c>
      <c r="I1751">
        <v>1</v>
      </c>
      <c r="J1751">
        <v>102369.938082997</v>
      </c>
      <c r="K1751">
        <v>101138.293644816</v>
      </c>
      <c r="L1751">
        <v>20.803999999999998</v>
      </c>
      <c r="M1751">
        <v>70.959999999999994</v>
      </c>
      <c r="N1751">
        <v>17.620999999999999</v>
      </c>
    </row>
    <row r="1752" spans="1:14" x14ac:dyDescent="0.45">
      <c r="A1752">
        <v>1989</v>
      </c>
      <c r="B1752" t="s">
        <v>60</v>
      </c>
      <c r="C1752">
        <v>0</v>
      </c>
      <c r="D1752">
        <v>1</v>
      </c>
      <c r="E1752">
        <v>0</v>
      </c>
      <c r="F1752">
        <v>1</v>
      </c>
      <c r="G1752">
        <v>0</v>
      </c>
      <c r="H1752">
        <v>0</v>
      </c>
      <c r="I1752">
        <v>0</v>
      </c>
      <c r="J1752">
        <v>18600.9929954615</v>
      </c>
      <c r="K1752">
        <v>15351.5816405367</v>
      </c>
      <c r="L1752">
        <v>13.387</v>
      </c>
      <c r="M1752">
        <v>71.501999999999995</v>
      </c>
      <c r="N1752">
        <v>30.358000000000001</v>
      </c>
    </row>
    <row r="1753" spans="1:14" x14ac:dyDescent="0.45">
      <c r="A1753">
        <v>1989</v>
      </c>
      <c r="B1753" t="s">
        <v>61</v>
      </c>
      <c r="C1753">
        <v>1</v>
      </c>
      <c r="D1753">
        <v>0</v>
      </c>
      <c r="E1753">
        <v>0</v>
      </c>
      <c r="F1753">
        <v>1</v>
      </c>
      <c r="G1753">
        <v>0</v>
      </c>
      <c r="H1753">
        <v>0</v>
      </c>
      <c r="I1753">
        <v>0</v>
      </c>
      <c r="L1753">
        <v>32.31</v>
      </c>
      <c r="M1753">
        <v>67.721999999999994</v>
      </c>
      <c r="N1753">
        <v>50.869</v>
      </c>
    </row>
    <row r="1754" spans="1:14" x14ac:dyDescent="0.45">
      <c r="A1754">
        <v>1989</v>
      </c>
      <c r="B1754" t="s">
        <v>62</v>
      </c>
      <c r="C1754">
        <v>0</v>
      </c>
      <c r="D1754">
        <v>0</v>
      </c>
      <c r="E1754">
        <v>0</v>
      </c>
      <c r="F1754">
        <v>0</v>
      </c>
      <c r="G1754">
        <v>0</v>
      </c>
      <c r="H1754">
        <v>1</v>
      </c>
      <c r="I1754">
        <v>1</v>
      </c>
      <c r="L1754">
        <v>19.736999999999998</v>
      </c>
      <c r="M1754">
        <v>70.929000000000002</v>
      </c>
      <c r="N1754">
        <v>15.914999999999999</v>
      </c>
    </row>
    <row r="1755" spans="1:14" x14ac:dyDescent="0.45">
      <c r="A1755">
        <v>1989</v>
      </c>
      <c r="B1755" t="s">
        <v>63</v>
      </c>
      <c r="C1755">
        <v>0</v>
      </c>
      <c r="D1755">
        <v>1</v>
      </c>
      <c r="E1755">
        <v>0</v>
      </c>
      <c r="F1755">
        <v>0</v>
      </c>
      <c r="G1755">
        <v>1</v>
      </c>
      <c r="H1755">
        <v>0</v>
      </c>
      <c r="I1755">
        <v>0</v>
      </c>
      <c r="J1755">
        <v>19929.146508452301</v>
      </c>
      <c r="K1755">
        <v>15696.1326366005</v>
      </c>
      <c r="L1755">
        <v>64.655000000000001</v>
      </c>
      <c r="M1755">
        <v>73.628</v>
      </c>
      <c r="N1755">
        <v>13.673999999999999</v>
      </c>
    </row>
    <row r="1756" spans="1:14" x14ac:dyDescent="0.45">
      <c r="A1756">
        <v>1989</v>
      </c>
      <c r="B1756" t="s">
        <v>64</v>
      </c>
      <c r="C1756">
        <v>0</v>
      </c>
      <c r="D1756">
        <v>0</v>
      </c>
      <c r="E1756">
        <v>0</v>
      </c>
      <c r="F1756">
        <v>0</v>
      </c>
      <c r="G1756">
        <v>0</v>
      </c>
      <c r="H1756">
        <v>1</v>
      </c>
      <c r="I1756">
        <v>1</v>
      </c>
      <c r="J1756">
        <v>35740.495313341897</v>
      </c>
      <c r="K1756">
        <v>30956.686876726799</v>
      </c>
      <c r="L1756">
        <v>14.537000000000001</v>
      </c>
      <c r="M1756">
        <v>76.197000000000003</v>
      </c>
      <c r="N1756">
        <v>10.191000000000001</v>
      </c>
    </row>
    <row r="1757" spans="1:14" x14ac:dyDescent="0.45">
      <c r="A1757">
        <v>1989</v>
      </c>
      <c r="B1757" t="s">
        <v>65</v>
      </c>
      <c r="C1757">
        <v>1</v>
      </c>
      <c r="D1757">
        <v>0</v>
      </c>
      <c r="E1757">
        <v>0</v>
      </c>
      <c r="F1757">
        <v>0</v>
      </c>
      <c r="G1757">
        <v>0</v>
      </c>
      <c r="H1757">
        <v>1</v>
      </c>
      <c r="I1757">
        <v>1</v>
      </c>
      <c r="J1757">
        <v>41878.6204809603</v>
      </c>
      <c r="K1757">
        <v>35687.098204776899</v>
      </c>
      <c r="L1757">
        <v>36.768999999999998</v>
      </c>
      <c r="M1757">
        <v>75.462999999999994</v>
      </c>
      <c r="N1757">
        <v>10.045999999999999</v>
      </c>
    </row>
    <row r="1758" spans="1:14" x14ac:dyDescent="0.45">
      <c r="A1758">
        <v>1989</v>
      </c>
      <c r="B1758" t="s">
        <v>66</v>
      </c>
      <c r="C1758">
        <v>1</v>
      </c>
      <c r="D1758">
        <v>0</v>
      </c>
      <c r="E1758">
        <v>0</v>
      </c>
      <c r="F1758">
        <v>1</v>
      </c>
      <c r="G1758">
        <v>0</v>
      </c>
      <c r="H1758">
        <v>0</v>
      </c>
      <c r="I1758">
        <v>0</v>
      </c>
      <c r="J1758">
        <v>11018.7965377896</v>
      </c>
      <c r="K1758">
        <v>8024.0237784966102</v>
      </c>
      <c r="L1758">
        <v>45.942999999999998</v>
      </c>
      <c r="M1758">
        <v>62.945</v>
      </c>
      <c r="N1758">
        <v>97.7</v>
      </c>
    </row>
    <row r="1759" spans="1:14" x14ac:dyDescent="0.45">
      <c r="A1759">
        <v>1989</v>
      </c>
      <c r="B1759" t="s">
        <v>67</v>
      </c>
      <c r="C1759">
        <v>0</v>
      </c>
      <c r="D1759">
        <v>0</v>
      </c>
      <c r="E1759">
        <v>1</v>
      </c>
      <c r="F1759">
        <v>0</v>
      </c>
      <c r="G1759">
        <v>0</v>
      </c>
      <c r="H1759">
        <v>0</v>
      </c>
      <c r="I1759">
        <v>0</v>
      </c>
      <c r="J1759">
        <v>1404.80035285548</v>
      </c>
      <c r="K1759">
        <v>1213.89254090944</v>
      </c>
      <c r="L1759">
        <v>93.953000000000003</v>
      </c>
      <c r="M1759">
        <v>45.744999999999997</v>
      </c>
      <c r="N1759">
        <v>171.911</v>
      </c>
    </row>
    <row r="1760" spans="1:14" x14ac:dyDescent="0.45">
      <c r="A1760">
        <v>1989</v>
      </c>
      <c r="B1760" t="s">
        <v>68</v>
      </c>
      <c r="C1760">
        <v>1</v>
      </c>
      <c r="D1760">
        <v>0</v>
      </c>
      <c r="E1760">
        <v>0</v>
      </c>
      <c r="F1760">
        <v>0</v>
      </c>
      <c r="G1760">
        <v>0</v>
      </c>
      <c r="H1760">
        <v>1</v>
      </c>
      <c r="I1760">
        <v>1</v>
      </c>
      <c r="J1760">
        <v>40408.200004678998</v>
      </c>
      <c r="K1760">
        <v>34004.172149789803</v>
      </c>
      <c r="L1760">
        <v>3.7080000000000002</v>
      </c>
      <c r="M1760">
        <v>75.647000000000006</v>
      </c>
      <c r="N1760">
        <v>9.9990000000000006</v>
      </c>
    </row>
    <row r="1761" spans="1:14" x14ac:dyDescent="0.45">
      <c r="A1761">
        <v>1989</v>
      </c>
      <c r="B1761" t="s">
        <v>69</v>
      </c>
      <c r="C1761">
        <v>0</v>
      </c>
      <c r="D1761">
        <v>0</v>
      </c>
      <c r="E1761">
        <v>1</v>
      </c>
      <c r="F1761">
        <v>0</v>
      </c>
      <c r="G1761">
        <v>0</v>
      </c>
      <c r="H1761">
        <v>0</v>
      </c>
      <c r="I1761">
        <v>0</v>
      </c>
      <c r="J1761">
        <v>2342.4914374210998</v>
      </c>
      <c r="K1761">
        <v>2222.4431657472201</v>
      </c>
      <c r="L1761">
        <v>66.27</v>
      </c>
      <c r="M1761">
        <v>52.45</v>
      </c>
      <c r="N1761">
        <v>176.37100000000001</v>
      </c>
    </row>
    <row r="1762" spans="1:14" x14ac:dyDescent="0.45">
      <c r="A1762">
        <v>1989</v>
      </c>
      <c r="B1762" t="s">
        <v>70</v>
      </c>
      <c r="C1762">
        <v>0</v>
      </c>
      <c r="D1762">
        <v>0</v>
      </c>
      <c r="E1762">
        <v>1</v>
      </c>
      <c r="F1762">
        <v>0</v>
      </c>
      <c r="G1762">
        <v>0</v>
      </c>
      <c r="H1762">
        <v>0</v>
      </c>
      <c r="I1762">
        <v>0</v>
      </c>
      <c r="J1762">
        <v>1113.7154547986199</v>
      </c>
      <c r="K1762">
        <v>1018.97957375915</v>
      </c>
      <c r="L1762">
        <v>86.436999999999998</v>
      </c>
      <c r="M1762">
        <v>49.27</v>
      </c>
      <c r="N1762">
        <v>202.20500000000001</v>
      </c>
    </row>
    <row r="1763" spans="1:14" x14ac:dyDescent="0.45">
      <c r="A1763">
        <v>1989</v>
      </c>
      <c r="B1763" t="s">
        <v>71</v>
      </c>
      <c r="C1763">
        <v>0</v>
      </c>
      <c r="D1763">
        <v>0</v>
      </c>
      <c r="E1763">
        <v>0</v>
      </c>
      <c r="F1763">
        <v>0</v>
      </c>
      <c r="G1763">
        <v>0</v>
      </c>
      <c r="H1763">
        <v>0</v>
      </c>
      <c r="I1763">
        <v>0</v>
      </c>
      <c r="J1763">
        <v>2026.4923808984299</v>
      </c>
      <c r="K1763">
        <v>1647.52729152713</v>
      </c>
      <c r="L1763">
        <v>80.67</v>
      </c>
      <c r="M1763">
        <v>55.514000000000003</v>
      </c>
      <c r="N1763">
        <v>151.761</v>
      </c>
    </row>
    <row r="1764" spans="1:14" x14ac:dyDescent="0.45">
      <c r="A1764">
        <v>1989</v>
      </c>
      <c r="B1764" t="s">
        <v>72</v>
      </c>
      <c r="C1764">
        <v>1</v>
      </c>
      <c r="D1764">
        <v>0</v>
      </c>
      <c r="E1764">
        <v>0</v>
      </c>
      <c r="F1764">
        <v>1</v>
      </c>
      <c r="G1764">
        <v>0</v>
      </c>
      <c r="H1764">
        <v>0</v>
      </c>
      <c r="I1764">
        <v>0</v>
      </c>
      <c r="J1764">
        <v>15283.0606790779</v>
      </c>
      <c r="K1764">
        <v>12681.8756933164</v>
      </c>
      <c r="L1764">
        <v>33.965000000000003</v>
      </c>
      <c r="M1764">
        <v>71.48</v>
      </c>
      <c r="N1764">
        <v>17.812999999999999</v>
      </c>
    </row>
    <row r="1765" spans="1:14" x14ac:dyDescent="0.45">
      <c r="A1765">
        <v>1989</v>
      </c>
      <c r="B1765" t="s">
        <v>73</v>
      </c>
      <c r="C1765">
        <v>0</v>
      </c>
      <c r="D1765">
        <v>0</v>
      </c>
      <c r="E1765">
        <v>0</v>
      </c>
      <c r="F1765">
        <v>0</v>
      </c>
      <c r="G1765">
        <v>0</v>
      </c>
      <c r="H1765">
        <v>1</v>
      </c>
      <c r="I1765">
        <v>1</v>
      </c>
      <c r="J1765">
        <v>43216.679374947402</v>
      </c>
      <c r="K1765">
        <v>40267.670330923698</v>
      </c>
      <c r="L1765">
        <v>12.051</v>
      </c>
      <c r="M1765">
        <v>72.524000000000001</v>
      </c>
      <c r="N1765">
        <v>23.187999999999999</v>
      </c>
    </row>
    <row r="1766" spans="1:14" x14ac:dyDescent="0.45">
      <c r="A1766">
        <v>1989</v>
      </c>
      <c r="B1766" t="s">
        <v>74</v>
      </c>
      <c r="C1766">
        <v>0</v>
      </c>
      <c r="D1766">
        <v>1</v>
      </c>
      <c r="E1766">
        <v>0</v>
      </c>
      <c r="F1766">
        <v>0</v>
      </c>
      <c r="G1766">
        <v>0</v>
      </c>
      <c r="H1766">
        <v>1</v>
      </c>
      <c r="I1766">
        <v>1</v>
      </c>
      <c r="J1766">
        <v>32902.420798173698</v>
      </c>
      <c r="K1766">
        <v>34129.219961575298</v>
      </c>
      <c r="L1766">
        <v>20.716000000000001</v>
      </c>
      <c r="M1766">
        <v>70.718999999999994</v>
      </c>
      <c r="N1766">
        <v>24.422999999999998</v>
      </c>
    </row>
    <row r="1767" spans="1:14" x14ac:dyDescent="0.45">
      <c r="A1767">
        <v>1989</v>
      </c>
      <c r="B1767" t="s">
        <v>75</v>
      </c>
      <c r="C1767">
        <v>1</v>
      </c>
      <c r="D1767">
        <v>0</v>
      </c>
      <c r="E1767">
        <v>0</v>
      </c>
      <c r="F1767">
        <v>0</v>
      </c>
      <c r="G1767">
        <v>1</v>
      </c>
      <c r="H1767">
        <v>0</v>
      </c>
      <c r="I1767">
        <v>0</v>
      </c>
      <c r="L1767">
        <v>61.085000000000001</v>
      </c>
      <c r="M1767">
        <v>71.444999999999993</v>
      </c>
      <c r="N1767">
        <v>19.091999999999999</v>
      </c>
    </row>
    <row r="1768" spans="1:14" x14ac:dyDescent="0.45">
      <c r="A1768">
        <v>1989</v>
      </c>
      <c r="B1768" t="s">
        <v>76</v>
      </c>
      <c r="C1768">
        <v>1</v>
      </c>
      <c r="D1768">
        <v>0</v>
      </c>
      <c r="E1768">
        <v>0</v>
      </c>
      <c r="F1768">
        <v>0</v>
      </c>
      <c r="G1768">
        <v>1</v>
      </c>
      <c r="H1768">
        <v>0</v>
      </c>
      <c r="I1768">
        <v>0</v>
      </c>
      <c r="L1768">
        <v>34.414999999999999</v>
      </c>
      <c r="M1768">
        <v>71.503</v>
      </c>
      <c r="N1768">
        <v>15.96</v>
      </c>
    </row>
    <row r="1769" spans="1:14" x14ac:dyDescent="0.45">
      <c r="A1769">
        <v>1989</v>
      </c>
      <c r="B1769" t="s">
        <v>77</v>
      </c>
      <c r="C1769">
        <v>0</v>
      </c>
      <c r="D1769">
        <v>1</v>
      </c>
      <c r="E1769">
        <v>0</v>
      </c>
      <c r="F1769">
        <v>1</v>
      </c>
      <c r="G1769">
        <v>0</v>
      </c>
      <c r="H1769">
        <v>0</v>
      </c>
      <c r="I1769">
        <v>0</v>
      </c>
      <c r="J1769">
        <v>7458.1617888098999</v>
      </c>
      <c r="K1769">
        <v>5877.7264207976395</v>
      </c>
      <c r="L1769">
        <v>52.344999999999999</v>
      </c>
      <c r="M1769">
        <v>69.534000000000006</v>
      </c>
      <c r="N1769">
        <v>41.914000000000001</v>
      </c>
    </row>
    <row r="1770" spans="1:14" x14ac:dyDescent="0.45">
      <c r="A1770">
        <v>1989</v>
      </c>
      <c r="B1770" t="s">
        <v>78</v>
      </c>
      <c r="C1770">
        <v>0</v>
      </c>
      <c r="D1770">
        <v>0</v>
      </c>
      <c r="E1770">
        <v>0</v>
      </c>
      <c r="F1770">
        <v>0</v>
      </c>
      <c r="G1770">
        <v>0</v>
      </c>
      <c r="H1770">
        <v>1</v>
      </c>
      <c r="I1770">
        <v>1</v>
      </c>
      <c r="J1770">
        <v>80332.294199251002</v>
      </c>
      <c r="K1770">
        <v>71372.344866166095</v>
      </c>
      <c r="L1770">
        <v>0</v>
      </c>
      <c r="M1770">
        <v>73.733000000000004</v>
      </c>
      <c r="N1770">
        <v>10.986000000000001</v>
      </c>
    </row>
    <row r="1771" spans="1:14" x14ac:dyDescent="0.45">
      <c r="A1771">
        <v>1989</v>
      </c>
      <c r="B1771" t="s">
        <v>79</v>
      </c>
      <c r="C1771">
        <v>0</v>
      </c>
      <c r="D1771">
        <v>1</v>
      </c>
      <c r="E1771">
        <v>0</v>
      </c>
      <c r="F1771">
        <v>1</v>
      </c>
      <c r="G1771">
        <v>0</v>
      </c>
      <c r="H1771">
        <v>0</v>
      </c>
      <c r="I1771">
        <v>0</v>
      </c>
      <c r="J1771">
        <v>5043.0020942402098</v>
      </c>
      <c r="K1771">
        <v>4450.7025709682002</v>
      </c>
      <c r="L1771">
        <v>45.429000000000002</v>
      </c>
      <c r="M1771">
        <v>56.146000000000001</v>
      </c>
      <c r="N1771">
        <v>159.37899999999999</v>
      </c>
    </row>
    <row r="1772" spans="1:14" x14ac:dyDescent="0.45">
      <c r="A1772">
        <v>1989</v>
      </c>
      <c r="B1772" t="s">
        <v>80</v>
      </c>
      <c r="C1772">
        <v>0</v>
      </c>
      <c r="D1772">
        <v>1</v>
      </c>
      <c r="E1772">
        <v>0</v>
      </c>
      <c r="F1772">
        <v>0</v>
      </c>
      <c r="G1772">
        <v>1</v>
      </c>
      <c r="H1772">
        <v>0</v>
      </c>
      <c r="I1772">
        <v>0</v>
      </c>
      <c r="J1772">
        <v>12481.0291612165</v>
      </c>
      <c r="K1772">
        <v>10252.031446880999</v>
      </c>
      <c r="L1772">
        <v>26.861000000000001</v>
      </c>
      <c r="M1772">
        <v>65.513999999999996</v>
      </c>
      <c r="N1772">
        <v>65.37</v>
      </c>
    </row>
    <row r="1773" spans="1:14" x14ac:dyDescent="0.45">
      <c r="A1773">
        <v>1989</v>
      </c>
      <c r="B1773" t="s">
        <v>81</v>
      </c>
      <c r="C1773">
        <v>0</v>
      </c>
      <c r="D1773">
        <v>1</v>
      </c>
      <c r="E1773">
        <v>0</v>
      </c>
      <c r="F1773">
        <v>0</v>
      </c>
      <c r="G1773">
        <v>0</v>
      </c>
      <c r="H1773">
        <v>1</v>
      </c>
      <c r="I1773">
        <v>1</v>
      </c>
      <c r="J1773">
        <v>16408.831939372401</v>
      </c>
      <c r="K1773">
        <v>15672.0683201104</v>
      </c>
      <c r="L1773">
        <v>62.345999999999997</v>
      </c>
      <c r="M1773">
        <v>73.375</v>
      </c>
      <c r="N1773">
        <v>18.815999999999999</v>
      </c>
    </row>
    <row r="1774" spans="1:14" x14ac:dyDescent="0.45">
      <c r="A1774">
        <v>1989</v>
      </c>
      <c r="B1774" t="s">
        <v>82</v>
      </c>
      <c r="C1774">
        <v>0</v>
      </c>
      <c r="D1774">
        <v>0</v>
      </c>
      <c r="E1774">
        <v>0</v>
      </c>
      <c r="F1774">
        <v>0</v>
      </c>
      <c r="G1774">
        <v>0</v>
      </c>
      <c r="H1774">
        <v>1</v>
      </c>
      <c r="I1774">
        <v>1</v>
      </c>
      <c r="J1774">
        <v>122992.277099953</v>
      </c>
      <c r="K1774">
        <v>96032.920197093801</v>
      </c>
      <c r="L1774">
        <v>33.71</v>
      </c>
      <c r="M1774">
        <v>71.408000000000001</v>
      </c>
      <c r="N1774">
        <v>13.507</v>
      </c>
    </row>
    <row r="1775" spans="1:14" x14ac:dyDescent="0.45">
      <c r="A1775">
        <v>1989</v>
      </c>
      <c r="B1775" t="s">
        <v>83</v>
      </c>
      <c r="C1775">
        <v>0</v>
      </c>
      <c r="D1775">
        <v>0</v>
      </c>
      <c r="E1775">
        <v>0</v>
      </c>
      <c r="F1775">
        <v>0</v>
      </c>
      <c r="G1775">
        <v>0</v>
      </c>
      <c r="H1775">
        <v>0</v>
      </c>
      <c r="I1775">
        <v>0</v>
      </c>
      <c r="J1775">
        <v>3272.3541077085201</v>
      </c>
      <c r="K1775">
        <v>2834.2724824223101</v>
      </c>
      <c r="L1775">
        <v>84.355000000000004</v>
      </c>
      <c r="M1775">
        <v>55.12</v>
      </c>
      <c r="N1775">
        <v>134.09100000000001</v>
      </c>
    </row>
    <row r="1776" spans="1:14" x14ac:dyDescent="0.45">
      <c r="A1776">
        <v>1989</v>
      </c>
      <c r="B1776" t="s">
        <v>84</v>
      </c>
      <c r="C1776">
        <v>0</v>
      </c>
      <c r="D1776">
        <v>0</v>
      </c>
      <c r="E1776">
        <v>1</v>
      </c>
      <c r="F1776">
        <v>1</v>
      </c>
      <c r="G1776">
        <v>0</v>
      </c>
      <c r="H1776">
        <v>0</v>
      </c>
      <c r="I1776">
        <v>0</v>
      </c>
      <c r="J1776">
        <v>9567.7535573438709</v>
      </c>
      <c r="K1776">
        <v>8656.7736318052794</v>
      </c>
      <c r="L1776">
        <v>61.351999999999997</v>
      </c>
      <c r="M1776">
        <v>61.189</v>
      </c>
      <c r="N1776">
        <v>50.591999999999999</v>
      </c>
    </row>
    <row r="1777" spans="1:14" x14ac:dyDescent="0.45">
      <c r="A1777">
        <v>1989</v>
      </c>
      <c r="B1777" t="s">
        <v>85</v>
      </c>
      <c r="C1777">
        <v>0</v>
      </c>
      <c r="D1777">
        <v>0</v>
      </c>
      <c r="E1777">
        <v>1</v>
      </c>
      <c r="F1777">
        <v>0</v>
      </c>
      <c r="G1777">
        <v>0</v>
      </c>
      <c r="H1777">
        <v>0</v>
      </c>
      <c r="I1777">
        <v>0</v>
      </c>
      <c r="J1777">
        <v>1489.99923504409</v>
      </c>
      <c r="K1777">
        <v>1192.96836993136</v>
      </c>
      <c r="L1777">
        <v>63.256</v>
      </c>
      <c r="M1777">
        <v>50.073999999999998</v>
      </c>
      <c r="N1777">
        <v>177.36500000000001</v>
      </c>
    </row>
    <row r="1778" spans="1:14" x14ac:dyDescent="0.45">
      <c r="A1778">
        <v>1989</v>
      </c>
      <c r="B1778" t="s">
        <v>86</v>
      </c>
      <c r="C1778">
        <v>0</v>
      </c>
      <c r="D1778">
        <v>0</v>
      </c>
      <c r="E1778">
        <v>0</v>
      </c>
      <c r="F1778">
        <v>0</v>
      </c>
      <c r="G1778">
        <v>0</v>
      </c>
      <c r="H1778">
        <v>1</v>
      </c>
      <c r="I1778">
        <v>1</v>
      </c>
      <c r="J1778">
        <v>40266.702485211797</v>
      </c>
      <c r="K1778">
        <v>34855.5251136058</v>
      </c>
      <c r="L1778">
        <v>23.437999999999999</v>
      </c>
      <c r="M1778">
        <v>77.123999999999995</v>
      </c>
      <c r="N1778">
        <v>8.7919999999999998</v>
      </c>
    </row>
    <row r="1779" spans="1:14" x14ac:dyDescent="0.45">
      <c r="A1779">
        <v>1989</v>
      </c>
      <c r="B1779" t="s">
        <v>87</v>
      </c>
      <c r="C1779">
        <v>1</v>
      </c>
      <c r="D1779">
        <v>0</v>
      </c>
      <c r="E1779">
        <v>0</v>
      </c>
      <c r="F1779">
        <v>0</v>
      </c>
      <c r="G1779">
        <v>0</v>
      </c>
      <c r="H1779">
        <v>1</v>
      </c>
      <c r="I1779">
        <v>1</v>
      </c>
      <c r="J1779">
        <v>61792.355643495699</v>
      </c>
      <c r="K1779">
        <v>53757.3041785432</v>
      </c>
      <c r="L1779">
        <v>26.013999999999999</v>
      </c>
      <c r="M1779">
        <v>77.557000000000002</v>
      </c>
      <c r="N1779">
        <v>8.8260000000000005</v>
      </c>
    </row>
    <row r="1780" spans="1:14" x14ac:dyDescent="0.45">
      <c r="A1780">
        <v>1989</v>
      </c>
      <c r="B1780" t="s">
        <v>88</v>
      </c>
      <c r="C1780">
        <v>1</v>
      </c>
      <c r="D1780">
        <v>0</v>
      </c>
      <c r="E1780">
        <v>0</v>
      </c>
      <c r="F1780">
        <v>0</v>
      </c>
      <c r="G1780">
        <v>0</v>
      </c>
      <c r="H1780">
        <v>1</v>
      </c>
      <c r="I1780">
        <v>1</v>
      </c>
      <c r="L1780">
        <v>68.503</v>
      </c>
      <c r="M1780">
        <v>76.542360329608996</v>
      </c>
      <c r="N1780">
        <v>15.2131852425071</v>
      </c>
    </row>
    <row r="1781" spans="1:14" x14ac:dyDescent="0.45">
      <c r="A1781">
        <v>1989</v>
      </c>
      <c r="B1781" t="s">
        <v>89</v>
      </c>
      <c r="C1781">
        <v>0</v>
      </c>
      <c r="D1781">
        <v>1</v>
      </c>
      <c r="E1781">
        <v>0</v>
      </c>
      <c r="F1781">
        <v>1</v>
      </c>
      <c r="G1781">
        <v>0</v>
      </c>
      <c r="H1781">
        <v>0</v>
      </c>
      <c r="I1781">
        <v>0</v>
      </c>
      <c r="J1781">
        <v>10129.1398029211</v>
      </c>
      <c r="K1781">
        <v>8823.3108209967104</v>
      </c>
      <c r="L1781">
        <v>16.856999999999999</v>
      </c>
      <c r="M1781">
        <v>73.188000000000002</v>
      </c>
      <c r="N1781">
        <v>20.608000000000001</v>
      </c>
    </row>
    <row r="1782" spans="1:14" x14ac:dyDescent="0.45">
      <c r="A1782">
        <v>1989</v>
      </c>
      <c r="B1782" t="s">
        <v>90</v>
      </c>
      <c r="C1782">
        <v>0</v>
      </c>
      <c r="D1782">
        <v>0</v>
      </c>
      <c r="E1782">
        <v>0</v>
      </c>
      <c r="F1782">
        <v>0</v>
      </c>
      <c r="G1782">
        <v>0</v>
      </c>
      <c r="H1782">
        <v>0</v>
      </c>
      <c r="I1782">
        <v>0</v>
      </c>
      <c r="J1782">
        <v>1624.3544202744499</v>
      </c>
      <c r="K1782">
        <v>1456.1285614635201</v>
      </c>
      <c r="L1782">
        <v>74.299000000000007</v>
      </c>
      <c r="M1782">
        <v>67.930000000000007</v>
      </c>
      <c r="N1782">
        <v>53.381</v>
      </c>
    </row>
    <row r="1783" spans="1:14" x14ac:dyDescent="0.45">
      <c r="A1783">
        <v>1989</v>
      </c>
      <c r="B1783" t="s">
        <v>91</v>
      </c>
      <c r="C1783">
        <v>0</v>
      </c>
      <c r="D1783">
        <v>0</v>
      </c>
      <c r="E1783">
        <v>1</v>
      </c>
      <c r="F1783">
        <v>1</v>
      </c>
      <c r="G1783">
        <v>0</v>
      </c>
      <c r="H1783">
        <v>0</v>
      </c>
      <c r="I1783">
        <v>0</v>
      </c>
      <c r="J1783">
        <v>5306.3048541524604</v>
      </c>
      <c r="K1783">
        <v>4479.3027685864899</v>
      </c>
      <c r="L1783">
        <v>61.024000000000001</v>
      </c>
      <c r="M1783">
        <v>52.954999999999998</v>
      </c>
      <c r="N1783">
        <v>152.71899999999999</v>
      </c>
    </row>
    <row r="1784" spans="1:14" x14ac:dyDescent="0.45">
      <c r="A1784">
        <v>1989</v>
      </c>
      <c r="B1784" t="s">
        <v>92</v>
      </c>
      <c r="C1784">
        <v>0</v>
      </c>
      <c r="D1784">
        <v>0</v>
      </c>
      <c r="E1784">
        <v>1</v>
      </c>
      <c r="F1784">
        <v>1</v>
      </c>
      <c r="G1784">
        <v>0</v>
      </c>
      <c r="H1784">
        <v>0</v>
      </c>
      <c r="I1784">
        <v>0</v>
      </c>
      <c r="J1784">
        <v>4742.3001928311596</v>
      </c>
      <c r="K1784">
        <v>3723.7136978757899</v>
      </c>
      <c r="L1784">
        <v>60.917999999999999</v>
      </c>
      <c r="M1784">
        <v>54.389000000000003</v>
      </c>
      <c r="N1784">
        <v>138.673</v>
      </c>
    </row>
    <row r="1785" spans="1:14" x14ac:dyDescent="0.45">
      <c r="A1785">
        <v>1989</v>
      </c>
      <c r="B1785" t="s">
        <v>93</v>
      </c>
      <c r="C1785">
        <v>0</v>
      </c>
      <c r="D1785">
        <v>0</v>
      </c>
      <c r="E1785">
        <v>1</v>
      </c>
      <c r="F1785">
        <v>0</v>
      </c>
      <c r="G1785">
        <v>0</v>
      </c>
      <c r="H1785">
        <v>0</v>
      </c>
      <c r="I1785">
        <v>0</v>
      </c>
      <c r="J1785">
        <v>2270.4953117060199</v>
      </c>
      <c r="K1785">
        <v>1817.6779791562501</v>
      </c>
      <c r="L1785">
        <v>69.798000000000002</v>
      </c>
      <c r="M1785">
        <v>48.149000000000001</v>
      </c>
      <c r="N1785">
        <v>188.148</v>
      </c>
    </row>
    <row r="1786" spans="1:14" x14ac:dyDescent="0.45">
      <c r="A1786">
        <v>1989</v>
      </c>
      <c r="B1786" t="s">
        <v>94</v>
      </c>
      <c r="C1786">
        <v>0</v>
      </c>
      <c r="D1786">
        <v>0</v>
      </c>
      <c r="E1786">
        <v>1</v>
      </c>
      <c r="F1786">
        <v>1</v>
      </c>
      <c r="G1786">
        <v>0</v>
      </c>
      <c r="H1786">
        <v>0</v>
      </c>
      <c r="I1786">
        <v>0</v>
      </c>
      <c r="J1786">
        <v>8726.8341561095003</v>
      </c>
      <c r="K1786">
        <v>5260.9301840149601</v>
      </c>
      <c r="L1786">
        <v>46.094999999999999</v>
      </c>
      <c r="M1786">
        <v>57.292000000000002</v>
      </c>
      <c r="N1786">
        <v>91.531000000000006</v>
      </c>
    </row>
    <row r="1787" spans="1:14" x14ac:dyDescent="0.45">
      <c r="A1787">
        <v>1989</v>
      </c>
      <c r="B1787" t="s">
        <v>95</v>
      </c>
      <c r="C1787">
        <v>0</v>
      </c>
      <c r="D1787">
        <v>1</v>
      </c>
      <c r="E1787">
        <v>0</v>
      </c>
      <c r="F1787">
        <v>1</v>
      </c>
      <c r="G1787">
        <v>0</v>
      </c>
      <c r="H1787">
        <v>0</v>
      </c>
      <c r="I1787">
        <v>0</v>
      </c>
      <c r="J1787">
        <v>9869.2748556721308</v>
      </c>
      <c r="K1787">
        <v>8217.2518522173796</v>
      </c>
      <c r="L1787">
        <v>30.992000000000001</v>
      </c>
      <c r="M1787">
        <v>68.616</v>
      </c>
      <c r="N1787">
        <v>37.218000000000004</v>
      </c>
    </row>
    <row r="1788" spans="1:14" x14ac:dyDescent="0.45">
      <c r="A1788">
        <v>1989</v>
      </c>
      <c r="B1788" t="s">
        <v>96</v>
      </c>
      <c r="C1788">
        <v>0</v>
      </c>
      <c r="D1788">
        <v>0</v>
      </c>
      <c r="E1788">
        <v>1</v>
      </c>
      <c r="F1788">
        <v>0</v>
      </c>
      <c r="G1788">
        <v>0</v>
      </c>
      <c r="H1788">
        <v>0</v>
      </c>
      <c r="I1788">
        <v>0</v>
      </c>
      <c r="J1788">
        <v>2525.76591013395</v>
      </c>
      <c r="K1788">
        <v>2611.9642926224701</v>
      </c>
      <c r="L1788">
        <v>72.622</v>
      </c>
      <c r="M1788">
        <v>54.982999999999997</v>
      </c>
      <c r="N1788">
        <v>130.60400000000001</v>
      </c>
    </row>
    <row r="1789" spans="1:14" x14ac:dyDescent="0.45">
      <c r="A1789">
        <v>1989</v>
      </c>
      <c r="B1789" t="s">
        <v>97</v>
      </c>
      <c r="C1789">
        <v>0</v>
      </c>
      <c r="D1789">
        <v>0</v>
      </c>
      <c r="E1789">
        <v>1</v>
      </c>
      <c r="F1789">
        <v>1</v>
      </c>
      <c r="G1789">
        <v>0</v>
      </c>
      <c r="H1789">
        <v>0</v>
      </c>
      <c r="I1789">
        <v>0</v>
      </c>
      <c r="J1789">
        <v>1773.4440567551201</v>
      </c>
      <c r="K1789">
        <v>1709.09305451776</v>
      </c>
      <c r="L1789">
        <v>58.496000000000002</v>
      </c>
      <c r="M1789">
        <v>63.566000000000003</v>
      </c>
      <c r="N1789">
        <v>62.174999999999997</v>
      </c>
    </row>
    <row r="1790" spans="1:14" x14ac:dyDescent="0.45">
      <c r="A1790">
        <v>1989</v>
      </c>
      <c r="B1790" t="s">
        <v>98</v>
      </c>
      <c r="C1790">
        <v>0</v>
      </c>
      <c r="D1790">
        <v>1</v>
      </c>
      <c r="E1790">
        <v>0</v>
      </c>
      <c r="F1790">
        <v>1</v>
      </c>
      <c r="G1790">
        <v>0</v>
      </c>
      <c r="H1790">
        <v>0</v>
      </c>
      <c r="I1790">
        <v>0</v>
      </c>
      <c r="J1790">
        <v>10691.2904734522</v>
      </c>
      <c r="K1790">
        <v>9572.4944162798893</v>
      </c>
      <c r="L1790">
        <v>50.911000000000001</v>
      </c>
      <c r="M1790">
        <v>75.849999999999994</v>
      </c>
      <c r="N1790">
        <v>18.018000000000001</v>
      </c>
    </row>
    <row r="1791" spans="1:14" x14ac:dyDescent="0.45">
      <c r="A1791">
        <v>1989</v>
      </c>
      <c r="B1791" t="s">
        <v>99</v>
      </c>
      <c r="C1791">
        <v>0</v>
      </c>
      <c r="D1791">
        <v>1</v>
      </c>
      <c r="E1791">
        <v>0</v>
      </c>
      <c r="F1791">
        <v>1</v>
      </c>
      <c r="G1791">
        <v>0</v>
      </c>
      <c r="H1791">
        <v>0</v>
      </c>
      <c r="I1791">
        <v>0</v>
      </c>
      <c r="L1791">
        <v>27.111999999999998</v>
      </c>
      <c r="M1791">
        <v>73.69</v>
      </c>
      <c r="N1791">
        <v>14.191000000000001</v>
      </c>
    </row>
    <row r="1792" spans="1:14" x14ac:dyDescent="0.45">
      <c r="A1792">
        <v>1989</v>
      </c>
      <c r="B1792" t="s">
        <v>100</v>
      </c>
      <c r="C1792">
        <v>0</v>
      </c>
      <c r="D1792">
        <v>1</v>
      </c>
      <c r="E1792">
        <v>0</v>
      </c>
      <c r="F1792">
        <v>0</v>
      </c>
      <c r="G1792">
        <v>0</v>
      </c>
      <c r="H1792">
        <v>1</v>
      </c>
      <c r="I1792">
        <v>1</v>
      </c>
      <c r="L1792">
        <v>15.595000000000001</v>
      </c>
      <c r="M1792">
        <v>72.150999999999996</v>
      </c>
      <c r="N1792">
        <v>19.782</v>
      </c>
    </row>
    <row r="1793" spans="1:14" x14ac:dyDescent="0.45">
      <c r="A1793">
        <v>1989</v>
      </c>
      <c r="B1793" t="s">
        <v>101</v>
      </c>
      <c r="C1793">
        <v>0</v>
      </c>
      <c r="D1793">
        <v>1</v>
      </c>
      <c r="E1793">
        <v>0</v>
      </c>
      <c r="F1793">
        <v>0</v>
      </c>
      <c r="G1793">
        <v>0</v>
      </c>
      <c r="H1793">
        <v>1</v>
      </c>
      <c r="I1793">
        <v>1</v>
      </c>
      <c r="L1793">
        <v>0</v>
      </c>
      <c r="M1793">
        <v>72.545000000000002</v>
      </c>
      <c r="N1793">
        <v>10.097</v>
      </c>
    </row>
    <row r="1794" spans="1:14" x14ac:dyDescent="0.45">
      <c r="A1794">
        <v>1989</v>
      </c>
      <c r="B1794" t="s">
        <v>102</v>
      </c>
      <c r="C1794">
        <v>1</v>
      </c>
      <c r="D1794">
        <v>0</v>
      </c>
      <c r="E1794">
        <v>0</v>
      </c>
      <c r="F1794">
        <v>0</v>
      </c>
      <c r="G1794">
        <v>0</v>
      </c>
      <c r="H1794">
        <v>1</v>
      </c>
      <c r="I1794">
        <v>1</v>
      </c>
      <c r="J1794">
        <v>25970.744035184602</v>
      </c>
      <c r="K1794">
        <v>23135.833512044901</v>
      </c>
      <c r="L1794">
        <v>33.639000000000003</v>
      </c>
      <c r="M1794">
        <v>75.840999999999994</v>
      </c>
      <c r="N1794">
        <v>11.38</v>
      </c>
    </row>
    <row r="1795" spans="1:14" x14ac:dyDescent="0.45">
      <c r="A1795">
        <v>1989</v>
      </c>
      <c r="B1795" t="s">
        <v>103</v>
      </c>
      <c r="C1795">
        <v>1</v>
      </c>
      <c r="D1795">
        <v>0</v>
      </c>
      <c r="E1795">
        <v>0</v>
      </c>
      <c r="F1795">
        <v>0</v>
      </c>
      <c r="G1795">
        <v>1</v>
      </c>
      <c r="H1795">
        <v>0</v>
      </c>
      <c r="I1795">
        <v>0</v>
      </c>
      <c r="L1795">
        <v>24.751000000000001</v>
      </c>
      <c r="M1795">
        <v>71.754000000000005</v>
      </c>
      <c r="N1795">
        <v>11.521000000000001</v>
      </c>
    </row>
    <row r="1796" spans="1:14" x14ac:dyDescent="0.45">
      <c r="A1796">
        <v>1989</v>
      </c>
      <c r="B1796" t="s">
        <v>104</v>
      </c>
      <c r="C1796">
        <v>1</v>
      </c>
      <c r="D1796">
        <v>0</v>
      </c>
      <c r="E1796">
        <v>0</v>
      </c>
      <c r="F1796">
        <v>0</v>
      </c>
      <c r="G1796">
        <v>0</v>
      </c>
      <c r="H1796">
        <v>1</v>
      </c>
      <c r="I1796">
        <v>1</v>
      </c>
      <c r="J1796">
        <v>41094.4720109509</v>
      </c>
      <c r="K1796">
        <v>35631.049613827898</v>
      </c>
      <c r="L1796">
        <v>27.024000000000001</v>
      </c>
      <c r="M1796">
        <v>75.466999999999999</v>
      </c>
      <c r="N1796">
        <v>8.9269999999999996</v>
      </c>
    </row>
    <row r="1797" spans="1:14" x14ac:dyDescent="0.45">
      <c r="A1797">
        <v>1989</v>
      </c>
      <c r="B1797" t="s">
        <v>105</v>
      </c>
      <c r="C1797">
        <v>0</v>
      </c>
      <c r="D1797">
        <v>0</v>
      </c>
      <c r="E1797">
        <v>0</v>
      </c>
      <c r="F1797">
        <v>1</v>
      </c>
      <c r="G1797">
        <v>0</v>
      </c>
      <c r="H1797">
        <v>0</v>
      </c>
      <c r="I1797">
        <v>0</v>
      </c>
      <c r="L1797">
        <v>24.247</v>
      </c>
      <c r="M1797">
        <v>55.369</v>
      </c>
      <c r="N1797">
        <v>120.465</v>
      </c>
    </row>
    <row r="1798" spans="1:14" x14ac:dyDescent="0.45">
      <c r="A1798">
        <v>1989</v>
      </c>
      <c r="B1798" t="s">
        <v>106</v>
      </c>
      <c r="C1798">
        <v>0</v>
      </c>
      <c r="D1798">
        <v>1</v>
      </c>
      <c r="E1798">
        <v>0</v>
      </c>
      <c r="F1798">
        <v>1</v>
      </c>
      <c r="G1798">
        <v>0</v>
      </c>
      <c r="H1798">
        <v>0</v>
      </c>
      <c r="I1798">
        <v>0</v>
      </c>
      <c r="J1798">
        <v>11266.0552019685</v>
      </c>
      <c r="K1798">
        <v>8767.5633297403692</v>
      </c>
      <c r="L1798">
        <v>38.549999999999997</v>
      </c>
      <c r="M1798">
        <v>70.662999999999997</v>
      </c>
      <c r="N1798">
        <v>17.579000000000001</v>
      </c>
    </row>
    <row r="1799" spans="1:14" x14ac:dyDescent="0.45">
      <c r="A1799">
        <v>1989</v>
      </c>
      <c r="B1799" t="s">
        <v>107</v>
      </c>
      <c r="C1799">
        <v>1</v>
      </c>
      <c r="D1799">
        <v>0</v>
      </c>
      <c r="E1799">
        <v>0</v>
      </c>
      <c r="F1799">
        <v>0</v>
      </c>
      <c r="G1799">
        <v>0</v>
      </c>
      <c r="H1799">
        <v>1</v>
      </c>
      <c r="I1799">
        <v>1</v>
      </c>
      <c r="J1799">
        <v>45531.6657372392</v>
      </c>
      <c r="K1799">
        <v>38480.954735088097</v>
      </c>
      <c r="L1799">
        <v>15.223000000000001</v>
      </c>
      <c r="M1799">
        <v>74.86</v>
      </c>
      <c r="N1799">
        <v>9.91</v>
      </c>
    </row>
    <row r="1800" spans="1:14" x14ac:dyDescent="0.45">
      <c r="A1800">
        <v>1989</v>
      </c>
      <c r="B1800" t="s">
        <v>108</v>
      </c>
      <c r="C1800">
        <v>0</v>
      </c>
      <c r="D1800">
        <v>1</v>
      </c>
      <c r="E1800">
        <v>0</v>
      </c>
      <c r="F1800">
        <v>1</v>
      </c>
      <c r="G1800">
        <v>0</v>
      </c>
      <c r="H1800">
        <v>0</v>
      </c>
      <c r="I1800">
        <v>0</v>
      </c>
      <c r="J1800">
        <v>7174.2719724721101</v>
      </c>
      <c r="K1800">
        <v>6197.3154642357604</v>
      </c>
      <c r="L1800">
        <v>45.045000000000002</v>
      </c>
      <c r="M1800">
        <v>67.331000000000003</v>
      </c>
      <c r="N1800">
        <v>65.92</v>
      </c>
    </row>
    <row r="1801" spans="1:14" x14ac:dyDescent="0.45">
      <c r="A1801">
        <v>1989</v>
      </c>
      <c r="B1801" t="s">
        <v>109</v>
      </c>
      <c r="C1801">
        <v>0</v>
      </c>
      <c r="D1801">
        <v>0</v>
      </c>
      <c r="E1801">
        <v>0</v>
      </c>
      <c r="F1801">
        <v>1</v>
      </c>
      <c r="G1801">
        <v>0</v>
      </c>
      <c r="H1801">
        <v>0</v>
      </c>
      <c r="I1801">
        <v>0</v>
      </c>
      <c r="J1801">
        <v>11534.7637508527</v>
      </c>
      <c r="K1801">
        <v>10088.6979748509</v>
      </c>
      <c r="L1801">
        <v>48.701999999999998</v>
      </c>
      <c r="M1801">
        <v>67.460999999999999</v>
      </c>
      <c r="N1801">
        <v>54.216000000000001</v>
      </c>
    </row>
    <row r="1802" spans="1:14" x14ac:dyDescent="0.45">
      <c r="A1802">
        <v>1989</v>
      </c>
      <c r="B1802" t="s">
        <v>110</v>
      </c>
      <c r="C1802">
        <v>0</v>
      </c>
      <c r="D1802">
        <v>1</v>
      </c>
      <c r="E1802">
        <v>0</v>
      </c>
      <c r="F1802">
        <v>1</v>
      </c>
      <c r="G1802">
        <v>0</v>
      </c>
      <c r="H1802">
        <v>0</v>
      </c>
      <c r="I1802">
        <v>0</v>
      </c>
      <c r="J1802">
        <v>9222.1952973159696</v>
      </c>
      <c r="K1802">
        <v>7670.5404301580402</v>
      </c>
      <c r="L1802">
        <v>45.682000000000002</v>
      </c>
      <c r="M1802">
        <v>67.816999999999993</v>
      </c>
      <c r="N1802">
        <v>56.511000000000003</v>
      </c>
    </row>
    <row r="1803" spans="1:14" x14ac:dyDescent="0.45">
      <c r="A1803">
        <v>1989</v>
      </c>
      <c r="B1803" t="s">
        <v>111</v>
      </c>
      <c r="C1803">
        <v>0</v>
      </c>
      <c r="D1803">
        <v>0</v>
      </c>
      <c r="E1803">
        <v>0</v>
      </c>
      <c r="F1803">
        <v>1</v>
      </c>
      <c r="G1803">
        <v>0</v>
      </c>
      <c r="H1803">
        <v>0</v>
      </c>
      <c r="I1803">
        <v>0</v>
      </c>
      <c r="J1803">
        <v>7760.9083172075398</v>
      </c>
      <c r="K1803">
        <v>6158.92607988912</v>
      </c>
      <c r="L1803">
        <v>56.389000000000003</v>
      </c>
      <c r="M1803">
        <v>61.948999999999998</v>
      </c>
      <c r="N1803">
        <v>91.138999999999996</v>
      </c>
    </row>
    <row r="1804" spans="1:14" x14ac:dyDescent="0.45">
      <c r="A1804">
        <v>1989</v>
      </c>
      <c r="B1804" t="s">
        <v>112</v>
      </c>
      <c r="C1804">
        <v>0</v>
      </c>
      <c r="D1804">
        <v>0</v>
      </c>
      <c r="E1804">
        <v>1</v>
      </c>
      <c r="F1804">
        <v>0</v>
      </c>
      <c r="G1804">
        <v>0</v>
      </c>
      <c r="H1804">
        <v>0</v>
      </c>
      <c r="I1804">
        <v>0</v>
      </c>
      <c r="L1804">
        <v>81.760999999999996</v>
      </c>
      <c r="M1804">
        <v>47.802</v>
      </c>
      <c r="N1804">
        <v>162.65799999999999</v>
      </c>
    </row>
    <row r="1805" spans="1:14" x14ac:dyDescent="0.45">
      <c r="A1805">
        <v>1989</v>
      </c>
      <c r="B1805" t="s">
        <v>113</v>
      </c>
      <c r="C1805">
        <v>1</v>
      </c>
      <c r="D1805">
        <v>0</v>
      </c>
      <c r="E1805">
        <v>0</v>
      </c>
      <c r="F1805">
        <v>0</v>
      </c>
      <c r="G1805">
        <v>0</v>
      </c>
      <c r="H1805">
        <v>1</v>
      </c>
      <c r="I1805">
        <v>1</v>
      </c>
      <c r="J1805">
        <v>30306.5636282056</v>
      </c>
      <c r="K1805">
        <v>26670.582029526398</v>
      </c>
      <c r="L1805">
        <v>24.873999999999999</v>
      </c>
      <c r="M1805">
        <v>76.998000000000005</v>
      </c>
      <c r="N1805">
        <v>9.4930000000000003</v>
      </c>
    </row>
    <row r="1806" spans="1:14" x14ac:dyDescent="0.45">
      <c r="A1806">
        <v>1989</v>
      </c>
      <c r="B1806" t="s">
        <v>114</v>
      </c>
      <c r="C1806">
        <v>1</v>
      </c>
      <c r="D1806">
        <v>0</v>
      </c>
      <c r="E1806">
        <v>0</v>
      </c>
      <c r="F1806">
        <v>0</v>
      </c>
      <c r="G1806">
        <v>1</v>
      </c>
      <c r="H1806">
        <v>0</v>
      </c>
      <c r="I1806">
        <v>0</v>
      </c>
      <c r="L1806">
        <v>28.585000000000001</v>
      </c>
      <c r="M1806">
        <v>70.498000000000005</v>
      </c>
      <c r="N1806">
        <v>18.757000000000001</v>
      </c>
    </row>
    <row r="1807" spans="1:14" x14ac:dyDescent="0.45">
      <c r="A1807">
        <v>1989</v>
      </c>
      <c r="B1807" t="s">
        <v>115</v>
      </c>
      <c r="C1807">
        <v>0</v>
      </c>
      <c r="D1807">
        <v>0</v>
      </c>
      <c r="E1807">
        <v>1</v>
      </c>
      <c r="F1807">
        <v>0</v>
      </c>
      <c r="G1807">
        <v>0</v>
      </c>
      <c r="H1807">
        <v>0</v>
      </c>
      <c r="I1807">
        <v>0</v>
      </c>
      <c r="J1807">
        <v>897.98939310098899</v>
      </c>
      <c r="K1807">
        <v>809.88801553036706</v>
      </c>
      <c r="L1807">
        <v>87.62</v>
      </c>
      <c r="M1807">
        <v>45.643999999999998</v>
      </c>
      <c r="N1807">
        <v>209.739</v>
      </c>
    </row>
    <row r="1808" spans="1:14" x14ac:dyDescent="0.45">
      <c r="A1808">
        <v>1989</v>
      </c>
      <c r="B1808" t="s">
        <v>116</v>
      </c>
      <c r="C1808">
        <v>1</v>
      </c>
      <c r="D1808">
        <v>0</v>
      </c>
      <c r="E1808">
        <v>0</v>
      </c>
      <c r="F1808">
        <v>0</v>
      </c>
      <c r="G1808">
        <v>0</v>
      </c>
      <c r="H1808">
        <v>1</v>
      </c>
      <c r="I1808">
        <v>1</v>
      </c>
      <c r="J1808">
        <v>37062.141259272801</v>
      </c>
      <c r="K1808">
        <v>31157.505127329099</v>
      </c>
      <c r="L1808">
        <v>21.309000000000001</v>
      </c>
      <c r="M1808">
        <v>74.968999999999994</v>
      </c>
      <c r="N1808">
        <v>7.38</v>
      </c>
    </row>
    <row r="1809" spans="1:14" x14ac:dyDescent="0.45">
      <c r="A1809">
        <v>1989</v>
      </c>
      <c r="B1809" t="s">
        <v>117</v>
      </c>
      <c r="C1809">
        <v>0</v>
      </c>
      <c r="D1809">
        <v>0</v>
      </c>
      <c r="E1809">
        <v>0</v>
      </c>
      <c r="F1809">
        <v>1</v>
      </c>
      <c r="G1809">
        <v>0</v>
      </c>
      <c r="H1809">
        <v>0</v>
      </c>
      <c r="I1809">
        <v>0</v>
      </c>
      <c r="J1809">
        <v>7646.68937231994</v>
      </c>
      <c r="K1809">
        <v>7488.4235317458197</v>
      </c>
      <c r="L1809">
        <v>59.155000000000001</v>
      </c>
      <c r="M1809">
        <v>65.385999999999996</v>
      </c>
      <c r="N1809">
        <v>30.459</v>
      </c>
    </row>
    <row r="1810" spans="1:14" x14ac:dyDescent="0.45">
      <c r="A1810">
        <v>1989</v>
      </c>
      <c r="B1810" t="s">
        <v>118</v>
      </c>
      <c r="C1810">
        <v>1</v>
      </c>
      <c r="D1810">
        <v>0</v>
      </c>
      <c r="E1810">
        <v>0</v>
      </c>
      <c r="F1810">
        <v>0</v>
      </c>
      <c r="G1810">
        <v>0</v>
      </c>
      <c r="H1810">
        <v>1</v>
      </c>
      <c r="I1810">
        <v>1</v>
      </c>
      <c r="J1810">
        <v>37182.608734341098</v>
      </c>
      <c r="K1810">
        <v>31043.714959635399</v>
      </c>
      <c r="L1810">
        <v>26.05</v>
      </c>
      <c r="M1810">
        <v>76.543000000000006</v>
      </c>
      <c r="N1810">
        <v>9.2059999999999995</v>
      </c>
    </row>
    <row r="1811" spans="1:14" x14ac:dyDescent="0.45">
      <c r="A1811">
        <v>1989</v>
      </c>
      <c r="B1811" t="s">
        <v>119</v>
      </c>
      <c r="C1811">
        <v>1</v>
      </c>
      <c r="D1811">
        <v>0</v>
      </c>
      <c r="E1811">
        <v>0</v>
      </c>
      <c r="F1811">
        <v>0</v>
      </c>
      <c r="G1811">
        <v>0</v>
      </c>
      <c r="H1811">
        <v>1</v>
      </c>
      <c r="I1811">
        <v>1</v>
      </c>
      <c r="L1811">
        <v>69.567999999999998</v>
      </c>
      <c r="M1811">
        <v>76.700999999999993</v>
      </c>
      <c r="N1811">
        <v>11.911</v>
      </c>
    </row>
    <row r="1812" spans="1:14" x14ac:dyDescent="0.45">
      <c r="A1812">
        <v>1989</v>
      </c>
      <c r="B1812" t="s">
        <v>120</v>
      </c>
      <c r="C1812">
        <v>0</v>
      </c>
      <c r="D1812">
        <v>0</v>
      </c>
      <c r="E1812">
        <v>0</v>
      </c>
      <c r="F1812">
        <v>1</v>
      </c>
      <c r="G1812">
        <v>0</v>
      </c>
      <c r="H1812">
        <v>0</v>
      </c>
      <c r="I1812">
        <v>0</v>
      </c>
      <c r="J1812">
        <v>3087.9445490620801</v>
      </c>
      <c r="K1812">
        <v>2795.01592431257</v>
      </c>
      <c r="L1812">
        <v>74.116</v>
      </c>
      <c r="M1812">
        <v>63.616999999999997</v>
      </c>
      <c r="N1812">
        <v>49.924999999999997</v>
      </c>
    </row>
    <row r="1813" spans="1:14" x14ac:dyDescent="0.45">
      <c r="A1813">
        <v>1989</v>
      </c>
      <c r="B1813" t="s">
        <v>121</v>
      </c>
      <c r="C1813">
        <v>0</v>
      </c>
      <c r="D1813">
        <v>0</v>
      </c>
      <c r="E1813">
        <v>1</v>
      </c>
      <c r="F1813">
        <v>0</v>
      </c>
      <c r="G1813">
        <v>1</v>
      </c>
      <c r="H1813">
        <v>0</v>
      </c>
      <c r="I1813">
        <v>0</v>
      </c>
      <c r="J1813">
        <v>22621.7553054247</v>
      </c>
      <c r="K1813">
        <v>17116.523079284001</v>
      </c>
      <c r="L1813">
        <v>32.207999999999998</v>
      </c>
      <c r="M1813">
        <v>60.584000000000003</v>
      </c>
      <c r="N1813">
        <v>94.566000000000003</v>
      </c>
    </row>
    <row r="1814" spans="1:14" x14ac:dyDescent="0.45">
      <c r="A1814">
        <v>1989</v>
      </c>
      <c r="B1814" t="s">
        <v>122</v>
      </c>
      <c r="C1814">
        <v>1</v>
      </c>
      <c r="D1814">
        <v>0</v>
      </c>
      <c r="E1814">
        <v>0</v>
      </c>
      <c r="F1814">
        <v>0</v>
      </c>
      <c r="G1814">
        <v>0</v>
      </c>
      <c r="H1814">
        <v>1</v>
      </c>
      <c r="I1814">
        <v>1</v>
      </c>
      <c r="J1814">
        <v>33590.425497136901</v>
      </c>
      <c r="K1814">
        <v>28939.164547695698</v>
      </c>
      <c r="L1814">
        <v>21.81</v>
      </c>
      <c r="M1814">
        <v>75.397000000000006</v>
      </c>
      <c r="N1814">
        <v>10.061999999999999</v>
      </c>
    </row>
    <row r="1815" spans="1:14" x14ac:dyDescent="0.45">
      <c r="A1815">
        <v>1989</v>
      </c>
      <c r="B1815" t="s">
        <v>123</v>
      </c>
      <c r="C1815">
        <v>1</v>
      </c>
      <c r="D1815">
        <v>0</v>
      </c>
      <c r="E1815">
        <v>0</v>
      </c>
      <c r="F1815">
        <v>1</v>
      </c>
      <c r="G1815">
        <v>0</v>
      </c>
      <c r="H1815">
        <v>0</v>
      </c>
      <c r="I1815">
        <v>0</v>
      </c>
      <c r="J1815">
        <v>13954.956965948801</v>
      </c>
      <c r="K1815">
        <v>11790.343302511599</v>
      </c>
      <c r="L1815">
        <v>44.722999999999999</v>
      </c>
      <c r="M1815">
        <v>68.635000000000005</v>
      </c>
      <c r="N1815">
        <v>48.029000000000003</v>
      </c>
    </row>
    <row r="1816" spans="1:14" x14ac:dyDescent="0.45">
      <c r="A1816">
        <v>1989</v>
      </c>
      <c r="B1816" t="s">
        <v>124</v>
      </c>
      <c r="C1816">
        <v>0</v>
      </c>
      <c r="D1816">
        <v>0</v>
      </c>
      <c r="E1816">
        <v>1</v>
      </c>
      <c r="F1816">
        <v>0</v>
      </c>
      <c r="G1816">
        <v>0</v>
      </c>
      <c r="H1816">
        <v>0</v>
      </c>
      <c r="I1816">
        <v>0</v>
      </c>
      <c r="J1816">
        <v>2717.8103964459501</v>
      </c>
      <c r="K1816">
        <v>2344.7711515659198</v>
      </c>
      <c r="L1816">
        <v>64.281000000000006</v>
      </c>
      <c r="M1816">
        <v>54.936</v>
      </c>
      <c r="N1816">
        <v>133.60400000000001</v>
      </c>
    </row>
    <row r="1817" spans="1:14" x14ac:dyDescent="0.45">
      <c r="A1817">
        <v>1989</v>
      </c>
      <c r="B1817" t="s">
        <v>125</v>
      </c>
      <c r="C1817">
        <v>1</v>
      </c>
      <c r="D1817">
        <v>0</v>
      </c>
      <c r="E1817">
        <v>0</v>
      </c>
      <c r="F1817">
        <v>0</v>
      </c>
      <c r="G1817">
        <v>1</v>
      </c>
      <c r="H1817">
        <v>0</v>
      </c>
      <c r="I1817">
        <v>0</v>
      </c>
      <c r="L1817">
        <v>0</v>
      </c>
      <c r="M1817">
        <v>76.474000000000004</v>
      </c>
      <c r="N1817">
        <v>21.227</v>
      </c>
    </row>
    <row r="1818" spans="1:14" x14ac:dyDescent="0.45">
      <c r="A1818">
        <v>1989</v>
      </c>
      <c r="B1818" t="s">
        <v>126</v>
      </c>
      <c r="C1818">
        <v>0</v>
      </c>
      <c r="D1818">
        <v>0</v>
      </c>
      <c r="E1818">
        <v>1</v>
      </c>
      <c r="F1818">
        <v>0</v>
      </c>
      <c r="G1818">
        <v>0</v>
      </c>
      <c r="H1818">
        <v>0</v>
      </c>
      <c r="I1818">
        <v>0</v>
      </c>
      <c r="J1818">
        <v>2078.54556043905</v>
      </c>
      <c r="K1818">
        <v>1675.8602228511199</v>
      </c>
      <c r="L1818">
        <v>72.259</v>
      </c>
      <c r="M1818">
        <v>46.86</v>
      </c>
      <c r="N1818">
        <v>237.97</v>
      </c>
    </row>
    <row r="1819" spans="1:14" x14ac:dyDescent="0.45">
      <c r="A1819">
        <v>1989</v>
      </c>
      <c r="B1819" t="s">
        <v>127</v>
      </c>
      <c r="C1819">
        <v>0</v>
      </c>
      <c r="D1819">
        <v>0</v>
      </c>
      <c r="E1819">
        <v>1</v>
      </c>
      <c r="F1819">
        <v>0</v>
      </c>
      <c r="G1819">
        <v>0</v>
      </c>
      <c r="H1819">
        <v>0</v>
      </c>
      <c r="I1819">
        <v>0</v>
      </c>
      <c r="J1819">
        <v>2607.5887337327999</v>
      </c>
      <c r="K1819">
        <v>2098.8402582910999</v>
      </c>
      <c r="L1819">
        <v>62.774000000000001</v>
      </c>
      <c r="M1819">
        <v>50.725000000000001</v>
      </c>
      <c r="N1819">
        <v>172.05199999999999</v>
      </c>
    </row>
    <row r="1820" spans="1:14" x14ac:dyDescent="0.45">
      <c r="A1820">
        <v>1989</v>
      </c>
      <c r="B1820" t="s">
        <v>128</v>
      </c>
      <c r="C1820">
        <v>0</v>
      </c>
      <c r="D1820">
        <v>0</v>
      </c>
      <c r="E1820">
        <v>1</v>
      </c>
      <c r="F1820">
        <v>0</v>
      </c>
      <c r="G1820">
        <v>0</v>
      </c>
      <c r="H1820">
        <v>0</v>
      </c>
      <c r="I1820">
        <v>0</v>
      </c>
      <c r="J1820">
        <v>1920.5027718317001</v>
      </c>
      <c r="K1820">
        <v>1727.6813142675701</v>
      </c>
      <c r="L1820">
        <v>70.688000000000002</v>
      </c>
      <c r="M1820">
        <v>46.613999999999997</v>
      </c>
      <c r="N1820">
        <v>225.94300000000001</v>
      </c>
    </row>
    <row r="1821" spans="1:14" x14ac:dyDescent="0.45">
      <c r="A1821">
        <v>1989</v>
      </c>
      <c r="B1821" t="s">
        <v>129</v>
      </c>
      <c r="C1821">
        <v>0</v>
      </c>
      <c r="D1821">
        <v>0</v>
      </c>
      <c r="E1821">
        <v>1</v>
      </c>
      <c r="F1821">
        <v>0</v>
      </c>
      <c r="G1821">
        <v>0</v>
      </c>
      <c r="H1821">
        <v>0</v>
      </c>
      <c r="I1821">
        <v>0</v>
      </c>
      <c r="J1821">
        <v>1181.15311323742</v>
      </c>
      <c r="K1821">
        <v>978.60042405641195</v>
      </c>
      <c r="L1821">
        <v>66.245000000000005</v>
      </c>
      <c r="M1821">
        <v>51.292000000000002</v>
      </c>
      <c r="N1821">
        <v>179.804</v>
      </c>
    </row>
    <row r="1822" spans="1:14" x14ac:dyDescent="0.45">
      <c r="A1822">
        <v>1989</v>
      </c>
      <c r="B1822" t="s">
        <v>130</v>
      </c>
      <c r="C1822">
        <v>1</v>
      </c>
      <c r="D1822">
        <v>0</v>
      </c>
      <c r="E1822">
        <v>0</v>
      </c>
      <c r="F1822">
        <v>0</v>
      </c>
      <c r="G1822">
        <v>1</v>
      </c>
      <c r="H1822">
        <v>0</v>
      </c>
      <c r="I1822">
        <v>0</v>
      </c>
      <c r="J1822">
        <v>26066.8596461903</v>
      </c>
      <c r="K1822">
        <v>23334.899279063298</v>
      </c>
      <c r="L1822">
        <v>28.721</v>
      </c>
      <c r="M1822">
        <v>77.132999999999996</v>
      </c>
      <c r="N1822">
        <v>11.345000000000001</v>
      </c>
    </row>
    <row r="1823" spans="1:14" x14ac:dyDescent="0.45">
      <c r="A1823">
        <v>1989</v>
      </c>
      <c r="B1823" t="s">
        <v>131</v>
      </c>
      <c r="C1823">
        <v>0</v>
      </c>
      <c r="D1823">
        <v>1</v>
      </c>
      <c r="E1823">
        <v>0</v>
      </c>
      <c r="F1823">
        <v>1</v>
      </c>
      <c r="G1823">
        <v>0</v>
      </c>
      <c r="H1823">
        <v>0</v>
      </c>
      <c r="I1823">
        <v>0</v>
      </c>
      <c r="J1823">
        <v>8637.4331167486107</v>
      </c>
      <c r="K1823">
        <v>7969.80334789876</v>
      </c>
      <c r="L1823">
        <v>66.623000000000005</v>
      </c>
      <c r="M1823">
        <v>70.289000000000001</v>
      </c>
      <c r="N1823">
        <v>23.558</v>
      </c>
    </row>
    <row r="1824" spans="1:14" x14ac:dyDescent="0.45">
      <c r="A1824">
        <v>1989</v>
      </c>
      <c r="B1824" t="s">
        <v>132</v>
      </c>
      <c r="C1824">
        <v>1</v>
      </c>
      <c r="D1824">
        <v>0</v>
      </c>
      <c r="E1824">
        <v>0</v>
      </c>
      <c r="F1824">
        <v>0</v>
      </c>
      <c r="G1824">
        <v>0</v>
      </c>
      <c r="H1824">
        <v>1</v>
      </c>
      <c r="I1824">
        <v>1</v>
      </c>
      <c r="J1824">
        <v>43434.821282380602</v>
      </c>
      <c r="K1824">
        <v>39315.817701892804</v>
      </c>
      <c r="L1824">
        <v>20.640999999999998</v>
      </c>
      <c r="M1824">
        <v>63.094000000000001</v>
      </c>
      <c r="N1824">
        <v>35.89</v>
      </c>
    </row>
    <row r="1825" spans="1:14" x14ac:dyDescent="0.45">
      <c r="A1825">
        <v>1989</v>
      </c>
      <c r="B1825" t="s">
        <v>133</v>
      </c>
      <c r="C1825">
        <v>0</v>
      </c>
      <c r="D1825">
        <v>1</v>
      </c>
      <c r="E1825">
        <v>0</v>
      </c>
      <c r="F1825">
        <v>1</v>
      </c>
      <c r="G1825">
        <v>0</v>
      </c>
      <c r="H1825">
        <v>0</v>
      </c>
      <c r="I1825">
        <v>0</v>
      </c>
      <c r="J1825">
        <v>7515.1380910133703</v>
      </c>
      <c r="K1825">
        <v>6528.2175391605297</v>
      </c>
      <c r="L1825">
        <v>58.338999999999999</v>
      </c>
      <c r="M1825">
        <v>61.744999999999997</v>
      </c>
      <c r="N1825">
        <v>83.918000000000006</v>
      </c>
    </row>
    <row r="1826" spans="1:14" x14ac:dyDescent="0.45">
      <c r="A1826">
        <v>1989</v>
      </c>
      <c r="B1826" t="s">
        <v>134</v>
      </c>
      <c r="C1826">
        <v>0</v>
      </c>
      <c r="D1826">
        <v>0</v>
      </c>
      <c r="E1826">
        <v>0</v>
      </c>
      <c r="F1826">
        <v>0</v>
      </c>
      <c r="G1826">
        <v>0</v>
      </c>
      <c r="H1826">
        <v>1</v>
      </c>
      <c r="I1826">
        <v>1</v>
      </c>
      <c r="L1826">
        <v>8.9979999999999993</v>
      </c>
      <c r="M1826">
        <v>73.503</v>
      </c>
      <c r="N1826">
        <v>13.05</v>
      </c>
    </row>
    <row r="1827" spans="1:14" x14ac:dyDescent="0.45">
      <c r="A1827">
        <v>1989</v>
      </c>
      <c r="B1827" t="s">
        <v>135</v>
      </c>
      <c r="C1827">
        <v>0</v>
      </c>
      <c r="D1827">
        <v>1</v>
      </c>
      <c r="E1827">
        <v>0</v>
      </c>
      <c r="F1827">
        <v>0</v>
      </c>
      <c r="G1827">
        <v>0</v>
      </c>
      <c r="H1827">
        <v>0</v>
      </c>
      <c r="I1827">
        <v>0</v>
      </c>
      <c r="J1827">
        <v>5304.6659338962099</v>
      </c>
      <c r="K1827">
        <v>5073.2718348754897</v>
      </c>
      <c r="L1827">
        <v>70.326999999999998</v>
      </c>
      <c r="M1827">
        <v>62.054000000000002</v>
      </c>
      <c r="N1827">
        <v>61.9</v>
      </c>
    </row>
    <row r="1828" spans="1:14" x14ac:dyDescent="0.45">
      <c r="A1828">
        <v>1989</v>
      </c>
      <c r="B1828" t="s">
        <v>136</v>
      </c>
      <c r="C1828">
        <v>0</v>
      </c>
      <c r="D1828">
        <v>0</v>
      </c>
      <c r="E1828">
        <v>0</v>
      </c>
      <c r="F1828">
        <v>0</v>
      </c>
      <c r="G1828">
        <v>0</v>
      </c>
      <c r="H1828">
        <v>1</v>
      </c>
      <c r="I1828">
        <v>1</v>
      </c>
      <c r="J1828">
        <v>31217.099724027299</v>
      </c>
      <c r="K1828">
        <v>28173.540133992101</v>
      </c>
      <c r="L1828">
        <v>0.90600000000000602</v>
      </c>
      <c r="M1828">
        <v>77.228999999999999</v>
      </c>
      <c r="N1828">
        <v>7.9939999999999998</v>
      </c>
    </row>
    <row r="1829" spans="1:14" x14ac:dyDescent="0.45">
      <c r="A1829">
        <v>1989</v>
      </c>
      <c r="B1829" t="s">
        <v>137</v>
      </c>
      <c r="C1829">
        <v>0</v>
      </c>
      <c r="D1829">
        <v>1</v>
      </c>
      <c r="E1829">
        <v>0</v>
      </c>
      <c r="F1829">
        <v>1</v>
      </c>
      <c r="G1829">
        <v>0</v>
      </c>
      <c r="H1829">
        <v>0</v>
      </c>
      <c r="I1829">
        <v>0</v>
      </c>
      <c r="J1829">
        <v>4432.2976193076602</v>
      </c>
      <c r="K1829">
        <v>4084.26488922305</v>
      </c>
      <c r="L1829">
        <v>60.030999999999999</v>
      </c>
      <c r="M1829">
        <v>64.781999999999996</v>
      </c>
      <c r="N1829">
        <v>61.08</v>
      </c>
    </row>
    <row r="1830" spans="1:14" x14ac:dyDescent="0.45">
      <c r="A1830">
        <v>1989</v>
      </c>
      <c r="B1830" t="s">
        <v>138</v>
      </c>
      <c r="C1830">
        <v>1</v>
      </c>
      <c r="D1830">
        <v>0</v>
      </c>
      <c r="E1830">
        <v>0</v>
      </c>
      <c r="F1830">
        <v>0</v>
      </c>
      <c r="G1830">
        <v>1</v>
      </c>
      <c r="H1830">
        <v>0</v>
      </c>
      <c r="I1830">
        <v>0</v>
      </c>
      <c r="L1830">
        <v>49.313000000000002</v>
      </c>
      <c r="M1830">
        <v>72.497</v>
      </c>
      <c r="N1830">
        <v>13.12</v>
      </c>
    </row>
    <row r="1831" spans="1:14" x14ac:dyDescent="0.45">
      <c r="A1831">
        <v>1989</v>
      </c>
      <c r="B1831" t="s">
        <v>139</v>
      </c>
      <c r="C1831">
        <v>0</v>
      </c>
      <c r="D1831">
        <v>1</v>
      </c>
      <c r="E1831">
        <v>0</v>
      </c>
      <c r="F1831">
        <v>0</v>
      </c>
      <c r="G1831">
        <v>0</v>
      </c>
      <c r="H1831">
        <v>0</v>
      </c>
      <c r="I1831">
        <v>0</v>
      </c>
      <c r="J1831">
        <v>4108.3056634715103</v>
      </c>
      <c r="K1831">
        <v>3948.7216518034102</v>
      </c>
      <c r="L1831">
        <v>72.594999999999999</v>
      </c>
      <c r="M1831">
        <v>52.88</v>
      </c>
      <c r="N1831">
        <v>148.822</v>
      </c>
    </row>
    <row r="1832" spans="1:14" x14ac:dyDescent="0.45">
      <c r="A1832">
        <v>1989</v>
      </c>
      <c r="B1832" t="s">
        <v>140</v>
      </c>
      <c r="C1832">
        <v>1</v>
      </c>
      <c r="D1832">
        <v>0</v>
      </c>
      <c r="E1832">
        <v>0</v>
      </c>
      <c r="F1832">
        <v>0</v>
      </c>
      <c r="G1832">
        <v>1</v>
      </c>
      <c r="H1832">
        <v>0</v>
      </c>
      <c r="I1832">
        <v>0</v>
      </c>
      <c r="J1832">
        <v>20912.334229768301</v>
      </c>
      <c r="K1832">
        <v>18223.373593321401</v>
      </c>
      <c r="L1832">
        <v>34.19</v>
      </c>
      <c r="M1832">
        <v>69.394000000000005</v>
      </c>
      <c r="N1832">
        <v>17.829000000000001</v>
      </c>
    </row>
    <row r="1833" spans="1:14" x14ac:dyDescent="0.45">
      <c r="A1833">
        <v>1989</v>
      </c>
      <c r="B1833" t="s">
        <v>141</v>
      </c>
      <c r="C1833">
        <v>0</v>
      </c>
      <c r="D1833">
        <v>0</v>
      </c>
      <c r="E1833">
        <v>0</v>
      </c>
      <c r="F1833">
        <v>0</v>
      </c>
      <c r="G1833">
        <v>0</v>
      </c>
      <c r="H1833">
        <v>0</v>
      </c>
      <c r="I1833">
        <v>0</v>
      </c>
      <c r="J1833">
        <v>4618.7005269003603</v>
      </c>
      <c r="K1833">
        <v>4193.0521097700403</v>
      </c>
      <c r="L1833">
        <v>70.349000000000004</v>
      </c>
      <c r="M1833">
        <v>62.883000000000003</v>
      </c>
      <c r="N1833">
        <v>87.283000000000001</v>
      </c>
    </row>
    <row r="1834" spans="1:14" x14ac:dyDescent="0.45">
      <c r="A1834">
        <v>1989</v>
      </c>
      <c r="B1834" t="s">
        <v>142</v>
      </c>
      <c r="C1834">
        <v>1</v>
      </c>
      <c r="D1834">
        <v>0</v>
      </c>
      <c r="E1834">
        <v>0</v>
      </c>
      <c r="F1834">
        <v>0</v>
      </c>
      <c r="G1834">
        <v>0</v>
      </c>
      <c r="H1834">
        <v>1</v>
      </c>
      <c r="I1834">
        <v>1</v>
      </c>
      <c r="L1834">
        <v>48.25</v>
      </c>
      <c r="M1834">
        <v>71.406000000000006</v>
      </c>
      <c r="N1834">
        <v>38.35</v>
      </c>
    </row>
    <row r="1835" spans="1:14" x14ac:dyDescent="0.45">
      <c r="A1835">
        <v>1989</v>
      </c>
      <c r="B1835" t="s">
        <v>143</v>
      </c>
      <c r="C1835">
        <v>0</v>
      </c>
      <c r="D1835">
        <v>0</v>
      </c>
      <c r="E1835">
        <v>0</v>
      </c>
      <c r="F1835">
        <v>0</v>
      </c>
      <c r="G1835">
        <v>0</v>
      </c>
      <c r="H1835">
        <v>0</v>
      </c>
      <c r="I1835">
        <v>0</v>
      </c>
      <c r="J1835">
        <v>2132.8042269351599</v>
      </c>
      <c r="K1835">
        <v>1788.7516532043601</v>
      </c>
      <c r="L1835">
        <v>74.694999999999993</v>
      </c>
      <c r="M1835">
        <v>58.195999999999998</v>
      </c>
      <c r="N1835">
        <v>130.16800000000001</v>
      </c>
    </row>
    <row r="1836" spans="1:14" x14ac:dyDescent="0.45">
      <c r="A1836">
        <v>1989</v>
      </c>
      <c r="B1836" t="s">
        <v>144</v>
      </c>
      <c r="C1836">
        <v>1</v>
      </c>
      <c r="D1836">
        <v>0</v>
      </c>
      <c r="E1836">
        <v>0</v>
      </c>
      <c r="F1836">
        <v>0</v>
      </c>
      <c r="G1836">
        <v>0</v>
      </c>
      <c r="H1836">
        <v>1</v>
      </c>
      <c r="I1836">
        <v>1</v>
      </c>
      <c r="J1836">
        <v>27909.967108812401</v>
      </c>
      <c r="K1836">
        <v>25661.758627662501</v>
      </c>
      <c r="L1836">
        <v>43.195999999999998</v>
      </c>
      <c r="M1836">
        <v>74.450999999999993</v>
      </c>
      <c r="N1836">
        <v>9.7550000000000008</v>
      </c>
    </row>
    <row r="1837" spans="1:14" x14ac:dyDescent="0.45">
      <c r="A1837">
        <v>1989</v>
      </c>
      <c r="B1837" t="s">
        <v>145</v>
      </c>
      <c r="C1837">
        <v>0</v>
      </c>
      <c r="D1837">
        <v>0</v>
      </c>
      <c r="E1837">
        <v>0</v>
      </c>
      <c r="F1837">
        <v>0</v>
      </c>
      <c r="G1837">
        <v>1</v>
      </c>
      <c r="H1837">
        <v>0</v>
      </c>
      <c r="I1837">
        <v>0</v>
      </c>
      <c r="J1837">
        <v>8312.7105750539595</v>
      </c>
      <c r="K1837">
        <v>8291.8845077619808</v>
      </c>
      <c r="L1837">
        <v>44.206000000000003</v>
      </c>
      <c r="M1837">
        <v>65.313999999999993</v>
      </c>
      <c r="N1837">
        <v>61.106999999999999</v>
      </c>
    </row>
    <row r="1838" spans="1:14" x14ac:dyDescent="0.45">
      <c r="A1838">
        <v>1989</v>
      </c>
      <c r="B1838" t="s">
        <v>146</v>
      </c>
      <c r="C1838">
        <v>0</v>
      </c>
      <c r="D1838">
        <v>0</v>
      </c>
      <c r="E1838">
        <v>0</v>
      </c>
      <c r="F1838">
        <v>0</v>
      </c>
      <c r="G1838">
        <v>1</v>
      </c>
      <c r="H1838">
        <v>0</v>
      </c>
      <c r="I1838">
        <v>0</v>
      </c>
      <c r="J1838">
        <v>6887.0799196423604</v>
      </c>
      <c r="K1838">
        <v>4868.3994335315101</v>
      </c>
      <c r="L1838">
        <v>30.111000000000001</v>
      </c>
      <c r="M1838">
        <v>57.500999999999998</v>
      </c>
      <c r="N1838">
        <v>81.923000000000002</v>
      </c>
    </row>
    <row r="1839" spans="1:14" x14ac:dyDescent="0.45">
      <c r="A1839">
        <v>1989</v>
      </c>
      <c r="B1839" t="s">
        <v>147</v>
      </c>
      <c r="C1839">
        <v>1</v>
      </c>
      <c r="D1839">
        <v>0</v>
      </c>
      <c r="E1839">
        <v>0</v>
      </c>
      <c r="F1839">
        <v>0</v>
      </c>
      <c r="G1839">
        <v>0</v>
      </c>
      <c r="H1839">
        <v>1</v>
      </c>
      <c r="I1839">
        <v>1</v>
      </c>
      <c r="J1839">
        <v>40511.931616781403</v>
      </c>
      <c r="K1839">
        <v>35054.524170062599</v>
      </c>
      <c r="L1839">
        <v>9.4760000000000009</v>
      </c>
      <c r="M1839">
        <v>77.932000000000002</v>
      </c>
      <c r="N1839">
        <v>6.4950000000000001</v>
      </c>
    </row>
    <row r="1840" spans="1:14" x14ac:dyDescent="0.45">
      <c r="A1840">
        <v>1989</v>
      </c>
      <c r="B1840" t="s">
        <v>148</v>
      </c>
      <c r="C1840">
        <v>0</v>
      </c>
      <c r="D1840">
        <v>0</v>
      </c>
      <c r="E1840">
        <v>0</v>
      </c>
      <c r="F1840">
        <v>0</v>
      </c>
      <c r="G1840">
        <v>0</v>
      </c>
      <c r="H1840">
        <v>1</v>
      </c>
      <c r="I1840">
        <v>1</v>
      </c>
      <c r="J1840">
        <v>25408.138553451201</v>
      </c>
      <c r="K1840">
        <v>23306.3055429782</v>
      </c>
      <c r="L1840">
        <v>9.7449999999999992</v>
      </c>
      <c r="M1840">
        <v>77.638000000000005</v>
      </c>
      <c r="N1840">
        <v>11.352</v>
      </c>
    </row>
    <row r="1841" spans="1:14" x14ac:dyDescent="0.45">
      <c r="A1841">
        <v>1989</v>
      </c>
      <c r="B1841" t="s">
        <v>149</v>
      </c>
      <c r="C1841">
        <v>1</v>
      </c>
      <c r="D1841">
        <v>0</v>
      </c>
      <c r="E1841">
        <v>0</v>
      </c>
      <c r="F1841">
        <v>0</v>
      </c>
      <c r="G1841">
        <v>0</v>
      </c>
      <c r="H1841">
        <v>1</v>
      </c>
      <c r="I1841">
        <v>1</v>
      </c>
      <c r="J1841">
        <v>41289.616847789599</v>
      </c>
      <c r="K1841">
        <v>35169.1378652192</v>
      </c>
      <c r="L1841">
        <v>33.253999999999998</v>
      </c>
      <c r="M1841">
        <v>76.927000000000007</v>
      </c>
      <c r="N1841">
        <v>9.7240000000000002</v>
      </c>
    </row>
    <row r="1842" spans="1:14" x14ac:dyDescent="0.45">
      <c r="A1842">
        <v>1989</v>
      </c>
      <c r="B1842" t="s">
        <v>150</v>
      </c>
      <c r="C1842">
        <v>0</v>
      </c>
      <c r="D1842">
        <v>1</v>
      </c>
      <c r="E1842">
        <v>0</v>
      </c>
      <c r="F1842">
        <v>1</v>
      </c>
      <c r="G1842">
        <v>0</v>
      </c>
      <c r="H1842">
        <v>0</v>
      </c>
      <c r="I1842">
        <v>0</v>
      </c>
      <c r="J1842">
        <v>8213.1567575681602</v>
      </c>
      <c r="K1842">
        <v>8094.3136730859696</v>
      </c>
      <c r="L1842">
        <v>50.76</v>
      </c>
      <c r="M1842">
        <v>71.512</v>
      </c>
      <c r="N1842">
        <v>28.675000000000001</v>
      </c>
    </row>
    <row r="1843" spans="1:14" x14ac:dyDescent="0.45">
      <c r="A1843">
        <v>1989</v>
      </c>
      <c r="B1843" t="s">
        <v>151</v>
      </c>
      <c r="C1843">
        <v>0</v>
      </c>
      <c r="D1843">
        <v>0</v>
      </c>
      <c r="E1843">
        <v>0</v>
      </c>
      <c r="F1843">
        <v>1</v>
      </c>
      <c r="G1843">
        <v>0</v>
      </c>
      <c r="H1843">
        <v>0</v>
      </c>
      <c r="I1843">
        <v>0</v>
      </c>
      <c r="J1843">
        <v>8916.1293614009992</v>
      </c>
      <c r="K1843">
        <v>8845.2041480858898</v>
      </c>
      <c r="L1843">
        <v>27.905000000000001</v>
      </c>
      <c r="M1843">
        <v>69.864999999999995</v>
      </c>
      <c r="N1843">
        <v>37.438000000000002</v>
      </c>
    </row>
    <row r="1844" spans="1:14" x14ac:dyDescent="0.45">
      <c r="A1844">
        <v>1989</v>
      </c>
      <c r="B1844" t="s">
        <v>152</v>
      </c>
      <c r="C1844">
        <v>0</v>
      </c>
      <c r="D1844">
        <v>0</v>
      </c>
      <c r="E1844">
        <v>0</v>
      </c>
      <c r="F1844">
        <v>0</v>
      </c>
      <c r="G1844">
        <v>0</v>
      </c>
      <c r="H1844">
        <v>1</v>
      </c>
      <c r="I1844">
        <v>1</v>
      </c>
      <c r="J1844">
        <v>33751.1802513886</v>
      </c>
      <c r="K1844">
        <v>31264.809218551502</v>
      </c>
      <c r="L1844">
        <v>22.786999999999999</v>
      </c>
      <c r="M1844">
        <v>78.98</v>
      </c>
      <c r="N1844">
        <v>6.2270000000000003</v>
      </c>
    </row>
    <row r="1845" spans="1:14" x14ac:dyDescent="0.45">
      <c r="A1845">
        <v>1989</v>
      </c>
      <c r="B1845" t="s">
        <v>153</v>
      </c>
      <c r="C1845">
        <v>1</v>
      </c>
      <c r="D1845">
        <v>0</v>
      </c>
      <c r="E1845">
        <v>0</v>
      </c>
      <c r="F1845">
        <v>1</v>
      </c>
      <c r="G1845">
        <v>0</v>
      </c>
      <c r="H1845">
        <v>0</v>
      </c>
      <c r="I1845">
        <v>0</v>
      </c>
      <c r="L1845">
        <v>43.643000000000001</v>
      </c>
      <c r="M1845">
        <v>65.915000000000006</v>
      </c>
      <c r="N1845">
        <v>53.302</v>
      </c>
    </row>
    <row r="1846" spans="1:14" x14ac:dyDescent="0.45">
      <c r="A1846">
        <v>1989</v>
      </c>
      <c r="B1846" t="s">
        <v>154</v>
      </c>
      <c r="C1846">
        <v>0</v>
      </c>
      <c r="D1846">
        <v>0</v>
      </c>
      <c r="E1846">
        <v>1</v>
      </c>
      <c r="F1846">
        <v>0</v>
      </c>
      <c r="G1846">
        <v>0</v>
      </c>
      <c r="H1846">
        <v>0</v>
      </c>
      <c r="I1846">
        <v>0</v>
      </c>
      <c r="J1846">
        <v>4132.7430434549897</v>
      </c>
      <c r="K1846">
        <v>3561.7890495793699</v>
      </c>
      <c r="L1846">
        <v>83.515000000000001</v>
      </c>
      <c r="M1846">
        <v>59.99</v>
      </c>
      <c r="N1846">
        <v>99.073999999999998</v>
      </c>
    </row>
    <row r="1847" spans="1:14" x14ac:dyDescent="0.45">
      <c r="A1847">
        <v>1989</v>
      </c>
      <c r="B1847" t="s">
        <v>155</v>
      </c>
      <c r="C1847">
        <v>1</v>
      </c>
      <c r="D1847">
        <v>0</v>
      </c>
      <c r="E1847">
        <v>0</v>
      </c>
      <c r="F1847">
        <v>1</v>
      </c>
      <c r="G1847">
        <v>0</v>
      </c>
      <c r="H1847">
        <v>0</v>
      </c>
      <c r="I1847">
        <v>0</v>
      </c>
      <c r="J1847">
        <v>6055.4985640204404</v>
      </c>
      <c r="K1847">
        <v>5117.9138253172296</v>
      </c>
      <c r="L1847">
        <v>61.935000000000002</v>
      </c>
      <c r="M1847">
        <v>65.174999999999997</v>
      </c>
      <c r="N1847">
        <v>67.123000000000005</v>
      </c>
    </row>
    <row r="1848" spans="1:14" x14ac:dyDescent="0.45">
      <c r="A1848">
        <v>1989</v>
      </c>
      <c r="B1848" t="s">
        <v>156</v>
      </c>
      <c r="C1848">
        <v>0</v>
      </c>
      <c r="D1848">
        <v>0</v>
      </c>
      <c r="E1848">
        <v>0</v>
      </c>
      <c r="F1848">
        <v>0</v>
      </c>
      <c r="G1848">
        <v>0</v>
      </c>
      <c r="H1848">
        <v>0</v>
      </c>
      <c r="I1848">
        <v>0</v>
      </c>
      <c r="J1848">
        <v>2655.2734424073801</v>
      </c>
      <c r="K1848">
        <v>2380.8994894840598</v>
      </c>
      <c r="L1848">
        <v>84.789000000000001</v>
      </c>
      <c r="M1848">
        <v>54.768000000000001</v>
      </c>
      <c r="N1848">
        <v>120.794</v>
      </c>
    </row>
    <row r="1849" spans="1:14" x14ac:dyDescent="0.45">
      <c r="A1849">
        <v>1989</v>
      </c>
      <c r="B1849" t="s">
        <v>157</v>
      </c>
      <c r="C1849">
        <v>0</v>
      </c>
      <c r="D1849">
        <v>0</v>
      </c>
      <c r="E1849">
        <v>0</v>
      </c>
      <c r="F1849">
        <v>1</v>
      </c>
      <c r="G1849">
        <v>0</v>
      </c>
      <c r="H1849">
        <v>0</v>
      </c>
      <c r="I1849">
        <v>0</v>
      </c>
      <c r="J1849">
        <v>2345.6901689882902</v>
      </c>
      <c r="K1849">
        <v>2121.9096787370199</v>
      </c>
      <c r="L1849">
        <v>65.305000000000007</v>
      </c>
      <c r="M1849">
        <v>60.539000000000001</v>
      </c>
      <c r="N1849">
        <v>94.326999999999998</v>
      </c>
    </row>
    <row r="1850" spans="1:14" x14ac:dyDescent="0.45">
      <c r="A1850">
        <v>1989</v>
      </c>
      <c r="B1850" t="s">
        <v>158</v>
      </c>
      <c r="C1850">
        <v>0</v>
      </c>
      <c r="D1850">
        <v>1</v>
      </c>
      <c r="E1850">
        <v>0</v>
      </c>
      <c r="F1850">
        <v>0</v>
      </c>
      <c r="G1850">
        <v>1</v>
      </c>
      <c r="H1850">
        <v>0</v>
      </c>
      <c r="I1850">
        <v>0</v>
      </c>
      <c r="J1850">
        <v>13481.2342882581</v>
      </c>
      <c r="K1850">
        <v>13314.552553175001</v>
      </c>
      <c r="L1850">
        <v>65.265000000000001</v>
      </c>
      <c r="M1850">
        <v>65.45</v>
      </c>
      <c r="N1850">
        <v>31.891999999999999</v>
      </c>
    </row>
    <row r="1851" spans="1:14" x14ac:dyDescent="0.45">
      <c r="A1851">
        <v>1989</v>
      </c>
      <c r="B1851" t="s">
        <v>159</v>
      </c>
      <c r="C1851">
        <v>0</v>
      </c>
      <c r="D1851">
        <v>0</v>
      </c>
      <c r="E1851">
        <v>0</v>
      </c>
      <c r="F1851">
        <v>0</v>
      </c>
      <c r="G1851">
        <v>1</v>
      </c>
      <c r="H1851">
        <v>0</v>
      </c>
      <c r="I1851">
        <v>0</v>
      </c>
      <c r="J1851">
        <v>13054.254293099701</v>
      </c>
      <c r="K1851">
        <v>11900.551889070301</v>
      </c>
      <c r="L1851">
        <v>27.852</v>
      </c>
      <c r="M1851">
        <v>70.683999999999997</v>
      </c>
      <c r="N1851">
        <v>17.218</v>
      </c>
    </row>
    <row r="1852" spans="1:14" x14ac:dyDescent="0.45">
      <c r="A1852">
        <v>1989</v>
      </c>
      <c r="B1852" t="s">
        <v>160</v>
      </c>
      <c r="C1852">
        <v>0</v>
      </c>
      <c r="D1852">
        <v>0</v>
      </c>
      <c r="E1852">
        <v>0</v>
      </c>
      <c r="F1852">
        <v>0</v>
      </c>
      <c r="G1852">
        <v>0</v>
      </c>
      <c r="H1852">
        <v>1</v>
      </c>
      <c r="I1852">
        <v>1</v>
      </c>
      <c r="J1852">
        <v>32123.6296654732</v>
      </c>
      <c r="K1852">
        <v>28609.308602408601</v>
      </c>
      <c r="L1852">
        <v>2.0400000000000098</v>
      </c>
      <c r="M1852">
        <v>75.027000000000001</v>
      </c>
      <c r="N1852">
        <v>18.745999999999999</v>
      </c>
    </row>
    <row r="1853" spans="1:14" x14ac:dyDescent="0.45">
      <c r="A1853">
        <v>1989</v>
      </c>
      <c r="B1853" t="s">
        <v>161</v>
      </c>
      <c r="C1853">
        <v>0</v>
      </c>
      <c r="D1853">
        <v>0</v>
      </c>
      <c r="E1853">
        <v>0</v>
      </c>
      <c r="F1853">
        <v>0</v>
      </c>
      <c r="G1853">
        <v>0</v>
      </c>
      <c r="H1853">
        <v>0</v>
      </c>
      <c r="I1853">
        <v>0</v>
      </c>
      <c r="J1853">
        <v>1807.3214281067501</v>
      </c>
      <c r="K1853">
        <v>1736.66888781835</v>
      </c>
      <c r="L1853">
        <v>84.902000000000001</v>
      </c>
      <c r="M1853">
        <v>53.588999999999999</v>
      </c>
      <c r="N1853">
        <v>158.23599999999999</v>
      </c>
    </row>
    <row r="1854" spans="1:14" x14ac:dyDescent="0.45">
      <c r="A1854">
        <v>1989</v>
      </c>
      <c r="B1854" t="s">
        <v>162</v>
      </c>
      <c r="C1854">
        <v>0</v>
      </c>
      <c r="D1854">
        <v>0</v>
      </c>
      <c r="E1854">
        <v>0</v>
      </c>
      <c r="F1854">
        <v>1</v>
      </c>
      <c r="G1854">
        <v>0</v>
      </c>
      <c r="H1854">
        <v>0</v>
      </c>
      <c r="I1854">
        <v>0</v>
      </c>
      <c r="J1854">
        <v>9478.5678764536806</v>
      </c>
      <c r="K1854">
        <v>12320.180048464799</v>
      </c>
      <c r="L1854">
        <v>17.236999999999998</v>
      </c>
      <c r="M1854">
        <v>65.114000000000004</v>
      </c>
      <c r="N1854">
        <v>33.601999999999997</v>
      </c>
    </row>
    <row r="1855" spans="1:14" x14ac:dyDescent="0.45">
      <c r="A1855">
        <v>1989</v>
      </c>
      <c r="B1855" t="s">
        <v>163</v>
      </c>
      <c r="C1855">
        <v>0</v>
      </c>
      <c r="D1855">
        <v>0</v>
      </c>
      <c r="E1855">
        <v>1</v>
      </c>
      <c r="F1855">
        <v>0</v>
      </c>
      <c r="G1855">
        <v>0</v>
      </c>
      <c r="H1855">
        <v>0</v>
      </c>
      <c r="I1855">
        <v>0</v>
      </c>
      <c r="J1855">
        <v>2618.9221809405099</v>
      </c>
      <c r="K1855">
        <v>3869.31465509178</v>
      </c>
      <c r="L1855">
        <v>47.186</v>
      </c>
      <c r="M1855">
        <v>43.863</v>
      </c>
      <c r="N1855">
        <v>254.804</v>
      </c>
    </row>
    <row r="1856" spans="1:14" x14ac:dyDescent="0.45">
      <c r="A1856">
        <v>1989</v>
      </c>
      <c r="B1856" t="s">
        <v>164</v>
      </c>
      <c r="C1856">
        <v>0</v>
      </c>
      <c r="D1856">
        <v>0</v>
      </c>
      <c r="E1856">
        <v>0</v>
      </c>
      <c r="F1856">
        <v>0</v>
      </c>
      <c r="G1856">
        <v>1</v>
      </c>
      <c r="H1856">
        <v>0</v>
      </c>
      <c r="I1856">
        <v>0</v>
      </c>
      <c r="J1856">
        <v>17360.7570777113</v>
      </c>
      <c r="K1856">
        <v>20289.432498522099</v>
      </c>
      <c r="L1856">
        <v>24.331</v>
      </c>
      <c r="M1856">
        <v>68.978999999999999</v>
      </c>
      <c r="N1856">
        <v>44.177</v>
      </c>
    </row>
    <row r="1857" spans="1:14" x14ac:dyDescent="0.45">
      <c r="A1857">
        <v>1989</v>
      </c>
      <c r="B1857" t="s">
        <v>165</v>
      </c>
      <c r="C1857">
        <v>0</v>
      </c>
      <c r="D1857">
        <v>1</v>
      </c>
      <c r="E1857">
        <v>0</v>
      </c>
      <c r="F1857">
        <v>1</v>
      </c>
      <c r="G1857">
        <v>0</v>
      </c>
      <c r="H1857">
        <v>0</v>
      </c>
      <c r="I1857">
        <v>0</v>
      </c>
      <c r="J1857">
        <v>15961.951478503201</v>
      </c>
      <c r="K1857">
        <v>11483.1397445607</v>
      </c>
      <c r="L1857">
        <v>70.938999999999993</v>
      </c>
      <c r="M1857">
        <v>70.028000000000006</v>
      </c>
      <c r="N1857">
        <v>21.189</v>
      </c>
    </row>
    <row r="1858" spans="1:14" x14ac:dyDescent="0.45">
      <c r="A1858">
        <v>1989</v>
      </c>
      <c r="B1858" t="s">
        <v>166</v>
      </c>
      <c r="C1858">
        <v>1</v>
      </c>
      <c r="D1858">
        <v>0</v>
      </c>
      <c r="E1858">
        <v>0</v>
      </c>
      <c r="F1858">
        <v>0</v>
      </c>
      <c r="G1858">
        <v>0</v>
      </c>
      <c r="H1858">
        <v>1</v>
      </c>
      <c r="I1858">
        <v>1</v>
      </c>
      <c r="L1858">
        <v>82.936000000000007</v>
      </c>
      <c r="M1858">
        <v>78.284000000000006</v>
      </c>
      <c r="N1858">
        <v>12.493</v>
      </c>
    </row>
    <row r="1859" spans="1:14" x14ac:dyDescent="0.45">
      <c r="A1859">
        <v>1989</v>
      </c>
      <c r="B1859" t="s">
        <v>167</v>
      </c>
      <c r="C1859">
        <v>0</v>
      </c>
      <c r="D1859">
        <v>0</v>
      </c>
      <c r="E1859">
        <v>0</v>
      </c>
      <c r="F1859">
        <v>0</v>
      </c>
      <c r="G1859">
        <v>0</v>
      </c>
      <c r="H1859">
        <v>0</v>
      </c>
      <c r="I1859">
        <v>0</v>
      </c>
      <c r="J1859">
        <v>4506.1798911677497</v>
      </c>
      <c r="K1859">
        <v>4208.7007977246803</v>
      </c>
      <c r="L1859">
        <v>81.448999999999998</v>
      </c>
      <c r="M1859">
        <v>67.284000000000006</v>
      </c>
      <c r="N1859">
        <v>27.917000000000002</v>
      </c>
    </row>
    <row r="1860" spans="1:14" x14ac:dyDescent="0.45">
      <c r="A1860">
        <v>1989</v>
      </c>
      <c r="B1860" t="s">
        <v>168</v>
      </c>
      <c r="C1860">
        <v>0</v>
      </c>
      <c r="D1860">
        <v>0</v>
      </c>
      <c r="E1860">
        <v>1</v>
      </c>
      <c r="F1860">
        <v>0</v>
      </c>
      <c r="G1860">
        <v>0</v>
      </c>
      <c r="H1860">
        <v>0</v>
      </c>
      <c r="I1860">
        <v>0</v>
      </c>
      <c r="J1860">
        <v>1371.74997406547</v>
      </c>
      <c r="K1860">
        <v>1228.2926302956901</v>
      </c>
      <c r="L1860">
        <v>86.575000000000003</v>
      </c>
      <c r="M1860">
        <v>59.505000000000003</v>
      </c>
      <c r="N1860">
        <v>87.457999999999998</v>
      </c>
    </row>
    <row r="1861" spans="1:14" x14ac:dyDescent="0.45">
      <c r="A1861">
        <v>1989</v>
      </c>
      <c r="B1861" t="s">
        <v>169</v>
      </c>
      <c r="C1861">
        <v>1</v>
      </c>
      <c r="D1861">
        <v>0</v>
      </c>
      <c r="E1861">
        <v>0</v>
      </c>
      <c r="F1861">
        <v>0</v>
      </c>
      <c r="G1861">
        <v>1</v>
      </c>
      <c r="H1861">
        <v>0</v>
      </c>
      <c r="I1861">
        <v>0</v>
      </c>
      <c r="L1861">
        <v>32.357999999999997</v>
      </c>
      <c r="M1861">
        <v>71.637</v>
      </c>
      <c r="N1861">
        <v>13.938000000000001</v>
      </c>
    </row>
    <row r="1862" spans="1:14" x14ac:dyDescent="0.45">
      <c r="A1862">
        <v>1989</v>
      </c>
      <c r="B1862" t="s">
        <v>170</v>
      </c>
      <c r="C1862">
        <v>1</v>
      </c>
      <c r="D1862">
        <v>0</v>
      </c>
      <c r="E1862">
        <v>0</v>
      </c>
      <c r="F1862">
        <v>0</v>
      </c>
      <c r="G1862">
        <v>0</v>
      </c>
      <c r="H1862">
        <v>1</v>
      </c>
      <c r="I1862">
        <v>1</v>
      </c>
      <c r="J1862">
        <v>74907.261054023998</v>
      </c>
      <c r="K1862">
        <v>64012.847373236902</v>
      </c>
      <c r="L1862">
        <v>19.109000000000002</v>
      </c>
      <c r="M1862">
        <v>74.286000000000001</v>
      </c>
      <c r="N1862">
        <v>12.879</v>
      </c>
    </row>
    <row r="1863" spans="1:14" x14ac:dyDescent="0.45">
      <c r="A1863">
        <v>1989</v>
      </c>
      <c r="B1863" t="s">
        <v>171</v>
      </c>
      <c r="C1863">
        <v>1</v>
      </c>
      <c r="D1863">
        <v>0</v>
      </c>
      <c r="E1863">
        <v>0</v>
      </c>
      <c r="F1863">
        <v>0</v>
      </c>
      <c r="G1863">
        <v>1</v>
      </c>
      <c r="H1863">
        <v>0</v>
      </c>
      <c r="I1863">
        <v>0</v>
      </c>
      <c r="L1863">
        <v>30.8</v>
      </c>
      <c r="M1863">
        <v>70.403000000000006</v>
      </c>
      <c r="N1863">
        <v>14.183999999999999</v>
      </c>
    </row>
    <row r="1864" spans="1:14" x14ac:dyDescent="0.45">
      <c r="A1864">
        <v>1989</v>
      </c>
      <c r="B1864" t="s">
        <v>172</v>
      </c>
      <c r="C1864">
        <v>0</v>
      </c>
      <c r="D1864">
        <v>0</v>
      </c>
      <c r="E1864">
        <v>0</v>
      </c>
      <c r="F1864">
        <v>0</v>
      </c>
      <c r="G1864">
        <v>1</v>
      </c>
      <c r="H1864">
        <v>0</v>
      </c>
      <c r="I1864">
        <v>0</v>
      </c>
      <c r="J1864">
        <v>52710.746919355501</v>
      </c>
      <c r="K1864">
        <v>47768.665600352397</v>
      </c>
      <c r="L1864">
        <v>0.28799999999999698</v>
      </c>
      <c r="M1864">
        <v>76.224999999999994</v>
      </c>
      <c r="N1864">
        <v>14.102</v>
      </c>
    </row>
    <row r="1865" spans="1:14" x14ac:dyDescent="0.45">
      <c r="A1865">
        <v>1989</v>
      </c>
      <c r="B1865" t="s">
        <v>173</v>
      </c>
      <c r="C1865">
        <v>0</v>
      </c>
      <c r="D1865">
        <v>1</v>
      </c>
      <c r="E1865">
        <v>0</v>
      </c>
      <c r="F1865">
        <v>0</v>
      </c>
      <c r="G1865">
        <v>0</v>
      </c>
      <c r="H1865">
        <v>1</v>
      </c>
      <c r="I1865">
        <v>1</v>
      </c>
      <c r="L1865">
        <v>0</v>
      </c>
      <c r="M1865">
        <v>74.204999999999998</v>
      </c>
      <c r="N1865">
        <v>21.484999999999999</v>
      </c>
    </row>
    <row r="1866" spans="1:14" x14ac:dyDescent="0.45">
      <c r="A1866">
        <v>1989</v>
      </c>
      <c r="B1866" t="s">
        <v>174</v>
      </c>
      <c r="C1866">
        <v>0</v>
      </c>
      <c r="D1866">
        <v>0</v>
      </c>
      <c r="E1866">
        <v>0</v>
      </c>
      <c r="F1866">
        <v>1</v>
      </c>
      <c r="G1866">
        <v>0</v>
      </c>
      <c r="H1866">
        <v>0</v>
      </c>
      <c r="I1866">
        <v>0</v>
      </c>
      <c r="J1866">
        <v>4362.3368301555702</v>
      </c>
      <c r="K1866">
        <v>4189.4506149768004</v>
      </c>
      <c r="L1866">
        <v>52.334000000000003</v>
      </c>
      <c r="M1866">
        <v>61.823999999999998</v>
      </c>
      <c r="N1866">
        <v>84.549000000000007</v>
      </c>
    </row>
    <row r="1867" spans="1:14" x14ac:dyDescent="0.45">
      <c r="A1867">
        <v>1989</v>
      </c>
      <c r="B1867" t="s">
        <v>175</v>
      </c>
      <c r="C1867">
        <v>1</v>
      </c>
      <c r="D1867">
        <v>0</v>
      </c>
      <c r="E1867">
        <v>0</v>
      </c>
      <c r="F1867">
        <v>0</v>
      </c>
      <c r="G1867">
        <v>0</v>
      </c>
      <c r="H1867">
        <v>1</v>
      </c>
      <c r="I1867">
        <v>1</v>
      </c>
      <c r="L1867">
        <v>0</v>
      </c>
      <c r="M1867">
        <v>79.415999999999997</v>
      </c>
      <c r="N1867">
        <v>10.771000000000001</v>
      </c>
    </row>
    <row r="1868" spans="1:14" x14ac:dyDescent="0.45">
      <c r="A1868">
        <v>1989</v>
      </c>
      <c r="B1868" t="s">
        <v>176</v>
      </c>
      <c r="C1868">
        <v>1</v>
      </c>
      <c r="D1868">
        <v>0</v>
      </c>
      <c r="E1868">
        <v>0</v>
      </c>
      <c r="F1868">
        <v>1</v>
      </c>
      <c r="G1868">
        <v>0</v>
      </c>
      <c r="H1868">
        <v>0</v>
      </c>
      <c r="I1868">
        <v>0</v>
      </c>
      <c r="L1868">
        <v>53.143999999999998</v>
      </c>
      <c r="M1868">
        <v>68.173000000000002</v>
      </c>
      <c r="N1868">
        <v>35.786000000000001</v>
      </c>
    </row>
    <row r="1869" spans="1:14" x14ac:dyDescent="0.45">
      <c r="A1869">
        <v>1989</v>
      </c>
      <c r="B1869" t="s">
        <v>177</v>
      </c>
      <c r="C1869">
        <v>0</v>
      </c>
      <c r="D1869">
        <v>0</v>
      </c>
      <c r="E1869">
        <v>1</v>
      </c>
      <c r="F1869">
        <v>0</v>
      </c>
      <c r="G1869">
        <v>0</v>
      </c>
      <c r="H1869">
        <v>0</v>
      </c>
      <c r="I1869">
        <v>0</v>
      </c>
      <c r="J1869">
        <v>1947.02119292723</v>
      </c>
      <c r="K1869">
        <v>1803.7721154953001</v>
      </c>
      <c r="L1869">
        <v>76.978999999999999</v>
      </c>
      <c r="M1869">
        <v>51.816000000000003</v>
      </c>
      <c r="N1869">
        <v>160.51300000000001</v>
      </c>
    </row>
    <row r="1870" spans="1:14" x14ac:dyDescent="0.45">
      <c r="A1870">
        <v>1989</v>
      </c>
      <c r="B1870" t="s">
        <v>178</v>
      </c>
      <c r="C1870">
        <v>0</v>
      </c>
      <c r="D1870">
        <v>0</v>
      </c>
      <c r="E1870">
        <v>0</v>
      </c>
      <c r="F1870">
        <v>0</v>
      </c>
      <c r="G1870">
        <v>0</v>
      </c>
      <c r="H1870">
        <v>0</v>
      </c>
      <c r="I1870">
        <v>0</v>
      </c>
      <c r="J1870">
        <v>8451.1936777499795</v>
      </c>
      <c r="K1870">
        <v>8337.8065348670898</v>
      </c>
      <c r="L1870">
        <v>74.194000000000003</v>
      </c>
      <c r="M1870">
        <v>62.375</v>
      </c>
      <c r="N1870">
        <v>90.965999999999994</v>
      </c>
    </row>
    <row r="1871" spans="1:14" x14ac:dyDescent="0.45">
      <c r="A1871">
        <v>1989</v>
      </c>
      <c r="B1871" t="s">
        <v>179</v>
      </c>
      <c r="C1871">
        <v>0</v>
      </c>
      <c r="D1871">
        <v>1</v>
      </c>
      <c r="E1871">
        <v>0</v>
      </c>
      <c r="F1871">
        <v>1</v>
      </c>
      <c r="G1871">
        <v>0</v>
      </c>
      <c r="H1871">
        <v>0</v>
      </c>
      <c r="I1871">
        <v>0</v>
      </c>
      <c r="J1871">
        <v>16891.488349567899</v>
      </c>
      <c r="K1871">
        <v>15703.597664354</v>
      </c>
      <c r="L1871">
        <v>29.044</v>
      </c>
      <c r="M1871">
        <v>68.620999999999995</v>
      </c>
      <c r="N1871">
        <v>47.296999999999997</v>
      </c>
    </row>
    <row r="1872" spans="1:14" x14ac:dyDescent="0.45">
      <c r="A1872">
        <v>1989</v>
      </c>
      <c r="B1872" t="s">
        <v>180</v>
      </c>
      <c r="C1872">
        <v>0</v>
      </c>
      <c r="D1872">
        <v>0</v>
      </c>
      <c r="E1872">
        <v>0</v>
      </c>
      <c r="F1872">
        <v>1</v>
      </c>
      <c r="G1872">
        <v>0</v>
      </c>
      <c r="H1872">
        <v>0</v>
      </c>
      <c r="I1872">
        <v>0</v>
      </c>
      <c r="J1872">
        <v>3894.81062071107</v>
      </c>
      <c r="K1872">
        <v>3522.7973439078</v>
      </c>
      <c r="L1872">
        <v>35.286000000000001</v>
      </c>
      <c r="M1872">
        <v>61.732999999999997</v>
      </c>
      <c r="N1872">
        <v>49.481000000000002</v>
      </c>
    </row>
    <row r="1873" spans="1:14" x14ac:dyDescent="0.45">
      <c r="A1873">
        <v>1989</v>
      </c>
      <c r="B1873" t="s">
        <v>181</v>
      </c>
      <c r="C1873">
        <v>1</v>
      </c>
      <c r="D1873">
        <v>0</v>
      </c>
      <c r="E1873">
        <v>0</v>
      </c>
      <c r="F1873">
        <v>0</v>
      </c>
      <c r="G1873">
        <v>1</v>
      </c>
      <c r="H1873">
        <v>0</v>
      </c>
      <c r="I1873">
        <v>0</v>
      </c>
      <c r="L1873">
        <v>42.627000000000002</v>
      </c>
      <c r="M1873">
        <v>71.117999999999995</v>
      </c>
      <c r="N1873">
        <v>39.682000000000002</v>
      </c>
    </row>
    <row r="1874" spans="1:14" x14ac:dyDescent="0.45">
      <c r="A1874">
        <v>1989</v>
      </c>
      <c r="B1874" t="s">
        <v>182</v>
      </c>
      <c r="C1874">
        <v>0</v>
      </c>
      <c r="D1874">
        <v>0</v>
      </c>
      <c r="E1874">
        <v>1</v>
      </c>
      <c r="F1874">
        <v>0</v>
      </c>
      <c r="G1874">
        <v>0</v>
      </c>
      <c r="H1874">
        <v>0</v>
      </c>
      <c r="I1874">
        <v>0</v>
      </c>
      <c r="J1874">
        <v>1580.25977796128</v>
      </c>
      <c r="K1874">
        <v>1462.7039082644901</v>
      </c>
      <c r="L1874">
        <v>77.100999999999999</v>
      </c>
      <c r="M1874">
        <v>46.237000000000002</v>
      </c>
      <c r="N1874">
        <v>239.15</v>
      </c>
    </row>
    <row r="1875" spans="1:14" x14ac:dyDescent="0.45">
      <c r="A1875">
        <v>1989</v>
      </c>
      <c r="B1875" t="s">
        <v>183</v>
      </c>
      <c r="C1875">
        <v>0</v>
      </c>
      <c r="D1875">
        <v>0</v>
      </c>
      <c r="E1875">
        <v>0</v>
      </c>
      <c r="F1875">
        <v>0</v>
      </c>
      <c r="G1875">
        <v>0</v>
      </c>
      <c r="H1875">
        <v>1</v>
      </c>
      <c r="I1875">
        <v>1</v>
      </c>
      <c r="J1875">
        <v>17149.7888344846</v>
      </c>
      <c r="K1875">
        <v>14835.4067513546</v>
      </c>
      <c r="L1875">
        <v>9.7349999999999994</v>
      </c>
      <c r="M1875">
        <v>76.168000000000006</v>
      </c>
      <c r="N1875">
        <v>10.012</v>
      </c>
    </row>
    <row r="1876" spans="1:14" x14ac:dyDescent="0.45">
      <c r="A1876">
        <v>1989</v>
      </c>
      <c r="B1876" t="s">
        <v>184</v>
      </c>
      <c r="C1876">
        <v>0</v>
      </c>
      <c r="D1876">
        <v>0</v>
      </c>
      <c r="E1876">
        <v>0</v>
      </c>
      <c r="F1876">
        <v>0</v>
      </c>
      <c r="G1876">
        <v>0</v>
      </c>
      <c r="H1876">
        <v>0</v>
      </c>
      <c r="I1876">
        <v>0</v>
      </c>
      <c r="J1876">
        <v>855.40399530600598</v>
      </c>
      <c r="K1876">
        <v>684.92465825167699</v>
      </c>
      <c r="L1876">
        <v>74.930999999999997</v>
      </c>
      <c r="M1876">
        <v>56.889000000000003</v>
      </c>
      <c r="N1876">
        <v>117.428</v>
      </c>
    </row>
    <row r="1877" spans="1:14" x14ac:dyDescent="0.45">
      <c r="A1877">
        <v>1989</v>
      </c>
      <c r="B1877" t="s">
        <v>185</v>
      </c>
      <c r="C1877">
        <v>1</v>
      </c>
      <c r="D1877">
        <v>0</v>
      </c>
      <c r="E1877">
        <v>0</v>
      </c>
      <c r="F1877">
        <v>0</v>
      </c>
      <c r="G1877">
        <v>1</v>
      </c>
      <c r="H1877">
        <v>0</v>
      </c>
      <c r="I1877">
        <v>0</v>
      </c>
      <c r="L1877">
        <v>53.113999999999997</v>
      </c>
      <c r="M1877">
        <v>73.813999999999993</v>
      </c>
      <c r="N1877">
        <v>16.837</v>
      </c>
    </row>
    <row r="1878" spans="1:14" x14ac:dyDescent="0.45">
      <c r="A1878">
        <v>1989</v>
      </c>
      <c r="B1878" t="s">
        <v>186</v>
      </c>
      <c r="C1878">
        <v>0</v>
      </c>
      <c r="D1878">
        <v>0</v>
      </c>
      <c r="E1878">
        <v>0</v>
      </c>
      <c r="F1878">
        <v>1</v>
      </c>
      <c r="G1878">
        <v>0</v>
      </c>
      <c r="H1878">
        <v>0</v>
      </c>
      <c r="I1878">
        <v>0</v>
      </c>
      <c r="J1878">
        <v>6518.4782696736202</v>
      </c>
      <c r="K1878">
        <v>5022.3304215542603</v>
      </c>
      <c r="L1878">
        <v>42.921999999999997</v>
      </c>
      <c r="M1878">
        <v>58.13</v>
      </c>
      <c r="N1878">
        <v>111.98399999999999</v>
      </c>
    </row>
    <row r="1879" spans="1:14" x14ac:dyDescent="0.45">
      <c r="A1879">
        <v>1989</v>
      </c>
      <c r="B1879" t="s">
        <v>187</v>
      </c>
      <c r="C1879">
        <v>0</v>
      </c>
      <c r="D1879">
        <v>0</v>
      </c>
      <c r="E1879">
        <v>0</v>
      </c>
      <c r="F1879">
        <v>1</v>
      </c>
      <c r="G1879">
        <v>0</v>
      </c>
      <c r="H1879">
        <v>0</v>
      </c>
      <c r="I1879">
        <v>0</v>
      </c>
      <c r="L1879">
        <v>10.465</v>
      </c>
      <c r="M1879">
        <v>69.784000000000006</v>
      </c>
      <c r="N1879">
        <v>9.84</v>
      </c>
    </row>
    <row r="1880" spans="1:14" x14ac:dyDescent="0.45">
      <c r="A1880">
        <v>1989</v>
      </c>
      <c r="B1880" t="s">
        <v>188</v>
      </c>
      <c r="C1880">
        <v>0</v>
      </c>
      <c r="D1880">
        <v>0</v>
      </c>
      <c r="E1880">
        <v>1</v>
      </c>
      <c r="F1880">
        <v>0</v>
      </c>
      <c r="G1880">
        <v>0</v>
      </c>
      <c r="H1880">
        <v>0</v>
      </c>
      <c r="I1880">
        <v>0</v>
      </c>
      <c r="J1880">
        <v>510.32322192909601</v>
      </c>
      <c r="K1880">
        <v>427.293585503923</v>
      </c>
      <c r="L1880">
        <v>76.454999999999998</v>
      </c>
      <c r="M1880">
        <v>43.889000000000003</v>
      </c>
      <c r="N1880">
        <v>245.547</v>
      </c>
    </row>
    <row r="1881" spans="1:14" x14ac:dyDescent="0.45">
      <c r="A1881">
        <v>1989</v>
      </c>
      <c r="B1881" t="s">
        <v>189</v>
      </c>
      <c r="C1881">
        <v>0</v>
      </c>
      <c r="D1881">
        <v>0</v>
      </c>
      <c r="E1881">
        <v>1</v>
      </c>
      <c r="F1881">
        <v>0</v>
      </c>
      <c r="G1881">
        <v>0</v>
      </c>
      <c r="H1881">
        <v>0</v>
      </c>
      <c r="I1881">
        <v>0</v>
      </c>
      <c r="J1881">
        <v>5401.8783422482402</v>
      </c>
      <c r="K1881">
        <v>4779.1139962321604</v>
      </c>
      <c r="L1881">
        <v>60.552999999999997</v>
      </c>
      <c r="M1881">
        <v>57.698999999999998</v>
      </c>
      <c r="N1881">
        <v>120.86199999999999</v>
      </c>
    </row>
    <row r="1882" spans="1:14" x14ac:dyDescent="0.45">
      <c r="A1882">
        <v>1989</v>
      </c>
      <c r="B1882" t="s">
        <v>190</v>
      </c>
      <c r="C1882">
        <v>0</v>
      </c>
      <c r="D1882">
        <v>0</v>
      </c>
      <c r="E1882">
        <v>1</v>
      </c>
      <c r="F1882">
        <v>1</v>
      </c>
      <c r="G1882">
        <v>0</v>
      </c>
      <c r="H1882">
        <v>0</v>
      </c>
      <c r="I1882">
        <v>0</v>
      </c>
      <c r="J1882">
        <v>8634.6119424037097</v>
      </c>
      <c r="K1882">
        <v>8104.65989986975</v>
      </c>
      <c r="L1882">
        <v>56.415999999999997</v>
      </c>
      <c r="M1882">
        <v>69.534999999999997</v>
      </c>
      <c r="N1882">
        <v>23.786000000000001</v>
      </c>
    </row>
    <row r="1883" spans="1:14" x14ac:dyDescent="0.45">
      <c r="A1883">
        <v>1989</v>
      </c>
      <c r="B1883" t="s">
        <v>191</v>
      </c>
      <c r="C1883">
        <v>0</v>
      </c>
      <c r="D1883">
        <v>0</v>
      </c>
      <c r="E1883">
        <v>1</v>
      </c>
      <c r="F1883">
        <v>0</v>
      </c>
      <c r="G1883">
        <v>0</v>
      </c>
      <c r="H1883">
        <v>0</v>
      </c>
      <c r="I1883">
        <v>0</v>
      </c>
      <c r="J1883">
        <v>1083.5080688005</v>
      </c>
      <c r="K1883">
        <v>927.11599715824195</v>
      </c>
      <c r="L1883">
        <v>88.757000000000005</v>
      </c>
      <c r="M1883">
        <v>43.515000000000001</v>
      </c>
      <c r="N1883">
        <v>245.226</v>
      </c>
    </row>
    <row r="1884" spans="1:14" x14ac:dyDescent="0.45">
      <c r="A1884">
        <v>1989</v>
      </c>
      <c r="B1884" t="s">
        <v>192</v>
      </c>
      <c r="C1884">
        <v>0</v>
      </c>
      <c r="D1884">
        <v>0</v>
      </c>
      <c r="E1884">
        <v>0</v>
      </c>
      <c r="F1884">
        <v>1</v>
      </c>
      <c r="G1884">
        <v>0</v>
      </c>
      <c r="H1884">
        <v>0</v>
      </c>
      <c r="I1884">
        <v>0</v>
      </c>
      <c r="J1884">
        <v>11355.678110512399</v>
      </c>
      <c r="K1884">
        <v>10150.6363592089</v>
      </c>
      <c r="L1884">
        <v>50.988</v>
      </c>
      <c r="M1884">
        <v>70.759</v>
      </c>
      <c r="N1884">
        <v>17.521000000000001</v>
      </c>
    </row>
    <row r="1885" spans="1:14" x14ac:dyDescent="0.45">
      <c r="A1885">
        <v>1989</v>
      </c>
      <c r="B1885" t="s">
        <v>193</v>
      </c>
      <c r="C1885">
        <v>0</v>
      </c>
      <c r="D1885">
        <v>0</v>
      </c>
      <c r="E1885">
        <v>1</v>
      </c>
      <c r="F1885">
        <v>1</v>
      </c>
      <c r="G1885">
        <v>0</v>
      </c>
      <c r="H1885">
        <v>0</v>
      </c>
      <c r="I1885">
        <v>0</v>
      </c>
      <c r="J1885">
        <v>7617.2511043277</v>
      </c>
      <c r="K1885">
        <v>6601.8700422430902</v>
      </c>
      <c r="L1885">
        <v>72.605000000000004</v>
      </c>
      <c r="M1885">
        <v>60.773000000000003</v>
      </c>
      <c r="N1885">
        <v>77.837999999999994</v>
      </c>
    </row>
    <row r="1886" spans="1:14" x14ac:dyDescent="0.45">
      <c r="A1886">
        <v>1989</v>
      </c>
      <c r="B1886" t="s">
        <v>194</v>
      </c>
      <c r="C1886">
        <v>0</v>
      </c>
      <c r="D1886">
        <v>0</v>
      </c>
      <c r="E1886">
        <v>0</v>
      </c>
      <c r="F1886">
        <v>0</v>
      </c>
      <c r="G1886">
        <v>1</v>
      </c>
      <c r="H1886">
        <v>0</v>
      </c>
      <c r="I1886">
        <v>0</v>
      </c>
      <c r="L1886">
        <v>40.566000000000003</v>
      </c>
      <c r="M1886">
        <v>69.221000000000004</v>
      </c>
      <c r="N1886">
        <v>33.537999999999997</v>
      </c>
    </row>
    <row r="1887" spans="1:14" x14ac:dyDescent="0.45">
      <c r="A1887">
        <v>1989</v>
      </c>
      <c r="B1887" t="s">
        <v>195</v>
      </c>
      <c r="C1887">
        <v>0</v>
      </c>
      <c r="D1887">
        <v>0</v>
      </c>
      <c r="E1887">
        <v>1</v>
      </c>
      <c r="F1887">
        <v>0</v>
      </c>
      <c r="G1887">
        <v>0</v>
      </c>
      <c r="H1887">
        <v>0</v>
      </c>
      <c r="I1887">
        <v>0</v>
      </c>
      <c r="J1887">
        <v>1441.7142503986699</v>
      </c>
      <c r="K1887">
        <v>1145.9208862559201</v>
      </c>
      <c r="L1887">
        <v>84.710999999999999</v>
      </c>
      <c r="M1887">
        <v>41.188000000000002</v>
      </c>
      <c r="N1887">
        <v>337.56900000000002</v>
      </c>
    </row>
    <row r="1888" spans="1:14" x14ac:dyDescent="0.45">
      <c r="A1888">
        <v>1989</v>
      </c>
      <c r="B1888" t="s">
        <v>196</v>
      </c>
      <c r="C1888">
        <v>0</v>
      </c>
      <c r="D1888">
        <v>0</v>
      </c>
      <c r="E1888">
        <v>1</v>
      </c>
      <c r="F1888">
        <v>0</v>
      </c>
      <c r="G1888">
        <v>0</v>
      </c>
      <c r="H1888">
        <v>0</v>
      </c>
      <c r="I1888">
        <v>0</v>
      </c>
      <c r="J1888">
        <v>3679.6610902430898</v>
      </c>
      <c r="K1888">
        <v>3253.3163411005598</v>
      </c>
      <c r="L1888">
        <v>71.158000000000001</v>
      </c>
      <c r="M1888">
        <v>45.83</v>
      </c>
      <c r="N1888">
        <v>209.71299999999999</v>
      </c>
    </row>
    <row r="1889" spans="1:14" x14ac:dyDescent="0.45">
      <c r="A1889">
        <v>1989</v>
      </c>
      <c r="B1889" t="s">
        <v>197</v>
      </c>
      <c r="C1889">
        <v>0</v>
      </c>
      <c r="D1889">
        <v>1</v>
      </c>
      <c r="E1889">
        <v>0</v>
      </c>
      <c r="F1889">
        <v>1</v>
      </c>
      <c r="G1889">
        <v>0</v>
      </c>
      <c r="H1889">
        <v>0</v>
      </c>
      <c r="I1889">
        <v>0</v>
      </c>
      <c r="J1889">
        <v>4393.9553896938996</v>
      </c>
      <c r="K1889">
        <v>3700.8755020546901</v>
      </c>
      <c r="L1889">
        <v>47.203000000000003</v>
      </c>
      <c r="M1889">
        <v>61.884</v>
      </c>
      <c r="N1889">
        <v>80.403000000000006</v>
      </c>
    </row>
    <row r="1890" spans="1:14" x14ac:dyDescent="0.45">
      <c r="A1890">
        <v>1989</v>
      </c>
      <c r="B1890" t="s">
        <v>198</v>
      </c>
      <c r="C1890">
        <v>1</v>
      </c>
      <c r="D1890">
        <v>0</v>
      </c>
      <c r="E1890">
        <v>0</v>
      </c>
      <c r="F1890">
        <v>0</v>
      </c>
      <c r="G1890">
        <v>0</v>
      </c>
      <c r="H1890">
        <v>1</v>
      </c>
      <c r="I1890">
        <v>1</v>
      </c>
      <c r="J1890">
        <v>41527.175175745499</v>
      </c>
      <c r="K1890">
        <v>35054.875271678597</v>
      </c>
      <c r="L1890">
        <v>31.704000000000001</v>
      </c>
      <c r="M1890">
        <v>76.835999999999999</v>
      </c>
      <c r="N1890">
        <v>8.3979999999999997</v>
      </c>
    </row>
    <row r="1891" spans="1:14" x14ac:dyDescent="0.45">
      <c r="A1891">
        <v>1989</v>
      </c>
      <c r="B1891" t="s">
        <v>199</v>
      </c>
      <c r="C1891">
        <v>1</v>
      </c>
      <c r="D1891">
        <v>0</v>
      </c>
      <c r="E1891">
        <v>0</v>
      </c>
      <c r="F1891">
        <v>0</v>
      </c>
      <c r="G1891">
        <v>0</v>
      </c>
      <c r="H1891">
        <v>1</v>
      </c>
      <c r="I1891">
        <v>1</v>
      </c>
      <c r="J1891">
        <v>56753.865584778498</v>
      </c>
      <c r="K1891">
        <v>41934.727946503503</v>
      </c>
      <c r="L1891">
        <v>28.172000000000001</v>
      </c>
      <c r="M1891">
        <v>76.543000000000006</v>
      </c>
      <c r="N1891">
        <v>9.5839999999999996</v>
      </c>
    </row>
    <row r="1892" spans="1:14" x14ac:dyDescent="0.45">
      <c r="A1892">
        <v>1989</v>
      </c>
      <c r="B1892" t="s">
        <v>200</v>
      </c>
      <c r="C1892">
        <v>0</v>
      </c>
      <c r="D1892">
        <v>0</v>
      </c>
      <c r="E1892">
        <v>0</v>
      </c>
      <c r="F1892">
        <v>0</v>
      </c>
      <c r="G1892">
        <v>0</v>
      </c>
      <c r="H1892">
        <v>0</v>
      </c>
      <c r="I1892">
        <v>0</v>
      </c>
      <c r="J1892">
        <v>1769.55430214949</v>
      </c>
      <c r="K1892">
        <v>1566.59867374484</v>
      </c>
      <c r="L1892">
        <v>91.459000000000003</v>
      </c>
      <c r="M1892">
        <v>54.012999999999998</v>
      </c>
      <c r="N1892">
        <v>145.33500000000001</v>
      </c>
    </row>
    <row r="1893" spans="1:14" x14ac:dyDescent="0.45">
      <c r="A1893">
        <v>1989</v>
      </c>
      <c r="B1893" t="s">
        <v>201</v>
      </c>
      <c r="C1893">
        <v>0</v>
      </c>
      <c r="D1893">
        <v>0</v>
      </c>
      <c r="E1893">
        <v>0</v>
      </c>
      <c r="F1893">
        <v>0</v>
      </c>
      <c r="G1893">
        <v>0</v>
      </c>
      <c r="H1893">
        <v>1</v>
      </c>
      <c r="I1893">
        <v>1</v>
      </c>
      <c r="J1893">
        <v>32208.227998398001</v>
      </c>
      <c r="K1893">
        <v>29139.443153331202</v>
      </c>
      <c r="L1893">
        <v>0</v>
      </c>
      <c r="M1893">
        <v>58.9</v>
      </c>
      <c r="N1893">
        <v>62.735999999999997</v>
      </c>
    </row>
    <row r="1894" spans="1:14" x14ac:dyDescent="0.45">
      <c r="A1894">
        <v>1989</v>
      </c>
      <c r="B1894" t="s">
        <v>202</v>
      </c>
      <c r="C1894">
        <v>0</v>
      </c>
      <c r="D1894">
        <v>0</v>
      </c>
      <c r="E1894">
        <v>0</v>
      </c>
      <c r="F1894">
        <v>0</v>
      </c>
      <c r="G1894">
        <v>0</v>
      </c>
      <c r="H1894">
        <v>1</v>
      </c>
      <c r="I1894">
        <v>1</v>
      </c>
      <c r="J1894">
        <v>30711.9335109442</v>
      </c>
      <c r="K1894">
        <v>27934.100549971801</v>
      </c>
      <c r="L1894">
        <v>15.494</v>
      </c>
      <c r="M1894">
        <v>74.888000000000005</v>
      </c>
      <c r="N1894">
        <v>12.446</v>
      </c>
    </row>
    <row r="1895" spans="1:14" x14ac:dyDescent="0.45">
      <c r="A1895">
        <v>1989</v>
      </c>
      <c r="B1895" t="s">
        <v>203</v>
      </c>
      <c r="C1895">
        <v>0</v>
      </c>
      <c r="D1895">
        <v>0</v>
      </c>
      <c r="E1895">
        <v>0</v>
      </c>
      <c r="F1895">
        <v>0</v>
      </c>
      <c r="G1895">
        <v>1</v>
      </c>
      <c r="H1895">
        <v>0</v>
      </c>
      <c r="I1895">
        <v>0</v>
      </c>
      <c r="J1895">
        <v>33236.454932998698</v>
      </c>
      <c r="K1895">
        <v>28879.8399079716</v>
      </c>
      <c r="L1895">
        <v>35.634</v>
      </c>
      <c r="M1895">
        <v>68.393000000000001</v>
      </c>
      <c r="N1895">
        <v>43.478000000000002</v>
      </c>
    </row>
    <row r="1896" spans="1:14" x14ac:dyDescent="0.45">
      <c r="A1896">
        <v>1989</v>
      </c>
      <c r="B1896" t="s">
        <v>204</v>
      </c>
      <c r="C1896">
        <v>0</v>
      </c>
      <c r="D1896">
        <v>0</v>
      </c>
      <c r="E1896">
        <v>0</v>
      </c>
      <c r="F1896">
        <v>0</v>
      </c>
      <c r="G1896">
        <v>0</v>
      </c>
      <c r="H1896">
        <v>0</v>
      </c>
      <c r="I1896">
        <v>0</v>
      </c>
      <c r="J1896">
        <v>3157.52348644112</v>
      </c>
      <c r="K1896">
        <v>3005.64275501252</v>
      </c>
      <c r="L1896">
        <v>69.673000000000002</v>
      </c>
      <c r="M1896">
        <v>59.527999999999999</v>
      </c>
      <c r="N1896">
        <v>142.37100000000001</v>
      </c>
    </row>
    <row r="1897" spans="1:14" x14ac:dyDescent="0.45">
      <c r="A1897">
        <v>1989</v>
      </c>
      <c r="B1897" t="s">
        <v>205</v>
      </c>
      <c r="C1897">
        <v>0</v>
      </c>
      <c r="D1897">
        <v>1</v>
      </c>
      <c r="E1897">
        <v>0</v>
      </c>
      <c r="F1897">
        <v>1</v>
      </c>
      <c r="G1897">
        <v>0</v>
      </c>
      <c r="H1897">
        <v>0</v>
      </c>
      <c r="I1897">
        <v>0</v>
      </c>
      <c r="J1897">
        <v>13370.464065084099</v>
      </c>
      <c r="K1897">
        <v>14019.974891211001</v>
      </c>
      <c r="L1897">
        <v>46.503</v>
      </c>
      <c r="M1897">
        <v>70.137</v>
      </c>
      <c r="N1897">
        <v>32.941000000000003</v>
      </c>
    </row>
    <row r="1898" spans="1:14" x14ac:dyDescent="0.45">
      <c r="A1898">
        <v>1989</v>
      </c>
      <c r="B1898" t="s">
        <v>206</v>
      </c>
      <c r="C1898">
        <v>0</v>
      </c>
      <c r="D1898">
        <v>1</v>
      </c>
      <c r="E1898">
        <v>0</v>
      </c>
      <c r="F1898">
        <v>1</v>
      </c>
      <c r="G1898">
        <v>0</v>
      </c>
      <c r="H1898">
        <v>0</v>
      </c>
      <c r="I1898">
        <v>0</v>
      </c>
      <c r="J1898">
        <v>7367.5562090548101</v>
      </c>
      <c r="K1898">
        <v>6156.2137346549798</v>
      </c>
      <c r="L1898">
        <v>31.501000000000001</v>
      </c>
      <c r="M1898">
        <v>63.405000000000001</v>
      </c>
      <c r="N1898">
        <v>84.679000000000002</v>
      </c>
    </row>
    <row r="1899" spans="1:14" x14ac:dyDescent="0.45">
      <c r="A1899">
        <v>1989</v>
      </c>
      <c r="B1899" t="s">
        <v>207</v>
      </c>
      <c r="C1899">
        <v>0</v>
      </c>
      <c r="D1899">
        <v>0</v>
      </c>
      <c r="E1899">
        <v>0</v>
      </c>
      <c r="F1899">
        <v>1</v>
      </c>
      <c r="G1899">
        <v>0</v>
      </c>
      <c r="H1899">
        <v>0</v>
      </c>
      <c r="I1899">
        <v>0</v>
      </c>
      <c r="J1899">
        <v>4350.5098923186097</v>
      </c>
      <c r="K1899">
        <v>3939.8242548399598</v>
      </c>
      <c r="L1899">
        <v>53.828000000000003</v>
      </c>
      <c r="M1899">
        <v>64.105000000000004</v>
      </c>
      <c r="N1899">
        <v>60.25</v>
      </c>
    </row>
    <row r="1900" spans="1:14" x14ac:dyDescent="0.45">
      <c r="A1900">
        <v>1989</v>
      </c>
      <c r="B1900" t="s">
        <v>208</v>
      </c>
      <c r="C1900">
        <v>0</v>
      </c>
      <c r="D1900">
        <v>0</v>
      </c>
      <c r="E1900">
        <v>0</v>
      </c>
      <c r="F1900">
        <v>0</v>
      </c>
      <c r="G1900">
        <v>1</v>
      </c>
      <c r="H1900">
        <v>0</v>
      </c>
      <c r="I1900">
        <v>0</v>
      </c>
      <c r="J1900">
        <v>17268.4436627389</v>
      </c>
      <c r="K1900">
        <v>15623.1144564026</v>
      </c>
      <c r="L1900">
        <v>30.76</v>
      </c>
      <c r="M1900">
        <v>62.777000000000001</v>
      </c>
      <c r="N1900">
        <v>36.011000000000003</v>
      </c>
    </row>
    <row r="1901" spans="1:14" x14ac:dyDescent="0.45">
      <c r="A1901">
        <v>1989</v>
      </c>
      <c r="B1901" t="s">
        <v>209</v>
      </c>
      <c r="C1901">
        <v>0</v>
      </c>
      <c r="D1901">
        <v>0</v>
      </c>
      <c r="E1901">
        <v>0</v>
      </c>
      <c r="F1901">
        <v>1</v>
      </c>
      <c r="G1901">
        <v>0</v>
      </c>
      <c r="H1901">
        <v>0</v>
      </c>
      <c r="I1901">
        <v>0</v>
      </c>
      <c r="J1901">
        <v>3282.51949042758</v>
      </c>
      <c r="K1901">
        <v>2969.37154902364</v>
      </c>
      <c r="L1901">
        <v>85.209000000000003</v>
      </c>
      <c r="M1901">
        <v>59.597999999999999</v>
      </c>
      <c r="N1901">
        <v>86.593000000000004</v>
      </c>
    </row>
    <row r="1902" spans="1:14" x14ac:dyDescent="0.45">
      <c r="A1902">
        <v>1989</v>
      </c>
      <c r="B1902" t="s">
        <v>210</v>
      </c>
      <c r="C1902">
        <v>1</v>
      </c>
      <c r="D1902">
        <v>0</v>
      </c>
      <c r="E1902">
        <v>0</v>
      </c>
      <c r="F1902">
        <v>1</v>
      </c>
      <c r="G1902">
        <v>0</v>
      </c>
      <c r="H1902">
        <v>0</v>
      </c>
      <c r="I1902">
        <v>0</v>
      </c>
      <c r="J1902">
        <v>12395.4042956747</v>
      </c>
      <c r="K1902">
        <v>10699.3543086053</v>
      </c>
      <c r="L1902">
        <v>38.774999999999999</v>
      </c>
      <c r="M1902">
        <v>70.816000000000003</v>
      </c>
      <c r="N1902">
        <v>22.062999999999999</v>
      </c>
    </row>
    <row r="1903" spans="1:14" x14ac:dyDescent="0.45">
      <c r="A1903">
        <v>1989</v>
      </c>
      <c r="B1903" t="s">
        <v>211</v>
      </c>
      <c r="C1903">
        <v>0</v>
      </c>
      <c r="D1903">
        <v>1</v>
      </c>
      <c r="E1903">
        <v>0</v>
      </c>
      <c r="F1903">
        <v>0</v>
      </c>
      <c r="G1903">
        <v>0</v>
      </c>
      <c r="H1903">
        <v>1</v>
      </c>
      <c r="I1903">
        <v>1</v>
      </c>
      <c r="J1903">
        <v>25762.366594115701</v>
      </c>
      <c r="K1903">
        <v>19791.699362184001</v>
      </c>
      <c r="L1903">
        <v>8.0849999999999902</v>
      </c>
      <c r="M1903">
        <v>72.478999999999999</v>
      </c>
      <c r="N1903">
        <v>24.242999999999999</v>
      </c>
    </row>
    <row r="1904" spans="1:14" x14ac:dyDescent="0.45">
      <c r="A1904">
        <v>1989</v>
      </c>
      <c r="B1904" t="s">
        <v>212</v>
      </c>
      <c r="C1904">
        <v>0</v>
      </c>
      <c r="D1904">
        <v>0</v>
      </c>
      <c r="E1904">
        <v>0</v>
      </c>
      <c r="F1904">
        <v>1</v>
      </c>
      <c r="G1904">
        <v>0</v>
      </c>
      <c r="H1904">
        <v>0</v>
      </c>
      <c r="I1904">
        <v>0</v>
      </c>
      <c r="L1904">
        <v>41.764000000000003</v>
      </c>
      <c r="M1904">
        <v>70.269000000000005</v>
      </c>
      <c r="N1904">
        <v>39.628</v>
      </c>
    </row>
    <row r="1905" spans="1:14" x14ac:dyDescent="0.45">
      <c r="A1905">
        <v>1989</v>
      </c>
      <c r="B1905" t="s">
        <v>213</v>
      </c>
      <c r="C1905">
        <v>1</v>
      </c>
      <c r="D1905">
        <v>0</v>
      </c>
      <c r="E1905">
        <v>0</v>
      </c>
      <c r="F1905">
        <v>0</v>
      </c>
      <c r="G1905">
        <v>1</v>
      </c>
      <c r="H1905">
        <v>0</v>
      </c>
      <c r="I1905">
        <v>0</v>
      </c>
      <c r="J1905">
        <v>25458.296386949001</v>
      </c>
      <c r="K1905">
        <v>22005.720995333999</v>
      </c>
      <c r="L1905">
        <v>52.609000000000002</v>
      </c>
      <c r="M1905">
        <v>74.665000000000006</v>
      </c>
      <c r="N1905">
        <v>15.484999999999999</v>
      </c>
    </row>
    <row r="1906" spans="1:14" x14ac:dyDescent="0.45">
      <c r="A1906">
        <v>1989</v>
      </c>
      <c r="B1906" t="s">
        <v>214</v>
      </c>
      <c r="C1906">
        <v>0</v>
      </c>
      <c r="D1906">
        <v>1</v>
      </c>
      <c r="E1906">
        <v>0</v>
      </c>
      <c r="F1906">
        <v>1</v>
      </c>
      <c r="G1906">
        <v>0</v>
      </c>
      <c r="H1906">
        <v>0</v>
      </c>
      <c r="I1906">
        <v>0</v>
      </c>
      <c r="J1906">
        <v>9577.2778810123309</v>
      </c>
      <c r="K1906">
        <v>8737.7244588744798</v>
      </c>
      <c r="L1906">
        <v>52.051000000000002</v>
      </c>
      <c r="M1906">
        <v>66.921999999999997</v>
      </c>
      <c r="N1906">
        <v>47.381999999999998</v>
      </c>
    </row>
    <row r="1907" spans="1:14" x14ac:dyDescent="0.45">
      <c r="A1907">
        <v>1989</v>
      </c>
      <c r="B1907" t="s">
        <v>215</v>
      </c>
      <c r="C1907">
        <v>0</v>
      </c>
      <c r="D1907">
        <v>0</v>
      </c>
      <c r="E1907">
        <v>0</v>
      </c>
      <c r="F1907">
        <v>1</v>
      </c>
      <c r="G1907">
        <v>0</v>
      </c>
      <c r="H1907">
        <v>0</v>
      </c>
      <c r="I1907">
        <v>0</v>
      </c>
      <c r="L1907">
        <v>32.805999999999997</v>
      </c>
      <c r="M1907">
        <v>67.141000000000005</v>
      </c>
      <c r="N1907">
        <v>47.067</v>
      </c>
    </row>
    <row r="1908" spans="1:14" x14ac:dyDescent="0.45">
      <c r="A1908">
        <v>1989</v>
      </c>
      <c r="B1908" t="s">
        <v>216</v>
      </c>
      <c r="C1908">
        <v>0</v>
      </c>
      <c r="D1908">
        <v>0</v>
      </c>
      <c r="E1908">
        <v>0</v>
      </c>
      <c r="F1908">
        <v>0</v>
      </c>
      <c r="G1908">
        <v>0</v>
      </c>
      <c r="H1908">
        <v>1</v>
      </c>
      <c r="I1908">
        <v>1</v>
      </c>
      <c r="L1908">
        <v>41.905999999999999</v>
      </c>
      <c r="M1908">
        <v>73.494</v>
      </c>
      <c r="N1908">
        <v>21.161000000000001</v>
      </c>
    </row>
    <row r="1909" spans="1:14" x14ac:dyDescent="0.45">
      <c r="A1909">
        <v>1989</v>
      </c>
      <c r="B1909" t="s">
        <v>217</v>
      </c>
      <c r="C1909">
        <v>0</v>
      </c>
      <c r="D1909">
        <v>0</v>
      </c>
      <c r="E1909">
        <v>0</v>
      </c>
      <c r="F1909">
        <v>0</v>
      </c>
      <c r="G1909">
        <v>0</v>
      </c>
      <c r="H1909">
        <v>1</v>
      </c>
      <c r="I1909">
        <v>1</v>
      </c>
      <c r="J1909">
        <v>69748.354334221804</v>
      </c>
      <c r="K1909">
        <v>60227.554841973499</v>
      </c>
      <c r="L1909">
        <v>7.7530000000000001</v>
      </c>
      <c r="M1909">
        <v>73.131</v>
      </c>
      <c r="N1909">
        <v>22.161999999999999</v>
      </c>
    </row>
    <row r="1910" spans="1:14" x14ac:dyDescent="0.45">
      <c r="A1910">
        <v>1989</v>
      </c>
      <c r="B1910" t="s">
        <v>218</v>
      </c>
      <c r="C1910">
        <v>1</v>
      </c>
      <c r="D1910">
        <v>0</v>
      </c>
      <c r="E1910">
        <v>0</v>
      </c>
      <c r="F1910">
        <v>0</v>
      </c>
      <c r="G1910">
        <v>1</v>
      </c>
      <c r="H1910">
        <v>0</v>
      </c>
      <c r="I1910">
        <v>0</v>
      </c>
      <c r="J1910">
        <v>17397.596908360301</v>
      </c>
      <c r="K1910">
        <v>14141.3942138025</v>
      </c>
      <c r="L1910">
        <v>47.496000000000002</v>
      </c>
      <c r="M1910">
        <v>69.546000000000006</v>
      </c>
      <c r="N1910">
        <v>34.386000000000003</v>
      </c>
    </row>
    <row r="1911" spans="1:14" x14ac:dyDescent="0.45">
      <c r="A1911">
        <v>1989</v>
      </c>
      <c r="B1911" t="s">
        <v>219</v>
      </c>
      <c r="C1911">
        <v>1</v>
      </c>
      <c r="D1911">
        <v>0</v>
      </c>
      <c r="E1911">
        <v>0</v>
      </c>
      <c r="F1911">
        <v>0</v>
      </c>
      <c r="G1911">
        <v>1</v>
      </c>
      <c r="H1911">
        <v>0</v>
      </c>
      <c r="I1911">
        <v>0</v>
      </c>
      <c r="J1911">
        <v>30611.7958890995</v>
      </c>
      <c r="K1911">
        <v>22184.404062426798</v>
      </c>
      <c r="L1911">
        <v>26.602</v>
      </c>
      <c r="M1911">
        <v>69.686999999999998</v>
      </c>
      <c r="N1911">
        <v>21.391999999999999</v>
      </c>
    </row>
    <row r="1912" spans="1:14" x14ac:dyDescent="0.45">
      <c r="A1912">
        <v>1989</v>
      </c>
      <c r="B1912" t="s">
        <v>220</v>
      </c>
      <c r="C1912">
        <v>0</v>
      </c>
      <c r="D1912">
        <v>0</v>
      </c>
      <c r="E1912">
        <v>1</v>
      </c>
      <c r="F1912">
        <v>0</v>
      </c>
      <c r="G1912">
        <v>0</v>
      </c>
      <c r="H1912">
        <v>0</v>
      </c>
      <c r="I1912">
        <v>0</v>
      </c>
      <c r="J1912">
        <v>1274.1264158122499</v>
      </c>
      <c r="K1912">
        <v>1066.2576054799299</v>
      </c>
      <c r="L1912">
        <v>94.658000000000001</v>
      </c>
      <c r="M1912">
        <v>49.484999999999999</v>
      </c>
      <c r="N1912">
        <v>155.566</v>
      </c>
    </row>
    <row r="1913" spans="1:14" x14ac:dyDescent="0.45">
      <c r="A1913">
        <v>1989</v>
      </c>
      <c r="B1913" t="s">
        <v>221</v>
      </c>
      <c r="C1913">
        <v>0</v>
      </c>
      <c r="D1913">
        <v>0</v>
      </c>
      <c r="E1913">
        <v>0</v>
      </c>
      <c r="F1913">
        <v>0</v>
      </c>
      <c r="G1913">
        <v>0</v>
      </c>
      <c r="H1913">
        <v>1</v>
      </c>
      <c r="I1913">
        <v>1</v>
      </c>
      <c r="J1913">
        <v>68923.421955360696</v>
      </c>
      <c r="K1913">
        <v>63187.479739516901</v>
      </c>
      <c r="L1913">
        <v>24.07</v>
      </c>
      <c r="M1913">
        <v>68.358999999999995</v>
      </c>
      <c r="N1913">
        <v>47.945</v>
      </c>
    </row>
    <row r="1914" spans="1:14" x14ac:dyDescent="0.45">
      <c r="A1914">
        <v>1989</v>
      </c>
      <c r="B1914" t="s">
        <v>222</v>
      </c>
      <c r="C1914">
        <v>0</v>
      </c>
      <c r="D1914">
        <v>0</v>
      </c>
      <c r="E1914">
        <v>1</v>
      </c>
      <c r="F1914">
        <v>0</v>
      </c>
      <c r="G1914">
        <v>0</v>
      </c>
      <c r="H1914">
        <v>0</v>
      </c>
      <c r="I1914">
        <v>0</v>
      </c>
      <c r="J1914">
        <v>2287.7242069068402</v>
      </c>
      <c r="K1914">
        <v>2395.5489365544199</v>
      </c>
      <c r="L1914">
        <v>72.59</v>
      </c>
      <c r="M1914">
        <v>54.883000000000003</v>
      </c>
      <c r="N1914">
        <v>135.01300000000001</v>
      </c>
    </row>
    <row r="1915" spans="1:14" x14ac:dyDescent="0.45">
      <c r="A1915">
        <v>1989</v>
      </c>
      <c r="B1915" t="s">
        <v>223</v>
      </c>
      <c r="C1915">
        <v>0</v>
      </c>
      <c r="D1915">
        <v>0</v>
      </c>
      <c r="E1915">
        <v>1</v>
      </c>
      <c r="F1915">
        <v>1</v>
      </c>
      <c r="G1915">
        <v>0</v>
      </c>
      <c r="H1915">
        <v>0</v>
      </c>
      <c r="I1915">
        <v>0</v>
      </c>
      <c r="J1915">
        <v>2893.4987327153099</v>
      </c>
      <c r="K1915">
        <v>2417.3417135342602</v>
      </c>
      <c r="L1915">
        <v>61.244999999999997</v>
      </c>
      <c r="M1915">
        <v>56.209000000000003</v>
      </c>
      <c r="N1915">
        <v>145.92599999999999</v>
      </c>
    </row>
    <row r="1916" spans="1:14" x14ac:dyDescent="0.45">
      <c r="A1916">
        <v>1989</v>
      </c>
      <c r="B1916" t="s">
        <v>224</v>
      </c>
      <c r="C1916">
        <v>0</v>
      </c>
      <c r="D1916">
        <v>0</v>
      </c>
      <c r="E1916">
        <v>0</v>
      </c>
      <c r="F1916">
        <v>0</v>
      </c>
      <c r="G1916">
        <v>0</v>
      </c>
      <c r="H1916">
        <v>1</v>
      </c>
      <c r="I1916">
        <v>1</v>
      </c>
      <c r="J1916">
        <v>42597.925234750299</v>
      </c>
      <c r="K1916">
        <v>35017.084006323101</v>
      </c>
      <c r="L1916">
        <v>0</v>
      </c>
      <c r="M1916">
        <v>74.331999999999994</v>
      </c>
      <c r="N1916">
        <v>8.2449999999999992</v>
      </c>
    </row>
    <row r="1917" spans="1:14" x14ac:dyDescent="0.45">
      <c r="A1917">
        <v>1989</v>
      </c>
      <c r="B1917" t="s">
        <v>225</v>
      </c>
      <c r="C1917">
        <v>0</v>
      </c>
      <c r="D1917">
        <v>0</v>
      </c>
      <c r="E1917">
        <v>0</v>
      </c>
      <c r="F1917">
        <v>0</v>
      </c>
      <c r="G1917">
        <v>0</v>
      </c>
      <c r="H1917">
        <v>0</v>
      </c>
      <c r="I1917">
        <v>0</v>
      </c>
      <c r="J1917">
        <v>2328.8190586390601</v>
      </c>
      <c r="K1917">
        <v>2106.5867490153801</v>
      </c>
      <c r="L1917">
        <v>86.513999999999996</v>
      </c>
      <c r="M1917">
        <v>66.051000000000002</v>
      </c>
      <c r="N1917">
        <v>39.200000000000003</v>
      </c>
    </row>
    <row r="1918" spans="1:14" x14ac:dyDescent="0.45">
      <c r="A1918">
        <v>1989</v>
      </c>
      <c r="B1918" t="s">
        <v>226</v>
      </c>
      <c r="C1918">
        <v>0</v>
      </c>
      <c r="D1918">
        <v>0</v>
      </c>
      <c r="E1918">
        <v>1</v>
      </c>
      <c r="F1918">
        <v>0</v>
      </c>
      <c r="G1918">
        <v>0</v>
      </c>
      <c r="H1918">
        <v>0</v>
      </c>
      <c r="I1918">
        <v>0</v>
      </c>
      <c r="J1918">
        <v>2753.6867732317201</v>
      </c>
      <c r="K1918">
        <v>2499.4404721866699</v>
      </c>
      <c r="L1918">
        <v>66.980999999999995</v>
      </c>
      <c r="M1918">
        <v>43.741</v>
      </c>
      <c r="N1918">
        <v>262.32299999999998</v>
      </c>
    </row>
    <row r="1919" spans="1:14" x14ac:dyDescent="0.45">
      <c r="A1919">
        <v>1989</v>
      </c>
      <c r="B1919" t="s">
        <v>227</v>
      </c>
      <c r="C1919">
        <v>0</v>
      </c>
      <c r="D1919">
        <v>1</v>
      </c>
      <c r="E1919">
        <v>0</v>
      </c>
      <c r="F1919">
        <v>1</v>
      </c>
      <c r="G1919">
        <v>0</v>
      </c>
      <c r="H1919">
        <v>0</v>
      </c>
      <c r="I1919">
        <v>0</v>
      </c>
      <c r="J1919">
        <v>6036.4562063093599</v>
      </c>
      <c r="K1919">
        <v>5376.9757524794204</v>
      </c>
      <c r="L1919">
        <v>51.246000000000002</v>
      </c>
      <c r="M1919">
        <v>61.253999999999998</v>
      </c>
      <c r="N1919">
        <v>76.445999999999998</v>
      </c>
    </row>
    <row r="1920" spans="1:14" x14ac:dyDescent="0.45">
      <c r="A1920">
        <v>1989</v>
      </c>
      <c r="B1920" t="s">
        <v>228</v>
      </c>
      <c r="C1920">
        <v>1</v>
      </c>
      <c r="D1920">
        <v>0</v>
      </c>
      <c r="E1920">
        <v>0</v>
      </c>
      <c r="F1920">
        <v>0</v>
      </c>
      <c r="G1920">
        <v>0</v>
      </c>
      <c r="H1920">
        <v>1</v>
      </c>
      <c r="I1920">
        <v>1</v>
      </c>
      <c r="L1920">
        <v>9.5999999999999908</v>
      </c>
      <c r="M1920">
        <v>77.647000000000006</v>
      </c>
      <c r="N1920">
        <v>11.944000000000001</v>
      </c>
    </row>
    <row r="1921" spans="1:14" x14ac:dyDescent="0.45">
      <c r="A1921">
        <v>1989</v>
      </c>
      <c r="B1921" t="s">
        <v>229</v>
      </c>
      <c r="C1921">
        <v>0</v>
      </c>
      <c r="D1921">
        <v>0</v>
      </c>
      <c r="E1921">
        <v>1</v>
      </c>
      <c r="F1921">
        <v>0</v>
      </c>
      <c r="G1921">
        <v>0</v>
      </c>
      <c r="H1921">
        <v>0</v>
      </c>
      <c r="I1921">
        <v>0</v>
      </c>
      <c r="J1921">
        <v>760.87361361015303</v>
      </c>
      <c r="K1921">
        <v>705.73636186330702</v>
      </c>
      <c r="L1921">
        <v>70.688000000000002</v>
      </c>
      <c r="M1921">
        <v>46.648000000000003</v>
      </c>
      <c r="N1921">
        <v>181.714</v>
      </c>
    </row>
    <row r="1922" spans="1:14" x14ac:dyDescent="0.45">
      <c r="A1922">
        <v>1989</v>
      </c>
      <c r="B1922" t="s">
        <v>230</v>
      </c>
      <c r="C1922">
        <v>1</v>
      </c>
      <c r="D1922">
        <v>0</v>
      </c>
      <c r="E1922">
        <v>0</v>
      </c>
      <c r="F1922">
        <v>0</v>
      </c>
      <c r="G1922">
        <v>1</v>
      </c>
      <c r="H1922">
        <v>0</v>
      </c>
      <c r="I1922">
        <v>0</v>
      </c>
      <c r="L1922">
        <v>50.018000000000001</v>
      </c>
      <c r="M1922">
        <v>72.34</v>
      </c>
      <c r="N1922">
        <v>18.478999999999999</v>
      </c>
    </row>
    <row r="1923" spans="1:14" x14ac:dyDescent="0.45">
      <c r="A1923">
        <v>1989</v>
      </c>
      <c r="B1923" t="s">
        <v>231</v>
      </c>
      <c r="C1923">
        <v>0</v>
      </c>
      <c r="D1923">
        <v>0</v>
      </c>
      <c r="E1923">
        <v>1</v>
      </c>
      <c r="F1923">
        <v>1</v>
      </c>
      <c r="G1923">
        <v>0</v>
      </c>
      <c r="H1923">
        <v>0</v>
      </c>
      <c r="I1923">
        <v>0</v>
      </c>
      <c r="L1923">
        <v>87.483000000000004</v>
      </c>
      <c r="M1923">
        <v>28.216999999999999</v>
      </c>
      <c r="N1923">
        <v>294.27199999999999</v>
      </c>
    </row>
    <row r="1924" spans="1:14" x14ac:dyDescent="0.45">
      <c r="A1924">
        <v>1989</v>
      </c>
      <c r="B1924" t="s">
        <v>232</v>
      </c>
      <c r="C1924">
        <v>0</v>
      </c>
      <c r="D1924">
        <v>0</v>
      </c>
      <c r="E1924">
        <v>1</v>
      </c>
      <c r="F1924">
        <v>0</v>
      </c>
      <c r="G1924">
        <v>0</v>
      </c>
      <c r="H1924">
        <v>0</v>
      </c>
      <c r="I1924">
        <v>0</v>
      </c>
      <c r="J1924">
        <v>3876.0985709543702</v>
      </c>
      <c r="K1924">
        <v>2412.4228247933802</v>
      </c>
      <c r="L1924">
        <v>57.488999999999997</v>
      </c>
      <c r="M1924">
        <v>59.731000000000002</v>
      </c>
      <c r="N1924">
        <v>115.727</v>
      </c>
    </row>
    <row r="1925" spans="1:14" x14ac:dyDescent="0.45">
      <c r="A1925">
        <v>1989</v>
      </c>
      <c r="B1925" t="s">
        <v>233</v>
      </c>
      <c r="C1925">
        <v>0</v>
      </c>
      <c r="D1925">
        <v>1</v>
      </c>
      <c r="E1925">
        <v>0</v>
      </c>
      <c r="F1925">
        <v>0</v>
      </c>
      <c r="G1925">
        <v>1</v>
      </c>
      <c r="H1925">
        <v>0</v>
      </c>
      <c r="I1925">
        <v>0</v>
      </c>
      <c r="J1925">
        <v>16699.661158119801</v>
      </c>
      <c r="K1925">
        <v>13292.590049181799</v>
      </c>
      <c r="L1925">
        <v>34.368000000000002</v>
      </c>
      <c r="M1925">
        <v>61.981999999999999</v>
      </c>
      <c r="N1925">
        <v>46.466000000000001</v>
      </c>
    </row>
    <row r="1926" spans="1:14" x14ac:dyDescent="0.45">
      <c r="A1926">
        <v>1989</v>
      </c>
      <c r="B1926" t="s">
        <v>234</v>
      </c>
      <c r="C1926">
        <v>1</v>
      </c>
      <c r="D1926">
        <v>0</v>
      </c>
      <c r="E1926">
        <v>0</v>
      </c>
      <c r="F1926">
        <v>0</v>
      </c>
      <c r="G1926">
        <v>1</v>
      </c>
      <c r="H1926">
        <v>0</v>
      </c>
      <c r="I1926">
        <v>0</v>
      </c>
      <c r="L1926">
        <v>43.97</v>
      </c>
      <c r="M1926">
        <v>70.938000000000002</v>
      </c>
      <c r="N1926">
        <v>15.456</v>
      </c>
    </row>
    <row r="1927" spans="1:14" x14ac:dyDescent="0.45">
      <c r="A1927">
        <v>1989</v>
      </c>
      <c r="B1927" t="s">
        <v>235</v>
      </c>
      <c r="C1927">
        <v>1</v>
      </c>
      <c r="D1927">
        <v>0</v>
      </c>
      <c r="E1927">
        <v>0</v>
      </c>
      <c r="F1927">
        <v>0</v>
      </c>
      <c r="G1927">
        <v>1</v>
      </c>
      <c r="H1927">
        <v>0</v>
      </c>
      <c r="I1927">
        <v>0</v>
      </c>
      <c r="L1927">
        <v>49.771000000000001</v>
      </c>
      <c r="M1927">
        <v>73.290000000000006</v>
      </c>
      <c r="N1927">
        <v>10.366</v>
      </c>
    </row>
    <row r="1928" spans="1:14" x14ac:dyDescent="0.45">
      <c r="A1928">
        <v>1989</v>
      </c>
      <c r="B1928" t="s">
        <v>236</v>
      </c>
      <c r="C1928">
        <v>1</v>
      </c>
      <c r="D1928">
        <v>0</v>
      </c>
      <c r="E1928">
        <v>0</v>
      </c>
      <c r="F1928">
        <v>0</v>
      </c>
      <c r="G1928">
        <v>0</v>
      </c>
      <c r="H1928">
        <v>1</v>
      </c>
      <c r="I1928">
        <v>1</v>
      </c>
      <c r="J1928">
        <v>39426.642144733501</v>
      </c>
      <c r="K1928">
        <v>33678.965214856602</v>
      </c>
      <c r="L1928">
        <v>16.899999999999999</v>
      </c>
      <c r="M1928">
        <v>77.653999999999996</v>
      </c>
      <c r="N1928">
        <v>7.008</v>
      </c>
    </row>
    <row r="1929" spans="1:14" x14ac:dyDescent="0.45">
      <c r="A1929">
        <v>1989</v>
      </c>
      <c r="B1929" t="s">
        <v>237</v>
      </c>
      <c r="C1929">
        <v>0</v>
      </c>
      <c r="D1929">
        <v>0</v>
      </c>
      <c r="E1929">
        <v>1</v>
      </c>
      <c r="F1929">
        <v>1</v>
      </c>
      <c r="G1929">
        <v>0</v>
      </c>
      <c r="H1929">
        <v>0</v>
      </c>
      <c r="I1929">
        <v>0</v>
      </c>
      <c r="J1929">
        <v>5123.2215965965097</v>
      </c>
      <c r="K1929">
        <v>4536.6136623558796</v>
      </c>
      <c r="L1929">
        <v>80.197000000000003</v>
      </c>
      <c r="M1929">
        <v>61.668999999999997</v>
      </c>
      <c r="N1929">
        <v>72.923000000000002</v>
      </c>
    </row>
    <row r="1930" spans="1:14" x14ac:dyDescent="0.45">
      <c r="A1930">
        <v>1989</v>
      </c>
      <c r="B1930" t="s">
        <v>238</v>
      </c>
      <c r="C1930">
        <v>0</v>
      </c>
      <c r="D1930">
        <v>1</v>
      </c>
      <c r="E1930">
        <v>0</v>
      </c>
      <c r="F1930">
        <v>0</v>
      </c>
      <c r="G1930">
        <v>0</v>
      </c>
      <c r="H1930">
        <v>1</v>
      </c>
      <c r="I1930">
        <v>1</v>
      </c>
      <c r="L1930">
        <v>0</v>
      </c>
      <c r="M1930">
        <v>72.441000000000003</v>
      </c>
      <c r="N1930">
        <v>25.154</v>
      </c>
    </row>
    <row r="1931" spans="1:14" x14ac:dyDescent="0.45">
      <c r="A1931">
        <v>1989</v>
      </c>
      <c r="B1931" t="s">
        <v>239</v>
      </c>
      <c r="C1931">
        <v>0</v>
      </c>
      <c r="D1931">
        <v>0</v>
      </c>
      <c r="E1931">
        <v>1</v>
      </c>
      <c r="F1931">
        <v>0</v>
      </c>
      <c r="G1931">
        <v>1</v>
      </c>
      <c r="H1931">
        <v>0</v>
      </c>
      <c r="I1931">
        <v>0</v>
      </c>
      <c r="J1931">
        <v>14119.336505330801</v>
      </c>
      <c r="K1931">
        <v>13707.756151402</v>
      </c>
      <c r="L1931">
        <v>50.75</v>
      </c>
      <c r="M1931">
        <v>70.072999999999993</v>
      </c>
      <c r="N1931">
        <v>17.053999999999998</v>
      </c>
    </row>
    <row r="1932" spans="1:14" x14ac:dyDescent="0.45">
      <c r="A1932">
        <v>1989</v>
      </c>
      <c r="B1932" t="s">
        <v>240</v>
      </c>
      <c r="C1932">
        <v>0</v>
      </c>
      <c r="D1932">
        <v>0</v>
      </c>
      <c r="E1932">
        <v>0</v>
      </c>
      <c r="F1932">
        <v>1</v>
      </c>
      <c r="G1932">
        <v>0</v>
      </c>
      <c r="H1932">
        <v>0</v>
      </c>
      <c r="I1932">
        <v>0</v>
      </c>
      <c r="J1932">
        <v>6976.8400660488096</v>
      </c>
      <c r="K1932">
        <v>4576.3007633695597</v>
      </c>
      <c r="L1932">
        <v>51.277000000000001</v>
      </c>
      <c r="M1932">
        <v>69.486000000000004</v>
      </c>
      <c r="N1932">
        <v>38.396999999999998</v>
      </c>
    </row>
    <row r="1933" spans="1:14" x14ac:dyDescent="0.45">
      <c r="A1933">
        <v>1989</v>
      </c>
      <c r="B1933" t="s">
        <v>241</v>
      </c>
      <c r="C1933">
        <v>0</v>
      </c>
      <c r="D1933">
        <v>1</v>
      </c>
      <c r="E1933">
        <v>0</v>
      </c>
      <c r="F1933">
        <v>0</v>
      </c>
      <c r="G1933">
        <v>0</v>
      </c>
      <c r="H1933">
        <v>1</v>
      </c>
      <c r="I1933">
        <v>1</v>
      </c>
      <c r="L1933">
        <v>27.283999999999999</v>
      </c>
      <c r="M1933">
        <v>69.915999999999997</v>
      </c>
      <c r="N1933">
        <v>19.835000000000001</v>
      </c>
    </row>
    <row r="1934" spans="1:14" x14ac:dyDescent="0.45">
      <c r="A1934">
        <v>1989</v>
      </c>
      <c r="B1934" t="s">
        <v>242</v>
      </c>
      <c r="C1934">
        <v>0</v>
      </c>
      <c r="D1934">
        <v>0</v>
      </c>
      <c r="E1934">
        <v>1</v>
      </c>
      <c r="F1934">
        <v>0</v>
      </c>
      <c r="G1934">
        <v>0</v>
      </c>
      <c r="H1934">
        <v>0</v>
      </c>
      <c r="I1934">
        <v>0</v>
      </c>
      <c r="J1934">
        <v>1681.6900344266601</v>
      </c>
      <c r="K1934">
        <v>1412.6804701450001</v>
      </c>
      <c r="L1934">
        <v>79.397999999999996</v>
      </c>
      <c r="M1934">
        <v>46.433999999999997</v>
      </c>
      <c r="N1934">
        <v>215.31899999999999</v>
      </c>
    </row>
    <row r="1935" spans="1:14" x14ac:dyDescent="0.45">
      <c r="A1935">
        <v>1989</v>
      </c>
      <c r="B1935" t="s">
        <v>243</v>
      </c>
      <c r="C1935">
        <v>0</v>
      </c>
      <c r="D1935">
        <v>0</v>
      </c>
      <c r="E1935">
        <v>1</v>
      </c>
      <c r="F1935">
        <v>0</v>
      </c>
      <c r="G1935">
        <v>0</v>
      </c>
      <c r="H1935">
        <v>0</v>
      </c>
      <c r="I1935">
        <v>0</v>
      </c>
      <c r="J1935">
        <v>2148.2264376984299</v>
      </c>
      <c r="K1935">
        <v>1785.2572504559701</v>
      </c>
      <c r="L1935">
        <v>71.823999999999998</v>
      </c>
      <c r="M1935">
        <v>54.731999999999999</v>
      </c>
      <c r="N1935">
        <v>150.20400000000001</v>
      </c>
    </row>
    <row r="1936" spans="1:14" x14ac:dyDescent="0.45">
      <c r="A1936">
        <v>1989</v>
      </c>
      <c r="B1936" t="s">
        <v>244</v>
      </c>
      <c r="C1936">
        <v>0</v>
      </c>
      <c r="D1936">
        <v>0</v>
      </c>
      <c r="E1936">
        <v>0</v>
      </c>
      <c r="F1936">
        <v>1</v>
      </c>
      <c r="G1936">
        <v>0</v>
      </c>
      <c r="H1936">
        <v>0</v>
      </c>
      <c r="I1936">
        <v>0</v>
      </c>
      <c r="J1936">
        <v>7889.0007248386701</v>
      </c>
      <c r="K1936">
        <v>6899.1447282639001</v>
      </c>
      <c r="L1936">
        <v>70.832999999999998</v>
      </c>
      <c r="M1936">
        <v>68.557000000000002</v>
      </c>
      <c r="N1936">
        <v>39.259</v>
      </c>
    </row>
    <row r="1937" spans="1:14" x14ac:dyDescent="0.45">
      <c r="A1937">
        <v>1989</v>
      </c>
      <c r="B1937" t="s">
        <v>245</v>
      </c>
      <c r="C1937">
        <v>1</v>
      </c>
      <c r="D1937">
        <v>0</v>
      </c>
      <c r="E1937">
        <v>0</v>
      </c>
      <c r="F1937">
        <v>1</v>
      </c>
      <c r="G1937">
        <v>0</v>
      </c>
      <c r="H1937">
        <v>0</v>
      </c>
      <c r="I1937">
        <v>0</v>
      </c>
      <c r="J1937">
        <v>4596.0064717824298</v>
      </c>
      <c r="K1937">
        <v>4185.7448848679696</v>
      </c>
      <c r="L1937">
        <v>67.769000000000005</v>
      </c>
      <c r="M1937">
        <v>61.735999999999997</v>
      </c>
      <c r="N1937">
        <v>107.49</v>
      </c>
    </row>
    <row r="1938" spans="1:14" x14ac:dyDescent="0.45">
      <c r="A1938">
        <v>1989</v>
      </c>
      <c r="B1938" t="s">
        <v>246</v>
      </c>
      <c r="C1938">
        <v>1</v>
      </c>
      <c r="D1938">
        <v>0</v>
      </c>
      <c r="E1938">
        <v>0</v>
      </c>
      <c r="F1938">
        <v>1</v>
      </c>
      <c r="G1938">
        <v>0</v>
      </c>
      <c r="H1938">
        <v>0</v>
      </c>
      <c r="I1938">
        <v>0</v>
      </c>
      <c r="J1938">
        <v>6010.8710671366998</v>
      </c>
      <c r="K1938">
        <v>5657.5455894558199</v>
      </c>
      <c r="L1938">
        <v>54.84</v>
      </c>
      <c r="M1938">
        <v>63.781999999999996</v>
      </c>
      <c r="N1938">
        <v>82.201999999999998</v>
      </c>
    </row>
    <row r="1939" spans="1:14" x14ac:dyDescent="0.45">
      <c r="A1939">
        <v>1989</v>
      </c>
      <c r="B1939" t="s">
        <v>247</v>
      </c>
      <c r="C1939">
        <v>0</v>
      </c>
      <c r="D1939">
        <v>0</v>
      </c>
      <c r="E1939">
        <v>0</v>
      </c>
      <c r="F1939">
        <v>0</v>
      </c>
      <c r="G1939">
        <v>0</v>
      </c>
      <c r="H1939">
        <v>0</v>
      </c>
      <c r="I1939">
        <v>0</v>
      </c>
      <c r="L1939">
        <v>79.63</v>
      </c>
      <c r="M1939">
        <v>44.795000000000002</v>
      </c>
      <c r="N1939">
        <v>223.81399999999999</v>
      </c>
    </row>
    <row r="1940" spans="1:14" x14ac:dyDescent="0.45">
      <c r="A1940">
        <v>1989</v>
      </c>
      <c r="B1940" t="s">
        <v>248</v>
      </c>
      <c r="C1940">
        <v>0</v>
      </c>
      <c r="D1940">
        <v>0</v>
      </c>
      <c r="E1940">
        <v>0</v>
      </c>
      <c r="F1940">
        <v>1</v>
      </c>
      <c r="G1940">
        <v>0</v>
      </c>
      <c r="H1940">
        <v>0</v>
      </c>
      <c r="I1940">
        <v>0</v>
      </c>
      <c r="J1940">
        <v>4545.1970452349397</v>
      </c>
      <c r="K1940">
        <v>4114.45449581087</v>
      </c>
      <c r="L1940">
        <v>77.328000000000003</v>
      </c>
      <c r="M1940">
        <v>67.444999999999993</v>
      </c>
      <c r="N1940">
        <v>22.891999999999999</v>
      </c>
    </row>
    <row r="1941" spans="1:14" x14ac:dyDescent="0.45">
      <c r="A1941">
        <v>1989</v>
      </c>
      <c r="B1941" t="s">
        <v>249</v>
      </c>
      <c r="C1941">
        <v>0</v>
      </c>
      <c r="D1941">
        <v>1</v>
      </c>
      <c r="E1941">
        <v>0</v>
      </c>
      <c r="F1941">
        <v>0</v>
      </c>
      <c r="G1941">
        <v>1</v>
      </c>
      <c r="H1941">
        <v>0</v>
      </c>
      <c r="I1941">
        <v>0</v>
      </c>
      <c r="J1941">
        <v>12096.560558258199</v>
      </c>
      <c r="K1941">
        <v>10095.7050697045</v>
      </c>
      <c r="L1941">
        <v>46.058999999999997</v>
      </c>
      <c r="M1941">
        <v>67.518000000000001</v>
      </c>
      <c r="N1941">
        <v>30.805</v>
      </c>
    </row>
    <row r="1942" spans="1:14" x14ac:dyDescent="0.45">
      <c r="A1942">
        <v>1989</v>
      </c>
      <c r="B1942" t="s">
        <v>250</v>
      </c>
      <c r="C1942">
        <v>0</v>
      </c>
      <c r="D1942">
        <v>0</v>
      </c>
      <c r="E1942">
        <v>0</v>
      </c>
      <c r="F1942">
        <v>1</v>
      </c>
      <c r="G1942">
        <v>0</v>
      </c>
      <c r="H1942">
        <v>0</v>
      </c>
      <c r="I1942">
        <v>0</v>
      </c>
      <c r="J1942">
        <v>6768.8541831880602</v>
      </c>
      <c r="K1942">
        <v>5898.9433513464401</v>
      </c>
      <c r="L1942">
        <v>42.869</v>
      </c>
      <c r="M1942">
        <v>68.825000000000003</v>
      </c>
      <c r="N1942">
        <v>57.722000000000001</v>
      </c>
    </row>
    <row r="1943" spans="1:14" x14ac:dyDescent="0.45">
      <c r="A1943">
        <v>1989</v>
      </c>
      <c r="B1943" t="s">
        <v>251</v>
      </c>
      <c r="C1943">
        <v>1</v>
      </c>
      <c r="D1943">
        <v>0</v>
      </c>
      <c r="E1943">
        <v>0</v>
      </c>
      <c r="F1943">
        <v>1</v>
      </c>
      <c r="G1943">
        <v>0</v>
      </c>
      <c r="H1943">
        <v>0</v>
      </c>
      <c r="I1943">
        <v>0</v>
      </c>
      <c r="J1943">
        <v>12212.5340620235</v>
      </c>
      <c r="K1943">
        <v>12245.2045507446</v>
      </c>
      <c r="L1943">
        <v>42.100999999999999</v>
      </c>
      <c r="M1943">
        <v>67.364999999999995</v>
      </c>
      <c r="N1943">
        <v>78.281999999999996</v>
      </c>
    </row>
    <row r="1944" spans="1:14" x14ac:dyDescent="0.45">
      <c r="A1944">
        <v>1989</v>
      </c>
      <c r="B1944" t="s">
        <v>252</v>
      </c>
      <c r="C1944">
        <v>0</v>
      </c>
      <c r="D1944">
        <v>0</v>
      </c>
      <c r="E1944">
        <v>0</v>
      </c>
      <c r="F1944">
        <v>1</v>
      </c>
      <c r="G1944">
        <v>0</v>
      </c>
      <c r="H1944">
        <v>0</v>
      </c>
      <c r="I1944">
        <v>0</v>
      </c>
      <c r="J1944">
        <v>2627.1851238733898</v>
      </c>
      <c r="K1944">
        <v>2376.69462368223</v>
      </c>
      <c r="L1944">
        <v>60.654000000000003</v>
      </c>
      <c r="M1944">
        <v>61.506</v>
      </c>
      <c r="N1944">
        <v>54.058</v>
      </c>
    </row>
    <row r="1945" spans="1:14" x14ac:dyDescent="0.45">
      <c r="A1945">
        <v>1989</v>
      </c>
      <c r="B1945" t="s">
        <v>253</v>
      </c>
      <c r="C1945">
        <v>0</v>
      </c>
      <c r="D1945">
        <v>0</v>
      </c>
      <c r="E1945">
        <v>0</v>
      </c>
      <c r="F1945">
        <v>0</v>
      </c>
      <c r="G1945">
        <v>0</v>
      </c>
      <c r="H1945">
        <v>1</v>
      </c>
      <c r="I1945">
        <v>1</v>
      </c>
      <c r="L1945">
        <v>74.299000000000007</v>
      </c>
      <c r="M1945">
        <v>73.671999999999997</v>
      </c>
      <c r="N1945">
        <v>8.9629999999999992</v>
      </c>
    </row>
    <row r="1946" spans="1:14" x14ac:dyDescent="0.45">
      <c r="A1946">
        <v>1989</v>
      </c>
      <c r="B1946" t="s">
        <v>254</v>
      </c>
      <c r="C1946">
        <v>0</v>
      </c>
      <c r="D1946">
        <v>0</v>
      </c>
      <c r="E1946">
        <v>1</v>
      </c>
      <c r="F1946">
        <v>0</v>
      </c>
      <c r="G1946">
        <v>0</v>
      </c>
      <c r="H1946">
        <v>0</v>
      </c>
      <c r="I1946">
        <v>0</v>
      </c>
      <c r="J1946">
        <v>1782.62596218004</v>
      </c>
      <c r="K1946">
        <v>1327.8187834841499</v>
      </c>
      <c r="L1946">
        <v>81.435000000000002</v>
      </c>
      <c r="M1946">
        <v>52.09</v>
      </c>
      <c r="N1946">
        <v>169.113</v>
      </c>
    </row>
    <row r="1947" spans="1:14" x14ac:dyDescent="0.45">
      <c r="A1947">
        <v>1989</v>
      </c>
      <c r="B1947" t="s">
        <v>255</v>
      </c>
      <c r="C1947">
        <v>0</v>
      </c>
      <c r="D1947">
        <v>0</v>
      </c>
      <c r="E1947">
        <v>1</v>
      </c>
      <c r="F1947">
        <v>0</v>
      </c>
      <c r="G1947">
        <v>0</v>
      </c>
      <c r="H1947">
        <v>0</v>
      </c>
      <c r="I1947">
        <v>0</v>
      </c>
      <c r="J1947">
        <v>1048.1720992390599</v>
      </c>
      <c r="K1947">
        <v>889.16916139458306</v>
      </c>
      <c r="L1947">
        <v>89.334999999999994</v>
      </c>
      <c r="M1947">
        <v>47.488</v>
      </c>
      <c r="N1947">
        <v>184.83099999999999</v>
      </c>
    </row>
    <row r="1948" spans="1:14" x14ac:dyDescent="0.45">
      <c r="A1948">
        <v>1989</v>
      </c>
      <c r="B1948" t="s">
        <v>256</v>
      </c>
      <c r="C1948">
        <v>1</v>
      </c>
      <c r="D1948">
        <v>0</v>
      </c>
      <c r="E1948">
        <v>0</v>
      </c>
      <c r="F1948">
        <v>1</v>
      </c>
      <c r="G1948">
        <v>0</v>
      </c>
      <c r="H1948">
        <v>0</v>
      </c>
      <c r="I1948">
        <v>0</v>
      </c>
      <c r="J1948">
        <v>22072.504758269701</v>
      </c>
      <c r="K1948">
        <v>15611.5632967723</v>
      </c>
      <c r="L1948">
        <v>33.281999999999996</v>
      </c>
      <c r="M1948">
        <v>70.838999999999999</v>
      </c>
      <c r="N1948">
        <v>17.298999999999999</v>
      </c>
    </row>
    <row r="1949" spans="1:14" x14ac:dyDescent="0.45">
      <c r="A1949">
        <v>1989</v>
      </c>
      <c r="B1949" t="s">
        <v>257</v>
      </c>
      <c r="C1949">
        <v>0</v>
      </c>
      <c r="D1949">
        <v>1</v>
      </c>
      <c r="E1949">
        <v>0</v>
      </c>
      <c r="F1949">
        <v>0</v>
      </c>
      <c r="G1949">
        <v>1</v>
      </c>
      <c r="H1949">
        <v>0</v>
      </c>
      <c r="I1949">
        <v>0</v>
      </c>
      <c r="J1949">
        <v>13990.251860103201</v>
      </c>
      <c r="K1949">
        <v>11096.6281882042</v>
      </c>
      <c r="L1949">
        <v>11.367000000000001</v>
      </c>
      <c r="M1949">
        <v>72.628</v>
      </c>
      <c r="N1949">
        <v>24.091999999999999</v>
      </c>
    </row>
    <row r="1950" spans="1:14" x14ac:dyDescent="0.45">
      <c r="A1950">
        <v>1989</v>
      </c>
      <c r="B1950" t="s">
        <v>258</v>
      </c>
      <c r="C1950">
        <v>0</v>
      </c>
      <c r="D1950">
        <v>0</v>
      </c>
      <c r="E1950">
        <v>0</v>
      </c>
      <c r="F1950">
        <v>0</v>
      </c>
      <c r="G1950">
        <v>0</v>
      </c>
      <c r="H1950">
        <v>1</v>
      </c>
      <c r="I1950">
        <v>1</v>
      </c>
      <c r="J1950">
        <v>43212.753271046102</v>
      </c>
      <c r="K1950">
        <v>39223.118855911198</v>
      </c>
      <c r="L1950">
        <v>24.911000000000001</v>
      </c>
      <c r="M1950">
        <v>75.108999999999995</v>
      </c>
      <c r="N1950">
        <v>12.259</v>
      </c>
    </row>
    <row r="1951" spans="1:14" x14ac:dyDescent="0.45">
      <c r="A1951">
        <v>1989</v>
      </c>
      <c r="B1951" t="s">
        <v>259</v>
      </c>
      <c r="C1951">
        <v>1</v>
      </c>
      <c r="D1951">
        <v>0</v>
      </c>
      <c r="E1951">
        <v>0</v>
      </c>
      <c r="F1951">
        <v>1</v>
      </c>
      <c r="G1951">
        <v>0</v>
      </c>
      <c r="H1951">
        <v>0</v>
      </c>
      <c r="I1951">
        <v>0</v>
      </c>
      <c r="J1951">
        <v>4196.7208411264401</v>
      </c>
      <c r="K1951">
        <v>4077.26958378887</v>
      </c>
      <c r="L1951">
        <v>59.103000000000002</v>
      </c>
      <c r="M1951">
        <v>65.843999999999994</v>
      </c>
      <c r="N1951">
        <v>72.819999999999993</v>
      </c>
    </row>
    <row r="1952" spans="1:14" x14ac:dyDescent="0.45">
      <c r="A1952">
        <v>1989</v>
      </c>
      <c r="B1952" t="s">
        <v>260</v>
      </c>
      <c r="C1952">
        <v>0</v>
      </c>
      <c r="D1952">
        <v>1</v>
      </c>
      <c r="E1952">
        <v>0</v>
      </c>
      <c r="F1952">
        <v>1</v>
      </c>
      <c r="G1952">
        <v>0</v>
      </c>
      <c r="H1952">
        <v>0</v>
      </c>
      <c r="I1952">
        <v>0</v>
      </c>
      <c r="J1952">
        <v>7404.73075764842</v>
      </c>
      <c r="K1952">
        <v>6471.44721893116</v>
      </c>
      <c r="L1952">
        <v>59.156999999999996</v>
      </c>
      <c r="M1952">
        <v>70.647000000000006</v>
      </c>
      <c r="N1952">
        <v>25.643000000000001</v>
      </c>
    </row>
    <row r="1953" spans="1:14" x14ac:dyDescent="0.45">
      <c r="A1953">
        <v>1989</v>
      </c>
      <c r="B1953" t="s">
        <v>261</v>
      </c>
      <c r="C1953">
        <v>0</v>
      </c>
      <c r="D1953">
        <v>1</v>
      </c>
      <c r="E1953">
        <v>0</v>
      </c>
      <c r="F1953">
        <v>0</v>
      </c>
      <c r="G1953">
        <v>1</v>
      </c>
      <c r="H1953">
        <v>0</v>
      </c>
      <c r="I1953">
        <v>0</v>
      </c>
      <c r="L1953">
        <v>16.167000000000002</v>
      </c>
      <c r="M1953">
        <v>70.805000000000007</v>
      </c>
      <c r="N1953">
        <v>31.219000000000001</v>
      </c>
    </row>
    <row r="1954" spans="1:14" x14ac:dyDescent="0.45">
      <c r="A1954">
        <v>1989</v>
      </c>
      <c r="B1954" t="s">
        <v>262</v>
      </c>
      <c r="C1954">
        <v>0</v>
      </c>
      <c r="D1954">
        <v>1</v>
      </c>
      <c r="E1954">
        <v>0</v>
      </c>
      <c r="F1954">
        <v>0</v>
      </c>
      <c r="G1954">
        <v>0</v>
      </c>
      <c r="H1954">
        <v>1</v>
      </c>
      <c r="I1954">
        <v>1</v>
      </c>
      <c r="L1954">
        <v>63.877000000000002</v>
      </c>
      <c r="M1954">
        <v>72.037999999999997</v>
      </c>
      <c r="N1954">
        <v>24.08</v>
      </c>
    </row>
    <row r="1955" spans="1:14" x14ac:dyDescent="0.45">
      <c r="A1955">
        <v>1989</v>
      </c>
      <c r="B1955" t="s">
        <v>263</v>
      </c>
      <c r="C1955">
        <v>0</v>
      </c>
      <c r="D1955">
        <v>1</v>
      </c>
      <c r="E1955">
        <v>0</v>
      </c>
      <c r="F1955">
        <v>0</v>
      </c>
      <c r="G1955">
        <v>0</v>
      </c>
      <c r="H1955">
        <v>1</v>
      </c>
      <c r="I1955">
        <v>1</v>
      </c>
      <c r="L1955">
        <v>12.941000000000001</v>
      </c>
      <c r="M1955">
        <v>70.53</v>
      </c>
      <c r="N1955">
        <v>19.084</v>
      </c>
    </row>
    <row r="1956" spans="1:14" x14ac:dyDescent="0.45">
      <c r="A1956">
        <v>1989</v>
      </c>
      <c r="B1956" t="s">
        <v>264</v>
      </c>
      <c r="C1956">
        <v>0</v>
      </c>
      <c r="D1956">
        <v>0</v>
      </c>
      <c r="E1956">
        <v>0</v>
      </c>
      <c r="F1956">
        <v>0</v>
      </c>
      <c r="G1956">
        <v>0</v>
      </c>
      <c r="H1956">
        <v>0</v>
      </c>
      <c r="I1956">
        <v>0</v>
      </c>
      <c r="J1956">
        <v>2336.8992466725199</v>
      </c>
      <c r="K1956">
        <v>2082.3709368089799</v>
      </c>
      <c r="L1956">
        <v>80.108999999999995</v>
      </c>
      <c r="M1956">
        <v>68.805000000000007</v>
      </c>
      <c r="N1956">
        <v>53.887</v>
      </c>
    </row>
    <row r="1957" spans="1:14" x14ac:dyDescent="0.45">
      <c r="A1957">
        <v>1989</v>
      </c>
      <c r="B1957" t="s">
        <v>265</v>
      </c>
      <c r="C1957">
        <v>0</v>
      </c>
      <c r="D1957">
        <v>0</v>
      </c>
      <c r="E1957">
        <v>0</v>
      </c>
      <c r="F1957">
        <v>1</v>
      </c>
      <c r="G1957">
        <v>0</v>
      </c>
      <c r="H1957">
        <v>0</v>
      </c>
      <c r="I1957">
        <v>0</v>
      </c>
      <c r="J1957">
        <v>3133.8292581058699</v>
      </c>
      <c r="K1957">
        <v>2834.8661647414401</v>
      </c>
      <c r="L1957">
        <v>81.564999999999998</v>
      </c>
      <c r="M1957">
        <v>66.022999999999996</v>
      </c>
      <c r="N1957">
        <v>39.584000000000003</v>
      </c>
    </row>
    <row r="1958" spans="1:14" x14ac:dyDescent="0.45">
      <c r="A1958">
        <v>1989</v>
      </c>
      <c r="B1958" t="s">
        <v>266</v>
      </c>
      <c r="C1958">
        <v>0</v>
      </c>
      <c r="D1958">
        <v>0</v>
      </c>
      <c r="E1958">
        <v>0</v>
      </c>
      <c r="F1958">
        <v>1</v>
      </c>
      <c r="G1958">
        <v>0</v>
      </c>
      <c r="H1958">
        <v>0</v>
      </c>
      <c r="I1958">
        <v>0</v>
      </c>
      <c r="J1958">
        <v>4018.5862115258401</v>
      </c>
      <c r="K1958">
        <v>3635.2184956102701</v>
      </c>
      <c r="L1958">
        <v>78.8</v>
      </c>
      <c r="M1958">
        <v>67.606999999999999</v>
      </c>
      <c r="N1958">
        <v>30.795999999999999</v>
      </c>
    </row>
    <row r="1959" spans="1:14" x14ac:dyDescent="0.45">
      <c r="A1959">
        <v>1989</v>
      </c>
      <c r="B1959" t="s">
        <v>267</v>
      </c>
      <c r="C1959">
        <v>1</v>
      </c>
      <c r="D1959">
        <v>0</v>
      </c>
      <c r="E1959">
        <v>0</v>
      </c>
      <c r="F1959">
        <v>0</v>
      </c>
      <c r="G1959">
        <v>1</v>
      </c>
      <c r="H1959">
        <v>0</v>
      </c>
      <c r="I1959">
        <v>0</v>
      </c>
      <c r="L1959">
        <v>50.018000000000001</v>
      </c>
      <c r="M1959">
        <v>65.233999999999995</v>
      </c>
      <c r="N1959">
        <v>111.38500000000001</v>
      </c>
    </row>
    <row r="1960" spans="1:14" x14ac:dyDescent="0.45">
      <c r="A1960">
        <v>1989</v>
      </c>
      <c r="B1960" t="s">
        <v>268</v>
      </c>
      <c r="C1960">
        <v>0</v>
      </c>
      <c r="D1960">
        <v>0</v>
      </c>
      <c r="E1960">
        <v>0</v>
      </c>
      <c r="F1960">
        <v>1</v>
      </c>
      <c r="G1960">
        <v>0</v>
      </c>
      <c r="H1960">
        <v>0</v>
      </c>
      <c r="I1960">
        <v>0</v>
      </c>
      <c r="L1960">
        <v>79.614999999999995</v>
      </c>
      <c r="M1960">
        <v>58.024999999999999</v>
      </c>
      <c r="N1960">
        <v>131.559</v>
      </c>
    </row>
    <row r="1961" spans="1:14" x14ac:dyDescent="0.45">
      <c r="A1961">
        <v>1989</v>
      </c>
      <c r="B1961" t="s">
        <v>269</v>
      </c>
      <c r="C1961">
        <v>0</v>
      </c>
      <c r="D1961">
        <v>0</v>
      </c>
      <c r="E1961">
        <v>1</v>
      </c>
      <c r="F1961">
        <v>0</v>
      </c>
      <c r="G1961">
        <v>1</v>
      </c>
      <c r="H1961">
        <v>0</v>
      </c>
      <c r="I1961">
        <v>0</v>
      </c>
      <c r="J1961">
        <v>10886.5803192853</v>
      </c>
      <c r="K1961">
        <v>10250.163170563599</v>
      </c>
      <c r="L1961">
        <v>48.494999999999997</v>
      </c>
      <c r="M1961">
        <v>63.017000000000003</v>
      </c>
      <c r="N1961">
        <v>64.772000000000006</v>
      </c>
    </row>
    <row r="1962" spans="1:14" x14ac:dyDescent="0.45">
      <c r="A1962">
        <v>1989</v>
      </c>
      <c r="B1962" t="s">
        <v>270</v>
      </c>
      <c r="C1962">
        <v>0</v>
      </c>
      <c r="D1962">
        <v>0</v>
      </c>
      <c r="E1962">
        <v>1</v>
      </c>
      <c r="F1962">
        <v>0</v>
      </c>
      <c r="G1962">
        <v>0</v>
      </c>
      <c r="H1962">
        <v>0</v>
      </c>
      <c r="I1962">
        <v>0</v>
      </c>
      <c r="J1962">
        <v>2515.7498128775901</v>
      </c>
      <c r="K1962">
        <v>2361.9299937563401</v>
      </c>
      <c r="L1962">
        <v>60.543999999999997</v>
      </c>
      <c r="M1962">
        <v>48.881999999999998</v>
      </c>
      <c r="N1962">
        <v>179.92599999999999</v>
      </c>
    </row>
    <row r="1963" spans="1:14" x14ac:dyDescent="0.45">
      <c r="A1963">
        <v>1989</v>
      </c>
      <c r="B1963" t="s">
        <v>271</v>
      </c>
      <c r="C1963">
        <v>0</v>
      </c>
      <c r="D1963">
        <v>0</v>
      </c>
      <c r="E1963">
        <v>1</v>
      </c>
      <c r="F1963">
        <v>1</v>
      </c>
      <c r="G1963">
        <v>0</v>
      </c>
      <c r="H1963">
        <v>0</v>
      </c>
      <c r="I1963">
        <v>0</v>
      </c>
      <c r="J1963">
        <v>3854.75833351044</v>
      </c>
      <c r="K1963">
        <v>2566.6364353908498</v>
      </c>
      <c r="L1963">
        <v>71.75</v>
      </c>
      <c r="M1963">
        <v>59.445999999999998</v>
      </c>
      <c r="N1963">
        <v>79.995999999999995</v>
      </c>
    </row>
    <row r="1964" spans="1:14" x14ac:dyDescent="0.45">
      <c r="A1964">
        <v>1990</v>
      </c>
      <c r="B1964" t="s">
        <v>54</v>
      </c>
      <c r="C1964">
        <v>0</v>
      </c>
      <c r="D1964">
        <v>1</v>
      </c>
      <c r="E1964">
        <v>0</v>
      </c>
      <c r="F1964">
        <v>0</v>
      </c>
      <c r="G1964">
        <v>0</v>
      </c>
      <c r="H1964">
        <v>1</v>
      </c>
      <c r="I1964">
        <v>1</v>
      </c>
      <c r="J1964">
        <v>34579.220639762003</v>
      </c>
      <c r="K1964">
        <v>33652.7499167848</v>
      </c>
      <c r="L1964">
        <v>49.680999999999997</v>
      </c>
      <c r="M1964">
        <v>72.546000000000006</v>
      </c>
      <c r="N1964">
        <v>22.369</v>
      </c>
    </row>
    <row r="1965" spans="1:14" x14ac:dyDescent="0.45">
      <c r="A1965">
        <v>1990</v>
      </c>
      <c r="B1965" t="s">
        <v>55</v>
      </c>
      <c r="C1965">
        <v>0</v>
      </c>
      <c r="D1965">
        <v>0</v>
      </c>
      <c r="E1965">
        <v>0</v>
      </c>
      <c r="F1965">
        <v>0</v>
      </c>
      <c r="G1965">
        <v>0</v>
      </c>
      <c r="H1965">
        <v>0</v>
      </c>
      <c r="I1965">
        <v>0</v>
      </c>
      <c r="L1965">
        <v>78.822999999999993</v>
      </c>
      <c r="M1965">
        <v>45.118000000000002</v>
      </c>
      <c r="N1965">
        <v>199.38800000000001</v>
      </c>
    </row>
    <row r="1966" spans="1:14" x14ac:dyDescent="0.45">
      <c r="A1966">
        <v>1990</v>
      </c>
      <c r="B1966" t="s">
        <v>56</v>
      </c>
      <c r="C1966">
        <v>0</v>
      </c>
      <c r="D1966">
        <v>0</v>
      </c>
      <c r="E1966">
        <v>1</v>
      </c>
      <c r="F1966">
        <v>1</v>
      </c>
      <c r="G1966">
        <v>0</v>
      </c>
      <c r="H1966">
        <v>0</v>
      </c>
      <c r="I1966">
        <v>0</v>
      </c>
      <c r="J1966">
        <v>7391.7523536834497</v>
      </c>
      <c r="K1966">
        <v>5716.4175625790103</v>
      </c>
      <c r="L1966">
        <v>62.856000000000002</v>
      </c>
      <c r="M1966">
        <v>41.853999999999999</v>
      </c>
      <c r="N1966">
        <v>237.089</v>
      </c>
    </row>
    <row r="1967" spans="1:14" x14ac:dyDescent="0.45">
      <c r="A1967">
        <v>1990</v>
      </c>
      <c r="B1967" t="s">
        <v>57</v>
      </c>
      <c r="C1967">
        <v>1</v>
      </c>
      <c r="D1967">
        <v>0</v>
      </c>
      <c r="E1967">
        <v>0</v>
      </c>
      <c r="F1967">
        <v>1</v>
      </c>
      <c r="G1967">
        <v>0</v>
      </c>
      <c r="H1967">
        <v>0</v>
      </c>
      <c r="I1967">
        <v>0</v>
      </c>
      <c r="J1967">
        <v>5560.5381164084001</v>
      </c>
      <c r="K1967">
        <v>5037.5924844961601</v>
      </c>
      <c r="L1967">
        <v>63.572000000000003</v>
      </c>
      <c r="M1967">
        <v>72.709999999999994</v>
      </c>
      <c r="N1967">
        <v>41.371000000000002</v>
      </c>
    </row>
    <row r="1968" spans="1:14" x14ac:dyDescent="0.45">
      <c r="A1968">
        <v>1990</v>
      </c>
      <c r="B1968" t="s">
        <v>58</v>
      </c>
      <c r="C1968">
        <v>1</v>
      </c>
      <c r="D1968">
        <v>0</v>
      </c>
      <c r="E1968">
        <v>0</v>
      </c>
      <c r="F1968">
        <v>0</v>
      </c>
      <c r="G1968">
        <v>0</v>
      </c>
      <c r="H1968">
        <v>1</v>
      </c>
      <c r="I1968">
        <v>1</v>
      </c>
      <c r="J1968">
        <v>50036.300775756099</v>
      </c>
      <c r="K1968">
        <v>42001.653406400401</v>
      </c>
      <c r="L1968">
        <v>5.2880000000000003</v>
      </c>
      <c r="M1968">
        <v>78.960999999999999</v>
      </c>
      <c r="N1968">
        <v>10.599</v>
      </c>
    </row>
    <row r="1969" spans="1:14" x14ac:dyDescent="0.45">
      <c r="A1969">
        <v>1990</v>
      </c>
      <c r="B1969" t="s">
        <v>59</v>
      </c>
      <c r="C1969">
        <v>0</v>
      </c>
      <c r="D1969">
        <v>0</v>
      </c>
      <c r="E1969">
        <v>0</v>
      </c>
      <c r="F1969">
        <v>0</v>
      </c>
      <c r="G1969">
        <v>0</v>
      </c>
      <c r="H1969">
        <v>1</v>
      </c>
      <c r="I1969">
        <v>1</v>
      </c>
      <c r="J1969">
        <v>108057.04246129299</v>
      </c>
      <c r="K1969">
        <v>106756.974708532</v>
      </c>
      <c r="L1969">
        <v>20.949000000000002</v>
      </c>
      <c r="M1969">
        <v>71.073999999999998</v>
      </c>
      <c r="N1969">
        <v>16.658000000000001</v>
      </c>
    </row>
    <row r="1970" spans="1:14" x14ac:dyDescent="0.45">
      <c r="A1970">
        <v>1990</v>
      </c>
      <c r="B1970" t="s">
        <v>60</v>
      </c>
      <c r="C1970">
        <v>0</v>
      </c>
      <c r="D1970">
        <v>1</v>
      </c>
      <c r="E1970">
        <v>0</v>
      </c>
      <c r="F1970">
        <v>1</v>
      </c>
      <c r="G1970">
        <v>0</v>
      </c>
      <c r="H1970">
        <v>0</v>
      </c>
      <c r="I1970">
        <v>0</v>
      </c>
      <c r="J1970">
        <v>17007.284431719101</v>
      </c>
      <c r="K1970">
        <v>14036.2783589602</v>
      </c>
      <c r="L1970">
        <v>13.016</v>
      </c>
      <c r="M1970">
        <v>71.614999999999995</v>
      </c>
      <c r="N1970">
        <v>29.724</v>
      </c>
    </row>
    <row r="1971" spans="1:14" x14ac:dyDescent="0.45">
      <c r="A1971">
        <v>1990</v>
      </c>
      <c r="B1971" t="s">
        <v>61</v>
      </c>
      <c r="C1971">
        <v>1</v>
      </c>
      <c r="D1971">
        <v>0</v>
      </c>
      <c r="E1971">
        <v>0</v>
      </c>
      <c r="F1971">
        <v>1</v>
      </c>
      <c r="G1971">
        <v>0</v>
      </c>
      <c r="H1971">
        <v>0</v>
      </c>
      <c r="I1971">
        <v>0</v>
      </c>
      <c r="J1971">
        <v>6137.6004578676102</v>
      </c>
      <c r="K1971">
        <v>5199.1689054455801</v>
      </c>
      <c r="L1971">
        <v>32.579000000000001</v>
      </c>
      <c r="M1971">
        <v>67.733000000000004</v>
      </c>
      <c r="N1971">
        <v>48.786000000000001</v>
      </c>
    </row>
    <row r="1972" spans="1:14" x14ac:dyDescent="0.45">
      <c r="A1972">
        <v>1990</v>
      </c>
      <c r="B1972" t="s">
        <v>62</v>
      </c>
      <c r="C1972">
        <v>0</v>
      </c>
      <c r="D1972">
        <v>0</v>
      </c>
      <c r="E1972">
        <v>0</v>
      </c>
      <c r="F1972">
        <v>0</v>
      </c>
      <c r="G1972">
        <v>1</v>
      </c>
      <c r="H1972">
        <v>0</v>
      </c>
      <c r="I1972">
        <v>0</v>
      </c>
      <c r="L1972">
        <v>19.052</v>
      </c>
      <c r="M1972">
        <v>71.106999999999999</v>
      </c>
      <c r="N1972">
        <v>15.757999999999999</v>
      </c>
    </row>
    <row r="1973" spans="1:14" x14ac:dyDescent="0.45">
      <c r="A1973">
        <v>1990</v>
      </c>
      <c r="B1973" t="s">
        <v>63</v>
      </c>
      <c r="C1973">
        <v>0</v>
      </c>
      <c r="D1973">
        <v>1</v>
      </c>
      <c r="E1973">
        <v>0</v>
      </c>
      <c r="F1973">
        <v>0</v>
      </c>
      <c r="G1973">
        <v>1</v>
      </c>
      <c r="H1973">
        <v>0</v>
      </c>
      <c r="I1973">
        <v>0</v>
      </c>
      <c r="J1973">
        <v>21074.576436089999</v>
      </c>
      <c r="K1973">
        <v>16598.269617856</v>
      </c>
      <c r="L1973">
        <v>64.573999999999998</v>
      </c>
      <c r="M1973">
        <v>73.602000000000004</v>
      </c>
      <c r="N1973">
        <v>13.582000000000001</v>
      </c>
    </row>
    <row r="1974" spans="1:14" x14ac:dyDescent="0.45">
      <c r="A1974">
        <v>1990</v>
      </c>
      <c r="B1974" t="s">
        <v>64</v>
      </c>
      <c r="C1974">
        <v>0</v>
      </c>
      <c r="D1974">
        <v>0</v>
      </c>
      <c r="E1974">
        <v>0</v>
      </c>
      <c r="F1974">
        <v>0</v>
      </c>
      <c r="G1974">
        <v>0</v>
      </c>
      <c r="H1974">
        <v>1</v>
      </c>
      <c r="I1974">
        <v>1</v>
      </c>
      <c r="J1974">
        <v>36205.274793216297</v>
      </c>
      <c r="K1974">
        <v>31359.256362657499</v>
      </c>
      <c r="L1974">
        <v>14.567</v>
      </c>
      <c r="M1974">
        <v>77.040999999999997</v>
      </c>
      <c r="N1974">
        <v>9.4939999999999998</v>
      </c>
    </row>
    <row r="1975" spans="1:14" x14ac:dyDescent="0.45">
      <c r="A1975">
        <v>1990</v>
      </c>
      <c r="B1975" t="s">
        <v>65</v>
      </c>
      <c r="C1975">
        <v>1</v>
      </c>
      <c r="D1975">
        <v>0</v>
      </c>
      <c r="E1975">
        <v>0</v>
      </c>
      <c r="F1975">
        <v>0</v>
      </c>
      <c r="G1975">
        <v>0</v>
      </c>
      <c r="H1975">
        <v>1</v>
      </c>
      <c r="I1975">
        <v>1</v>
      </c>
      <c r="J1975">
        <v>43310.913985897198</v>
      </c>
      <c r="K1975">
        <v>36907.635041514099</v>
      </c>
      <c r="L1975">
        <v>37.04</v>
      </c>
      <c r="M1975">
        <v>75.739000000000004</v>
      </c>
      <c r="N1975">
        <v>9.5980000000000008</v>
      </c>
    </row>
    <row r="1976" spans="1:14" x14ac:dyDescent="0.45">
      <c r="A1976">
        <v>1990</v>
      </c>
      <c r="B1976" t="s">
        <v>66</v>
      </c>
      <c r="C1976">
        <v>1</v>
      </c>
      <c r="D1976">
        <v>0</v>
      </c>
      <c r="E1976">
        <v>0</v>
      </c>
      <c r="F1976">
        <v>1</v>
      </c>
      <c r="G1976">
        <v>0</v>
      </c>
      <c r="H1976">
        <v>0</v>
      </c>
      <c r="I1976">
        <v>0</v>
      </c>
      <c r="J1976">
        <v>10776.067700076501</v>
      </c>
      <c r="K1976">
        <v>7847.2656399052403</v>
      </c>
      <c r="L1976">
        <v>46.250999999999998</v>
      </c>
      <c r="M1976">
        <v>62.75</v>
      </c>
      <c r="N1976">
        <v>97.03</v>
      </c>
    </row>
    <row r="1977" spans="1:14" x14ac:dyDescent="0.45">
      <c r="A1977">
        <v>1990</v>
      </c>
      <c r="B1977" t="s">
        <v>67</v>
      </c>
      <c r="C1977">
        <v>0</v>
      </c>
      <c r="D1977">
        <v>0</v>
      </c>
      <c r="E1977">
        <v>1</v>
      </c>
      <c r="F1977">
        <v>0</v>
      </c>
      <c r="G1977">
        <v>0</v>
      </c>
      <c r="H1977">
        <v>0</v>
      </c>
      <c r="I1977">
        <v>0</v>
      </c>
      <c r="J1977">
        <v>1396.07762688916</v>
      </c>
      <c r="K1977">
        <v>1206.3552051126501</v>
      </c>
      <c r="L1977">
        <v>93.728999999999999</v>
      </c>
      <c r="M1977">
        <v>45.183999999999997</v>
      </c>
      <c r="N1977">
        <v>171.381</v>
      </c>
    </row>
    <row r="1978" spans="1:14" x14ac:dyDescent="0.45">
      <c r="A1978">
        <v>1990</v>
      </c>
      <c r="B1978" t="s">
        <v>68</v>
      </c>
      <c r="C1978">
        <v>1</v>
      </c>
      <c r="D1978">
        <v>0</v>
      </c>
      <c r="E1978">
        <v>0</v>
      </c>
      <c r="F1978">
        <v>0</v>
      </c>
      <c r="G1978">
        <v>0</v>
      </c>
      <c r="H1978">
        <v>1</v>
      </c>
      <c r="I1978">
        <v>1</v>
      </c>
      <c r="J1978">
        <v>41658.429268333603</v>
      </c>
      <c r="K1978">
        <v>35056.2608620584</v>
      </c>
      <c r="L1978">
        <v>3.6230000000000002</v>
      </c>
      <c r="M1978">
        <v>76.058999999999997</v>
      </c>
      <c r="N1978">
        <v>9.7040000000000006</v>
      </c>
    </row>
    <row r="1979" spans="1:14" x14ac:dyDescent="0.45">
      <c r="A1979">
        <v>1990</v>
      </c>
      <c r="B1979" t="s">
        <v>69</v>
      </c>
      <c r="C1979">
        <v>0</v>
      </c>
      <c r="D1979">
        <v>0</v>
      </c>
      <c r="E1979">
        <v>1</v>
      </c>
      <c r="F1979">
        <v>0</v>
      </c>
      <c r="G1979">
        <v>0</v>
      </c>
      <c r="H1979">
        <v>0</v>
      </c>
      <c r="I1979">
        <v>0</v>
      </c>
      <c r="J1979">
        <v>2207.0679642835698</v>
      </c>
      <c r="K1979">
        <v>2093.9598903984702</v>
      </c>
      <c r="L1979">
        <v>65.515000000000001</v>
      </c>
      <c r="M1979">
        <v>53.02</v>
      </c>
      <c r="N1979">
        <v>172.23</v>
      </c>
    </row>
    <row r="1980" spans="1:14" x14ac:dyDescent="0.45">
      <c r="A1980">
        <v>1990</v>
      </c>
      <c r="B1980" t="s">
        <v>70</v>
      </c>
      <c r="C1980">
        <v>0</v>
      </c>
      <c r="D1980">
        <v>0</v>
      </c>
      <c r="E1980">
        <v>1</v>
      </c>
      <c r="F1980">
        <v>0</v>
      </c>
      <c r="G1980">
        <v>0</v>
      </c>
      <c r="H1980">
        <v>0</v>
      </c>
      <c r="I1980">
        <v>0</v>
      </c>
      <c r="J1980">
        <v>1107.8559045496499</v>
      </c>
      <c r="K1980">
        <v>1013.6184539242799</v>
      </c>
      <c r="L1980">
        <v>86.185000000000002</v>
      </c>
      <c r="M1980">
        <v>49.314999999999998</v>
      </c>
      <c r="N1980">
        <v>200.63</v>
      </c>
    </row>
    <row r="1981" spans="1:14" x14ac:dyDescent="0.45">
      <c r="A1981">
        <v>1990</v>
      </c>
      <c r="B1981" t="s">
        <v>71</v>
      </c>
      <c r="C1981">
        <v>0</v>
      </c>
      <c r="D1981">
        <v>0</v>
      </c>
      <c r="E1981">
        <v>0</v>
      </c>
      <c r="F1981">
        <v>0</v>
      </c>
      <c r="G1981">
        <v>0</v>
      </c>
      <c r="H1981">
        <v>0</v>
      </c>
      <c r="I1981">
        <v>0</v>
      </c>
      <c r="J1981">
        <v>2069.78230100672</v>
      </c>
      <c r="K1981">
        <v>1682.7217612910999</v>
      </c>
      <c r="L1981">
        <v>80.188999999999993</v>
      </c>
      <c r="M1981">
        <v>55.822000000000003</v>
      </c>
      <c r="N1981">
        <v>145.31</v>
      </c>
    </row>
    <row r="1982" spans="1:14" x14ac:dyDescent="0.45">
      <c r="A1982">
        <v>1990</v>
      </c>
      <c r="B1982" t="s">
        <v>72</v>
      </c>
      <c r="C1982">
        <v>1</v>
      </c>
      <c r="D1982">
        <v>0</v>
      </c>
      <c r="E1982">
        <v>0</v>
      </c>
      <c r="F1982">
        <v>1</v>
      </c>
      <c r="G1982">
        <v>0</v>
      </c>
      <c r="H1982">
        <v>0</v>
      </c>
      <c r="I1982">
        <v>0</v>
      </c>
      <c r="J1982">
        <v>14954.2163309402</v>
      </c>
      <c r="K1982">
        <v>12409.000826619</v>
      </c>
      <c r="L1982">
        <v>33.622999999999998</v>
      </c>
      <c r="M1982">
        <v>71.320999999999998</v>
      </c>
      <c r="N1982">
        <v>18.012</v>
      </c>
    </row>
    <row r="1983" spans="1:14" x14ac:dyDescent="0.45">
      <c r="A1983">
        <v>1990</v>
      </c>
      <c r="B1983" t="s">
        <v>73</v>
      </c>
      <c r="C1983">
        <v>0</v>
      </c>
      <c r="D1983">
        <v>0</v>
      </c>
      <c r="E1983">
        <v>0</v>
      </c>
      <c r="F1983">
        <v>0</v>
      </c>
      <c r="G1983">
        <v>1</v>
      </c>
      <c r="H1983">
        <v>0</v>
      </c>
      <c r="I1983">
        <v>0</v>
      </c>
      <c r="J1983">
        <v>41856.544507719998</v>
      </c>
      <c r="K1983">
        <v>39000.348009281799</v>
      </c>
      <c r="L1983">
        <v>11.86</v>
      </c>
      <c r="M1983">
        <v>72.587000000000003</v>
      </c>
      <c r="N1983">
        <v>22.728999999999999</v>
      </c>
    </row>
    <row r="1984" spans="1:14" x14ac:dyDescent="0.45">
      <c r="A1984">
        <v>1990</v>
      </c>
      <c r="B1984" t="s">
        <v>74</v>
      </c>
      <c r="C1984">
        <v>0</v>
      </c>
      <c r="D1984">
        <v>1</v>
      </c>
      <c r="E1984">
        <v>0</v>
      </c>
      <c r="F1984">
        <v>0</v>
      </c>
      <c r="G1984">
        <v>0</v>
      </c>
      <c r="H1984">
        <v>1</v>
      </c>
      <c r="I1984">
        <v>1</v>
      </c>
      <c r="J1984">
        <v>33072.076547478697</v>
      </c>
      <c r="K1984">
        <v>34305.201492578497</v>
      </c>
      <c r="L1984">
        <v>20.161999999999999</v>
      </c>
      <c r="M1984">
        <v>70.944999999999993</v>
      </c>
      <c r="N1984">
        <v>23.431999999999999</v>
      </c>
    </row>
    <row r="1985" spans="1:14" x14ac:dyDescent="0.45">
      <c r="A1985">
        <v>1990</v>
      </c>
      <c r="B1985" t="s">
        <v>75</v>
      </c>
      <c r="C1985">
        <v>1</v>
      </c>
      <c r="D1985">
        <v>0</v>
      </c>
      <c r="E1985">
        <v>0</v>
      </c>
      <c r="F1985">
        <v>0</v>
      </c>
      <c r="G1985">
        <v>1</v>
      </c>
      <c r="H1985">
        <v>0</v>
      </c>
      <c r="I1985">
        <v>0</v>
      </c>
      <c r="J1985">
        <v>2413.1367631019298</v>
      </c>
      <c r="K1985">
        <v>2084.6154402933598</v>
      </c>
      <c r="L1985">
        <v>60.750999999999998</v>
      </c>
      <c r="M1985">
        <v>71.509</v>
      </c>
      <c r="N1985">
        <v>17.974</v>
      </c>
    </row>
    <row r="1986" spans="1:14" x14ac:dyDescent="0.45">
      <c r="A1986">
        <v>1990</v>
      </c>
      <c r="B1986" t="s">
        <v>76</v>
      </c>
      <c r="C1986">
        <v>1</v>
      </c>
      <c r="D1986">
        <v>0</v>
      </c>
      <c r="E1986">
        <v>0</v>
      </c>
      <c r="F1986">
        <v>0</v>
      </c>
      <c r="G1986">
        <v>1</v>
      </c>
      <c r="H1986">
        <v>0</v>
      </c>
      <c r="I1986">
        <v>0</v>
      </c>
      <c r="J1986">
        <v>12351.635710689599</v>
      </c>
      <c r="K1986">
        <v>8917.8200682331008</v>
      </c>
      <c r="L1986">
        <v>34.018999999999998</v>
      </c>
      <c r="M1986">
        <v>71.144999999999996</v>
      </c>
      <c r="N1986">
        <v>15.74</v>
      </c>
    </row>
    <row r="1987" spans="1:14" x14ac:dyDescent="0.45">
      <c r="A1987">
        <v>1990</v>
      </c>
      <c r="B1987" t="s">
        <v>77</v>
      </c>
      <c r="C1987">
        <v>0</v>
      </c>
      <c r="D1987">
        <v>1</v>
      </c>
      <c r="E1987">
        <v>0</v>
      </c>
      <c r="F1987">
        <v>1</v>
      </c>
      <c r="G1987">
        <v>0</v>
      </c>
      <c r="H1987">
        <v>0</v>
      </c>
      <c r="I1987">
        <v>0</v>
      </c>
      <c r="J1987">
        <v>8243.7326549634909</v>
      </c>
      <c r="K1987">
        <v>6496.8294606817599</v>
      </c>
      <c r="L1987">
        <v>52.534999999999997</v>
      </c>
      <c r="M1987">
        <v>69.569000000000003</v>
      </c>
      <c r="N1987">
        <v>39.392000000000003</v>
      </c>
    </row>
    <row r="1988" spans="1:14" x14ac:dyDescent="0.45">
      <c r="A1988">
        <v>1990</v>
      </c>
      <c r="B1988" t="s">
        <v>78</v>
      </c>
      <c r="C1988">
        <v>0</v>
      </c>
      <c r="D1988">
        <v>0</v>
      </c>
      <c r="E1988">
        <v>0</v>
      </c>
      <c r="F1988">
        <v>0</v>
      </c>
      <c r="G1988">
        <v>0</v>
      </c>
      <c r="H1988">
        <v>1</v>
      </c>
      <c r="I1988">
        <v>1</v>
      </c>
      <c r="J1988">
        <v>79747.482502984101</v>
      </c>
      <c r="K1988">
        <v>70852.760775063201</v>
      </c>
      <c r="L1988">
        <v>0</v>
      </c>
      <c r="M1988">
        <v>73.951999999999998</v>
      </c>
      <c r="N1988">
        <v>10.378</v>
      </c>
    </row>
    <row r="1989" spans="1:14" x14ac:dyDescent="0.45">
      <c r="A1989">
        <v>1990</v>
      </c>
      <c r="B1989" t="s">
        <v>79</v>
      </c>
      <c r="C1989">
        <v>0</v>
      </c>
      <c r="D1989">
        <v>1</v>
      </c>
      <c r="E1989">
        <v>0</v>
      </c>
      <c r="F1989">
        <v>1</v>
      </c>
      <c r="G1989">
        <v>0</v>
      </c>
      <c r="H1989">
        <v>0</v>
      </c>
      <c r="I1989">
        <v>0</v>
      </c>
      <c r="J1989">
        <v>5124.4879811093797</v>
      </c>
      <c r="K1989">
        <v>4522.6179577574403</v>
      </c>
      <c r="L1989">
        <v>44.423000000000002</v>
      </c>
      <c r="M1989">
        <v>56.796999999999997</v>
      </c>
      <c r="N1989">
        <v>153.74</v>
      </c>
    </row>
    <row r="1990" spans="1:14" x14ac:dyDescent="0.45">
      <c r="A1990">
        <v>1990</v>
      </c>
      <c r="B1990" t="s">
        <v>80</v>
      </c>
      <c r="C1990">
        <v>0</v>
      </c>
      <c r="D1990">
        <v>1</v>
      </c>
      <c r="E1990">
        <v>0</v>
      </c>
      <c r="F1990">
        <v>0</v>
      </c>
      <c r="G1990">
        <v>1</v>
      </c>
      <c r="H1990">
        <v>0</v>
      </c>
      <c r="I1990">
        <v>0</v>
      </c>
      <c r="J1990">
        <v>12633.288456059699</v>
      </c>
      <c r="K1990">
        <v>10377.0986235256</v>
      </c>
      <c r="L1990">
        <v>26.077999999999999</v>
      </c>
      <c r="M1990">
        <v>65.861999999999995</v>
      </c>
      <c r="N1990">
        <v>62.521999999999998</v>
      </c>
    </row>
    <row r="1991" spans="1:14" x14ac:dyDescent="0.45">
      <c r="A1991">
        <v>1990</v>
      </c>
      <c r="B1991" t="s">
        <v>81</v>
      </c>
      <c r="C1991">
        <v>0</v>
      </c>
      <c r="D1991">
        <v>1</v>
      </c>
      <c r="E1991">
        <v>0</v>
      </c>
      <c r="F1991">
        <v>0</v>
      </c>
      <c r="G1991">
        <v>1</v>
      </c>
      <c r="H1991">
        <v>0</v>
      </c>
      <c r="I1991">
        <v>0</v>
      </c>
      <c r="J1991">
        <v>16976.761647977899</v>
      </c>
      <c r="K1991">
        <v>16214.4977402648</v>
      </c>
      <c r="L1991">
        <v>62.63</v>
      </c>
      <c r="M1991">
        <v>73.462999999999994</v>
      </c>
      <c r="N1991">
        <v>18.058</v>
      </c>
    </row>
    <row r="1992" spans="1:14" x14ac:dyDescent="0.45">
      <c r="A1992">
        <v>1990</v>
      </c>
      <c r="B1992" t="s">
        <v>82</v>
      </c>
      <c r="C1992">
        <v>0</v>
      </c>
      <c r="D1992">
        <v>0</v>
      </c>
      <c r="E1992">
        <v>0</v>
      </c>
      <c r="F1992">
        <v>0</v>
      </c>
      <c r="G1992">
        <v>0</v>
      </c>
      <c r="H1992">
        <v>1</v>
      </c>
      <c r="I1992">
        <v>1</v>
      </c>
      <c r="J1992">
        <v>118163.683197804</v>
      </c>
      <c r="K1992">
        <v>92262.732476344099</v>
      </c>
      <c r="L1992">
        <v>33.561999999999998</v>
      </c>
      <c r="M1992">
        <v>71.629000000000005</v>
      </c>
      <c r="N1992">
        <v>13.278</v>
      </c>
    </row>
    <row r="1993" spans="1:14" x14ac:dyDescent="0.45">
      <c r="A1993">
        <v>1990</v>
      </c>
      <c r="B1993" t="s">
        <v>83</v>
      </c>
      <c r="C1993">
        <v>0</v>
      </c>
      <c r="D1993">
        <v>0</v>
      </c>
      <c r="E1993">
        <v>0</v>
      </c>
      <c r="F1993">
        <v>0</v>
      </c>
      <c r="G1993">
        <v>0</v>
      </c>
      <c r="H1993">
        <v>0</v>
      </c>
      <c r="I1993">
        <v>0</v>
      </c>
      <c r="J1993">
        <v>3411.3837599175999</v>
      </c>
      <c r="K1993">
        <v>2954.6897430631102</v>
      </c>
      <c r="L1993">
        <v>83.611999999999995</v>
      </c>
      <c r="M1993">
        <v>55.811</v>
      </c>
      <c r="N1993">
        <v>128.47999999999999</v>
      </c>
    </row>
    <row r="1994" spans="1:14" x14ac:dyDescent="0.45">
      <c r="A1994">
        <v>1990</v>
      </c>
      <c r="B1994" t="s">
        <v>84</v>
      </c>
      <c r="C1994">
        <v>0</v>
      </c>
      <c r="D1994">
        <v>0</v>
      </c>
      <c r="E1994">
        <v>1</v>
      </c>
      <c r="F1994">
        <v>1</v>
      </c>
      <c r="G1994">
        <v>0</v>
      </c>
      <c r="H1994">
        <v>0</v>
      </c>
      <c r="I1994">
        <v>0</v>
      </c>
      <c r="J1994">
        <v>10520.918396892601</v>
      </c>
      <c r="K1994">
        <v>9519.1842489177907</v>
      </c>
      <c r="L1994">
        <v>58.067</v>
      </c>
      <c r="M1994">
        <v>60.103999999999999</v>
      </c>
      <c r="N1994">
        <v>51.762</v>
      </c>
    </row>
    <row r="1995" spans="1:14" x14ac:dyDescent="0.45">
      <c r="A1995">
        <v>1990</v>
      </c>
      <c r="B1995" t="s">
        <v>85</v>
      </c>
      <c r="C1995">
        <v>0</v>
      </c>
      <c r="D1995">
        <v>0</v>
      </c>
      <c r="E1995">
        <v>1</v>
      </c>
      <c r="F1995">
        <v>0</v>
      </c>
      <c r="G1995">
        <v>0</v>
      </c>
      <c r="H1995">
        <v>0</v>
      </c>
      <c r="I1995">
        <v>0</v>
      </c>
      <c r="J1995">
        <v>1481.25255094258</v>
      </c>
      <c r="K1995">
        <v>1185.9653344737101</v>
      </c>
      <c r="L1995">
        <v>63.174999999999997</v>
      </c>
      <c r="M1995">
        <v>49.853999999999999</v>
      </c>
      <c r="N1995">
        <v>176.66900000000001</v>
      </c>
    </row>
    <row r="1996" spans="1:14" x14ac:dyDescent="0.45">
      <c r="A1996">
        <v>1990</v>
      </c>
      <c r="B1996" t="s">
        <v>86</v>
      </c>
      <c r="C1996">
        <v>0</v>
      </c>
      <c r="D1996">
        <v>0</v>
      </c>
      <c r="E1996">
        <v>0</v>
      </c>
      <c r="F1996">
        <v>0</v>
      </c>
      <c r="G1996">
        <v>0</v>
      </c>
      <c r="H1996">
        <v>1</v>
      </c>
      <c r="I1996">
        <v>1</v>
      </c>
      <c r="J1996">
        <v>40475.112391425901</v>
      </c>
      <c r="K1996">
        <v>35035.928182931799</v>
      </c>
      <c r="L1996">
        <v>23.417999999999999</v>
      </c>
      <c r="M1996">
        <v>77.433000000000007</v>
      </c>
      <c r="N1996">
        <v>8.3010000000000002</v>
      </c>
    </row>
    <row r="1997" spans="1:14" x14ac:dyDescent="0.45">
      <c r="A1997">
        <v>1990</v>
      </c>
      <c r="B1997" t="s">
        <v>87</v>
      </c>
      <c r="C1997">
        <v>1</v>
      </c>
      <c r="D1997">
        <v>0</v>
      </c>
      <c r="E1997">
        <v>0</v>
      </c>
      <c r="F1997">
        <v>0</v>
      </c>
      <c r="G1997">
        <v>0</v>
      </c>
      <c r="H1997">
        <v>1</v>
      </c>
      <c r="I1997">
        <v>1</v>
      </c>
      <c r="J1997">
        <v>64010.758554403197</v>
      </c>
      <c r="K1997">
        <v>55687.241285331198</v>
      </c>
      <c r="L1997">
        <v>26.074000000000002</v>
      </c>
      <c r="M1997">
        <v>77.385000000000005</v>
      </c>
      <c r="N1997">
        <v>8.5169999999999995</v>
      </c>
    </row>
    <row r="1998" spans="1:14" x14ac:dyDescent="0.45">
      <c r="A1998">
        <v>1990</v>
      </c>
      <c r="B1998" t="s">
        <v>88</v>
      </c>
      <c r="C1998">
        <v>1</v>
      </c>
      <c r="D1998">
        <v>0</v>
      </c>
      <c r="E1998">
        <v>0</v>
      </c>
      <c r="F1998">
        <v>0</v>
      </c>
      <c r="G1998">
        <v>0</v>
      </c>
      <c r="H1998">
        <v>1</v>
      </c>
      <c r="I1998">
        <v>1</v>
      </c>
      <c r="L1998">
        <v>68.608000000000004</v>
      </c>
      <c r="M1998">
        <v>76.312992920391096</v>
      </c>
      <c r="N1998">
        <v>15.326000831661901</v>
      </c>
    </row>
    <row r="1999" spans="1:14" x14ac:dyDescent="0.45">
      <c r="A1999">
        <v>1990</v>
      </c>
      <c r="B1999" t="s">
        <v>89</v>
      </c>
      <c r="C1999">
        <v>0</v>
      </c>
      <c r="D1999">
        <v>1</v>
      </c>
      <c r="E1999">
        <v>0</v>
      </c>
      <c r="F1999">
        <v>1</v>
      </c>
      <c r="G1999">
        <v>0</v>
      </c>
      <c r="H1999">
        <v>0</v>
      </c>
      <c r="I1999">
        <v>0</v>
      </c>
      <c r="J1999">
        <v>10952.655754174601</v>
      </c>
      <c r="K1999">
        <v>9540.6606992028792</v>
      </c>
      <c r="L1999">
        <v>16.728999999999999</v>
      </c>
      <c r="M1999">
        <v>73.674999999999997</v>
      </c>
      <c r="N1999">
        <v>18.303000000000001</v>
      </c>
    </row>
    <row r="2000" spans="1:14" x14ac:dyDescent="0.45">
      <c r="A2000">
        <v>1990</v>
      </c>
      <c r="B2000" t="s">
        <v>90</v>
      </c>
      <c r="C2000">
        <v>0</v>
      </c>
      <c r="D2000">
        <v>0</v>
      </c>
      <c r="E2000">
        <v>0</v>
      </c>
      <c r="F2000">
        <v>0</v>
      </c>
      <c r="G2000">
        <v>0</v>
      </c>
      <c r="H2000">
        <v>0</v>
      </c>
      <c r="I2000">
        <v>0</v>
      </c>
      <c r="J2000">
        <v>1666.9277409057499</v>
      </c>
      <c r="K2000">
        <v>1494.29278680364</v>
      </c>
      <c r="L2000">
        <v>73.558000000000007</v>
      </c>
      <c r="M2000">
        <v>68.155000000000001</v>
      </c>
      <c r="N2000">
        <v>52.744999999999997</v>
      </c>
    </row>
    <row r="2001" spans="1:14" x14ac:dyDescent="0.45">
      <c r="A2001">
        <v>1990</v>
      </c>
      <c r="B2001" t="s">
        <v>91</v>
      </c>
      <c r="C2001">
        <v>0</v>
      </c>
      <c r="D2001">
        <v>0</v>
      </c>
      <c r="E2001">
        <v>1</v>
      </c>
      <c r="F2001">
        <v>1</v>
      </c>
      <c r="G2001">
        <v>0</v>
      </c>
      <c r="H2001">
        <v>0</v>
      </c>
      <c r="I2001">
        <v>0</v>
      </c>
      <c r="J2001">
        <v>5255.5096263840096</v>
      </c>
      <c r="K2001">
        <v>4436.4241156202597</v>
      </c>
      <c r="L2001">
        <v>60.655000000000001</v>
      </c>
      <c r="M2001">
        <v>52.795999999999999</v>
      </c>
      <c r="N2001">
        <v>152.761</v>
      </c>
    </row>
    <row r="2002" spans="1:14" x14ac:dyDescent="0.45">
      <c r="A2002">
        <v>1990</v>
      </c>
      <c r="B2002" t="s">
        <v>92</v>
      </c>
      <c r="C2002">
        <v>0</v>
      </c>
      <c r="D2002">
        <v>0</v>
      </c>
      <c r="E2002">
        <v>1</v>
      </c>
      <c r="F2002">
        <v>1</v>
      </c>
      <c r="G2002">
        <v>0</v>
      </c>
      <c r="H2002">
        <v>0</v>
      </c>
      <c r="I2002">
        <v>0</v>
      </c>
      <c r="J2002">
        <v>4517.6188777961797</v>
      </c>
      <c r="K2002">
        <v>3547.2911062150501</v>
      </c>
      <c r="L2002">
        <v>60.343000000000004</v>
      </c>
      <c r="M2002">
        <v>54.347999999999999</v>
      </c>
      <c r="N2002">
        <v>138.66999999999999</v>
      </c>
    </row>
    <row r="2003" spans="1:14" x14ac:dyDescent="0.45">
      <c r="A2003">
        <v>1990</v>
      </c>
      <c r="B2003" t="s">
        <v>93</v>
      </c>
      <c r="C2003">
        <v>0</v>
      </c>
      <c r="D2003">
        <v>0</v>
      </c>
      <c r="E2003">
        <v>1</v>
      </c>
      <c r="F2003">
        <v>0</v>
      </c>
      <c r="G2003">
        <v>0</v>
      </c>
      <c r="H2003">
        <v>0</v>
      </c>
      <c r="I2003">
        <v>0</v>
      </c>
      <c r="J2003">
        <v>2172.00159744544</v>
      </c>
      <c r="K2003">
        <v>1738.8274065196399</v>
      </c>
      <c r="L2003">
        <v>69.367000000000004</v>
      </c>
      <c r="M2003">
        <v>48.537999999999997</v>
      </c>
      <c r="N2003">
        <v>185.83</v>
      </c>
    </row>
    <row r="2004" spans="1:14" x14ac:dyDescent="0.45">
      <c r="A2004">
        <v>1990</v>
      </c>
      <c r="B2004" t="s">
        <v>94</v>
      </c>
      <c r="C2004">
        <v>0</v>
      </c>
      <c r="D2004">
        <v>0</v>
      </c>
      <c r="E2004">
        <v>1</v>
      </c>
      <c r="F2004">
        <v>1</v>
      </c>
      <c r="G2004">
        <v>0</v>
      </c>
      <c r="H2004">
        <v>0</v>
      </c>
      <c r="I2004">
        <v>0</v>
      </c>
      <c r="J2004">
        <v>8699.5268387061496</v>
      </c>
      <c r="K2004">
        <v>5244.4680984749102</v>
      </c>
      <c r="L2004">
        <v>45.676000000000002</v>
      </c>
      <c r="M2004">
        <v>57.07</v>
      </c>
      <c r="N2004">
        <v>92.305999999999997</v>
      </c>
    </row>
    <row r="2005" spans="1:14" x14ac:dyDescent="0.45">
      <c r="A2005">
        <v>1990</v>
      </c>
      <c r="B2005" t="s">
        <v>95</v>
      </c>
      <c r="C2005">
        <v>0</v>
      </c>
      <c r="D2005">
        <v>1</v>
      </c>
      <c r="E2005">
        <v>0</v>
      </c>
      <c r="F2005">
        <v>1</v>
      </c>
      <c r="G2005">
        <v>0</v>
      </c>
      <c r="H2005">
        <v>0</v>
      </c>
      <c r="I2005">
        <v>0</v>
      </c>
      <c r="J2005">
        <v>9998.81069684463</v>
      </c>
      <c r="K2005">
        <v>8325.1046221897795</v>
      </c>
      <c r="L2005">
        <v>30.518999999999998</v>
      </c>
      <c r="M2005">
        <v>68.700999999999993</v>
      </c>
      <c r="N2005">
        <v>35.814999999999998</v>
      </c>
    </row>
    <row r="2006" spans="1:14" x14ac:dyDescent="0.45">
      <c r="A2006">
        <v>1990</v>
      </c>
      <c r="B2006" t="s">
        <v>96</v>
      </c>
      <c r="C2006">
        <v>0</v>
      </c>
      <c r="D2006">
        <v>0</v>
      </c>
      <c r="E2006">
        <v>1</v>
      </c>
      <c r="F2006">
        <v>0</v>
      </c>
      <c r="G2006">
        <v>0</v>
      </c>
      <c r="H2006">
        <v>0</v>
      </c>
      <c r="I2006">
        <v>0</v>
      </c>
      <c r="J2006">
        <v>2380.9816152482499</v>
      </c>
      <c r="K2006">
        <v>2462.2388541498699</v>
      </c>
      <c r="L2006">
        <v>72.131</v>
      </c>
      <c r="M2006">
        <v>55.62</v>
      </c>
      <c r="N2006">
        <v>126.43</v>
      </c>
    </row>
    <row r="2007" spans="1:14" x14ac:dyDescent="0.45">
      <c r="A2007">
        <v>1990</v>
      </c>
      <c r="B2007" t="s">
        <v>97</v>
      </c>
      <c r="C2007">
        <v>0</v>
      </c>
      <c r="D2007">
        <v>0</v>
      </c>
      <c r="E2007">
        <v>1</v>
      </c>
      <c r="F2007">
        <v>1</v>
      </c>
      <c r="G2007">
        <v>0</v>
      </c>
      <c r="H2007">
        <v>0</v>
      </c>
      <c r="I2007">
        <v>0</v>
      </c>
      <c r="J2007">
        <v>1848.75865235574</v>
      </c>
      <c r="K2007">
        <v>1781.67479272062</v>
      </c>
      <c r="L2007">
        <v>55.88</v>
      </c>
      <c r="M2007">
        <v>63.869</v>
      </c>
      <c r="N2007">
        <v>59.820999999999998</v>
      </c>
    </row>
    <row r="2008" spans="1:14" x14ac:dyDescent="0.45">
      <c r="A2008">
        <v>1990</v>
      </c>
      <c r="B2008" t="s">
        <v>98</v>
      </c>
      <c r="C2008">
        <v>0</v>
      </c>
      <c r="D2008">
        <v>1</v>
      </c>
      <c r="E2008">
        <v>0</v>
      </c>
      <c r="F2008">
        <v>1</v>
      </c>
      <c r="G2008">
        <v>0</v>
      </c>
      <c r="H2008">
        <v>0</v>
      </c>
      <c r="I2008">
        <v>0</v>
      </c>
      <c r="J2008">
        <v>10953.426204645601</v>
      </c>
      <c r="K2008">
        <v>9807.1988076147609</v>
      </c>
      <c r="L2008">
        <v>49.997</v>
      </c>
      <c r="M2008">
        <v>76.093999999999994</v>
      </c>
      <c r="N2008">
        <v>17.210999999999999</v>
      </c>
    </row>
    <row r="2009" spans="1:14" x14ac:dyDescent="0.45">
      <c r="A2009">
        <v>1990</v>
      </c>
      <c r="B2009" t="s">
        <v>99</v>
      </c>
      <c r="C2009">
        <v>0</v>
      </c>
      <c r="D2009">
        <v>1</v>
      </c>
      <c r="E2009">
        <v>0</v>
      </c>
      <c r="F2009">
        <v>1</v>
      </c>
      <c r="G2009">
        <v>0</v>
      </c>
      <c r="H2009">
        <v>0</v>
      </c>
      <c r="I2009">
        <v>0</v>
      </c>
      <c r="L2009">
        <v>26.635999999999999</v>
      </c>
      <c r="M2009">
        <v>73.822999999999993</v>
      </c>
      <c r="N2009">
        <v>13.513999999999999</v>
      </c>
    </row>
    <row r="2010" spans="1:14" x14ac:dyDescent="0.45">
      <c r="A2010">
        <v>1990</v>
      </c>
      <c r="B2010" t="s">
        <v>100</v>
      </c>
      <c r="C2010">
        <v>0</v>
      </c>
      <c r="D2010">
        <v>1</v>
      </c>
      <c r="E2010">
        <v>0</v>
      </c>
      <c r="F2010">
        <v>0</v>
      </c>
      <c r="G2010">
        <v>0</v>
      </c>
      <c r="H2010">
        <v>1</v>
      </c>
      <c r="I2010">
        <v>1</v>
      </c>
      <c r="L2010">
        <v>15.321999999999999</v>
      </c>
      <c r="M2010">
        <v>72.438999999999993</v>
      </c>
      <c r="N2010">
        <v>18.667999999999999</v>
      </c>
    </row>
    <row r="2011" spans="1:14" x14ac:dyDescent="0.45">
      <c r="A2011">
        <v>1990</v>
      </c>
      <c r="B2011" t="s">
        <v>101</v>
      </c>
      <c r="C2011">
        <v>0</v>
      </c>
      <c r="D2011">
        <v>1</v>
      </c>
      <c r="E2011">
        <v>0</v>
      </c>
      <c r="F2011">
        <v>0</v>
      </c>
      <c r="G2011">
        <v>0</v>
      </c>
      <c r="H2011">
        <v>1</v>
      </c>
      <c r="I2011">
        <v>1</v>
      </c>
      <c r="L2011">
        <v>0</v>
      </c>
      <c r="M2011">
        <v>72.744</v>
      </c>
      <c r="N2011">
        <v>9.6630000000000003</v>
      </c>
    </row>
    <row r="2012" spans="1:14" x14ac:dyDescent="0.45">
      <c r="A2012">
        <v>1990</v>
      </c>
      <c r="B2012" t="s">
        <v>102</v>
      </c>
      <c r="C2012">
        <v>1</v>
      </c>
      <c r="D2012">
        <v>0</v>
      </c>
      <c r="E2012">
        <v>0</v>
      </c>
      <c r="F2012">
        <v>0</v>
      </c>
      <c r="G2012">
        <v>0</v>
      </c>
      <c r="H2012">
        <v>1</v>
      </c>
      <c r="I2012">
        <v>1</v>
      </c>
      <c r="J2012">
        <v>27667.330078125</v>
      </c>
      <c r="K2012">
        <v>24647.223874028699</v>
      </c>
      <c r="L2012">
        <v>33.223999999999997</v>
      </c>
      <c r="M2012">
        <v>76.043999999999997</v>
      </c>
      <c r="N2012">
        <v>10.99</v>
      </c>
    </row>
    <row r="2013" spans="1:14" x14ac:dyDescent="0.45">
      <c r="A2013">
        <v>1990</v>
      </c>
      <c r="B2013" t="s">
        <v>103</v>
      </c>
      <c r="C2013">
        <v>1</v>
      </c>
      <c r="D2013">
        <v>0</v>
      </c>
      <c r="E2013">
        <v>0</v>
      </c>
      <c r="F2013">
        <v>0</v>
      </c>
      <c r="G2013">
        <v>1</v>
      </c>
      <c r="H2013">
        <v>0</v>
      </c>
      <c r="I2013">
        <v>0</v>
      </c>
      <c r="J2013">
        <v>27918.1375190566</v>
      </c>
      <c r="K2013">
        <v>23244.712293789598</v>
      </c>
      <c r="L2013">
        <v>24.78</v>
      </c>
      <c r="M2013">
        <v>71.409000000000006</v>
      </c>
      <c r="N2013">
        <v>12.66</v>
      </c>
    </row>
    <row r="2014" spans="1:14" x14ac:dyDescent="0.45">
      <c r="A2014">
        <v>1990</v>
      </c>
      <c r="B2014" t="s">
        <v>104</v>
      </c>
      <c r="C2014">
        <v>1</v>
      </c>
      <c r="D2014">
        <v>0</v>
      </c>
      <c r="E2014">
        <v>0</v>
      </c>
      <c r="F2014">
        <v>0</v>
      </c>
      <c r="G2014">
        <v>0</v>
      </c>
      <c r="H2014">
        <v>1</v>
      </c>
      <c r="I2014">
        <v>1</v>
      </c>
      <c r="J2014">
        <v>42373.5294799642</v>
      </c>
      <c r="K2014">
        <v>36740.059120634702</v>
      </c>
      <c r="L2014">
        <v>26.882000000000001</v>
      </c>
      <c r="M2014">
        <v>75.340999999999994</v>
      </c>
      <c r="N2014">
        <v>8.7490000000000006</v>
      </c>
    </row>
    <row r="2015" spans="1:14" x14ac:dyDescent="0.45">
      <c r="A2015">
        <v>1990</v>
      </c>
      <c r="B2015" t="s">
        <v>105</v>
      </c>
      <c r="C2015">
        <v>0</v>
      </c>
      <c r="D2015">
        <v>0</v>
      </c>
      <c r="E2015">
        <v>0</v>
      </c>
      <c r="F2015">
        <v>1</v>
      </c>
      <c r="G2015">
        <v>0</v>
      </c>
      <c r="H2015">
        <v>0</v>
      </c>
      <c r="I2015">
        <v>0</v>
      </c>
      <c r="L2015">
        <v>24.042999999999999</v>
      </c>
      <c r="M2015">
        <v>55.469000000000001</v>
      </c>
      <c r="N2015">
        <v>118.254</v>
      </c>
    </row>
    <row r="2016" spans="1:14" x14ac:dyDescent="0.45">
      <c r="A2016">
        <v>1990</v>
      </c>
      <c r="B2016" t="s">
        <v>106</v>
      </c>
      <c r="C2016">
        <v>0</v>
      </c>
      <c r="D2016">
        <v>1</v>
      </c>
      <c r="E2016">
        <v>0</v>
      </c>
      <c r="F2016">
        <v>1</v>
      </c>
      <c r="G2016">
        <v>0</v>
      </c>
      <c r="H2016">
        <v>0</v>
      </c>
      <c r="I2016">
        <v>0</v>
      </c>
      <c r="J2016">
        <v>11311.551976206199</v>
      </c>
      <c r="K2016">
        <v>8802.9702083928405</v>
      </c>
      <c r="L2016">
        <v>36.920999999999999</v>
      </c>
      <c r="M2016">
        <v>70.471000000000004</v>
      </c>
      <c r="N2016">
        <v>17.263999999999999</v>
      </c>
    </row>
    <row r="2017" spans="1:14" x14ac:dyDescent="0.45">
      <c r="A2017">
        <v>1990</v>
      </c>
      <c r="B2017" t="s">
        <v>107</v>
      </c>
      <c r="C2017">
        <v>1</v>
      </c>
      <c r="D2017">
        <v>0</v>
      </c>
      <c r="E2017">
        <v>0</v>
      </c>
      <c r="F2017">
        <v>0</v>
      </c>
      <c r="G2017">
        <v>0</v>
      </c>
      <c r="H2017">
        <v>1</v>
      </c>
      <c r="I2017">
        <v>1</v>
      </c>
      <c r="J2017">
        <v>45821.0806493454</v>
      </c>
      <c r="K2017">
        <v>38725.552905440403</v>
      </c>
      <c r="L2017">
        <v>15.157</v>
      </c>
      <c r="M2017">
        <v>74.864999999999995</v>
      </c>
      <c r="N2017">
        <v>9.1229999999999993</v>
      </c>
    </row>
    <row r="2018" spans="1:14" x14ac:dyDescent="0.45">
      <c r="A2018">
        <v>1990</v>
      </c>
      <c r="B2018" t="s">
        <v>108</v>
      </c>
      <c r="C2018">
        <v>0</v>
      </c>
      <c r="D2018">
        <v>1</v>
      </c>
      <c r="E2018">
        <v>0</v>
      </c>
      <c r="F2018">
        <v>1</v>
      </c>
      <c r="G2018">
        <v>0</v>
      </c>
      <c r="H2018">
        <v>0</v>
      </c>
      <c r="I2018">
        <v>0</v>
      </c>
      <c r="J2018">
        <v>7327.7267013375103</v>
      </c>
      <c r="K2018">
        <v>6329.8734949191103</v>
      </c>
      <c r="L2018">
        <v>44.774000000000001</v>
      </c>
      <c r="M2018">
        <v>67.745999999999995</v>
      </c>
      <c r="N2018">
        <v>62.808</v>
      </c>
    </row>
    <row r="2019" spans="1:14" x14ac:dyDescent="0.45">
      <c r="A2019">
        <v>1990</v>
      </c>
      <c r="B2019" t="s">
        <v>109</v>
      </c>
      <c r="C2019">
        <v>0</v>
      </c>
      <c r="D2019">
        <v>0</v>
      </c>
      <c r="E2019">
        <v>0</v>
      </c>
      <c r="F2019">
        <v>1</v>
      </c>
      <c r="G2019">
        <v>0</v>
      </c>
      <c r="H2019">
        <v>0</v>
      </c>
      <c r="I2019">
        <v>0</v>
      </c>
      <c r="J2019">
        <v>11728.545728679101</v>
      </c>
      <c r="K2019">
        <v>10258.186305040101</v>
      </c>
      <c r="L2019">
        <v>47.914999999999999</v>
      </c>
      <c r="M2019">
        <v>67.658000000000001</v>
      </c>
      <c r="N2019">
        <v>52.188000000000002</v>
      </c>
    </row>
    <row r="2020" spans="1:14" x14ac:dyDescent="0.45">
      <c r="A2020">
        <v>1990</v>
      </c>
      <c r="B2020" t="s">
        <v>110</v>
      </c>
      <c r="C2020">
        <v>0</v>
      </c>
      <c r="D2020">
        <v>1</v>
      </c>
      <c r="E2020">
        <v>0</v>
      </c>
      <c r="F2020">
        <v>1</v>
      </c>
      <c r="G2020">
        <v>0</v>
      </c>
      <c r="H2020">
        <v>0</v>
      </c>
      <c r="I2020">
        <v>0</v>
      </c>
      <c r="J2020">
        <v>9104.8159979027205</v>
      </c>
      <c r="K2020">
        <v>7572.9104589000099</v>
      </c>
      <c r="L2020">
        <v>44.91</v>
      </c>
      <c r="M2020">
        <v>68.444999999999993</v>
      </c>
      <c r="N2020">
        <v>53.652000000000001</v>
      </c>
    </row>
    <row r="2021" spans="1:14" x14ac:dyDescent="0.45">
      <c r="A2021">
        <v>1990</v>
      </c>
      <c r="B2021" t="s">
        <v>111</v>
      </c>
      <c r="C2021">
        <v>0</v>
      </c>
      <c r="D2021">
        <v>0</v>
      </c>
      <c r="E2021">
        <v>0</v>
      </c>
      <c r="F2021">
        <v>0</v>
      </c>
      <c r="G2021">
        <v>0</v>
      </c>
      <c r="H2021">
        <v>0</v>
      </c>
      <c r="I2021">
        <v>0</v>
      </c>
      <c r="J2021">
        <v>8006.6214374136898</v>
      </c>
      <c r="K2021">
        <v>6353.9198721560897</v>
      </c>
      <c r="L2021">
        <v>56.521999999999998</v>
      </c>
      <c r="M2021">
        <v>62.512999999999998</v>
      </c>
      <c r="N2021">
        <v>85.983999999999995</v>
      </c>
    </row>
    <row r="2022" spans="1:14" x14ac:dyDescent="0.45">
      <c r="A2022">
        <v>1990</v>
      </c>
      <c r="B2022" t="s">
        <v>112</v>
      </c>
      <c r="C2022">
        <v>0</v>
      </c>
      <c r="D2022">
        <v>0</v>
      </c>
      <c r="E2022">
        <v>1</v>
      </c>
      <c r="F2022">
        <v>0</v>
      </c>
      <c r="G2022">
        <v>0</v>
      </c>
      <c r="H2022">
        <v>0</v>
      </c>
      <c r="I2022">
        <v>0</v>
      </c>
      <c r="L2022">
        <v>81.094999999999999</v>
      </c>
      <c r="M2022">
        <v>49.732999999999997</v>
      </c>
      <c r="N2022">
        <v>151.61099999999999</v>
      </c>
    </row>
    <row r="2023" spans="1:14" x14ac:dyDescent="0.45">
      <c r="A2023">
        <v>1990</v>
      </c>
      <c r="B2023" t="s">
        <v>113</v>
      </c>
      <c r="C2023">
        <v>1</v>
      </c>
      <c r="D2023">
        <v>0</v>
      </c>
      <c r="E2023">
        <v>0</v>
      </c>
      <c r="F2023">
        <v>0</v>
      </c>
      <c r="G2023">
        <v>0</v>
      </c>
      <c r="H2023">
        <v>1</v>
      </c>
      <c r="I2023">
        <v>1</v>
      </c>
      <c r="J2023">
        <v>31773.226742004201</v>
      </c>
      <c r="K2023">
        <v>27961.284577203001</v>
      </c>
      <c r="L2023">
        <v>24.649000000000001</v>
      </c>
      <c r="M2023">
        <v>77</v>
      </c>
      <c r="N2023">
        <v>9.3940000000000001</v>
      </c>
    </row>
    <row r="2024" spans="1:14" x14ac:dyDescent="0.45">
      <c r="A2024">
        <v>1990</v>
      </c>
      <c r="B2024" t="s">
        <v>114</v>
      </c>
      <c r="C2024">
        <v>1</v>
      </c>
      <c r="D2024">
        <v>0</v>
      </c>
      <c r="E2024">
        <v>0</v>
      </c>
      <c r="F2024">
        <v>0</v>
      </c>
      <c r="G2024">
        <v>1</v>
      </c>
      <c r="H2024">
        <v>0</v>
      </c>
      <c r="I2024">
        <v>0</v>
      </c>
      <c r="J2024">
        <v>19360.027121927302</v>
      </c>
      <c r="K2024">
        <v>16425.1607530904</v>
      </c>
      <c r="L2024">
        <v>28.768999999999998</v>
      </c>
      <c r="M2024">
        <v>69.917000000000002</v>
      </c>
      <c r="N2024">
        <v>16.024999999999999</v>
      </c>
    </row>
    <row r="2025" spans="1:14" x14ac:dyDescent="0.45">
      <c r="A2025">
        <v>1990</v>
      </c>
      <c r="B2025" t="s">
        <v>115</v>
      </c>
      <c r="C2025">
        <v>0</v>
      </c>
      <c r="D2025">
        <v>0</v>
      </c>
      <c r="E2025">
        <v>1</v>
      </c>
      <c r="F2025">
        <v>0</v>
      </c>
      <c r="G2025">
        <v>0</v>
      </c>
      <c r="H2025">
        <v>0</v>
      </c>
      <c r="I2025">
        <v>0</v>
      </c>
      <c r="J2025">
        <v>874.34693618969595</v>
      </c>
      <c r="K2025">
        <v>788.56511054144801</v>
      </c>
      <c r="L2025">
        <v>87.379000000000005</v>
      </c>
      <c r="M2025">
        <v>45.116999999999997</v>
      </c>
      <c r="N2025">
        <v>208.2</v>
      </c>
    </row>
    <row r="2026" spans="1:14" x14ac:dyDescent="0.45">
      <c r="A2026">
        <v>1990</v>
      </c>
      <c r="B2026" t="s">
        <v>116</v>
      </c>
      <c r="C2026">
        <v>1</v>
      </c>
      <c r="D2026">
        <v>0</v>
      </c>
      <c r="E2026">
        <v>0</v>
      </c>
      <c r="F2026">
        <v>0</v>
      </c>
      <c r="G2026">
        <v>0</v>
      </c>
      <c r="H2026">
        <v>1</v>
      </c>
      <c r="I2026">
        <v>1</v>
      </c>
      <c r="J2026">
        <v>38807.1185244347</v>
      </c>
      <c r="K2026">
        <v>32624.477521233901</v>
      </c>
      <c r="L2026">
        <v>20.632999999999999</v>
      </c>
      <c r="M2026">
        <v>74.989000000000004</v>
      </c>
      <c r="N2026">
        <v>6.7960000000000003</v>
      </c>
    </row>
    <row r="2027" spans="1:14" x14ac:dyDescent="0.45">
      <c r="A2027">
        <v>1990</v>
      </c>
      <c r="B2027" t="s">
        <v>117</v>
      </c>
      <c r="C2027">
        <v>0</v>
      </c>
      <c r="D2027">
        <v>0</v>
      </c>
      <c r="E2027">
        <v>0</v>
      </c>
      <c r="F2027">
        <v>1</v>
      </c>
      <c r="G2027">
        <v>0</v>
      </c>
      <c r="H2027">
        <v>0</v>
      </c>
      <c r="I2027">
        <v>0</v>
      </c>
      <c r="J2027">
        <v>8126.8907365964396</v>
      </c>
      <c r="K2027">
        <v>7958.6860232812396</v>
      </c>
      <c r="L2027">
        <v>58.389000000000003</v>
      </c>
      <c r="M2027">
        <v>65.055999999999997</v>
      </c>
      <c r="N2027">
        <v>29.074000000000002</v>
      </c>
    </row>
    <row r="2028" spans="1:14" x14ac:dyDescent="0.45">
      <c r="A2028">
        <v>1990</v>
      </c>
      <c r="B2028" t="s">
        <v>118</v>
      </c>
      <c r="C2028">
        <v>1</v>
      </c>
      <c r="D2028">
        <v>0</v>
      </c>
      <c r="E2028">
        <v>0</v>
      </c>
      <c r="F2028">
        <v>0</v>
      </c>
      <c r="G2028">
        <v>0</v>
      </c>
      <c r="H2028">
        <v>1</v>
      </c>
      <c r="I2028">
        <v>1</v>
      </c>
      <c r="J2028">
        <v>38655.885684291403</v>
      </c>
      <c r="K2028">
        <v>32273.7520992463</v>
      </c>
      <c r="L2028">
        <v>25.943999999999999</v>
      </c>
      <c r="M2028">
        <v>76.834999999999994</v>
      </c>
      <c r="N2028">
        <v>8.9280000000000008</v>
      </c>
    </row>
    <row r="2029" spans="1:14" x14ac:dyDescent="0.45">
      <c r="A2029">
        <v>1990</v>
      </c>
      <c r="B2029" t="s">
        <v>119</v>
      </c>
      <c r="C2029">
        <v>1</v>
      </c>
      <c r="D2029">
        <v>0</v>
      </c>
      <c r="E2029">
        <v>0</v>
      </c>
      <c r="F2029">
        <v>0</v>
      </c>
      <c r="G2029">
        <v>0</v>
      </c>
      <c r="H2029">
        <v>1</v>
      </c>
      <c r="I2029">
        <v>1</v>
      </c>
      <c r="L2029">
        <v>69.406000000000006</v>
      </c>
      <c r="M2029">
        <v>76.894000000000005</v>
      </c>
      <c r="N2029">
        <v>11.587</v>
      </c>
    </row>
    <row r="2030" spans="1:14" x14ac:dyDescent="0.45">
      <c r="A2030">
        <v>1990</v>
      </c>
      <c r="B2030" t="s">
        <v>120</v>
      </c>
      <c r="C2030">
        <v>0</v>
      </c>
      <c r="D2030">
        <v>0</v>
      </c>
      <c r="E2030">
        <v>0</v>
      </c>
      <c r="F2030">
        <v>1</v>
      </c>
      <c r="G2030">
        <v>0</v>
      </c>
      <c r="H2030">
        <v>0</v>
      </c>
      <c r="I2030">
        <v>0</v>
      </c>
      <c r="J2030">
        <v>3136.9514333540701</v>
      </c>
      <c r="K2030">
        <v>2839.3739170876202</v>
      </c>
      <c r="L2030">
        <v>74.182000000000002</v>
      </c>
      <c r="M2030">
        <v>63.722000000000001</v>
      </c>
      <c r="N2030">
        <v>48.728999999999999</v>
      </c>
    </row>
    <row r="2031" spans="1:14" x14ac:dyDescent="0.45">
      <c r="A2031">
        <v>1990</v>
      </c>
      <c r="B2031" t="s">
        <v>121</v>
      </c>
      <c r="C2031">
        <v>0</v>
      </c>
      <c r="D2031">
        <v>0</v>
      </c>
      <c r="E2031">
        <v>1</v>
      </c>
      <c r="F2031">
        <v>0</v>
      </c>
      <c r="G2031">
        <v>1</v>
      </c>
      <c r="H2031">
        <v>0</v>
      </c>
      <c r="I2031">
        <v>0</v>
      </c>
      <c r="J2031">
        <v>23884.810699751</v>
      </c>
      <c r="K2031">
        <v>18072.201209274899</v>
      </c>
      <c r="L2031">
        <v>30.856999999999999</v>
      </c>
      <c r="M2031">
        <v>60.735999999999997</v>
      </c>
      <c r="N2031">
        <v>93.043000000000006</v>
      </c>
    </row>
    <row r="2032" spans="1:14" x14ac:dyDescent="0.45">
      <c r="A2032">
        <v>1990</v>
      </c>
      <c r="B2032" t="s">
        <v>122</v>
      </c>
      <c r="C2032">
        <v>1</v>
      </c>
      <c r="D2032">
        <v>0</v>
      </c>
      <c r="E2032">
        <v>0</v>
      </c>
      <c r="F2032">
        <v>0</v>
      </c>
      <c r="G2032">
        <v>0</v>
      </c>
      <c r="H2032">
        <v>1</v>
      </c>
      <c r="I2032">
        <v>1</v>
      </c>
      <c r="J2032">
        <v>34307.938920303597</v>
      </c>
      <c r="K2032">
        <v>29557.323999708999</v>
      </c>
      <c r="L2032">
        <v>21.86</v>
      </c>
      <c r="M2032">
        <v>75.738</v>
      </c>
      <c r="N2032">
        <v>9.5340000000000007</v>
      </c>
    </row>
    <row r="2033" spans="1:14" x14ac:dyDescent="0.45">
      <c r="A2033">
        <v>1990</v>
      </c>
      <c r="B2033" t="s">
        <v>123</v>
      </c>
      <c r="C2033">
        <v>1</v>
      </c>
      <c r="D2033">
        <v>0</v>
      </c>
      <c r="E2033">
        <v>0</v>
      </c>
      <c r="F2033">
        <v>1</v>
      </c>
      <c r="G2033">
        <v>0</v>
      </c>
      <c r="H2033">
        <v>0</v>
      </c>
      <c r="I2033">
        <v>0</v>
      </c>
      <c r="J2033">
        <v>12917.094426936101</v>
      </c>
      <c r="K2033">
        <v>10913.468105717</v>
      </c>
      <c r="L2033">
        <v>44.962000000000003</v>
      </c>
      <c r="M2033">
        <v>68.679000000000002</v>
      </c>
      <c r="N2033">
        <v>47.588999999999999</v>
      </c>
    </row>
    <row r="2034" spans="1:14" x14ac:dyDescent="0.45">
      <c r="A2034">
        <v>1990</v>
      </c>
      <c r="B2034" t="s">
        <v>124</v>
      </c>
      <c r="C2034">
        <v>0</v>
      </c>
      <c r="D2034">
        <v>0</v>
      </c>
      <c r="E2034">
        <v>1</v>
      </c>
      <c r="F2034">
        <v>0</v>
      </c>
      <c r="G2034">
        <v>0</v>
      </c>
      <c r="H2034">
        <v>0</v>
      </c>
      <c r="I2034">
        <v>0</v>
      </c>
      <c r="J2034">
        <v>2785.6711433250098</v>
      </c>
      <c r="K2034">
        <v>2403.31751735134</v>
      </c>
      <c r="L2034">
        <v>63.558999999999997</v>
      </c>
      <c r="M2034">
        <v>55.395000000000003</v>
      </c>
      <c r="N2034">
        <v>129.07</v>
      </c>
    </row>
    <row r="2035" spans="1:14" x14ac:dyDescent="0.45">
      <c r="A2035">
        <v>1990</v>
      </c>
      <c r="B2035" t="s">
        <v>125</v>
      </c>
      <c r="C2035">
        <v>1</v>
      </c>
      <c r="D2035">
        <v>0</v>
      </c>
      <c r="E2035">
        <v>0</v>
      </c>
      <c r="F2035">
        <v>0</v>
      </c>
      <c r="G2035">
        <v>1</v>
      </c>
      <c r="H2035">
        <v>0</v>
      </c>
      <c r="I2035">
        <v>0</v>
      </c>
      <c r="L2035">
        <v>0</v>
      </c>
      <c r="M2035">
        <v>76.813999999999993</v>
      </c>
      <c r="N2035">
        <v>20.529</v>
      </c>
    </row>
    <row r="2036" spans="1:14" x14ac:dyDescent="0.45">
      <c r="A2036">
        <v>1990</v>
      </c>
      <c r="B2036" t="s">
        <v>126</v>
      </c>
      <c r="C2036">
        <v>0</v>
      </c>
      <c r="D2036">
        <v>0</v>
      </c>
      <c r="E2036">
        <v>1</v>
      </c>
      <c r="F2036">
        <v>0</v>
      </c>
      <c r="G2036">
        <v>0</v>
      </c>
      <c r="H2036">
        <v>0</v>
      </c>
      <c r="I2036">
        <v>0</v>
      </c>
      <c r="J2036">
        <v>2105.7472949623202</v>
      </c>
      <c r="K2036">
        <v>1697.7920514084301</v>
      </c>
      <c r="L2036">
        <v>71.974000000000004</v>
      </c>
      <c r="M2036">
        <v>47.252000000000002</v>
      </c>
      <c r="N2036">
        <v>232.416</v>
      </c>
    </row>
    <row r="2037" spans="1:14" x14ac:dyDescent="0.45">
      <c r="A2037">
        <v>1990</v>
      </c>
      <c r="B2037" t="s">
        <v>127</v>
      </c>
      <c r="C2037">
        <v>0</v>
      </c>
      <c r="D2037">
        <v>0</v>
      </c>
      <c r="E2037">
        <v>1</v>
      </c>
      <c r="F2037">
        <v>0</v>
      </c>
      <c r="G2037">
        <v>0</v>
      </c>
      <c r="H2037">
        <v>0</v>
      </c>
      <c r="I2037">
        <v>0</v>
      </c>
      <c r="J2037">
        <v>2653.7829139212499</v>
      </c>
      <c r="K2037">
        <v>2136.0218137350398</v>
      </c>
      <c r="L2037">
        <v>61.688000000000002</v>
      </c>
      <c r="M2037">
        <v>51.277999999999999</v>
      </c>
      <c r="N2037">
        <v>166.36</v>
      </c>
    </row>
    <row r="2038" spans="1:14" x14ac:dyDescent="0.45">
      <c r="A2038">
        <v>1990</v>
      </c>
      <c r="B2038" t="s">
        <v>128</v>
      </c>
      <c r="C2038">
        <v>0</v>
      </c>
      <c r="D2038">
        <v>0</v>
      </c>
      <c r="E2038">
        <v>1</v>
      </c>
      <c r="F2038">
        <v>0</v>
      </c>
      <c r="G2038">
        <v>0</v>
      </c>
      <c r="H2038">
        <v>0</v>
      </c>
      <c r="I2038">
        <v>0</v>
      </c>
      <c r="J2038">
        <v>1944.22785454324</v>
      </c>
      <c r="K2038">
        <v>1749.0243618702</v>
      </c>
      <c r="L2038">
        <v>69.17</v>
      </c>
      <c r="M2038">
        <v>46.89</v>
      </c>
      <c r="N2038">
        <v>221.43600000000001</v>
      </c>
    </row>
    <row r="2039" spans="1:14" x14ac:dyDescent="0.45">
      <c r="A2039">
        <v>1990</v>
      </c>
      <c r="B2039" t="s">
        <v>129</v>
      </c>
      <c r="C2039">
        <v>0</v>
      </c>
      <c r="D2039">
        <v>0</v>
      </c>
      <c r="E2039">
        <v>1</v>
      </c>
      <c r="F2039">
        <v>0</v>
      </c>
      <c r="G2039">
        <v>0</v>
      </c>
      <c r="H2039">
        <v>0</v>
      </c>
      <c r="I2039">
        <v>0</v>
      </c>
      <c r="J2039">
        <v>1122.8176736466401</v>
      </c>
      <c r="K2039">
        <v>930.26876808288102</v>
      </c>
      <c r="L2039">
        <v>65.254999999999995</v>
      </c>
      <c r="M2039">
        <v>51.396999999999998</v>
      </c>
      <c r="N2039">
        <v>178.03299999999999</v>
      </c>
    </row>
    <row r="2040" spans="1:14" x14ac:dyDescent="0.45">
      <c r="A2040">
        <v>1990</v>
      </c>
      <c r="B2040" t="s">
        <v>130</v>
      </c>
      <c r="C2040">
        <v>1</v>
      </c>
      <c r="D2040">
        <v>0</v>
      </c>
      <c r="E2040">
        <v>0</v>
      </c>
      <c r="F2040">
        <v>0</v>
      </c>
      <c r="G2040">
        <v>1</v>
      </c>
      <c r="H2040">
        <v>0</v>
      </c>
      <c r="I2040">
        <v>0</v>
      </c>
      <c r="J2040">
        <v>26916.312522570399</v>
      </c>
      <c r="K2040">
        <v>24095.324492598302</v>
      </c>
      <c r="L2040">
        <v>28.533000000000001</v>
      </c>
      <c r="M2040">
        <v>77.299000000000007</v>
      </c>
      <c r="N2040">
        <v>10.731</v>
      </c>
    </row>
    <row r="2041" spans="1:14" x14ac:dyDescent="0.45">
      <c r="A2041">
        <v>1990</v>
      </c>
      <c r="B2041" t="s">
        <v>131</v>
      </c>
      <c r="C2041">
        <v>0</v>
      </c>
      <c r="D2041">
        <v>1</v>
      </c>
      <c r="E2041">
        <v>0</v>
      </c>
      <c r="F2041">
        <v>1</v>
      </c>
      <c r="G2041">
        <v>0</v>
      </c>
      <c r="H2041">
        <v>0</v>
      </c>
      <c r="I2041">
        <v>0</v>
      </c>
      <c r="J2041">
        <v>8889.3628386765704</v>
      </c>
      <c r="K2041">
        <v>8202.2601801679793</v>
      </c>
      <c r="L2041">
        <v>66.572999999999993</v>
      </c>
      <c r="M2041">
        <v>70.546000000000006</v>
      </c>
      <c r="N2041">
        <v>22.402999999999999</v>
      </c>
    </row>
    <row r="2042" spans="1:14" x14ac:dyDescent="0.45">
      <c r="A2042">
        <v>1990</v>
      </c>
      <c r="B2042" t="s">
        <v>132</v>
      </c>
      <c r="C2042">
        <v>1</v>
      </c>
      <c r="D2042">
        <v>0</v>
      </c>
      <c r="E2042">
        <v>0</v>
      </c>
      <c r="F2042">
        <v>0</v>
      </c>
      <c r="G2042">
        <v>0</v>
      </c>
      <c r="H2042">
        <v>1</v>
      </c>
      <c r="I2042">
        <v>1</v>
      </c>
      <c r="J2042">
        <v>38137.568489695499</v>
      </c>
      <c r="K2042">
        <v>34520.9130846029</v>
      </c>
      <c r="L2042">
        <v>20.302</v>
      </c>
      <c r="M2042">
        <v>63.24</v>
      </c>
      <c r="N2042">
        <v>35.01</v>
      </c>
    </row>
    <row r="2043" spans="1:14" x14ac:dyDescent="0.45">
      <c r="A2043">
        <v>1990</v>
      </c>
      <c r="B2043" t="s">
        <v>133</v>
      </c>
      <c r="C2043">
        <v>0</v>
      </c>
      <c r="D2043">
        <v>1</v>
      </c>
      <c r="E2043">
        <v>0</v>
      </c>
      <c r="F2043">
        <v>1</v>
      </c>
      <c r="G2043">
        <v>0</v>
      </c>
      <c r="H2043">
        <v>0</v>
      </c>
      <c r="I2043">
        <v>0</v>
      </c>
      <c r="J2043">
        <v>7594.7284159943101</v>
      </c>
      <c r="K2043">
        <v>6597.3557172213305</v>
      </c>
      <c r="L2043">
        <v>58.008000000000003</v>
      </c>
      <c r="M2043">
        <v>61.767000000000003</v>
      </c>
      <c r="N2043">
        <v>80.823999999999998</v>
      </c>
    </row>
    <row r="2044" spans="1:14" x14ac:dyDescent="0.45">
      <c r="A2044">
        <v>1990</v>
      </c>
      <c r="B2044" t="s">
        <v>134</v>
      </c>
      <c r="C2044">
        <v>0</v>
      </c>
      <c r="D2044">
        <v>0</v>
      </c>
      <c r="E2044">
        <v>0</v>
      </c>
      <c r="F2044">
        <v>0</v>
      </c>
      <c r="G2044">
        <v>1</v>
      </c>
      <c r="H2044">
        <v>0</v>
      </c>
      <c r="I2044">
        <v>0</v>
      </c>
      <c r="L2044">
        <v>9.20399999999999</v>
      </c>
      <c r="M2044">
        <v>73.454999999999998</v>
      </c>
      <c r="N2044">
        <v>12.895</v>
      </c>
    </row>
    <row r="2045" spans="1:14" x14ac:dyDescent="0.45">
      <c r="A2045">
        <v>1990</v>
      </c>
      <c r="B2045" t="s">
        <v>135</v>
      </c>
      <c r="C2045">
        <v>0</v>
      </c>
      <c r="D2045">
        <v>1</v>
      </c>
      <c r="E2045">
        <v>0</v>
      </c>
      <c r="F2045">
        <v>0</v>
      </c>
      <c r="G2045">
        <v>0</v>
      </c>
      <c r="H2045">
        <v>0</v>
      </c>
      <c r="I2045">
        <v>0</v>
      </c>
      <c r="J2045">
        <v>5074.4310990168196</v>
      </c>
      <c r="K2045">
        <v>4853.0800418848703</v>
      </c>
      <c r="L2045">
        <v>70.417000000000002</v>
      </c>
      <c r="M2045">
        <v>62.253999999999998</v>
      </c>
      <c r="N2045">
        <v>60.478000000000002</v>
      </c>
    </row>
    <row r="2046" spans="1:14" x14ac:dyDescent="0.45">
      <c r="A2046">
        <v>1990</v>
      </c>
      <c r="B2046" t="s">
        <v>136</v>
      </c>
      <c r="C2046">
        <v>0</v>
      </c>
      <c r="D2046">
        <v>0</v>
      </c>
      <c r="E2046">
        <v>0</v>
      </c>
      <c r="F2046">
        <v>0</v>
      </c>
      <c r="G2046">
        <v>0</v>
      </c>
      <c r="H2046">
        <v>1</v>
      </c>
      <c r="I2046">
        <v>1</v>
      </c>
      <c r="J2046">
        <v>31598.8526063881</v>
      </c>
      <c r="K2046">
        <v>28518.0734265639</v>
      </c>
      <c r="L2046">
        <v>0.48300000000000398</v>
      </c>
      <c r="M2046">
        <v>77.447999999999993</v>
      </c>
      <c r="N2046">
        <v>7.4509999999999996</v>
      </c>
    </row>
    <row r="2047" spans="1:14" x14ac:dyDescent="0.45">
      <c r="A2047">
        <v>1990</v>
      </c>
      <c r="B2047" t="s">
        <v>137</v>
      </c>
      <c r="C2047">
        <v>0</v>
      </c>
      <c r="D2047">
        <v>1</v>
      </c>
      <c r="E2047">
        <v>0</v>
      </c>
      <c r="F2047">
        <v>0</v>
      </c>
      <c r="G2047">
        <v>0</v>
      </c>
      <c r="H2047">
        <v>0</v>
      </c>
      <c r="I2047">
        <v>0</v>
      </c>
      <c r="J2047">
        <v>4427.0402206765802</v>
      </c>
      <c r="K2047">
        <v>4079.4203118769801</v>
      </c>
      <c r="L2047">
        <v>59.54</v>
      </c>
      <c r="M2047">
        <v>65.183000000000007</v>
      </c>
      <c r="N2047">
        <v>58.244</v>
      </c>
    </row>
    <row r="2048" spans="1:14" x14ac:dyDescent="0.45">
      <c r="A2048">
        <v>1990</v>
      </c>
      <c r="B2048" t="s">
        <v>138</v>
      </c>
      <c r="C2048">
        <v>1</v>
      </c>
      <c r="D2048">
        <v>0</v>
      </c>
      <c r="E2048">
        <v>0</v>
      </c>
      <c r="F2048">
        <v>0</v>
      </c>
      <c r="G2048">
        <v>1</v>
      </c>
      <c r="H2048">
        <v>0</v>
      </c>
      <c r="I2048">
        <v>0</v>
      </c>
      <c r="J2048">
        <v>23398.349955110101</v>
      </c>
      <c r="K2048">
        <v>20178.950869192198</v>
      </c>
      <c r="L2048">
        <v>48.963000000000001</v>
      </c>
      <c r="M2048">
        <v>72.242999999999995</v>
      </c>
      <c r="N2048">
        <v>12.276</v>
      </c>
    </row>
    <row r="2049" spans="1:14" x14ac:dyDescent="0.45">
      <c r="A2049">
        <v>1990</v>
      </c>
      <c r="B2049" t="s">
        <v>139</v>
      </c>
      <c r="C2049">
        <v>0</v>
      </c>
      <c r="D2049">
        <v>1</v>
      </c>
      <c r="E2049">
        <v>0</v>
      </c>
      <c r="F2049">
        <v>0</v>
      </c>
      <c r="G2049">
        <v>0</v>
      </c>
      <c r="H2049">
        <v>0</v>
      </c>
      <c r="I2049">
        <v>0</v>
      </c>
      <c r="J2049">
        <v>3946.3656458042101</v>
      </c>
      <c r="K2049">
        <v>3793.0720710670198</v>
      </c>
      <c r="L2049">
        <v>71.489999999999995</v>
      </c>
      <c r="M2049">
        <v>53.215000000000003</v>
      </c>
      <c r="N2049">
        <v>144.64500000000001</v>
      </c>
    </row>
    <row r="2050" spans="1:14" x14ac:dyDescent="0.45">
      <c r="A2050">
        <v>1990</v>
      </c>
      <c r="B2050" t="s">
        <v>140</v>
      </c>
      <c r="C2050">
        <v>1</v>
      </c>
      <c r="D2050">
        <v>0</v>
      </c>
      <c r="E2050">
        <v>0</v>
      </c>
      <c r="F2050">
        <v>0</v>
      </c>
      <c r="G2050">
        <v>1</v>
      </c>
      <c r="H2050">
        <v>0</v>
      </c>
      <c r="I2050">
        <v>0</v>
      </c>
      <c r="J2050">
        <v>21297.0006409015</v>
      </c>
      <c r="K2050">
        <v>18558.578627913201</v>
      </c>
      <c r="L2050">
        <v>34.161999999999999</v>
      </c>
      <c r="M2050">
        <v>69.372</v>
      </c>
      <c r="N2050">
        <v>17.004000000000001</v>
      </c>
    </row>
    <row r="2051" spans="1:14" x14ac:dyDescent="0.45">
      <c r="A2051">
        <v>1990</v>
      </c>
      <c r="B2051" t="s">
        <v>141</v>
      </c>
      <c r="C2051">
        <v>0</v>
      </c>
      <c r="D2051">
        <v>0</v>
      </c>
      <c r="E2051">
        <v>0</v>
      </c>
      <c r="F2051">
        <v>0</v>
      </c>
      <c r="G2051">
        <v>0</v>
      </c>
      <c r="H2051">
        <v>0</v>
      </c>
      <c r="I2051">
        <v>0</v>
      </c>
      <c r="J2051">
        <v>4873.0538013326304</v>
      </c>
      <c r="K2051">
        <v>4423.9647934942795</v>
      </c>
      <c r="L2051">
        <v>69.415999999999997</v>
      </c>
      <c r="M2051">
        <v>63.249000000000002</v>
      </c>
      <c r="N2051">
        <v>83.516999999999996</v>
      </c>
    </row>
    <row r="2052" spans="1:14" x14ac:dyDescent="0.45">
      <c r="A2052">
        <v>1990</v>
      </c>
      <c r="B2052" t="s">
        <v>142</v>
      </c>
      <c r="C2052">
        <v>1</v>
      </c>
      <c r="D2052">
        <v>0</v>
      </c>
      <c r="E2052">
        <v>0</v>
      </c>
      <c r="F2052">
        <v>0</v>
      </c>
      <c r="G2052">
        <v>1</v>
      </c>
      <c r="H2052">
        <v>0</v>
      </c>
      <c r="I2052">
        <v>0</v>
      </c>
      <c r="L2052">
        <v>48.253999999999998</v>
      </c>
      <c r="M2052">
        <v>71.8</v>
      </c>
      <c r="N2052">
        <v>36.673999999999999</v>
      </c>
    </row>
    <row r="2053" spans="1:14" x14ac:dyDescent="0.45">
      <c r="A2053">
        <v>1990</v>
      </c>
      <c r="B2053" t="s">
        <v>143</v>
      </c>
      <c r="C2053">
        <v>0</v>
      </c>
      <c r="D2053">
        <v>0</v>
      </c>
      <c r="E2053">
        <v>0</v>
      </c>
      <c r="F2053">
        <v>0</v>
      </c>
      <c r="G2053">
        <v>0</v>
      </c>
      <c r="H2053">
        <v>0</v>
      </c>
      <c r="I2053">
        <v>0</v>
      </c>
      <c r="J2053">
        <v>2203.14703867968</v>
      </c>
      <c r="K2053">
        <v>1847.74713868305</v>
      </c>
      <c r="L2053">
        <v>74.453000000000003</v>
      </c>
      <c r="M2053">
        <v>58.618000000000002</v>
      </c>
      <c r="N2053">
        <v>126.46899999999999</v>
      </c>
    </row>
    <row r="2054" spans="1:14" x14ac:dyDescent="0.45">
      <c r="A2054">
        <v>1990</v>
      </c>
      <c r="B2054" t="s">
        <v>144</v>
      </c>
      <c r="C2054">
        <v>1</v>
      </c>
      <c r="D2054">
        <v>0</v>
      </c>
      <c r="E2054">
        <v>0</v>
      </c>
      <c r="F2054">
        <v>0</v>
      </c>
      <c r="G2054">
        <v>0</v>
      </c>
      <c r="H2054">
        <v>1</v>
      </c>
      <c r="I2054">
        <v>1</v>
      </c>
      <c r="J2054">
        <v>29593.922649563501</v>
      </c>
      <c r="K2054">
        <v>27210.067891446099</v>
      </c>
      <c r="L2054">
        <v>43.070999999999998</v>
      </c>
      <c r="M2054">
        <v>74.837999999999994</v>
      </c>
      <c r="N2054">
        <v>9.7899999999999991</v>
      </c>
    </row>
    <row r="2055" spans="1:14" x14ac:dyDescent="0.45">
      <c r="A2055">
        <v>1990</v>
      </c>
      <c r="B2055" t="s">
        <v>145</v>
      </c>
      <c r="C2055">
        <v>0</v>
      </c>
      <c r="D2055">
        <v>0</v>
      </c>
      <c r="E2055">
        <v>0</v>
      </c>
      <c r="F2055">
        <v>1</v>
      </c>
      <c r="G2055">
        <v>0</v>
      </c>
      <c r="H2055">
        <v>0</v>
      </c>
      <c r="I2055">
        <v>0</v>
      </c>
      <c r="J2055">
        <v>9046.58484470857</v>
      </c>
      <c r="K2055">
        <v>9023.9201815956894</v>
      </c>
      <c r="L2055">
        <v>43.67</v>
      </c>
      <c r="M2055">
        <v>64.066000000000003</v>
      </c>
      <c r="N2055">
        <v>63.087000000000003</v>
      </c>
    </row>
    <row r="2056" spans="1:14" x14ac:dyDescent="0.45">
      <c r="A2056">
        <v>1990</v>
      </c>
      <c r="B2056" t="s">
        <v>146</v>
      </c>
      <c r="C2056">
        <v>0</v>
      </c>
      <c r="D2056">
        <v>0</v>
      </c>
      <c r="E2056">
        <v>0</v>
      </c>
      <c r="F2056">
        <v>0</v>
      </c>
      <c r="G2056">
        <v>1</v>
      </c>
      <c r="H2056">
        <v>0</v>
      </c>
      <c r="I2056">
        <v>0</v>
      </c>
      <c r="J2056">
        <v>10735.094110292501</v>
      </c>
      <c r="K2056">
        <v>7588.51744066437</v>
      </c>
      <c r="L2056">
        <v>30.294</v>
      </c>
      <c r="M2056">
        <v>57.587000000000003</v>
      </c>
      <c r="N2056">
        <v>80.489999999999995</v>
      </c>
    </row>
    <row r="2057" spans="1:14" x14ac:dyDescent="0.45">
      <c r="A2057">
        <v>1990</v>
      </c>
      <c r="B2057" t="s">
        <v>147</v>
      </c>
      <c r="C2057">
        <v>1</v>
      </c>
      <c r="D2057">
        <v>0</v>
      </c>
      <c r="E2057">
        <v>0</v>
      </c>
      <c r="F2057">
        <v>0</v>
      </c>
      <c r="G2057">
        <v>0</v>
      </c>
      <c r="H2057">
        <v>1</v>
      </c>
      <c r="I2057">
        <v>1</v>
      </c>
      <c r="J2057">
        <v>40116.7557030549</v>
      </c>
      <c r="K2057">
        <v>34712.582843981501</v>
      </c>
      <c r="L2057">
        <v>9.25</v>
      </c>
      <c r="M2057">
        <v>77.741</v>
      </c>
      <c r="N2057">
        <v>7.1050000000000004</v>
      </c>
    </row>
    <row r="2058" spans="1:14" x14ac:dyDescent="0.45">
      <c r="A2058">
        <v>1990</v>
      </c>
      <c r="B2058" t="s">
        <v>148</v>
      </c>
      <c r="C2058">
        <v>0</v>
      </c>
      <c r="D2058">
        <v>0</v>
      </c>
      <c r="E2058">
        <v>0</v>
      </c>
      <c r="F2058">
        <v>0</v>
      </c>
      <c r="G2058">
        <v>0</v>
      </c>
      <c r="H2058">
        <v>1</v>
      </c>
      <c r="I2058">
        <v>1</v>
      </c>
      <c r="J2058">
        <v>25335.2722247493</v>
      </c>
      <c r="K2058">
        <v>23239.466922866399</v>
      </c>
      <c r="L2058">
        <v>9.6410000000000107</v>
      </c>
      <c r="M2058">
        <v>78.037999999999997</v>
      </c>
      <c r="N2058">
        <v>11.271000000000001</v>
      </c>
    </row>
    <row r="2059" spans="1:14" x14ac:dyDescent="0.45">
      <c r="A2059">
        <v>1990</v>
      </c>
      <c r="B2059" t="s">
        <v>149</v>
      </c>
      <c r="C2059">
        <v>1</v>
      </c>
      <c r="D2059">
        <v>0</v>
      </c>
      <c r="E2059">
        <v>0</v>
      </c>
      <c r="F2059">
        <v>0</v>
      </c>
      <c r="G2059">
        <v>0</v>
      </c>
      <c r="H2059">
        <v>1</v>
      </c>
      <c r="I2059">
        <v>1</v>
      </c>
      <c r="J2059">
        <v>42656.744510165903</v>
      </c>
      <c r="K2059">
        <v>36333.612251472601</v>
      </c>
      <c r="L2059">
        <v>33.274000000000001</v>
      </c>
      <c r="M2059">
        <v>76.994</v>
      </c>
      <c r="N2059">
        <v>9.282</v>
      </c>
    </row>
    <row r="2060" spans="1:14" x14ac:dyDescent="0.45">
      <c r="A2060">
        <v>1990</v>
      </c>
      <c r="B2060" t="s">
        <v>150</v>
      </c>
      <c r="C2060">
        <v>0</v>
      </c>
      <c r="D2060">
        <v>1</v>
      </c>
      <c r="E2060">
        <v>0</v>
      </c>
      <c r="F2060">
        <v>1</v>
      </c>
      <c r="G2060">
        <v>0</v>
      </c>
      <c r="H2060">
        <v>0</v>
      </c>
      <c r="I2060">
        <v>0</v>
      </c>
      <c r="J2060">
        <v>8742.1651494653706</v>
      </c>
      <c r="K2060">
        <v>8615.6673968859104</v>
      </c>
      <c r="L2060">
        <v>50.555999999999997</v>
      </c>
      <c r="M2060">
        <v>71.704999999999998</v>
      </c>
      <c r="N2060">
        <v>27.902999999999999</v>
      </c>
    </row>
    <row r="2061" spans="1:14" x14ac:dyDescent="0.45">
      <c r="A2061">
        <v>1990</v>
      </c>
      <c r="B2061" t="s">
        <v>151</v>
      </c>
      <c r="C2061">
        <v>0</v>
      </c>
      <c r="D2061">
        <v>0</v>
      </c>
      <c r="E2061">
        <v>0</v>
      </c>
      <c r="F2061">
        <v>1</v>
      </c>
      <c r="G2061">
        <v>0</v>
      </c>
      <c r="H2061">
        <v>0</v>
      </c>
      <c r="I2061">
        <v>0</v>
      </c>
      <c r="J2061">
        <v>7589.82007850421</v>
      </c>
      <c r="K2061">
        <v>7529.44526940581</v>
      </c>
      <c r="L2061">
        <v>26.709</v>
      </c>
      <c r="M2061">
        <v>70.093999999999994</v>
      </c>
      <c r="N2061">
        <v>36.106999999999999</v>
      </c>
    </row>
    <row r="2062" spans="1:14" x14ac:dyDescent="0.45">
      <c r="A2062">
        <v>1990</v>
      </c>
      <c r="B2062" t="s">
        <v>152</v>
      </c>
      <c r="C2062">
        <v>0</v>
      </c>
      <c r="D2062">
        <v>0</v>
      </c>
      <c r="E2062">
        <v>0</v>
      </c>
      <c r="F2062">
        <v>0</v>
      </c>
      <c r="G2062">
        <v>0</v>
      </c>
      <c r="H2062">
        <v>1</v>
      </c>
      <c r="I2062">
        <v>1</v>
      </c>
      <c r="J2062">
        <v>35272.418982872703</v>
      </c>
      <c r="K2062">
        <v>32673.981827078798</v>
      </c>
      <c r="L2062">
        <v>22.661000000000001</v>
      </c>
      <c r="M2062">
        <v>78.992999999999995</v>
      </c>
      <c r="N2062">
        <v>6.3559999999999999</v>
      </c>
    </row>
    <row r="2063" spans="1:14" x14ac:dyDescent="0.45">
      <c r="A2063">
        <v>1990</v>
      </c>
      <c r="B2063" t="s">
        <v>153</v>
      </c>
      <c r="C2063">
        <v>1</v>
      </c>
      <c r="D2063">
        <v>0</v>
      </c>
      <c r="E2063">
        <v>0</v>
      </c>
      <c r="F2063">
        <v>1</v>
      </c>
      <c r="G2063">
        <v>0</v>
      </c>
      <c r="H2063">
        <v>0</v>
      </c>
      <c r="I2063">
        <v>0</v>
      </c>
      <c r="J2063">
        <v>16837.690749003999</v>
      </c>
      <c r="K2063">
        <v>12804.3804036362</v>
      </c>
      <c r="L2063">
        <v>43.734000000000002</v>
      </c>
      <c r="M2063">
        <v>65.700999999999993</v>
      </c>
      <c r="N2063">
        <v>52.591000000000001</v>
      </c>
    </row>
    <row r="2064" spans="1:14" x14ac:dyDescent="0.45">
      <c r="A2064">
        <v>1990</v>
      </c>
      <c r="B2064" t="s">
        <v>154</v>
      </c>
      <c r="C2064">
        <v>0</v>
      </c>
      <c r="D2064">
        <v>0</v>
      </c>
      <c r="E2064">
        <v>1</v>
      </c>
      <c r="F2064">
        <v>0</v>
      </c>
      <c r="G2064">
        <v>0</v>
      </c>
      <c r="H2064">
        <v>0</v>
      </c>
      <c r="I2064">
        <v>0</v>
      </c>
      <c r="J2064">
        <v>4177.4860331034597</v>
      </c>
      <c r="K2064">
        <v>3600.3506269384402</v>
      </c>
      <c r="L2064">
        <v>83.251999999999995</v>
      </c>
      <c r="M2064">
        <v>58.334000000000003</v>
      </c>
      <c r="N2064">
        <v>101.05500000000001</v>
      </c>
    </row>
    <row r="2065" spans="1:14" x14ac:dyDescent="0.45">
      <c r="A2065">
        <v>1990</v>
      </c>
      <c r="B2065" t="s">
        <v>155</v>
      </c>
      <c r="C2065">
        <v>1</v>
      </c>
      <c r="D2065">
        <v>0</v>
      </c>
      <c r="E2065">
        <v>0</v>
      </c>
      <c r="F2065">
        <v>1</v>
      </c>
      <c r="G2065">
        <v>0</v>
      </c>
      <c r="H2065">
        <v>0</v>
      </c>
      <c r="I2065">
        <v>0</v>
      </c>
      <c r="J2065">
        <v>6095.6810861023496</v>
      </c>
      <c r="K2065">
        <v>5151.8748085665802</v>
      </c>
      <c r="L2065">
        <v>62.222999999999999</v>
      </c>
      <c r="M2065">
        <v>64.825000000000003</v>
      </c>
      <c r="N2065">
        <v>65.986000000000004</v>
      </c>
    </row>
    <row r="2066" spans="1:14" x14ac:dyDescent="0.45">
      <c r="A2066">
        <v>1990</v>
      </c>
      <c r="B2066" t="s">
        <v>156</v>
      </c>
      <c r="C2066">
        <v>0</v>
      </c>
      <c r="D2066">
        <v>0</v>
      </c>
      <c r="E2066">
        <v>0</v>
      </c>
      <c r="F2066">
        <v>0</v>
      </c>
      <c r="G2066">
        <v>0</v>
      </c>
      <c r="H2066">
        <v>0</v>
      </c>
      <c r="I2066">
        <v>0</v>
      </c>
      <c r="J2066">
        <v>2646.0979883660102</v>
      </c>
      <c r="K2066">
        <v>2372.6721508250698</v>
      </c>
      <c r="L2066">
        <v>84.453999999999994</v>
      </c>
      <c r="M2066">
        <v>55.204999999999998</v>
      </c>
      <c r="N2066">
        <v>118.83799999999999</v>
      </c>
    </row>
    <row r="2067" spans="1:14" x14ac:dyDescent="0.45">
      <c r="A2067">
        <v>1990</v>
      </c>
      <c r="B2067" t="s">
        <v>157</v>
      </c>
      <c r="C2067">
        <v>0</v>
      </c>
      <c r="D2067">
        <v>0</v>
      </c>
      <c r="E2067">
        <v>0</v>
      </c>
      <c r="F2067">
        <v>1</v>
      </c>
      <c r="G2067">
        <v>0</v>
      </c>
      <c r="H2067">
        <v>0</v>
      </c>
      <c r="I2067">
        <v>0</v>
      </c>
      <c r="J2067">
        <v>2213.5402197119602</v>
      </c>
      <c r="K2067">
        <v>2002.36692747291</v>
      </c>
      <c r="L2067">
        <v>65.013000000000005</v>
      </c>
      <c r="M2067">
        <v>61.018000000000001</v>
      </c>
      <c r="N2067">
        <v>90.959000000000003</v>
      </c>
    </row>
    <row r="2068" spans="1:14" x14ac:dyDescent="0.45">
      <c r="A2068">
        <v>1990</v>
      </c>
      <c r="B2068" t="s">
        <v>158</v>
      </c>
      <c r="C2068">
        <v>0</v>
      </c>
      <c r="D2068">
        <v>1</v>
      </c>
      <c r="E2068">
        <v>0</v>
      </c>
      <c r="F2068">
        <v>0</v>
      </c>
      <c r="G2068">
        <v>1</v>
      </c>
      <c r="H2068">
        <v>0</v>
      </c>
      <c r="I2068">
        <v>0</v>
      </c>
      <c r="J2068">
        <v>14326.041065650699</v>
      </c>
      <c r="K2068">
        <v>14148.9141549661</v>
      </c>
      <c r="L2068">
        <v>65.391000000000005</v>
      </c>
      <c r="M2068">
        <v>65.641000000000005</v>
      </c>
      <c r="N2068">
        <v>30.722999999999999</v>
      </c>
    </row>
    <row r="2069" spans="1:14" x14ac:dyDescent="0.45">
      <c r="A2069">
        <v>1990</v>
      </c>
      <c r="B2069" t="s">
        <v>159</v>
      </c>
      <c r="C2069">
        <v>0</v>
      </c>
      <c r="D2069">
        <v>0</v>
      </c>
      <c r="E2069">
        <v>0</v>
      </c>
      <c r="F2069">
        <v>0</v>
      </c>
      <c r="G2069">
        <v>1</v>
      </c>
      <c r="H2069">
        <v>0</v>
      </c>
      <c r="I2069">
        <v>0</v>
      </c>
      <c r="J2069">
        <v>13839.9889843663</v>
      </c>
      <c r="K2069">
        <v>12616.8453099365</v>
      </c>
      <c r="L2069">
        <v>26.155999999999999</v>
      </c>
      <c r="M2069">
        <v>70.994</v>
      </c>
      <c r="N2069">
        <v>15.859</v>
      </c>
    </row>
    <row r="2070" spans="1:14" x14ac:dyDescent="0.45">
      <c r="A2070">
        <v>1990</v>
      </c>
      <c r="B2070" t="s">
        <v>160</v>
      </c>
      <c r="C2070">
        <v>0</v>
      </c>
      <c r="D2070">
        <v>0</v>
      </c>
      <c r="E2070">
        <v>0</v>
      </c>
      <c r="F2070">
        <v>0</v>
      </c>
      <c r="G2070">
        <v>0</v>
      </c>
      <c r="H2070">
        <v>1</v>
      </c>
      <c r="I2070">
        <v>1</v>
      </c>
      <c r="J2070">
        <v>38932.943547758397</v>
      </c>
      <c r="K2070">
        <v>34673.684398595396</v>
      </c>
      <c r="L2070">
        <v>2.0259999999999998</v>
      </c>
      <c r="M2070">
        <v>72.853999999999999</v>
      </c>
      <c r="N2070">
        <v>20.302</v>
      </c>
    </row>
    <row r="2071" spans="1:14" x14ac:dyDescent="0.45">
      <c r="A2071">
        <v>1990</v>
      </c>
      <c r="B2071" t="s">
        <v>161</v>
      </c>
      <c r="C2071">
        <v>0</v>
      </c>
      <c r="D2071">
        <v>0</v>
      </c>
      <c r="E2071">
        <v>0</v>
      </c>
      <c r="F2071">
        <v>0</v>
      </c>
      <c r="G2071">
        <v>0</v>
      </c>
      <c r="H2071">
        <v>0</v>
      </c>
      <c r="I2071">
        <v>0</v>
      </c>
      <c r="J2071">
        <v>2005.5004941040099</v>
      </c>
      <c r="K2071">
        <v>1927.10065760868</v>
      </c>
      <c r="L2071">
        <v>84.563000000000002</v>
      </c>
      <c r="M2071">
        <v>54.034999999999997</v>
      </c>
      <c r="N2071">
        <v>153.619</v>
      </c>
    </row>
    <row r="2072" spans="1:14" x14ac:dyDescent="0.45">
      <c r="A2072">
        <v>1990</v>
      </c>
      <c r="B2072" t="s">
        <v>162</v>
      </c>
      <c r="C2072">
        <v>0</v>
      </c>
      <c r="D2072">
        <v>0</v>
      </c>
      <c r="E2072">
        <v>0</v>
      </c>
      <c r="F2072">
        <v>1</v>
      </c>
      <c r="G2072">
        <v>0</v>
      </c>
      <c r="H2072">
        <v>0</v>
      </c>
      <c r="I2072">
        <v>0</v>
      </c>
      <c r="J2072">
        <v>5345.5120971841297</v>
      </c>
      <c r="K2072">
        <v>6948.0613893325099</v>
      </c>
      <c r="L2072">
        <v>16.88</v>
      </c>
      <c r="M2072">
        <v>65.478999999999999</v>
      </c>
      <c r="N2072">
        <v>31.978000000000002</v>
      </c>
    </row>
    <row r="2073" spans="1:14" x14ac:dyDescent="0.45">
      <c r="A2073">
        <v>1990</v>
      </c>
      <c r="B2073" t="s">
        <v>163</v>
      </c>
      <c r="C2073">
        <v>0</v>
      </c>
      <c r="D2073">
        <v>0</v>
      </c>
      <c r="E2073">
        <v>1</v>
      </c>
      <c r="F2073">
        <v>0</v>
      </c>
      <c r="G2073">
        <v>0</v>
      </c>
      <c r="H2073">
        <v>0</v>
      </c>
      <c r="I2073">
        <v>0</v>
      </c>
      <c r="J2073">
        <v>1866.4054812583299</v>
      </c>
      <c r="K2073">
        <v>2757.51228254633</v>
      </c>
      <c r="L2073">
        <v>44.578000000000003</v>
      </c>
      <c r="M2073">
        <v>37.643999999999998</v>
      </c>
      <c r="N2073">
        <v>256.35599999999999</v>
      </c>
    </row>
    <row r="2074" spans="1:14" x14ac:dyDescent="0.45">
      <c r="A2074">
        <v>1990</v>
      </c>
      <c r="B2074" t="s">
        <v>164</v>
      </c>
      <c r="C2074">
        <v>0</v>
      </c>
      <c r="D2074">
        <v>0</v>
      </c>
      <c r="E2074">
        <v>0</v>
      </c>
      <c r="F2074">
        <v>0</v>
      </c>
      <c r="G2074">
        <v>1</v>
      </c>
      <c r="H2074">
        <v>0</v>
      </c>
      <c r="I2074">
        <v>0</v>
      </c>
      <c r="J2074">
        <v>18121.815654864102</v>
      </c>
      <c r="K2074">
        <v>21178.877962187202</v>
      </c>
      <c r="L2074">
        <v>24.277000000000001</v>
      </c>
      <c r="M2074">
        <v>69.311999999999998</v>
      </c>
      <c r="N2074">
        <v>41.976999999999997</v>
      </c>
    </row>
    <row r="2075" spans="1:14" x14ac:dyDescent="0.45">
      <c r="A2075">
        <v>1990</v>
      </c>
      <c r="B2075" t="s">
        <v>165</v>
      </c>
      <c r="C2075">
        <v>0</v>
      </c>
      <c r="D2075">
        <v>1</v>
      </c>
      <c r="E2075">
        <v>0</v>
      </c>
      <c r="F2075">
        <v>1</v>
      </c>
      <c r="G2075">
        <v>0</v>
      </c>
      <c r="H2075">
        <v>0</v>
      </c>
      <c r="I2075">
        <v>0</v>
      </c>
      <c r="J2075">
        <v>17222.148665067602</v>
      </c>
      <c r="K2075">
        <v>12389.734431213599</v>
      </c>
      <c r="L2075">
        <v>70.650999999999996</v>
      </c>
      <c r="M2075">
        <v>70.007999999999996</v>
      </c>
      <c r="N2075">
        <v>20.657</v>
      </c>
    </row>
    <row r="2076" spans="1:14" x14ac:dyDescent="0.45">
      <c r="A2076">
        <v>1990</v>
      </c>
      <c r="B2076" t="s">
        <v>166</v>
      </c>
      <c r="C2076">
        <v>1</v>
      </c>
      <c r="D2076">
        <v>0</v>
      </c>
      <c r="E2076">
        <v>0</v>
      </c>
      <c r="F2076">
        <v>0</v>
      </c>
      <c r="G2076">
        <v>0</v>
      </c>
      <c r="H2076">
        <v>1</v>
      </c>
      <c r="I2076">
        <v>1</v>
      </c>
      <c r="L2076">
        <v>83.072000000000003</v>
      </c>
      <c r="M2076">
        <v>78.510000000000005</v>
      </c>
      <c r="N2076">
        <v>12.038</v>
      </c>
    </row>
    <row r="2077" spans="1:14" x14ac:dyDescent="0.45">
      <c r="A2077">
        <v>1990</v>
      </c>
      <c r="B2077" t="s">
        <v>167</v>
      </c>
      <c r="C2077">
        <v>0</v>
      </c>
      <c r="D2077">
        <v>0</v>
      </c>
      <c r="E2077">
        <v>0</v>
      </c>
      <c r="F2077">
        <v>0</v>
      </c>
      <c r="G2077">
        <v>0</v>
      </c>
      <c r="H2077">
        <v>0</v>
      </c>
      <c r="I2077">
        <v>0</v>
      </c>
      <c r="J2077">
        <v>4561.5791326143799</v>
      </c>
      <c r="K2077">
        <v>4260.4428136452498</v>
      </c>
      <c r="L2077">
        <v>81.465000000000003</v>
      </c>
      <c r="M2077">
        <v>69.239000000000004</v>
      </c>
      <c r="N2077">
        <v>22.664000000000001</v>
      </c>
    </row>
    <row r="2078" spans="1:14" x14ac:dyDescent="0.45">
      <c r="A2078">
        <v>1990</v>
      </c>
      <c r="B2078" t="s">
        <v>168</v>
      </c>
      <c r="C2078">
        <v>0</v>
      </c>
      <c r="D2078">
        <v>0</v>
      </c>
      <c r="E2078">
        <v>1</v>
      </c>
      <c r="F2078">
        <v>0</v>
      </c>
      <c r="G2078">
        <v>0</v>
      </c>
      <c r="H2078">
        <v>0</v>
      </c>
      <c r="I2078">
        <v>0</v>
      </c>
      <c r="J2078">
        <v>1422.15056881284</v>
      </c>
      <c r="K2078">
        <v>1273.4223407102199</v>
      </c>
      <c r="L2078">
        <v>86.033000000000001</v>
      </c>
      <c r="M2078">
        <v>59.317</v>
      </c>
      <c r="N2078">
        <v>86.796000000000006</v>
      </c>
    </row>
    <row r="2079" spans="1:14" x14ac:dyDescent="0.45">
      <c r="A2079">
        <v>1990</v>
      </c>
      <c r="B2079" t="s">
        <v>169</v>
      </c>
      <c r="C2079">
        <v>1</v>
      </c>
      <c r="D2079">
        <v>0</v>
      </c>
      <c r="E2079">
        <v>0</v>
      </c>
      <c r="F2079">
        <v>0</v>
      </c>
      <c r="G2079">
        <v>1</v>
      </c>
      <c r="H2079">
        <v>0</v>
      </c>
      <c r="I2079">
        <v>0</v>
      </c>
      <c r="J2079">
        <v>20586.227753241001</v>
      </c>
      <c r="K2079">
        <v>17612.890544119498</v>
      </c>
      <c r="L2079">
        <v>32.417000000000002</v>
      </c>
      <c r="M2079">
        <v>71.369</v>
      </c>
      <c r="N2079">
        <v>13.615</v>
      </c>
    </row>
    <row r="2080" spans="1:14" x14ac:dyDescent="0.45">
      <c r="A2080">
        <v>1990</v>
      </c>
      <c r="B2080" t="s">
        <v>170</v>
      </c>
      <c r="C2080">
        <v>1</v>
      </c>
      <c r="D2080">
        <v>0</v>
      </c>
      <c r="E2080">
        <v>0</v>
      </c>
      <c r="F2080">
        <v>0</v>
      </c>
      <c r="G2080">
        <v>0</v>
      </c>
      <c r="H2080">
        <v>1</v>
      </c>
      <c r="I2080">
        <v>1</v>
      </c>
      <c r="J2080">
        <v>81450.572406405903</v>
      </c>
      <c r="K2080">
        <v>69604.508115090895</v>
      </c>
      <c r="L2080">
        <v>19.053000000000001</v>
      </c>
      <c r="M2080">
        <v>74.966999999999999</v>
      </c>
      <c r="N2080">
        <v>10.395</v>
      </c>
    </row>
    <row r="2081" spans="1:14" x14ac:dyDescent="0.45">
      <c r="A2081">
        <v>1990</v>
      </c>
      <c r="B2081" t="s">
        <v>171</v>
      </c>
      <c r="C2081">
        <v>1</v>
      </c>
      <c r="D2081">
        <v>0</v>
      </c>
      <c r="E2081">
        <v>0</v>
      </c>
      <c r="F2081">
        <v>0</v>
      </c>
      <c r="G2081">
        <v>1</v>
      </c>
      <c r="H2081">
        <v>0</v>
      </c>
      <c r="I2081">
        <v>0</v>
      </c>
      <c r="J2081">
        <v>17508.7863191492</v>
      </c>
      <c r="K2081">
        <v>15190.435385635101</v>
      </c>
      <c r="L2081">
        <v>30.75</v>
      </c>
      <c r="M2081">
        <v>69.456999999999994</v>
      </c>
      <c r="N2081">
        <v>16.344000000000001</v>
      </c>
    </row>
    <row r="2082" spans="1:14" x14ac:dyDescent="0.45">
      <c r="A2082">
        <v>1990</v>
      </c>
      <c r="B2082" t="s">
        <v>172</v>
      </c>
      <c r="C2082">
        <v>0</v>
      </c>
      <c r="D2082">
        <v>0</v>
      </c>
      <c r="E2082">
        <v>0</v>
      </c>
      <c r="F2082">
        <v>0</v>
      </c>
      <c r="G2082">
        <v>1</v>
      </c>
      <c r="H2082">
        <v>0</v>
      </c>
      <c r="I2082">
        <v>0</v>
      </c>
      <c r="J2082">
        <v>55242.963917728899</v>
      </c>
      <c r="K2082">
        <v>50063.465695063402</v>
      </c>
      <c r="L2082">
        <v>0.23699999999999499</v>
      </c>
      <c r="M2082">
        <v>76.572000000000003</v>
      </c>
      <c r="N2082">
        <v>13.359</v>
      </c>
    </row>
    <row r="2083" spans="1:14" x14ac:dyDescent="0.45">
      <c r="A2083">
        <v>1990</v>
      </c>
      <c r="B2083" t="s">
        <v>173</v>
      </c>
      <c r="C2083">
        <v>0</v>
      </c>
      <c r="D2083">
        <v>1</v>
      </c>
      <c r="E2083">
        <v>0</v>
      </c>
      <c r="F2083">
        <v>0</v>
      </c>
      <c r="G2083">
        <v>0</v>
      </c>
      <c r="H2083">
        <v>1</v>
      </c>
      <c r="I2083">
        <v>1</v>
      </c>
      <c r="L2083">
        <v>0</v>
      </c>
      <c r="M2083">
        <v>74.564999999999998</v>
      </c>
      <c r="N2083">
        <v>20.309000000000001</v>
      </c>
    </row>
    <row r="2084" spans="1:14" x14ac:dyDescent="0.45">
      <c r="A2084">
        <v>1990</v>
      </c>
      <c r="B2084" t="s">
        <v>174</v>
      </c>
      <c r="C2084">
        <v>0</v>
      </c>
      <c r="D2084">
        <v>0</v>
      </c>
      <c r="E2084">
        <v>0</v>
      </c>
      <c r="F2084">
        <v>1</v>
      </c>
      <c r="G2084">
        <v>0</v>
      </c>
      <c r="H2084">
        <v>0</v>
      </c>
      <c r="I2084">
        <v>0</v>
      </c>
      <c r="J2084">
        <v>4418.66015625</v>
      </c>
      <c r="K2084">
        <v>4243.5417597762298</v>
      </c>
      <c r="L2084">
        <v>51.609000000000002</v>
      </c>
      <c r="M2084">
        <v>62.396000000000001</v>
      </c>
      <c r="N2084">
        <v>80.575999999999993</v>
      </c>
    </row>
    <row r="2085" spans="1:14" x14ac:dyDescent="0.45">
      <c r="A2085">
        <v>1990</v>
      </c>
      <c r="B2085" t="s">
        <v>175</v>
      </c>
      <c r="C2085">
        <v>1</v>
      </c>
      <c r="D2085">
        <v>0</v>
      </c>
      <c r="E2085">
        <v>0</v>
      </c>
      <c r="F2085">
        <v>0</v>
      </c>
      <c r="G2085">
        <v>0</v>
      </c>
      <c r="H2085">
        <v>1</v>
      </c>
      <c r="I2085">
        <v>1</v>
      </c>
      <c r="L2085">
        <v>0</v>
      </c>
      <c r="M2085">
        <v>79.436000000000007</v>
      </c>
      <c r="N2085">
        <v>10.76</v>
      </c>
    </row>
    <row r="2086" spans="1:14" x14ac:dyDescent="0.45">
      <c r="A2086">
        <v>1990</v>
      </c>
      <c r="B2086" t="s">
        <v>176</v>
      </c>
      <c r="C2086">
        <v>1</v>
      </c>
      <c r="D2086">
        <v>0</v>
      </c>
      <c r="E2086">
        <v>0</v>
      </c>
      <c r="F2086">
        <v>1</v>
      </c>
      <c r="G2086">
        <v>0</v>
      </c>
      <c r="H2086">
        <v>0</v>
      </c>
      <c r="I2086">
        <v>0</v>
      </c>
      <c r="J2086">
        <v>15902.8943232278</v>
      </c>
      <c r="K2086">
        <v>13640.033940080701</v>
      </c>
      <c r="L2086">
        <v>53.238</v>
      </c>
      <c r="M2086">
        <v>67.92</v>
      </c>
      <c r="N2086">
        <v>35.448999999999998</v>
      </c>
    </row>
    <row r="2087" spans="1:14" x14ac:dyDescent="0.45">
      <c r="A2087">
        <v>1990</v>
      </c>
      <c r="B2087" t="s">
        <v>177</v>
      </c>
      <c r="C2087">
        <v>0</v>
      </c>
      <c r="D2087">
        <v>0</v>
      </c>
      <c r="E2087">
        <v>1</v>
      </c>
      <c r="F2087">
        <v>0</v>
      </c>
      <c r="G2087">
        <v>0</v>
      </c>
      <c r="H2087">
        <v>0</v>
      </c>
      <c r="I2087">
        <v>0</v>
      </c>
      <c r="J2087">
        <v>1968.2723977112501</v>
      </c>
      <c r="K2087">
        <v>1823.4597957061401</v>
      </c>
      <c r="L2087">
        <v>76.433999999999997</v>
      </c>
      <c r="M2087">
        <v>52.14</v>
      </c>
      <c r="N2087">
        <v>155.44399999999999</v>
      </c>
    </row>
    <row r="2088" spans="1:14" x14ac:dyDescent="0.45">
      <c r="A2088">
        <v>1990</v>
      </c>
      <c r="B2088" t="s">
        <v>178</v>
      </c>
      <c r="C2088">
        <v>0</v>
      </c>
      <c r="D2088">
        <v>0</v>
      </c>
      <c r="E2088">
        <v>0</v>
      </c>
      <c r="F2088">
        <v>0</v>
      </c>
      <c r="G2088">
        <v>0</v>
      </c>
      <c r="H2088">
        <v>0</v>
      </c>
      <c r="I2088">
        <v>0</v>
      </c>
      <c r="J2088">
        <v>8945.8047908469598</v>
      </c>
      <c r="K2088">
        <v>8825.7815983016608</v>
      </c>
      <c r="L2088">
        <v>74.16</v>
      </c>
      <c r="M2088">
        <v>63.148000000000003</v>
      </c>
      <c r="N2088">
        <v>85.837999999999994</v>
      </c>
    </row>
    <row r="2089" spans="1:14" x14ac:dyDescent="0.45">
      <c r="A2089">
        <v>1990</v>
      </c>
      <c r="B2089" t="s">
        <v>179</v>
      </c>
      <c r="C2089">
        <v>0</v>
      </c>
      <c r="D2089">
        <v>1</v>
      </c>
      <c r="E2089">
        <v>0</v>
      </c>
      <c r="F2089">
        <v>0</v>
      </c>
      <c r="G2089">
        <v>1</v>
      </c>
      <c r="H2089">
        <v>0</v>
      </c>
      <c r="I2089">
        <v>0</v>
      </c>
      <c r="J2089">
        <v>17169.5925839593</v>
      </c>
      <c r="K2089">
        <v>15962.1442716899</v>
      </c>
      <c r="L2089">
        <v>28.581</v>
      </c>
      <c r="M2089">
        <v>69.034000000000006</v>
      </c>
      <c r="N2089">
        <v>45.133000000000003</v>
      </c>
    </row>
    <row r="2090" spans="1:14" x14ac:dyDescent="0.45">
      <c r="A2090">
        <v>1990</v>
      </c>
      <c r="B2090" t="s">
        <v>180</v>
      </c>
      <c r="C2090">
        <v>0</v>
      </c>
      <c r="D2090">
        <v>0</v>
      </c>
      <c r="E2090">
        <v>0</v>
      </c>
      <c r="F2090">
        <v>1</v>
      </c>
      <c r="G2090">
        <v>0</v>
      </c>
      <c r="H2090">
        <v>0</v>
      </c>
      <c r="I2090">
        <v>0</v>
      </c>
      <c r="J2090">
        <v>3905.58584891501</v>
      </c>
      <c r="K2090">
        <v>3532.5433749715498</v>
      </c>
      <c r="L2090">
        <v>34.945999999999998</v>
      </c>
      <c r="M2090">
        <v>61.756</v>
      </c>
      <c r="N2090">
        <v>47.859000000000002</v>
      </c>
    </row>
    <row r="2091" spans="1:14" x14ac:dyDescent="0.45">
      <c r="A2091">
        <v>1990</v>
      </c>
      <c r="B2091" t="s">
        <v>181</v>
      </c>
      <c r="C2091">
        <v>1</v>
      </c>
      <c r="D2091">
        <v>0</v>
      </c>
      <c r="E2091">
        <v>0</v>
      </c>
      <c r="F2091">
        <v>0</v>
      </c>
      <c r="G2091">
        <v>1</v>
      </c>
      <c r="H2091">
        <v>0</v>
      </c>
      <c r="I2091">
        <v>0</v>
      </c>
      <c r="J2091">
        <v>12903.7761288001</v>
      </c>
      <c r="K2091">
        <v>10893.2113983129</v>
      </c>
      <c r="L2091">
        <v>42.210999999999999</v>
      </c>
      <c r="M2091">
        <v>71.338999999999999</v>
      </c>
      <c r="N2091">
        <v>35.146000000000001</v>
      </c>
    </row>
    <row r="2092" spans="1:14" x14ac:dyDescent="0.45">
      <c r="A2092">
        <v>1990</v>
      </c>
      <c r="B2092" t="s">
        <v>182</v>
      </c>
      <c r="C2092">
        <v>0</v>
      </c>
      <c r="D2092">
        <v>0</v>
      </c>
      <c r="E2092">
        <v>1</v>
      </c>
      <c r="F2092">
        <v>0</v>
      </c>
      <c r="G2092">
        <v>0</v>
      </c>
      <c r="H2092">
        <v>0</v>
      </c>
      <c r="I2092">
        <v>0</v>
      </c>
      <c r="J2092">
        <v>1615.91915526502</v>
      </c>
      <c r="K2092">
        <v>1495.71057670969</v>
      </c>
      <c r="L2092">
        <v>76.677999999999997</v>
      </c>
      <c r="M2092">
        <v>46.540999999999997</v>
      </c>
      <c r="N2092">
        <v>234.19399999999999</v>
      </c>
    </row>
    <row r="2093" spans="1:14" x14ac:dyDescent="0.45">
      <c r="A2093">
        <v>1990</v>
      </c>
      <c r="B2093" t="s">
        <v>183</v>
      </c>
      <c r="C2093">
        <v>0</v>
      </c>
      <c r="D2093">
        <v>0</v>
      </c>
      <c r="E2093">
        <v>0</v>
      </c>
      <c r="F2093">
        <v>0</v>
      </c>
      <c r="G2093">
        <v>1</v>
      </c>
      <c r="H2093">
        <v>0</v>
      </c>
      <c r="I2093">
        <v>0</v>
      </c>
      <c r="J2093">
        <v>18190.550746523098</v>
      </c>
      <c r="K2093">
        <v>15735.7167461554</v>
      </c>
      <c r="L2093">
        <v>9.6189999999999998</v>
      </c>
      <c r="M2093">
        <v>76.16</v>
      </c>
      <c r="N2093">
        <v>10.737</v>
      </c>
    </row>
    <row r="2094" spans="1:14" x14ac:dyDescent="0.45">
      <c r="A2094">
        <v>1990</v>
      </c>
      <c r="B2094" t="s">
        <v>184</v>
      </c>
      <c r="C2094">
        <v>0</v>
      </c>
      <c r="D2094">
        <v>0</v>
      </c>
      <c r="E2094">
        <v>0</v>
      </c>
      <c r="F2094">
        <v>0</v>
      </c>
      <c r="G2094">
        <v>0</v>
      </c>
      <c r="H2094">
        <v>0</v>
      </c>
      <c r="I2094">
        <v>0</v>
      </c>
      <c r="J2094">
        <v>775.32825438199802</v>
      </c>
      <c r="K2094">
        <v>620.807761688661</v>
      </c>
      <c r="L2094">
        <v>74.757000000000005</v>
      </c>
      <c r="M2094">
        <v>57.158999999999999</v>
      </c>
      <c r="N2094">
        <v>114.904</v>
      </c>
    </row>
    <row r="2095" spans="1:14" x14ac:dyDescent="0.45">
      <c r="A2095">
        <v>1990</v>
      </c>
      <c r="B2095" t="s">
        <v>185</v>
      </c>
      <c r="C2095">
        <v>1</v>
      </c>
      <c r="D2095">
        <v>0</v>
      </c>
      <c r="E2095">
        <v>0</v>
      </c>
      <c r="F2095">
        <v>0</v>
      </c>
      <c r="G2095">
        <v>1</v>
      </c>
      <c r="H2095">
        <v>0</v>
      </c>
      <c r="I2095">
        <v>0</v>
      </c>
      <c r="L2095">
        <v>51.963000000000001</v>
      </c>
      <c r="M2095">
        <v>73.876999999999995</v>
      </c>
      <c r="N2095">
        <v>15.657</v>
      </c>
    </row>
    <row r="2096" spans="1:14" x14ac:dyDescent="0.45">
      <c r="A2096">
        <v>1990</v>
      </c>
      <c r="B2096" t="s">
        <v>186</v>
      </c>
      <c r="C2096">
        <v>0</v>
      </c>
      <c r="D2096">
        <v>0</v>
      </c>
      <c r="E2096">
        <v>0</v>
      </c>
      <c r="F2096">
        <v>1</v>
      </c>
      <c r="G2096">
        <v>0</v>
      </c>
      <c r="H2096">
        <v>0</v>
      </c>
      <c r="I2096">
        <v>0</v>
      </c>
      <c r="J2096">
        <v>6637.8192673119802</v>
      </c>
      <c r="K2096">
        <v>5114.2797843014296</v>
      </c>
      <c r="L2096">
        <v>42.966999999999999</v>
      </c>
      <c r="M2096">
        <v>58.817</v>
      </c>
      <c r="N2096">
        <v>107.401</v>
      </c>
    </row>
    <row r="2097" spans="1:14" x14ac:dyDescent="0.45">
      <c r="A2097">
        <v>1990</v>
      </c>
      <c r="B2097" t="s">
        <v>187</v>
      </c>
      <c r="C2097">
        <v>0</v>
      </c>
      <c r="D2097">
        <v>0</v>
      </c>
      <c r="E2097">
        <v>0</v>
      </c>
      <c r="F2097">
        <v>1</v>
      </c>
      <c r="G2097">
        <v>0</v>
      </c>
      <c r="H2097">
        <v>0</v>
      </c>
      <c r="I2097">
        <v>0</v>
      </c>
      <c r="L2097">
        <v>10.269</v>
      </c>
      <c r="M2097">
        <v>70.037999999999997</v>
      </c>
      <c r="N2097">
        <v>9.4610000000000003</v>
      </c>
    </row>
    <row r="2098" spans="1:14" x14ac:dyDescent="0.45">
      <c r="A2098">
        <v>1990</v>
      </c>
      <c r="B2098" t="s">
        <v>188</v>
      </c>
      <c r="C2098">
        <v>0</v>
      </c>
      <c r="D2098">
        <v>0</v>
      </c>
      <c r="E2098">
        <v>1</v>
      </c>
      <c r="F2098">
        <v>0</v>
      </c>
      <c r="G2098">
        <v>0</v>
      </c>
      <c r="H2098">
        <v>0</v>
      </c>
      <c r="I2098">
        <v>0</v>
      </c>
      <c r="J2098">
        <v>547.62278143219601</v>
      </c>
      <c r="K2098">
        <v>458.52450315166197</v>
      </c>
      <c r="L2098">
        <v>75</v>
      </c>
      <c r="M2098">
        <v>44.337000000000003</v>
      </c>
      <c r="N2098">
        <v>242.369</v>
      </c>
    </row>
    <row r="2099" spans="1:14" x14ac:dyDescent="0.45">
      <c r="A2099">
        <v>1990</v>
      </c>
      <c r="B2099" t="s">
        <v>189</v>
      </c>
      <c r="C2099">
        <v>0</v>
      </c>
      <c r="D2099">
        <v>0</v>
      </c>
      <c r="E2099">
        <v>1</v>
      </c>
      <c r="F2099">
        <v>0</v>
      </c>
      <c r="G2099">
        <v>0</v>
      </c>
      <c r="H2099">
        <v>0</v>
      </c>
      <c r="I2099">
        <v>0</v>
      </c>
      <c r="J2099">
        <v>5519.61034144322</v>
      </c>
      <c r="K2099">
        <v>4883.2730700781103</v>
      </c>
      <c r="L2099">
        <v>60.677</v>
      </c>
      <c r="M2099">
        <v>58.087000000000003</v>
      </c>
      <c r="N2099">
        <v>117.771</v>
      </c>
    </row>
    <row r="2100" spans="1:14" x14ac:dyDescent="0.45">
      <c r="A2100">
        <v>1990</v>
      </c>
      <c r="B2100" t="s">
        <v>190</v>
      </c>
      <c r="C2100">
        <v>0</v>
      </c>
      <c r="D2100">
        <v>0</v>
      </c>
      <c r="E2100">
        <v>1</v>
      </c>
      <c r="F2100">
        <v>1</v>
      </c>
      <c r="G2100">
        <v>0</v>
      </c>
      <c r="H2100">
        <v>0</v>
      </c>
      <c r="I2100">
        <v>0</v>
      </c>
      <c r="J2100">
        <v>8951.3380135438401</v>
      </c>
      <c r="K2100">
        <v>8401.9468080869792</v>
      </c>
      <c r="L2100">
        <v>56.1</v>
      </c>
      <c r="M2100">
        <v>69.771000000000001</v>
      </c>
      <c r="N2100">
        <v>22.861000000000001</v>
      </c>
    </row>
    <row r="2101" spans="1:14" x14ac:dyDescent="0.45">
      <c r="A2101">
        <v>1990</v>
      </c>
      <c r="B2101" t="s">
        <v>191</v>
      </c>
      <c r="C2101">
        <v>0</v>
      </c>
      <c r="D2101">
        <v>0</v>
      </c>
      <c r="E2101">
        <v>1</v>
      </c>
      <c r="F2101">
        <v>0</v>
      </c>
      <c r="G2101">
        <v>0</v>
      </c>
      <c r="H2101">
        <v>0</v>
      </c>
      <c r="I2101">
        <v>0</v>
      </c>
      <c r="J2101">
        <v>1047.46436351132</v>
      </c>
      <c r="K2101">
        <v>896.27479095712295</v>
      </c>
      <c r="L2101">
        <v>88.44</v>
      </c>
      <c r="M2101">
        <v>43.575000000000003</v>
      </c>
      <c r="N2101">
        <v>240.458</v>
      </c>
    </row>
    <row r="2102" spans="1:14" x14ac:dyDescent="0.45">
      <c r="A2102">
        <v>1990</v>
      </c>
      <c r="B2102" t="s">
        <v>192</v>
      </c>
      <c r="C2102">
        <v>0</v>
      </c>
      <c r="D2102">
        <v>0</v>
      </c>
      <c r="E2102">
        <v>0</v>
      </c>
      <c r="F2102">
        <v>1</v>
      </c>
      <c r="G2102">
        <v>0</v>
      </c>
      <c r="H2102">
        <v>0</v>
      </c>
      <c r="I2102">
        <v>0</v>
      </c>
      <c r="J2102">
        <v>12013.696948311201</v>
      </c>
      <c r="K2102">
        <v>10738.8275596817</v>
      </c>
      <c r="L2102">
        <v>50.206000000000003</v>
      </c>
      <c r="M2102">
        <v>70.951999999999998</v>
      </c>
      <c r="N2102">
        <v>16.683</v>
      </c>
    </row>
    <row r="2103" spans="1:14" x14ac:dyDescent="0.45">
      <c r="A2103">
        <v>1990</v>
      </c>
      <c r="B2103" t="s">
        <v>193</v>
      </c>
      <c r="C2103">
        <v>0</v>
      </c>
      <c r="D2103">
        <v>0</v>
      </c>
      <c r="E2103">
        <v>1</v>
      </c>
      <c r="F2103">
        <v>1</v>
      </c>
      <c r="G2103">
        <v>0</v>
      </c>
      <c r="H2103">
        <v>0</v>
      </c>
      <c r="I2103">
        <v>0</v>
      </c>
      <c r="J2103">
        <v>7281.77892577888</v>
      </c>
      <c r="K2103">
        <v>6311.1163707106998</v>
      </c>
      <c r="L2103">
        <v>72.343999999999994</v>
      </c>
      <c r="M2103">
        <v>61.359000000000002</v>
      </c>
      <c r="N2103">
        <v>75.284000000000006</v>
      </c>
    </row>
    <row r="2104" spans="1:14" x14ac:dyDescent="0.45">
      <c r="A2104">
        <v>1990</v>
      </c>
      <c r="B2104" t="s">
        <v>194</v>
      </c>
      <c r="C2104">
        <v>0</v>
      </c>
      <c r="D2104">
        <v>0</v>
      </c>
      <c r="E2104">
        <v>0</v>
      </c>
      <c r="F2104">
        <v>0</v>
      </c>
      <c r="G2104">
        <v>1</v>
      </c>
      <c r="H2104">
        <v>0</v>
      </c>
      <c r="I2104">
        <v>0</v>
      </c>
      <c r="L2104">
        <v>40.423000000000002</v>
      </c>
      <c r="M2104">
        <v>69.525999999999996</v>
      </c>
      <c r="N2104">
        <v>32.194000000000003</v>
      </c>
    </row>
    <row r="2105" spans="1:14" x14ac:dyDescent="0.45">
      <c r="A2105">
        <v>1990</v>
      </c>
      <c r="B2105" t="s">
        <v>195</v>
      </c>
      <c r="C2105">
        <v>0</v>
      </c>
      <c r="D2105">
        <v>0</v>
      </c>
      <c r="E2105">
        <v>1</v>
      </c>
      <c r="F2105">
        <v>0</v>
      </c>
      <c r="G2105">
        <v>0</v>
      </c>
      <c r="H2105">
        <v>0</v>
      </c>
      <c r="I2105">
        <v>0</v>
      </c>
      <c r="J2105">
        <v>1411.84892200281</v>
      </c>
      <c r="K2105">
        <v>1122.1829620630799</v>
      </c>
      <c r="L2105">
        <v>84.632000000000005</v>
      </c>
      <c r="M2105">
        <v>41.731999999999999</v>
      </c>
      <c r="N2105">
        <v>332.28399999999999</v>
      </c>
    </row>
    <row r="2106" spans="1:14" x14ac:dyDescent="0.45">
      <c r="A2106">
        <v>1990</v>
      </c>
      <c r="B2106" t="s">
        <v>196</v>
      </c>
      <c r="C2106">
        <v>0</v>
      </c>
      <c r="D2106">
        <v>0</v>
      </c>
      <c r="E2106">
        <v>1</v>
      </c>
      <c r="F2106">
        <v>0</v>
      </c>
      <c r="G2106">
        <v>0</v>
      </c>
      <c r="H2106">
        <v>0</v>
      </c>
      <c r="I2106">
        <v>0</v>
      </c>
      <c r="J2106">
        <v>3650.67300166823</v>
      </c>
      <c r="K2106">
        <v>3227.6869638440699</v>
      </c>
      <c r="L2106">
        <v>70.319999999999993</v>
      </c>
      <c r="M2106">
        <v>45.732999999999997</v>
      </c>
      <c r="N2106">
        <v>209.37899999999999</v>
      </c>
    </row>
    <row r="2107" spans="1:14" x14ac:dyDescent="0.45">
      <c r="A2107">
        <v>1990</v>
      </c>
      <c r="B2107" t="s">
        <v>197</v>
      </c>
      <c r="C2107">
        <v>0</v>
      </c>
      <c r="D2107">
        <v>1</v>
      </c>
      <c r="E2107">
        <v>0</v>
      </c>
      <c r="F2107">
        <v>1</v>
      </c>
      <c r="G2107">
        <v>0</v>
      </c>
      <c r="H2107">
        <v>0</v>
      </c>
      <c r="I2107">
        <v>0</v>
      </c>
      <c r="J2107">
        <v>4217.6088849948401</v>
      </c>
      <c r="K2107">
        <v>3552.3449865550401</v>
      </c>
      <c r="L2107">
        <v>46.924999999999997</v>
      </c>
      <c r="M2107">
        <v>62.472999999999999</v>
      </c>
      <c r="N2107">
        <v>74.858000000000004</v>
      </c>
    </row>
    <row r="2108" spans="1:14" x14ac:dyDescent="0.45">
      <c r="A2108">
        <v>1990</v>
      </c>
      <c r="B2108" t="s">
        <v>198</v>
      </c>
      <c r="C2108">
        <v>1</v>
      </c>
      <c r="D2108">
        <v>0</v>
      </c>
      <c r="E2108">
        <v>0</v>
      </c>
      <c r="F2108">
        <v>0</v>
      </c>
      <c r="G2108">
        <v>0</v>
      </c>
      <c r="H2108">
        <v>1</v>
      </c>
      <c r="I2108">
        <v>1</v>
      </c>
      <c r="J2108">
        <v>43128.312639093798</v>
      </c>
      <c r="K2108">
        <v>36406.464293396297</v>
      </c>
      <c r="L2108">
        <v>31.315999999999999</v>
      </c>
      <c r="M2108">
        <v>77.012</v>
      </c>
      <c r="N2108">
        <v>8.8559999999999999</v>
      </c>
    </row>
    <row r="2109" spans="1:14" x14ac:dyDescent="0.45">
      <c r="A2109">
        <v>1990</v>
      </c>
      <c r="B2109" t="s">
        <v>199</v>
      </c>
      <c r="C2109">
        <v>1</v>
      </c>
      <c r="D2109">
        <v>0</v>
      </c>
      <c r="E2109">
        <v>0</v>
      </c>
      <c r="F2109">
        <v>0</v>
      </c>
      <c r="G2109">
        <v>0</v>
      </c>
      <c r="H2109">
        <v>1</v>
      </c>
      <c r="I2109">
        <v>1</v>
      </c>
      <c r="J2109">
        <v>57106.883947700502</v>
      </c>
      <c r="K2109">
        <v>42195.568840013097</v>
      </c>
      <c r="L2109">
        <v>28.044</v>
      </c>
      <c r="M2109">
        <v>76.585999999999999</v>
      </c>
      <c r="N2109">
        <v>8.5419999999999998</v>
      </c>
    </row>
    <row r="2110" spans="1:14" x14ac:dyDescent="0.45">
      <c r="A2110">
        <v>1990</v>
      </c>
      <c r="B2110" t="s">
        <v>200</v>
      </c>
      <c r="C2110">
        <v>0</v>
      </c>
      <c r="D2110">
        <v>0</v>
      </c>
      <c r="E2110">
        <v>0</v>
      </c>
      <c r="F2110">
        <v>0</v>
      </c>
      <c r="G2110">
        <v>0</v>
      </c>
      <c r="H2110">
        <v>0</v>
      </c>
      <c r="I2110">
        <v>0</v>
      </c>
      <c r="J2110">
        <v>1808.2649004165401</v>
      </c>
      <c r="K2110">
        <v>1600.8694343716099</v>
      </c>
      <c r="L2110">
        <v>91.146000000000001</v>
      </c>
      <c r="M2110">
        <v>54.771000000000001</v>
      </c>
      <c r="N2110">
        <v>138.45099999999999</v>
      </c>
    </row>
    <row r="2111" spans="1:14" x14ac:dyDescent="0.45">
      <c r="A2111">
        <v>1990</v>
      </c>
      <c r="B2111" t="s">
        <v>201</v>
      </c>
      <c r="C2111">
        <v>0</v>
      </c>
      <c r="D2111">
        <v>0</v>
      </c>
      <c r="E2111">
        <v>0</v>
      </c>
      <c r="F2111">
        <v>0</v>
      </c>
      <c r="G2111">
        <v>0</v>
      </c>
      <c r="H2111">
        <v>1</v>
      </c>
      <c r="I2111">
        <v>1</v>
      </c>
      <c r="J2111">
        <v>30546.292326745901</v>
      </c>
      <c r="K2111">
        <v>27635.855932357401</v>
      </c>
      <c r="L2111">
        <v>0</v>
      </c>
      <c r="M2111">
        <v>59.101999999999997</v>
      </c>
      <c r="N2111">
        <v>61.753999999999998</v>
      </c>
    </row>
    <row r="2112" spans="1:14" x14ac:dyDescent="0.45">
      <c r="A2112">
        <v>1990</v>
      </c>
      <c r="B2112" t="s">
        <v>202</v>
      </c>
      <c r="C2112">
        <v>0</v>
      </c>
      <c r="D2112">
        <v>0</v>
      </c>
      <c r="E2112">
        <v>0</v>
      </c>
      <c r="F2112">
        <v>0</v>
      </c>
      <c r="G2112">
        <v>0</v>
      </c>
      <c r="H2112">
        <v>1</v>
      </c>
      <c r="I2112">
        <v>1</v>
      </c>
      <c r="J2112">
        <v>30695.467348639198</v>
      </c>
      <c r="K2112">
        <v>27919.123719114301</v>
      </c>
      <c r="L2112">
        <v>15.257999999999999</v>
      </c>
      <c r="M2112">
        <v>75.424999999999997</v>
      </c>
      <c r="N2112">
        <v>10.692</v>
      </c>
    </row>
    <row r="2113" spans="1:14" x14ac:dyDescent="0.45">
      <c r="A2113">
        <v>1990</v>
      </c>
      <c r="B2113" t="s">
        <v>203</v>
      </c>
      <c r="C2113">
        <v>0</v>
      </c>
      <c r="D2113">
        <v>0</v>
      </c>
      <c r="E2113">
        <v>0</v>
      </c>
      <c r="F2113">
        <v>0</v>
      </c>
      <c r="G2113">
        <v>1</v>
      </c>
      <c r="H2113">
        <v>0</v>
      </c>
      <c r="I2113">
        <v>0</v>
      </c>
      <c r="J2113">
        <v>35201.5524871089</v>
      </c>
      <c r="K2113">
        <v>30587.353626888202</v>
      </c>
      <c r="L2113">
        <v>33.898000000000003</v>
      </c>
      <c r="M2113">
        <v>69.012</v>
      </c>
      <c r="N2113">
        <v>39.332000000000001</v>
      </c>
    </row>
    <row r="2114" spans="1:14" x14ac:dyDescent="0.45">
      <c r="A2114">
        <v>1990</v>
      </c>
      <c r="B2114" t="s">
        <v>204</v>
      </c>
      <c r="C2114">
        <v>0</v>
      </c>
      <c r="D2114">
        <v>0</v>
      </c>
      <c r="E2114">
        <v>0</v>
      </c>
      <c r="F2114">
        <v>0</v>
      </c>
      <c r="G2114">
        <v>0</v>
      </c>
      <c r="H2114">
        <v>0</v>
      </c>
      <c r="I2114">
        <v>0</v>
      </c>
      <c r="J2114">
        <v>3199.7296260983298</v>
      </c>
      <c r="K2114">
        <v>3045.8187278667201</v>
      </c>
      <c r="L2114">
        <v>69.424000000000007</v>
      </c>
      <c r="M2114">
        <v>59.728000000000002</v>
      </c>
      <c r="N2114">
        <v>139.602</v>
      </c>
    </row>
    <row r="2115" spans="1:14" x14ac:dyDescent="0.45">
      <c r="A2115">
        <v>1990</v>
      </c>
      <c r="B2115" t="s">
        <v>205</v>
      </c>
      <c r="C2115">
        <v>0</v>
      </c>
      <c r="D2115">
        <v>1</v>
      </c>
      <c r="E2115">
        <v>0</v>
      </c>
      <c r="F2115">
        <v>1</v>
      </c>
      <c r="G2115">
        <v>0</v>
      </c>
      <c r="H2115">
        <v>0</v>
      </c>
      <c r="I2115">
        <v>0</v>
      </c>
      <c r="J2115">
        <v>11335.935367202899</v>
      </c>
      <c r="K2115">
        <v>11886.6127939124</v>
      </c>
      <c r="L2115">
        <v>46.097000000000001</v>
      </c>
      <c r="M2115">
        <v>71.266000000000005</v>
      </c>
      <c r="N2115">
        <v>30.640999999999998</v>
      </c>
    </row>
    <row r="2116" spans="1:14" x14ac:dyDescent="0.45">
      <c r="A2116">
        <v>1990</v>
      </c>
      <c r="B2116" t="s">
        <v>206</v>
      </c>
      <c r="C2116">
        <v>0</v>
      </c>
      <c r="D2116">
        <v>1</v>
      </c>
      <c r="E2116">
        <v>0</v>
      </c>
      <c r="F2116">
        <v>1</v>
      </c>
      <c r="G2116">
        <v>0</v>
      </c>
      <c r="H2116">
        <v>0</v>
      </c>
      <c r="I2116">
        <v>0</v>
      </c>
      <c r="J2116">
        <v>6317.0790671090199</v>
      </c>
      <c r="K2116">
        <v>5278.4516076094096</v>
      </c>
      <c r="L2116">
        <v>31.099</v>
      </c>
      <c r="M2116">
        <v>63.978999999999999</v>
      </c>
      <c r="N2116">
        <v>80.085999999999999</v>
      </c>
    </row>
    <row r="2117" spans="1:14" x14ac:dyDescent="0.45">
      <c r="A2117">
        <v>1990</v>
      </c>
      <c r="B2117" t="s">
        <v>207</v>
      </c>
      <c r="C2117">
        <v>0</v>
      </c>
      <c r="D2117">
        <v>0</v>
      </c>
      <c r="E2117">
        <v>0</v>
      </c>
      <c r="F2117">
        <v>1</v>
      </c>
      <c r="G2117">
        <v>0</v>
      </c>
      <c r="H2117">
        <v>0</v>
      </c>
      <c r="I2117">
        <v>0</v>
      </c>
      <c r="J2117">
        <v>4504.4623038356704</v>
      </c>
      <c r="K2117">
        <v>4079.2436470489001</v>
      </c>
      <c r="L2117">
        <v>53.014000000000003</v>
      </c>
      <c r="M2117">
        <v>64.382000000000005</v>
      </c>
      <c r="N2117">
        <v>57.305</v>
      </c>
    </row>
    <row r="2118" spans="1:14" x14ac:dyDescent="0.45">
      <c r="A2118">
        <v>1990</v>
      </c>
      <c r="B2118" t="s">
        <v>208</v>
      </c>
      <c r="C2118">
        <v>0</v>
      </c>
      <c r="D2118">
        <v>0</v>
      </c>
      <c r="E2118">
        <v>0</v>
      </c>
      <c r="F2118">
        <v>0</v>
      </c>
      <c r="G2118">
        <v>1</v>
      </c>
      <c r="H2118">
        <v>0</v>
      </c>
      <c r="I2118">
        <v>0</v>
      </c>
      <c r="J2118">
        <v>17842.082901248799</v>
      </c>
      <c r="K2118">
        <v>16142.097617534901</v>
      </c>
      <c r="L2118">
        <v>30.407</v>
      </c>
      <c r="M2118">
        <v>62.79</v>
      </c>
      <c r="N2118">
        <v>35.301000000000002</v>
      </c>
    </row>
    <row r="2119" spans="1:14" x14ac:dyDescent="0.45">
      <c r="A2119">
        <v>1990</v>
      </c>
      <c r="B2119" t="s">
        <v>209</v>
      </c>
      <c r="C2119">
        <v>0</v>
      </c>
      <c r="D2119">
        <v>0</v>
      </c>
      <c r="E2119">
        <v>0</v>
      </c>
      <c r="F2119">
        <v>1</v>
      </c>
      <c r="G2119">
        <v>0</v>
      </c>
      <c r="H2119">
        <v>0</v>
      </c>
      <c r="I2119">
        <v>0</v>
      </c>
      <c r="J2119">
        <v>3164.1488734876598</v>
      </c>
      <c r="K2119">
        <v>2862.29332962334</v>
      </c>
      <c r="L2119">
        <v>85.006</v>
      </c>
      <c r="M2119">
        <v>59.777999999999999</v>
      </c>
      <c r="N2119">
        <v>84.959000000000003</v>
      </c>
    </row>
    <row r="2120" spans="1:14" x14ac:dyDescent="0.45">
      <c r="A2120">
        <v>1990</v>
      </c>
      <c r="B2120" t="s">
        <v>210</v>
      </c>
      <c r="C2120">
        <v>1</v>
      </c>
      <c r="D2120">
        <v>0</v>
      </c>
      <c r="E2120">
        <v>0</v>
      </c>
      <c r="F2120">
        <v>1</v>
      </c>
      <c r="G2120">
        <v>0</v>
      </c>
      <c r="H2120">
        <v>0</v>
      </c>
      <c r="I2120">
        <v>0</v>
      </c>
      <c r="J2120">
        <v>12821.4636316574</v>
      </c>
      <c r="K2120">
        <v>11067.1163987662</v>
      </c>
      <c r="L2120">
        <v>38.729999999999997</v>
      </c>
      <c r="M2120">
        <v>70.605999999999995</v>
      </c>
      <c r="N2120">
        <v>21.286999999999999</v>
      </c>
    </row>
    <row r="2121" spans="1:14" x14ac:dyDescent="0.45">
      <c r="A2121">
        <v>1990</v>
      </c>
      <c r="B2121" t="s">
        <v>211</v>
      </c>
      <c r="C2121">
        <v>0</v>
      </c>
      <c r="D2121">
        <v>1</v>
      </c>
      <c r="E2121">
        <v>0</v>
      </c>
      <c r="F2121">
        <v>0</v>
      </c>
      <c r="G2121">
        <v>1</v>
      </c>
      <c r="H2121">
        <v>0</v>
      </c>
      <c r="I2121">
        <v>0</v>
      </c>
      <c r="J2121">
        <v>26738.814440527301</v>
      </c>
      <c r="K2121">
        <v>20541.846370162901</v>
      </c>
      <c r="L2121">
        <v>7.0580000000000096</v>
      </c>
      <c r="M2121">
        <v>72.826999999999998</v>
      </c>
      <c r="N2121">
        <v>22.983000000000001</v>
      </c>
    </row>
    <row r="2122" spans="1:14" x14ac:dyDescent="0.45">
      <c r="A2122">
        <v>1990</v>
      </c>
      <c r="B2122" t="s">
        <v>212</v>
      </c>
      <c r="C2122">
        <v>0</v>
      </c>
      <c r="D2122">
        <v>0</v>
      </c>
      <c r="E2122">
        <v>0</v>
      </c>
      <c r="F2122">
        <v>1</v>
      </c>
      <c r="G2122">
        <v>0</v>
      </c>
      <c r="H2122">
        <v>0</v>
      </c>
      <c r="I2122">
        <v>0</v>
      </c>
      <c r="L2122">
        <v>41.616</v>
      </c>
      <c r="M2122">
        <v>70.483999999999995</v>
      </c>
      <c r="N2122">
        <v>40.856999999999999</v>
      </c>
    </row>
    <row r="2123" spans="1:14" x14ac:dyDescent="0.45">
      <c r="A2123">
        <v>1990</v>
      </c>
      <c r="B2123" t="s">
        <v>213</v>
      </c>
      <c r="C2123">
        <v>1</v>
      </c>
      <c r="D2123">
        <v>0</v>
      </c>
      <c r="E2123">
        <v>0</v>
      </c>
      <c r="F2123">
        <v>0</v>
      </c>
      <c r="G2123">
        <v>1</v>
      </c>
      <c r="H2123">
        <v>0</v>
      </c>
      <c r="I2123">
        <v>0</v>
      </c>
      <c r="J2123">
        <v>27190.5717704405</v>
      </c>
      <c r="K2123">
        <v>23503.070550732398</v>
      </c>
      <c r="L2123">
        <v>52.085000000000001</v>
      </c>
      <c r="M2123">
        <v>74.304000000000002</v>
      </c>
      <c r="N2123">
        <v>13.75</v>
      </c>
    </row>
    <row r="2124" spans="1:14" x14ac:dyDescent="0.45">
      <c r="A2124">
        <v>1990</v>
      </c>
      <c r="B2124" t="s">
        <v>214</v>
      </c>
      <c r="C2124">
        <v>0</v>
      </c>
      <c r="D2124">
        <v>1</v>
      </c>
      <c r="E2124">
        <v>0</v>
      </c>
      <c r="F2124">
        <v>1</v>
      </c>
      <c r="G2124">
        <v>0</v>
      </c>
      <c r="H2124">
        <v>0</v>
      </c>
      <c r="I2124">
        <v>0</v>
      </c>
      <c r="J2124">
        <v>9962.4802784298608</v>
      </c>
      <c r="K2124">
        <v>9089.1596423732408</v>
      </c>
      <c r="L2124">
        <v>51.305999999999997</v>
      </c>
      <c r="M2124">
        <v>67.340999999999994</v>
      </c>
      <c r="N2124">
        <v>45.633000000000003</v>
      </c>
    </row>
    <row r="2125" spans="1:14" x14ac:dyDescent="0.45">
      <c r="A2125">
        <v>1990</v>
      </c>
      <c r="B2125" t="s">
        <v>215</v>
      </c>
      <c r="C2125">
        <v>0</v>
      </c>
      <c r="D2125">
        <v>0</v>
      </c>
      <c r="E2125">
        <v>0</v>
      </c>
      <c r="F2125">
        <v>1</v>
      </c>
      <c r="G2125">
        <v>0</v>
      </c>
      <c r="H2125">
        <v>0</v>
      </c>
      <c r="I2125">
        <v>0</v>
      </c>
      <c r="L2125">
        <v>32.290999999999997</v>
      </c>
      <c r="M2125">
        <v>67.802999999999997</v>
      </c>
      <c r="N2125">
        <v>44.87</v>
      </c>
    </row>
    <row r="2126" spans="1:14" x14ac:dyDescent="0.45">
      <c r="A2126">
        <v>1990</v>
      </c>
      <c r="B2126" t="s">
        <v>216</v>
      </c>
      <c r="C2126">
        <v>0</v>
      </c>
      <c r="D2126">
        <v>0</v>
      </c>
      <c r="E2126">
        <v>0</v>
      </c>
      <c r="F2126">
        <v>0</v>
      </c>
      <c r="G2126">
        <v>0</v>
      </c>
      <c r="H2126">
        <v>1</v>
      </c>
      <c r="I2126">
        <v>1</v>
      </c>
      <c r="L2126">
        <v>42.148000000000003</v>
      </c>
      <c r="M2126">
        <v>73.908000000000001</v>
      </c>
      <c r="N2126">
        <v>20.015999999999998</v>
      </c>
    </row>
    <row r="2127" spans="1:14" x14ac:dyDescent="0.45">
      <c r="A2127">
        <v>1990</v>
      </c>
      <c r="B2127" t="s">
        <v>217</v>
      </c>
      <c r="C2127">
        <v>0</v>
      </c>
      <c r="D2127">
        <v>0</v>
      </c>
      <c r="E2127">
        <v>0</v>
      </c>
      <c r="F2127">
        <v>0</v>
      </c>
      <c r="G2127">
        <v>0</v>
      </c>
      <c r="H2127">
        <v>1</v>
      </c>
      <c r="I2127">
        <v>1</v>
      </c>
      <c r="J2127">
        <v>71584.446631601895</v>
      </c>
      <c r="K2127">
        <v>61813.016615099899</v>
      </c>
      <c r="L2127">
        <v>7.2140000000000004</v>
      </c>
      <c r="M2127">
        <v>73.405000000000001</v>
      </c>
      <c r="N2127">
        <v>20.780999999999999</v>
      </c>
    </row>
    <row r="2128" spans="1:14" x14ac:dyDescent="0.45">
      <c r="A2128">
        <v>1990</v>
      </c>
      <c r="B2128" t="s">
        <v>218</v>
      </c>
      <c r="C2128">
        <v>1</v>
      </c>
      <c r="D2128">
        <v>0</v>
      </c>
      <c r="E2128">
        <v>0</v>
      </c>
      <c r="F2128">
        <v>1</v>
      </c>
      <c r="G2128">
        <v>0</v>
      </c>
      <c r="H2128">
        <v>0</v>
      </c>
      <c r="I2128">
        <v>0</v>
      </c>
      <c r="J2128">
        <v>16315.092506302701</v>
      </c>
      <c r="K2128">
        <v>13261.4955951423</v>
      </c>
      <c r="L2128">
        <v>46.783000000000001</v>
      </c>
      <c r="M2128">
        <v>69.840999999999994</v>
      </c>
      <c r="N2128">
        <v>32.087000000000003</v>
      </c>
    </row>
    <row r="2129" spans="1:14" x14ac:dyDescent="0.45">
      <c r="A2129">
        <v>1990</v>
      </c>
      <c r="B2129" t="s">
        <v>219</v>
      </c>
      <c r="C2129">
        <v>1</v>
      </c>
      <c r="D2129">
        <v>0</v>
      </c>
      <c r="E2129">
        <v>0</v>
      </c>
      <c r="F2129">
        <v>0</v>
      </c>
      <c r="G2129">
        <v>1</v>
      </c>
      <c r="H2129">
        <v>0</v>
      </c>
      <c r="I2129">
        <v>0</v>
      </c>
      <c r="J2129">
        <v>29643.595703125</v>
      </c>
      <c r="K2129">
        <v>21482.748262264398</v>
      </c>
      <c r="L2129">
        <v>26.606000000000002</v>
      </c>
      <c r="M2129">
        <v>69.278999999999996</v>
      </c>
      <c r="N2129">
        <v>20.806000000000001</v>
      </c>
    </row>
    <row r="2130" spans="1:14" x14ac:dyDescent="0.45">
      <c r="A2130">
        <v>1990</v>
      </c>
      <c r="B2130" t="s">
        <v>220</v>
      </c>
      <c r="C2130">
        <v>0</v>
      </c>
      <c r="D2130">
        <v>0</v>
      </c>
      <c r="E2130">
        <v>1</v>
      </c>
      <c r="F2130">
        <v>0</v>
      </c>
      <c r="G2130">
        <v>0</v>
      </c>
      <c r="H2130">
        <v>0</v>
      </c>
      <c r="I2130">
        <v>0</v>
      </c>
      <c r="J2130">
        <v>1122.9913241455799</v>
      </c>
      <c r="K2130">
        <v>939.77962107855001</v>
      </c>
      <c r="L2130">
        <v>94.584000000000003</v>
      </c>
      <c r="M2130">
        <v>47.762999999999998</v>
      </c>
      <c r="N2130">
        <v>160.31299999999999</v>
      </c>
    </row>
    <row r="2131" spans="1:14" x14ac:dyDescent="0.45">
      <c r="A2131">
        <v>1990</v>
      </c>
      <c r="B2131" t="s">
        <v>221</v>
      </c>
      <c r="C2131">
        <v>0</v>
      </c>
      <c r="D2131">
        <v>0</v>
      </c>
      <c r="E2131">
        <v>0</v>
      </c>
      <c r="F2131">
        <v>0</v>
      </c>
      <c r="G2131">
        <v>1</v>
      </c>
      <c r="H2131">
        <v>0</v>
      </c>
      <c r="I2131">
        <v>0</v>
      </c>
      <c r="J2131">
        <v>65196.573386053002</v>
      </c>
      <c r="K2131">
        <v>59770.786810110498</v>
      </c>
      <c r="L2131">
        <v>23.417000000000002</v>
      </c>
      <c r="M2131">
        <v>68.873999999999995</v>
      </c>
      <c r="N2131">
        <v>44.405999999999999</v>
      </c>
    </row>
    <row r="2132" spans="1:14" x14ac:dyDescent="0.45">
      <c r="A2132">
        <v>1990</v>
      </c>
      <c r="B2132" t="s">
        <v>222</v>
      </c>
      <c r="C2132">
        <v>0</v>
      </c>
      <c r="D2132">
        <v>0</v>
      </c>
      <c r="E2132">
        <v>1</v>
      </c>
      <c r="F2132">
        <v>0</v>
      </c>
      <c r="G2132">
        <v>0</v>
      </c>
      <c r="H2132">
        <v>0</v>
      </c>
      <c r="I2132">
        <v>0</v>
      </c>
      <c r="J2132">
        <v>2460.18872070313</v>
      </c>
      <c r="K2132">
        <v>2576.1420261282201</v>
      </c>
      <c r="L2132">
        <v>71.39</v>
      </c>
      <c r="M2132">
        <v>55.497</v>
      </c>
      <c r="N2132">
        <v>131.51499999999999</v>
      </c>
    </row>
    <row r="2133" spans="1:14" x14ac:dyDescent="0.45">
      <c r="A2133">
        <v>1990</v>
      </c>
      <c r="B2133" t="s">
        <v>223</v>
      </c>
      <c r="C2133">
        <v>0</v>
      </c>
      <c r="D2133">
        <v>0</v>
      </c>
      <c r="E2133">
        <v>1</v>
      </c>
      <c r="F2133">
        <v>1</v>
      </c>
      <c r="G2133">
        <v>0</v>
      </c>
      <c r="H2133">
        <v>0</v>
      </c>
      <c r="I2133">
        <v>0</v>
      </c>
      <c r="J2133">
        <v>2923.34412469673</v>
      </c>
      <c r="K2133">
        <v>2442.27571823167</v>
      </c>
      <c r="L2133">
        <v>61.103999999999999</v>
      </c>
      <c r="M2133">
        <v>56.673999999999999</v>
      </c>
      <c r="N2133">
        <v>142.16</v>
      </c>
    </row>
    <row r="2134" spans="1:14" x14ac:dyDescent="0.45">
      <c r="A2134">
        <v>1990</v>
      </c>
      <c r="B2134" t="s">
        <v>224</v>
      </c>
      <c r="C2134">
        <v>0</v>
      </c>
      <c r="D2134">
        <v>0</v>
      </c>
      <c r="E2134">
        <v>0</v>
      </c>
      <c r="F2134">
        <v>0</v>
      </c>
      <c r="G2134">
        <v>0</v>
      </c>
      <c r="H2134">
        <v>1</v>
      </c>
      <c r="I2134">
        <v>1</v>
      </c>
      <c r="J2134">
        <v>45567.790389146299</v>
      </c>
      <c r="K2134">
        <v>37458.423978301304</v>
      </c>
      <c r="L2134">
        <v>0</v>
      </c>
      <c r="M2134">
        <v>74.597999999999999</v>
      </c>
      <c r="N2134">
        <v>7.5810000000000004</v>
      </c>
    </row>
    <row r="2135" spans="1:14" x14ac:dyDescent="0.45">
      <c r="A2135">
        <v>1990</v>
      </c>
      <c r="B2135" t="s">
        <v>225</v>
      </c>
      <c r="C2135">
        <v>0</v>
      </c>
      <c r="D2135">
        <v>0</v>
      </c>
      <c r="E2135">
        <v>0</v>
      </c>
      <c r="F2135">
        <v>0</v>
      </c>
      <c r="G2135">
        <v>0</v>
      </c>
      <c r="H2135">
        <v>0</v>
      </c>
      <c r="I2135">
        <v>0</v>
      </c>
      <c r="J2135">
        <v>2352.4197487972901</v>
      </c>
      <c r="K2135">
        <v>2127.9352951682099</v>
      </c>
      <c r="L2135">
        <v>86.322999999999993</v>
      </c>
      <c r="M2135">
        <v>66.194000000000003</v>
      </c>
      <c r="N2135">
        <v>38.191000000000003</v>
      </c>
    </row>
    <row r="2136" spans="1:14" x14ac:dyDescent="0.45">
      <c r="A2136">
        <v>1990</v>
      </c>
      <c r="B2136" t="s">
        <v>226</v>
      </c>
      <c r="C2136">
        <v>0</v>
      </c>
      <c r="D2136">
        <v>0</v>
      </c>
      <c r="E2136">
        <v>1</v>
      </c>
      <c r="F2136">
        <v>0</v>
      </c>
      <c r="G2136">
        <v>0</v>
      </c>
      <c r="H2136">
        <v>0</v>
      </c>
      <c r="I2136">
        <v>0</v>
      </c>
      <c r="J2136">
        <v>2706.03145065836</v>
      </c>
      <c r="K2136">
        <v>2456.1851378789202</v>
      </c>
      <c r="L2136">
        <v>66.748000000000005</v>
      </c>
      <c r="M2136">
        <v>43.72</v>
      </c>
      <c r="N2136">
        <v>260.00799999999998</v>
      </c>
    </row>
    <row r="2137" spans="1:14" x14ac:dyDescent="0.45">
      <c r="A2137">
        <v>1990</v>
      </c>
      <c r="B2137" t="s">
        <v>227</v>
      </c>
      <c r="C2137">
        <v>0</v>
      </c>
      <c r="D2137">
        <v>1</v>
      </c>
      <c r="E2137">
        <v>0</v>
      </c>
      <c r="F2137">
        <v>1</v>
      </c>
      <c r="G2137">
        <v>0</v>
      </c>
      <c r="H2137">
        <v>0</v>
      </c>
      <c r="I2137">
        <v>0</v>
      </c>
      <c r="J2137">
        <v>5976.01762522026</v>
      </c>
      <c r="K2137">
        <v>5323.1400624779499</v>
      </c>
      <c r="L2137">
        <v>50.725999999999999</v>
      </c>
      <c r="M2137">
        <v>61.981000000000002</v>
      </c>
      <c r="N2137">
        <v>69.302999999999997</v>
      </c>
    </row>
    <row r="2138" spans="1:14" x14ac:dyDescent="0.45">
      <c r="A2138">
        <v>1990</v>
      </c>
      <c r="B2138" t="s">
        <v>228</v>
      </c>
      <c r="C2138">
        <v>1</v>
      </c>
      <c r="D2138">
        <v>0</v>
      </c>
      <c r="E2138">
        <v>0</v>
      </c>
      <c r="F2138">
        <v>0</v>
      </c>
      <c r="G2138">
        <v>0</v>
      </c>
      <c r="H2138">
        <v>1</v>
      </c>
      <c r="I2138">
        <v>1</v>
      </c>
      <c r="L2138">
        <v>9.5999999999999908</v>
      </c>
      <c r="M2138">
        <v>77.783000000000001</v>
      </c>
      <c r="N2138">
        <v>11.592000000000001</v>
      </c>
    </row>
    <row r="2139" spans="1:14" x14ac:dyDescent="0.45">
      <c r="A2139">
        <v>1990</v>
      </c>
      <c r="B2139" t="s">
        <v>229</v>
      </c>
      <c r="C2139">
        <v>0</v>
      </c>
      <c r="D2139">
        <v>0</v>
      </c>
      <c r="E2139">
        <v>1</v>
      </c>
      <c r="F2139">
        <v>0</v>
      </c>
      <c r="G2139">
        <v>0</v>
      </c>
      <c r="H2139">
        <v>0</v>
      </c>
      <c r="I2139">
        <v>0</v>
      </c>
      <c r="J2139">
        <v>782.09687601021506</v>
      </c>
      <c r="K2139">
        <v>725.42166534232001</v>
      </c>
      <c r="L2139">
        <v>70.341999999999999</v>
      </c>
      <c r="M2139">
        <v>46.896000000000001</v>
      </c>
      <c r="N2139">
        <v>179.005</v>
      </c>
    </row>
    <row r="2140" spans="1:14" x14ac:dyDescent="0.45">
      <c r="A2140">
        <v>1990</v>
      </c>
      <c r="B2140" t="s">
        <v>230</v>
      </c>
      <c r="C2140">
        <v>1</v>
      </c>
      <c r="D2140">
        <v>0</v>
      </c>
      <c r="E2140">
        <v>0</v>
      </c>
      <c r="F2140">
        <v>0</v>
      </c>
      <c r="G2140">
        <v>1</v>
      </c>
      <c r="H2140">
        <v>0</v>
      </c>
      <c r="I2140">
        <v>0</v>
      </c>
      <c r="L2140">
        <v>49.606999999999999</v>
      </c>
      <c r="M2140">
        <v>72.224999999999994</v>
      </c>
      <c r="N2140">
        <v>17.221</v>
      </c>
    </row>
    <row r="2141" spans="1:14" x14ac:dyDescent="0.45">
      <c r="A2141">
        <v>1990</v>
      </c>
      <c r="B2141" t="s">
        <v>231</v>
      </c>
      <c r="C2141">
        <v>0</v>
      </c>
      <c r="D2141">
        <v>0</v>
      </c>
      <c r="E2141">
        <v>1</v>
      </c>
      <c r="F2141">
        <v>1</v>
      </c>
      <c r="G2141">
        <v>0</v>
      </c>
      <c r="H2141">
        <v>0</v>
      </c>
      <c r="I2141">
        <v>0</v>
      </c>
      <c r="L2141">
        <v>86.724000000000004</v>
      </c>
      <c r="M2141">
        <v>28.628</v>
      </c>
      <c r="N2141">
        <v>288.96100000000001</v>
      </c>
    </row>
    <row r="2142" spans="1:14" x14ac:dyDescent="0.45">
      <c r="A2142">
        <v>1990</v>
      </c>
      <c r="B2142" t="s">
        <v>232</v>
      </c>
      <c r="C2142">
        <v>0</v>
      </c>
      <c r="D2142">
        <v>0</v>
      </c>
      <c r="E2142">
        <v>1</v>
      </c>
      <c r="F2142">
        <v>0</v>
      </c>
      <c r="G2142">
        <v>0</v>
      </c>
      <c r="H2142">
        <v>0</v>
      </c>
      <c r="I2142">
        <v>0</v>
      </c>
      <c r="J2142">
        <v>3883.20429842266</v>
      </c>
      <c r="K2142">
        <v>2416.8453178795198</v>
      </c>
      <c r="L2142">
        <v>56.351999999999997</v>
      </c>
      <c r="M2142">
        <v>60.707000000000001</v>
      </c>
      <c r="N2142">
        <v>110.261</v>
      </c>
    </row>
    <row r="2143" spans="1:14" x14ac:dyDescent="0.45">
      <c r="A2143">
        <v>1990</v>
      </c>
      <c r="B2143" t="s">
        <v>233</v>
      </c>
      <c r="C2143">
        <v>0</v>
      </c>
      <c r="D2143">
        <v>1</v>
      </c>
      <c r="E2143">
        <v>0</v>
      </c>
      <c r="F2143">
        <v>0</v>
      </c>
      <c r="G2143">
        <v>1</v>
      </c>
      <c r="H2143">
        <v>0</v>
      </c>
      <c r="I2143">
        <v>0</v>
      </c>
      <c r="J2143">
        <v>17137.650970055602</v>
      </c>
      <c r="K2143">
        <v>13641.2210160412</v>
      </c>
      <c r="L2143">
        <v>34.293999999999997</v>
      </c>
      <c r="M2143">
        <v>62.088000000000001</v>
      </c>
      <c r="N2143">
        <v>44.886000000000003</v>
      </c>
    </row>
    <row r="2144" spans="1:14" x14ac:dyDescent="0.45">
      <c r="A2144">
        <v>1990</v>
      </c>
      <c r="B2144" t="s">
        <v>234</v>
      </c>
      <c r="C2144">
        <v>1</v>
      </c>
      <c r="D2144">
        <v>0</v>
      </c>
      <c r="E2144">
        <v>0</v>
      </c>
      <c r="F2144">
        <v>0</v>
      </c>
      <c r="G2144">
        <v>1</v>
      </c>
      <c r="H2144">
        <v>0</v>
      </c>
      <c r="I2144">
        <v>0</v>
      </c>
      <c r="J2144">
        <v>17520.9907344944</v>
      </c>
      <c r="K2144">
        <v>15090.528561531501</v>
      </c>
      <c r="L2144">
        <v>43.509</v>
      </c>
      <c r="M2144">
        <v>70.819000000000003</v>
      </c>
      <c r="N2144">
        <v>14.227</v>
      </c>
    </row>
    <row r="2145" spans="1:14" x14ac:dyDescent="0.45">
      <c r="A2145">
        <v>1990</v>
      </c>
      <c r="B2145" t="s">
        <v>235</v>
      </c>
      <c r="C2145">
        <v>1</v>
      </c>
      <c r="D2145">
        <v>0</v>
      </c>
      <c r="E2145">
        <v>0</v>
      </c>
      <c r="F2145">
        <v>0</v>
      </c>
      <c r="G2145">
        <v>1</v>
      </c>
      <c r="H2145">
        <v>0</v>
      </c>
      <c r="I2145">
        <v>0</v>
      </c>
      <c r="J2145">
        <v>25351.411330939001</v>
      </c>
      <c r="K2145">
        <v>21822.613808182901</v>
      </c>
      <c r="L2145">
        <v>49.61</v>
      </c>
      <c r="M2145">
        <v>73.465000000000003</v>
      </c>
      <c r="N2145">
        <v>9.7349999999999994</v>
      </c>
    </row>
    <row r="2146" spans="1:14" x14ac:dyDescent="0.45">
      <c r="A2146">
        <v>1990</v>
      </c>
      <c r="B2146" t="s">
        <v>236</v>
      </c>
      <c r="C2146">
        <v>1</v>
      </c>
      <c r="D2146">
        <v>0</v>
      </c>
      <c r="E2146">
        <v>0</v>
      </c>
      <c r="F2146">
        <v>0</v>
      </c>
      <c r="G2146">
        <v>0</v>
      </c>
      <c r="H2146">
        <v>1</v>
      </c>
      <c r="I2146">
        <v>1</v>
      </c>
      <c r="J2146">
        <v>40205.394065671499</v>
      </c>
      <c r="K2146">
        <v>34344.189475142201</v>
      </c>
      <c r="L2146">
        <v>16.899999999999999</v>
      </c>
      <c r="M2146">
        <v>77.588999999999999</v>
      </c>
      <c r="N2146">
        <v>7.1950000000000003</v>
      </c>
    </row>
    <row r="2147" spans="1:14" x14ac:dyDescent="0.45">
      <c r="A2147">
        <v>1990</v>
      </c>
      <c r="B2147" t="s">
        <v>237</v>
      </c>
      <c r="C2147">
        <v>0</v>
      </c>
      <c r="D2147">
        <v>0</v>
      </c>
      <c r="E2147">
        <v>1</v>
      </c>
      <c r="F2147">
        <v>1</v>
      </c>
      <c r="G2147">
        <v>0</v>
      </c>
      <c r="H2147">
        <v>0</v>
      </c>
      <c r="I2147">
        <v>0</v>
      </c>
      <c r="J2147">
        <v>5522.2988774975802</v>
      </c>
      <c r="K2147">
        <v>4889.9966677043803</v>
      </c>
      <c r="L2147">
        <v>79.798000000000002</v>
      </c>
      <c r="M2147">
        <v>61.167000000000002</v>
      </c>
      <c r="N2147">
        <v>71.655000000000001</v>
      </c>
    </row>
    <row r="2148" spans="1:14" x14ac:dyDescent="0.45">
      <c r="A2148">
        <v>1990</v>
      </c>
      <c r="B2148" t="s">
        <v>238</v>
      </c>
      <c r="C2148">
        <v>0</v>
      </c>
      <c r="D2148">
        <v>1</v>
      </c>
      <c r="E2148">
        <v>0</v>
      </c>
      <c r="F2148">
        <v>0</v>
      </c>
      <c r="G2148">
        <v>0</v>
      </c>
      <c r="H2148">
        <v>1</v>
      </c>
      <c r="I2148">
        <v>1</v>
      </c>
      <c r="L2148">
        <v>0</v>
      </c>
      <c r="M2148">
        <v>72.414000000000001</v>
      </c>
      <c r="N2148">
        <v>25.254000000000001</v>
      </c>
    </row>
    <row r="2149" spans="1:14" x14ac:dyDescent="0.45">
      <c r="A2149">
        <v>1990</v>
      </c>
      <c r="B2149" t="s">
        <v>239</v>
      </c>
      <c r="C2149">
        <v>0</v>
      </c>
      <c r="D2149">
        <v>0</v>
      </c>
      <c r="E2149">
        <v>1</v>
      </c>
      <c r="F2149">
        <v>0</v>
      </c>
      <c r="G2149">
        <v>1</v>
      </c>
      <c r="H2149">
        <v>0</v>
      </c>
      <c r="I2149">
        <v>0</v>
      </c>
      <c r="J2149">
        <v>15478.847544422801</v>
      </c>
      <c r="K2149">
        <v>15027.637280517099</v>
      </c>
      <c r="L2149">
        <v>50.73</v>
      </c>
      <c r="M2149">
        <v>70.17</v>
      </c>
      <c r="N2149">
        <v>16.437999999999999</v>
      </c>
    </row>
    <row r="2150" spans="1:14" x14ac:dyDescent="0.45">
      <c r="A2150">
        <v>1990</v>
      </c>
      <c r="B2150" t="s">
        <v>240</v>
      </c>
      <c r="C2150">
        <v>0</v>
      </c>
      <c r="D2150">
        <v>0</v>
      </c>
      <c r="E2150">
        <v>0</v>
      </c>
      <c r="F2150">
        <v>1</v>
      </c>
      <c r="G2150">
        <v>0</v>
      </c>
      <c r="H2150">
        <v>0</v>
      </c>
      <c r="I2150">
        <v>0</v>
      </c>
      <c r="J2150">
        <v>5828.40551611713</v>
      </c>
      <c r="K2150">
        <v>3823.0110422668199</v>
      </c>
      <c r="L2150">
        <v>51.069000000000003</v>
      </c>
      <c r="M2150">
        <v>69.83</v>
      </c>
      <c r="N2150">
        <v>36.729999999999997</v>
      </c>
    </row>
    <row r="2151" spans="1:14" x14ac:dyDescent="0.45">
      <c r="A2151">
        <v>1990</v>
      </c>
      <c r="B2151" t="s">
        <v>241</v>
      </c>
      <c r="C2151">
        <v>0</v>
      </c>
      <c r="D2151">
        <v>1</v>
      </c>
      <c r="E2151">
        <v>0</v>
      </c>
      <c r="F2151">
        <v>0</v>
      </c>
      <c r="G2151">
        <v>0</v>
      </c>
      <c r="H2151">
        <v>1</v>
      </c>
      <c r="I2151">
        <v>1</v>
      </c>
      <c r="L2151">
        <v>25.657</v>
      </c>
      <c r="M2151">
        <v>70.218000000000004</v>
      </c>
      <c r="N2151">
        <v>18.654</v>
      </c>
    </row>
    <row r="2152" spans="1:14" x14ac:dyDescent="0.45">
      <c r="A2152">
        <v>1990</v>
      </c>
      <c r="B2152" t="s">
        <v>242</v>
      </c>
      <c r="C2152">
        <v>0</v>
      </c>
      <c r="D2152">
        <v>0</v>
      </c>
      <c r="E2152">
        <v>1</v>
      </c>
      <c r="F2152">
        <v>0</v>
      </c>
      <c r="G2152">
        <v>0</v>
      </c>
      <c r="H2152">
        <v>0</v>
      </c>
      <c r="I2152">
        <v>0</v>
      </c>
      <c r="J2152">
        <v>1705.04226476863</v>
      </c>
      <c r="K2152">
        <v>1432.29718848375</v>
      </c>
      <c r="L2152">
        <v>79.188999999999993</v>
      </c>
      <c r="M2152">
        <v>45.073999999999998</v>
      </c>
      <c r="N2152">
        <v>212.51400000000001</v>
      </c>
    </row>
    <row r="2153" spans="1:14" x14ac:dyDescent="0.45">
      <c r="A2153">
        <v>1990</v>
      </c>
      <c r="B2153" t="s">
        <v>243</v>
      </c>
      <c r="C2153">
        <v>0</v>
      </c>
      <c r="D2153">
        <v>0</v>
      </c>
      <c r="E2153">
        <v>1</v>
      </c>
      <c r="F2153">
        <v>0</v>
      </c>
      <c r="G2153">
        <v>0</v>
      </c>
      <c r="H2153">
        <v>0</v>
      </c>
      <c r="I2153">
        <v>0</v>
      </c>
      <c r="J2153">
        <v>2171.1960567247302</v>
      </c>
      <c r="K2153">
        <v>1804.3458708114799</v>
      </c>
      <c r="L2153">
        <v>71.411000000000001</v>
      </c>
      <c r="M2153">
        <v>54.557000000000002</v>
      </c>
      <c r="N2153">
        <v>147.86099999999999</v>
      </c>
    </row>
    <row r="2154" spans="1:14" x14ac:dyDescent="0.45">
      <c r="A2154">
        <v>1990</v>
      </c>
      <c r="B2154" t="s">
        <v>244</v>
      </c>
      <c r="C2154">
        <v>0</v>
      </c>
      <c r="D2154">
        <v>0</v>
      </c>
      <c r="E2154">
        <v>0</v>
      </c>
      <c r="F2154">
        <v>1</v>
      </c>
      <c r="G2154">
        <v>0</v>
      </c>
      <c r="H2154">
        <v>0</v>
      </c>
      <c r="I2154">
        <v>0</v>
      </c>
      <c r="J2154">
        <v>8701.9543605325707</v>
      </c>
      <c r="K2154">
        <v>7610.0946933667601</v>
      </c>
      <c r="L2154">
        <v>70.575999999999993</v>
      </c>
      <c r="M2154">
        <v>68.924000000000007</v>
      </c>
      <c r="N2154">
        <v>37.051000000000002</v>
      </c>
    </row>
    <row r="2155" spans="1:14" x14ac:dyDescent="0.45">
      <c r="A2155">
        <v>1990</v>
      </c>
      <c r="B2155" t="s">
        <v>245</v>
      </c>
      <c r="C2155">
        <v>1</v>
      </c>
      <c r="D2155">
        <v>0</v>
      </c>
      <c r="E2155">
        <v>0</v>
      </c>
      <c r="F2155">
        <v>1</v>
      </c>
      <c r="G2155">
        <v>0</v>
      </c>
      <c r="H2155">
        <v>0</v>
      </c>
      <c r="I2155">
        <v>0</v>
      </c>
      <c r="J2155">
        <v>4173.0460798224904</v>
      </c>
      <c r="K2155">
        <v>3800.5399666378498</v>
      </c>
      <c r="L2155">
        <v>68.341999999999999</v>
      </c>
      <c r="M2155">
        <v>61.636000000000003</v>
      </c>
      <c r="N2155">
        <v>107.34099999999999</v>
      </c>
    </row>
    <row r="2156" spans="1:14" x14ac:dyDescent="0.45">
      <c r="A2156">
        <v>1990</v>
      </c>
      <c r="B2156" t="s">
        <v>246</v>
      </c>
      <c r="C2156">
        <v>1</v>
      </c>
      <c r="D2156">
        <v>0</v>
      </c>
      <c r="E2156">
        <v>0</v>
      </c>
      <c r="F2156">
        <v>1</v>
      </c>
      <c r="G2156">
        <v>0</v>
      </c>
      <c r="H2156">
        <v>0</v>
      </c>
      <c r="I2156">
        <v>0</v>
      </c>
      <c r="J2156">
        <v>7925.4980346993798</v>
      </c>
      <c r="K2156">
        <v>7459.6287209689599</v>
      </c>
      <c r="L2156">
        <v>54.924999999999997</v>
      </c>
      <c r="M2156">
        <v>63.866999999999997</v>
      </c>
      <c r="N2156">
        <v>80.480999999999995</v>
      </c>
    </row>
    <row r="2157" spans="1:14" x14ac:dyDescent="0.45">
      <c r="A2157">
        <v>1990</v>
      </c>
      <c r="B2157" t="s">
        <v>247</v>
      </c>
      <c r="C2157">
        <v>0</v>
      </c>
      <c r="D2157">
        <v>0</v>
      </c>
      <c r="E2157">
        <v>0</v>
      </c>
      <c r="F2157">
        <v>0</v>
      </c>
      <c r="G2157">
        <v>0</v>
      </c>
      <c r="H2157">
        <v>0</v>
      </c>
      <c r="I2157">
        <v>0</v>
      </c>
      <c r="J2157">
        <v>2144.8168768055298</v>
      </c>
      <c r="K2157">
        <v>1730.5726175500999</v>
      </c>
      <c r="L2157">
        <v>79.158000000000001</v>
      </c>
      <c r="M2157">
        <v>45.185000000000002</v>
      </c>
      <c r="N2157">
        <v>221.37299999999999</v>
      </c>
    </row>
    <row r="2158" spans="1:14" x14ac:dyDescent="0.45">
      <c r="A2158">
        <v>1990</v>
      </c>
      <c r="B2158" t="s">
        <v>248</v>
      </c>
      <c r="C2158">
        <v>0</v>
      </c>
      <c r="D2158">
        <v>0</v>
      </c>
      <c r="E2158">
        <v>0</v>
      </c>
      <c r="F2158">
        <v>1</v>
      </c>
      <c r="G2158">
        <v>0</v>
      </c>
      <c r="H2158">
        <v>0</v>
      </c>
      <c r="I2158">
        <v>0</v>
      </c>
      <c r="J2158">
        <v>4487.8192186030101</v>
      </c>
      <c r="K2158">
        <v>4062.5142929118401</v>
      </c>
      <c r="L2158">
        <v>77.296000000000006</v>
      </c>
      <c r="M2158">
        <v>67.539000000000001</v>
      </c>
      <c r="N2158">
        <v>22.297999999999998</v>
      </c>
    </row>
    <row r="2159" spans="1:14" x14ac:dyDescent="0.45">
      <c r="A2159">
        <v>1990</v>
      </c>
      <c r="B2159" t="s">
        <v>249</v>
      </c>
      <c r="C2159">
        <v>0</v>
      </c>
      <c r="D2159">
        <v>1</v>
      </c>
      <c r="E2159">
        <v>0</v>
      </c>
      <c r="F2159">
        <v>0</v>
      </c>
      <c r="G2159">
        <v>1</v>
      </c>
      <c r="H2159">
        <v>0</v>
      </c>
      <c r="I2159">
        <v>0</v>
      </c>
      <c r="J2159">
        <v>11884.7573674266</v>
      </c>
      <c r="K2159">
        <v>9918.9356039410595</v>
      </c>
      <c r="L2159">
        <v>45.875999999999998</v>
      </c>
      <c r="M2159">
        <v>67.590999999999994</v>
      </c>
      <c r="N2159">
        <v>30.294</v>
      </c>
    </row>
    <row r="2160" spans="1:14" x14ac:dyDescent="0.45">
      <c r="A2160">
        <v>1990</v>
      </c>
      <c r="B2160" t="s">
        <v>250</v>
      </c>
      <c r="C2160">
        <v>0</v>
      </c>
      <c r="D2160">
        <v>0</v>
      </c>
      <c r="E2160">
        <v>0</v>
      </c>
      <c r="F2160">
        <v>1</v>
      </c>
      <c r="G2160">
        <v>0</v>
      </c>
      <c r="H2160">
        <v>0</v>
      </c>
      <c r="I2160">
        <v>0</v>
      </c>
      <c r="J2160">
        <v>6742.5768590379403</v>
      </c>
      <c r="K2160">
        <v>5876.0431022951998</v>
      </c>
      <c r="L2160">
        <v>42.054000000000002</v>
      </c>
      <c r="M2160">
        <v>69.091999999999999</v>
      </c>
      <c r="N2160">
        <v>55.088000000000001</v>
      </c>
    </row>
    <row r="2161" spans="1:14" x14ac:dyDescent="0.45">
      <c r="A2161">
        <v>1990</v>
      </c>
      <c r="B2161" t="s">
        <v>251</v>
      </c>
      <c r="C2161">
        <v>1</v>
      </c>
      <c r="D2161">
        <v>0</v>
      </c>
      <c r="E2161">
        <v>0</v>
      </c>
      <c r="F2161">
        <v>1</v>
      </c>
      <c r="G2161">
        <v>0</v>
      </c>
      <c r="H2161">
        <v>0</v>
      </c>
      <c r="I2161">
        <v>0</v>
      </c>
      <c r="J2161">
        <v>12010.248481127999</v>
      </c>
      <c r="K2161">
        <v>12042.3778234535</v>
      </c>
      <c r="L2161">
        <v>40.796999999999997</v>
      </c>
      <c r="M2161">
        <v>67.834999999999994</v>
      </c>
      <c r="N2161">
        <v>73.802999999999997</v>
      </c>
    </row>
    <row r="2162" spans="1:14" x14ac:dyDescent="0.45">
      <c r="A2162">
        <v>1990</v>
      </c>
      <c r="B2162" t="s">
        <v>252</v>
      </c>
      <c r="C2162">
        <v>0</v>
      </c>
      <c r="D2162">
        <v>0</v>
      </c>
      <c r="E2162">
        <v>0</v>
      </c>
      <c r="F2162">
        <v>1</v>
      </c>
      <c r="G2162">
        <v>0</v>
      </c>
      <c r="H2162">
        <v>0</v>
      </c>
      <c r="I2162">
        <v>0</v>
      </c>
      <c r="J2162">
        <v>2984.2855514891598</v>
      </c>
      <c r="K2162">
        <v>2699.7471024423598</v>
      </c>
      <c r="L2162">
        <v>59.338999999999999</v>
      </c>
      <c r="M2162">
        <v>61.643000000000001</v>
      </c>
      <c r="N2162">
        <v>53.466000000000001</v>
      </c>
    </row>
    <row r="2163" spans="1:14" x14ac:dyDescent="0.45">
      <c r="A2163">
        <v>1990</v>
      </c>
      <c r="B2163" t="s">
        <v>253</v>
      </c>
      <c r="C2163">
        <v>0</v>
      </c>
      <c r="D2163">
        <v>0</v>
      </c>
      <c r="E2163">
        <v>0</v>
      </c>
      <c r="F2163">
        <v>0</v>
      </c>
      <c r="G2163">
        <v>0</v>
      </c>
      <c r="H2163">
        <v>1</v>
      </c>
      <c r="I2163">
        <v>1</v>
      </c>
      <c r="L2163">
        <v>73.558000000000007</v>
      </c>
      <c r="M2163">
        <v>73.936000000000007</v>
      </c>
      <c r="N2163">
        <v>8.7370000000000001</v>
      </c>
    </row>
    <row r="2164" spans="1:14" x14ac:dyDescent="0.45">
      <c r="A2164">
        <v>1990</v>
      </c>
      <c r="B2164" t="s">
        <v>254</v>
      </c>
      <c r="C2164">
        <v>0</v>
      </c>
      <c r="D2164">
        <v>0</v>
      </c>
      <c r="E2164">
        <v>1</v>
      </c>
      <c r="F2164">
        <v>0</v>
      </c>
      <c r="G2164">
        <v>0</v>
      </c>
      <c r="H2164">
        <v>0</v>
      </c>
      <c r="I2164">
        <v>0</v>
      </c>
      <c r="J2164">
        <v>1794.20458984375</v>
      </c>
      <c r="K2164">
        <v>1336.4433180893</v>
      </c>
      <c r="L2164">
        <v>81.116</v>
      </c>
      <c r="M2164">
        <v>51.984999999999999</v>
      </c>
      <c r="N2164">
        <v>166.977</v>
      </c>
    </row>
    <row r="2165" spans="1:14" x14ac:dyDescent="0.45">
      <c r="A2165">
        <v>1990</v>
      </c>
      <c r="B2165" t="s">
        <v>255</v>
      </c>
      <c r="C2165">
        <v>0</v>
      </c>
      <c r="D2165">
        <v>0</v>
      </c>
      <c r="E2165">
        <v>1</v>
      </c>
      <c r="F2165">
        <v>0</v>
      </c>
      <c r="G2165">
        <v>0</v>
      </c>
      <c r="H2165">
        <v>0</v>
      </c>
      <c r="I2165">
        <v>0</v>
      </c>
      <c r="J2165">
        <v>1080.0383098039799</v>
      </c>
      <c r="K2165">
        <v>916.20141282104498</v>
      </c>
      <c r="L2165">
        <v>88.924000000000007</v>
      </c>
      <c r="M2165">
        <v>47.561</v>
      </c>
      <c r="N2165">
        <v>181.74199999999999</v>
      </c>
    </row>
    <row r="2166" spans="1:14" x14ac:dyDescent="0.45">
      <c r="A2166">
        <v>1990</v>
      </c>
      <c r="B2166" t="s">
        <v>256</v>
      </c>
      <c r="C2166">
        <v>1</v>
      </c>
      <c r="D2166">
        <v>0</v>
      </c>
      <c r="E2166">
        <v>0</v>
      </c>
      <c r="F2166">
        <v>1</v>
      </c>
      <c r="G2166">
        <v>0</v>
      </c>
      <c r="H2166">
        <v>0</v>
      </c>
      <c r="I2166">
        <v>0</v>
      </c>
      <c r="J2166">
        <v>22815.798828125</v>
      </c>
      <c r="K2166">
        <v>16137.284439286201</v>
      </c>
      <c r="L2166">
        <v>33.243000000000002</v>
      </c>
      <c r="M2166">
        <v>70.353999999999999</v>
      </c>
      <c r="N2166">
        <v>16.882999999999999</v>
      </c>
    </row>
    <row r="2167" spans="1:14" x14ac:dyDescent="0.45">
      <c r="A2167">
        <v>1990</v>
      </c>
      <c r="B2167" t="s">
        <v>257</v>
      </c>
      <c r="C2167">
        <v>0</v>
      </c>
      <c r="D2167">
        <v>1</v>
      </c>
      <c r="E2167">
        <v>0</v>
      </c>
      <c r="F2167">
        <v>0</v>
      </c>
      <c r="G2167">
        <v>1</v>
      </c>
      <c r="H2167">
        <v>0</v>
      </c>
      <c r="I2167">
        <v>0</v>
      </c>
      <c r="J2167">
        <v>14060.845476221801</v>
      </c>
      <c r="K2167">
        <v>11152.620826389801</v>
      </c>
      <c r="L2167">
        <v>11.026999999999999</v>
      </c>
      <c r="M2167">
        <v>72.994</v>
      </c>
      <c r="N2167">
        <v>23.472000000000001</v>
      </c>
    </row>
    <row r="2168" spans="1:14" x14ac:dyDescent="0.45">
      <c r="A2168">
        <v>1990</v>
      </c>
      <c r="B2168" t="s">
        <v>258</v>
      </c>
      <c r="C2168">
        <v>0</v>
      </c>
      <c r="D2168">
        <v>0</v>
      </c>
      <c r="E2168">
        <v>0</v>
      </c>
      <c r="F2168">
        <v>0</v>
      </c>
      <c r="G2168">
        <v>0</v>
      </c>
      <c r="H2168">
        <v>1</v>
      </c>
      <c r="I2168">
        <v>1</v>
      </c>
      <c r="J2168">
        <v>44378.524026033097</v>
      </c>
      <c r="K2168">
        <v>40281.259368152903</v>
      </c>
      <c r="L2168">
        <v>24.7</v>
      </c>
      <c r="M2168">
        <v>75.373999999999995</v>
      </c>
      <c r="N2168">
        <v>11.523999999999999</v>
      </c>
    </row>
    <row r="2169" spans="1:14" x14ac:dyDescent="0.45">
      <c r="A2169">
        <v>1990</v>
      </c>
      <c r="B2169" t="s">
        <v>259</v>
      </c>
      <c r="C2169">
        <v>1</v>
      </c>
      <c r="D2169">
        <v>0</v>
      </c>
      <c r="E2169">
        <v>0</v>
      </c>
      <c r="F2169">
        <v>1</v>
      </c>
      <c r="G2169">
        <v>0</v>
      </c>
      <c r="H2169">
        <v>0</v>
      </c>
      <c r="I2169">
        <v>0</v>
      </c>
      <c r="J2169">
        <v>4214.5839974719602</v>
      </c>
      <c r="K2169">
        <v>4094.6243011492302</v>
      </c>
      <c r="L2169">
        <v>58.634999999999998</v>
      </c>
      <c r="M2169">
        <v>65.772000000000006</v>
      </c>
      <c r="N2169">
        <v>71.471000000000004</v>
      </c>
    </row>
    <row r="2170" spans="1:14" x14ac:dyDescent="0.45">
      <c r="A2170">
        <v>1990</v>
      </c>
      <c r="B2170" t="s">
        <v>260</v>
      </c>
      <c r="C2170">
        <v>0</v>
      </c>
      <c r="D2170">
        <v>1</v>
      </c>
      <c r="E2170">
        <v>0</v>
      </c>
      <c r="F2170">
        <v>1</v>
      </c>
      <c r="G2170">
        <v>0</v>
      </c>
      <c r="H2170">
        <v>0</v>
      </c>
      <c r="I2170">
        <v>0</v>
      </c>
      <c r="J2170">
        <v>7467.3787465723899</v>
      </c>
      <c r="K2170">
        <v>6526.1991291575896</v>
      </c>
      <c r="L2170">
        <v>58.591000000000001</v>
      </c>
      <c r="M2170">
        <v>70.647000000000006</v>
      </c>
      <c r="N2170">
        <v>25.013999999999999</v>
      </c>
    </row>
    <row r="2171" spans="1:14" x14ac:dyDescent="0.45">
      <c r="A2171">
        <v>1990</v>
      </c>
      <c r="B2171" t="s">
        <v>261</v>
      </c>
      <c r="C2171">
        <v>0</v>
      </c>
      <c r="D2171">
        <v>1</v>
      </c>
      <c r="E2171">
        <v>0</v>
      </c>
      <c r="F2171">
        <v>0</v>
      </c>
      <c r="G2171">
        <v>1</v>
      </c>
      <c r="H2171">
        <v>0</v>
      </c>
      <c r="I2171">
        <v>0</v>
      </c>
      <c r="L2171">
        <v>15.715999999999999</v>
      </c>
      <c r="M2171">
        <v>70.963999999999999</v>
      </c>
      <c r="N2171">
        <v>30.143000000000001</v>
      </c>
    </row>
    <row r="2172" spans="1:14" x14ac:dyDescent="0.45">
      <c r="A2172">
        <v>1990</v>
      </c>
      <c r="B2172" t="s">
        <v>262</v>
      </c>
      <c r="C2172">
        <v>0</v>
      </c>
      <c r="D2172">
        <v>1</v>
      </c>
      <c r="E2172">
        <v>0</v>
      </c>
      <c r="F2172">
        <v>0</v>
      </c>
      <c r="G2172">
        <v>0</v>
      </c>
      <c r="H2172">
        <v>1</v>
      </c>
      <c r="I2172">
        <v>1</v>
      </c>
      <c r="L2172">
        <v>62.186</v>
      </c>
      <c r="M2172">
        <v>72.391999999999996</v>
      </c>
      <c r="N2172">
        <v>23.052</v>
      </c>
    </row>
    <row r="2173" spans="1:14" x14ac:dyDescent="0.45">
      <c r="A2173">
        <v>1990</v>
      </c>
      <c r="B2173" t="s">
        <v>263</v>
      </c>
      <c r="C2173">
        <v>0</v>
      </c>
      <c r="D2173">
        <v>1</v>
      </c>
      <c r="E2173">
        <v>0</v>
      </c>
      <c r="F2173">
        <v>0</v>
      </c>
      <c r="G2173">
        <v>0</v>
      </c>
      <c r="H2173">
        <v>1</v>
      </c>
      <c r="I2173">
        <v>1</v>
      </c>
      <c r="L2173">
        <v>12.315</v>
      </c>
      <c r="M2173">
        <v>70.680999999999997</v>
      </c>
      <c r="N2173">
        <v>18.236000000000001</v>
      </c>
    </row>
    <row r="2174" spans="1:14" x14ac:dyDescent="0.45">
      <c r="A2174">
        <v>1990</v>
      </c>
      <c r="B2174" t="s">
        <v>264</v>
      </c>
      <c r="C2174">
        <v>0</v>
      </c>
      <c r="D2174">
        <v>0</v>
      </c>
      <c r="E2174">
        <v>0</v>
      </c>
      <c r="F2174">
        <v>0</v>
      </c>
      <c r="G2174">
        <v>0</v>
      </c>
      <c r="H2174">
        <v>0</v>
      </c>
      <c r="I2174">
        <v>0</v>
      </c>
      <c r="J2174">
        <v>2467.9646008046302</v>
      </c>
      <c r="K2174">
        <v>2199.16103148504</v>
      </c>
      <c r="L2174">
        <v>79.742999999999995</v>
      </c>
      <c r="M2174">
        <v>69.027000000000001</v>
      </c>
      <c r="N2174">
        <v>51.383000000000003</v>
      </c>
    </row>
    <row r="2175" spans="1:14" x14ac:dyDescent="0.45">
      <c r="A2175">
        <v>1990</v>
      </c>
      <c r="B2175" t="s">
        <v>265</v>
      </c>
      <c r="C2175">
        <v>0</v>
      </c>
      <c r="D2175">
        <v>0</v>
      </c>
      <c r="E2175">
        <v>0</v>
      </c>
      <c r="F2175">
        <v>1</v>
      </c>
      <c r="G2175">
        <v>0</v>
      </c>
      <c r="H2175">
        <v>0</v>
      </c>
      <c r="I2175">
        <v>0</v>
      </c>
      <c r="J2175">
        <v>3101.6805510110098</v>
      </c>
      <c r="K2175">
        <v>2805.78440103409</v>
      </c>
      <c r="L2175">
        <v>81.284999999999997</v>
      </c>
      <c r="M2175">
        <v>66.683999999999997</v>
      </c>
      <c r="N2175">
        <v>37.177</v>
      </c>
    </row>
    <row r="2176" spans="1:14" x14ac:dyDescent="0.45">
      <c r="A2176">
        <v>1990</v>
      </c>
      <c r="B2176" t="s">
        <v>266</v>
      </c>
      <c r="C2176">
        <v>0</v>
      </c>
      <c r="D2176">
        <v>0</v>
      </c>
      <c r="E2176">
        <v>0</v>
      </c>
      <c r="F2176">
        <v>1</v>
      </c>
      <c r="G2176">
        <v>0</v>
      </c>
      <c r="H2176">
        <v>0</v>
      </c>
      <c r="I2176">
        <v>0</v>
      </c>
      <c r="J2176">
        <v>3990.9267130224898</v>
      </c>
      <c r="K2176">
        <v>3610.1976760368798</v>
      </c>
      <c r="L2176">
        <v>78.8</v>
      </c>
      <c r="M2176">
        <v>67.808000000000007</v>
      </c>
      <c r="N2176">
        <v>30.34</v>
      </c>
    </row>
    <row r="2177" spans="1:14" x14ac:dyDescent="0.45">
      <c r="A2177">
        <v>1990</v>
      </c>
      <c r="B2177" t="s">
        <v>267</v>
      </c>
      <c r="C2177">
        <v>1</v>
      </c>
      <c r="D2177">
        <v>0</v>
      </c>
      <c r="E2177">
        <v>0</v>
      </c>
      <c r="F2177">
        <v>0</v>
      </c>
      <c r="G2177">
        <v>1</v>
      </c>
      <c r="H2177">
        <v>0</v>
      </c>
      <c r="I2177">
        <v>0</v>
      </c>
      <c r="L2177">
        <v>49.606999999999999</v>
      </c>
      <c r="M2177">
        <v>66.507999999999996</v>
      </c>
      <c r="N2177">
        <v>103.92700000000001</v>
      </c>
    </row>
    <row r="2178" spans="1:14" x14ac:dyDescent="0.45">
      <c r="A2178">
        <v>1990</v>
      </c>
      <c r="B2178" t="s">
        <v>268</v>
      </c>
      <c r="C2178">
        <v>0</v>
      </c>
      <c r="D2178">
        <v>0</v>
      </c>
      <c r="E2178">
        <v>0</v>
      </c>
      <c r="F2178">
        <v>1</v>
      </c>
      <c r="G2178">
        <v>0</v>
      </c>
      <c r="H2178">
        <v>0</v>
      </c>
      <c r="I2178">
        <v>0</v>
      </c>
      <c r="L2178">
        <v>79.069000000000003</v>
      </c>
      <c r="M2178">
        <v>58.527999999999999</v>
      </c>
      <c r="N2178">
        <v>126.996</v>
      </c>
    </row>
    <row r="2179" spans="1:14" x14ac:dyDescent="0.45">
      <c r="A2179">
        <v>1990</v>
      </c>
      <c r="B2179" t="s">
        <v>269</v>
      </c>
      <c r="C2179">
        <v>0</v>
      </c>
      <c r="D2179">
        <v>0</v>
      </c>
      <c r="E2179">
        <v>1</v>
      </c>
      <c r="F2179">
        <v>0</v>
      </c>
      <c r="G2179">
        <v>1</v>
      </c>
      <c r="H2179">
        <v>0</v>
      </c>
      <c r="I2179">
        <v>0</v>
      </c>
      <c r="J2179">
        <v>10824.3847590107</v>
      </c>
      <c r="K2179">
        <v>10191.6034922623</v>
      </c>
      <c r="L2179">
        <v>47.963000000000001</v>
      </c>
      <c r="M2179">
        <v>62.942</v>
      </c>
      <c r="N2179">
        <v>63.311999999999998</v>
      </c>
    </row>
    <row r="2180" spans="1:14" x14ac:dyDescent="0.45">
      <c r="A2180">
        <v>1990</v>
      </c>
      <c r="B2180" t="s">
        <v>270</v>
      </c>
      <c r="C2180">
        <v>0</v>
      </c>
      <c r="D2180">
        <v>0</v>
      </c>
      <c r="E2180">
        <v>1</v>
      </c>
      <c r="F2180">
        <v>0</v>
      </c>
      <c r="G2180">
        <v>0</v>
      </c>
      <c r="H2180">
        <v>0</v>
      </c>
      <c r="I2180">
        <v>0</v>
      </c>
      <c r="J2180">
        <v>2425.1112867838201</v>
      </c>
      <c r="K2180">
        <v>2276.8333548636701</v>
      </c>
      <c r="L2180">
        <v>60.593000000000004</v>
      </c>
      <c r="M2180">
        <v>48.204000000000001</v>
      </c>
      <c r="N2180">
        <v>181.53700000000001</v>
      </c>
    </row>
    <row r="2181" spans="1:14" x14ac:dyDescent="0.45">
      <c r="A2181">
        <v>1990</v>
      </c>
      <c r="B2181" t="s">
        <v>271</v>
      </c>
      <c r="C2181">
        <v>0</v>
      </c>
      <c r="D2181">
        <v>0</v>
      </c>
      <c r="E2181">
        <v>1</v>
      </c>
      <c r="F2181">
        <v>1</v>
      </c>
      <c r="G2181">
        <v>0</v>
      </c>
      <c r="H2181">
        <v>0</v>
      </c>
      <c r="I2181">
        <v>0</v>
      </c>
      <c r="J2181">
        <v>4013.2958976719301</v>
      </c>
      <c r="K2181">
        <v>2672.19643509761</v>
      </c>
      <c r="L2181">
        <v>71.012</v>
      </c>
      <c r="M2181">
        <v>58.319000000000003</v>
      </c>
      <c r="N2181">
        <v>81.799000000000007</v>
      </c>
    </row>
    <row r="2182" spans="1:14" x14ac:dyDescent="0.45">
      <c r="A2182">
        <v>1991</v>
      </c>
      <c r="B2182" t="s">
        <v>54</v>
      </c>
      <c r="C2182">
        <v>0</v>
      </c>
      <c r="D2182">
        <v>1</v>
      </c>
      <c r="E2182">
        <v>0</v>
      </c>
      <c r="F2182">
        <v>0</v>
      </c>
      <c r="G2182">
        <v>1</v>
      </c>
      <c r="H2182">
        <v>0</v>
      </c>
      <c r="I2182">
        <v>0</v>
      </c>
      <c r="J2182">
        <v>35552.084415582598</v>
      </c>
      <c r="K2182">
        <v>34599.548044245901</v>
      </c>
      <c r="L2182">
        <v>49.695999999999998</v>
      </c>
      <c r="M2182">
        <v>72.591999999999999</v>
      </c>
      <c r="N2182">
        <v>22.244</v>
      </c>
    </row>
    <row r="2183" spans="1:14" x14ac:dyDescent="0.45">
      <c r="A2183">
        <v>1991</v>
      </c>
      <c r="B2183" t="s">
        <v>55</v>
      </c>
      <c r="C2183">
        <v>0</v>
      </c>
      <c r="D2183">
        <v>0</v>
      </c>
      <c r="E2183">
        <v>0</v>
      </c>
      <c r="F2183">
        <v>0</v>
      </c>
      <c r="G2183">
        <v>0</v>
      </c>
      <c r="H2183">
        <v>0</v>
      </c>
      <c r="I2183">
        <v>0</v>
      </c>
      <c r="L2183">
        <v>78.733999999999995</v>
      </c>
      <c r="M2183">
        <v>45.521000000000001</v>
      </c>
      <c r="N2183">
        <v>194.16900000000001</v>
      </c>
    </row>
    <row r="2184" spans="1:14" x14ac:dyDescent="0.45">
      <c r="A2184">
        <v>1991</v>
      </c>
      <c r="B2184" t="s">
        <v>56</v>
      </c>
      <c r="C2184">
        <v>0</v>
      </c>
      <c r="D2184">
        <v>0</v>
      </c>
      <c r="E2184">
        <v>1</v>
      </c>
      <c r="F2184">
        <v>1</v>
      </c>
      <c r="G2184">
        <v>0</v>
      </c>
      <c r="H2184">
        <v>0</v>
      </c>
      <c r="I2184">
        <v>0</v>
      </c>
      <c r="J2184">
        <v>7218.4414317358396</v>
      </c>
      <c r="K2184">
        <v>5582.3874232285798</v>
      </c>
      <c r="L2184">
        <v>61.42</v>
      </c>
      <c r="M2184">
        <v>43.811999999999998</v>
      </c>
      <c r="N2184">
        <v>228.16200000000001</v>
      </c>
    </row>
    <row r="2185" spans="1:14" x14ac:dyDescent="0.45">
      <c r="A2185">
        <v>1991</v>
      </c>
      <c r="B2185" t="s">
        <v>57</v>
      </c>
      <c r="C2185">
        <v>1</v>
      </c>
      <c r="D2185">
        <v>0</v>
      </c>
      <c r="E2185">
        <v>0</v>
      </c>
      <c r="F2185">
        <v>1</v>
      </c>
      <c r="G2185">
        <v>0</v>
      </c>
      <c r="H2185">
        <v>0</v>
      </c>
      <c r="I2185">
        <v>0</v>
      </c>
      <c r="J2185">
        <v>4027.6745364027101</v>
      </c>
      <c r="K2185">
        <v>3648.88838990356</v>
      </c>
      <c r="L2185">
        <v>63.3</v>
      </c>
      <c r="M2185">
        <v>73.001000000000005</v>
      </c>
      <c r="N2185">
        <v>39.597000000000001</v>
      </c>
    </row>
    <row r="2186" spans="1:14" x14ac:dyDescent="0.45">
      <c r="A2186">
        <v>1991</v>
      </c>
      <c r="B2186" t="s">
        <v>58</v>
      </c>
      <c r="C2186">
        <v>1</v>
      </c>
      <c r="D2186">
        <v>0</v>
      </c>
      <c r="E2186">
        <v>0</v>
      </c>
      <c r="F2186">
        <v>0</v>
      </c>
      <c r="G2186">
        <v>0</v>
      </c>
      <c r="H2186">
        <v>1</v>
      </c>
      <c r="I2186">
        <v>1</v>
      </c>
      <c r="J2186">
        <v>47624.9668573542</v>
      </c>
      <c r="K2186">
        <v>39977.522726921998</v>
      </c>
      <c r="L2186">
        <v>5.47</v>
      </c>
      <c r="M2186">
        <v>79.346000000000004</v>
      </c>
      <c r="N2186">
        <v>10.119</v>
      </c>
    </row>
    <row r="2187" spans="1:14" x14ac:dyDescent="0.45">
      <c r="A2187">
        <v>1991</v>
      </c>
      <c r="B2187" t="s">
        <v>59</v>
      </c>
      <c r="C2187">
        <v>0</v>
      </c>
      <c r="D2187">
        <v>0</v>
      </c>
      <c r="E2187">
        <v>0</v>
      </c>
      <c r="F2187">
        <v>0</v>
      </c>
      <c r="G2187">
        <v>0</v>
      </c>
      <c r="H2187">
        <v>1</v>
      </c>
      <c r="I2187">
        <v>1</v>
      </c>
      <c r="J2187">
        <v>103098.537129191</v>
      </c>
      <c r="K2187">
        <v>101858.12669017199</v>
      </c>
      <c r="L2187">
        <v>21.094000000000001</v>
      </c>
      <c r="M2187">
        <v>71.144000000000005</v>
      </c>
      <c r="N2187">
        <v>15.8</v>
      </c>
    </row>
    <row r="2188" spans="1:14" x14ac:dyDescent="0.45">
      <c r="A2188">
        <v>1991</v>
      </c>
      <c r="B2188" t="s">
        <v>60</v>
      </c>
      <c r="C2188">
        <v>0</v>
      </c>
      <c r="D2188">
        <v>1</v>
      </c>
      <c r="E2188">
        <v>0</v>
      </c>
      <c r="F2188">
        <v>0</v>
      </c>
      <c r="G2188">
        <v>1</v>
      </c>
      <c r="H2188">
        <v>0</v>
      </c>
      <c r="I2188">
        <v>0</v>
      </c>
      <c r="J2188">
        <v>18295.609199681199</v>
      </c>
      <c r="K2188">
        <v>15099.545403882001</v>
      </c>
      <c r="L2188">
        <v>12.672000000000001</v>
      </c>
      <c r="M2188">
        <v>72.02</v>
      </c>
      <c r="N2188">
        <v>28.972000000000001</v>
      </c>
    </row>
    <row r="2189" spans="1:14" x14ac:dyDescent="0.45">
      <c r="A2189">
        <v>1991</v>
      </c>
      <c r="B2189" t="s">
        <v>61</v>
      </c>
      <c r="C2189">
        <v>1</v>
      </c>
      <c r="D2189">
        <v>0</v>
      </c>
      <c r="E2189">
        <v>0</v>
      </c>
      <c r="F2189">
        <v>1</v>
      </c>
      <c r="G2189">
        <v>0</v>
      </c>
      <c r="H2189">
        <v>0</v>
      </c>
      <c r="I2189">
        <v>0</v>
      </c>
      <c r="J2189">
        <v>5326.7528555823601</v>
      </c>
      <c r="K2189">
        <v>4512.2989031057396</v>
      </c>
      <c r="L2189">
        <v>32.85</v>
      </c>
      <c r="M2189">
        <v>67.801000000000002</v>
      </c>
      <c r="N2189">
        <v>46.69</v>
      </c>
    </row>
    <row r="2190" spans="1:14" x14ac:dyDescent="0.45">
      <c r="A2190">
        <v>1991</v>
      </c>
      <c r="B2190" t="s">
        <v>62</v>
      </c>
      <c r="C2190">
        <v>0</v>
      </c>
      <c r="D2190">
        <v>0</v>
      </c>
      <c r="E2190">
        <v>0</v>
      </c>
      <c r="F2190">
        <v>0</v>
      </c>
      <c r="G2190">
        <v>1</v>
      </c>
      <c r="H2190">
        <v>0</v>
      </c>
      <c r="I2190">
        <v>0</v>
      </c>
      <c r="L2190">
        <v>18.114000000000001</v>
      </c>
      <c r="M2190">
        <v>71.311999999999998</v>
      </c>
      <c r="N2190">
        <v>15.613</v>
      </c>
    </row>
    <row r="2191" spans="1:14" x14ac:dyDescent="0.45">
      <c r="A2191">
        <v>1991</v>
      </c>
      <c r="B2191" t="s">
        <v>63</v>
      </c>
      <c r="C2191">
        <v>0</v>
      </c>
      <c r="D2191">
        <v>1</v>
      </c>
      <c r="E2191">
        <v>0</v>
      </c>
      <c r="F2191">
        <v>0</v>
      </c>
      <c r="G2191">
        <v>1</v>
      </c>
      <c r="H2191">
        <v>0</v>
      </c>
      <c r="I2191">
        <v>0</v>
      </c>
      <c r="J2191">
        <v>21424.2911871461</v>
      </c>
      <c r="K2191">
        <v>16873.703847576999</v>
      </c>
      <c r="L2191">
        <v>64.534999999999997</v>
      </c>
      <c r="M2191">
        <v>73.471999999999994</v>
      </c>
      <c r="N2191">
        <v>13.901</v>
      </c>
    </row>
    <row r="2192" spans="1:14" x14ac:dyDescent="0.45">
      <c r="A2192">
        <v>1991</v>
      </c>
      <c r="B2192" t="s">
        <v>64</v>
      </c>
      <c r="C2192">
        <v>0</v>
      </c>
      <c r="D2192">
        <v>0</v>
      </c>
      <c r="E2192">
        <v>0</v>
      </c>
      <c r="F2192">
        <v>0</v>
      </c>
      <c r="G2192">
        <v>0</v>
      </c>
      <c r="H2192">
        <v>1</v>
      </c>
      <c r="I2192">
        <v>1</v>
      </c>
      <c r="J2192">
        <v>35610.077585905099</v>
      </c>
      <c r="K2192">
        <v>30843.725354620299</v>
      </c>
      <c r="L2192">
        <v>14.597</v>
      </c>
      <c r="M2192">
        <v>77.480999999999995</v>
      </c>
      <c r="N2192">
        <v>8.2089999999999996</v>
      </c>
    </row>
    <row r="2193" spans="1:14" x14ac:dyDescent="0.45">
      <c r="A2193">
        <v>1991</v>
      </c>
      <c r="B2193" t="s">
        <v>65</v>
      </c>
      <c r="C2193">
        <v>1</v>
      </c>
      <c r="D2193">
        <v>0</v>
      </c>
      <c r="E2193">
        <v>0</v>
      </c>
      <c r="F2193">
        <v>0</v>
      </c>
      <c r="G2193">
        <v>0</v>
      </c>
      <c r="H2193">
        <v>1</v>
      </c>
      <c r="I2193">
        <v>1</v>
      </c>
      <c r="J2193">
        <v>44356.433458810199</v>
      </c>
      <c r="K2193">
        <v>37798.580246402496</v>
      </c>
      <c r="L2193">
        <v>37.311</v>
      </c>
      <c r="M2193">
        <v>75.792000000000002</v>
      </c>
      <c r="N2193">
        <v>9.1319999999999997</v>
      </c>
    </row>
    <row r="2194" spans="1:14" x14ac:dyDescent="0.45">
      <c r="A2194">
        <v>1991</v>
      </c>
      <c r="B2194" t="s">
        <v>66</v>
      </c>
      <c r="C2194">
        <v>1</v>
      </c>
      <c r="D2194">
        <v>0</v>
      </c>
      <c r="E2194">
        <v>0</v>
      </c>
      <c r="F2194">
        <v>1</v>
      </c>
      <c r="G2194">
        <v>0</v>
      </c>
      <c r="H2194">
        <v>0</v>
      </c>
      <c r="I2194">
        <v>0</v>
      </c>
      <c r="J2194">
        <v>10559.211934455399</v>
      </c>
      <c r="K2194">
        <v>7689.3485920788098</v>
      </c>
      <c r="L2194">
        <v>46.558999999999997</v>
      </c>
      <c r="M2194">
        <v>62.543999999999997</v>
      </c>
      <c r="N2194">
        <v>96.51</v>
      </c>
    </row>
    <row r="2195" spans="1:14" x14ac:dyDescent="0.45">
      <c r="A2195">
        <v>1991</v>
      </c>
      <c r="B2195" t="s">
        <v>67</v>
      </c>
      <c r="C2195">
        <v>0</v>
      </c>
      <c r="D2195">
        <v>0</v>
      </c>
      <c r="E2195">
        <v>1</v>
      </c>
      <c r="F2195">
        <v>0</v>
      </c>
      <c r="G2195">
        <v>0</v>
      </c>
      <c r="H2195">
        <v>0</v>
      </c>
      <c r="I2195">
        <v>0</v>
      </c>
      <c r="J2195">
        <v>1435.81956149966</v>
      </c>
      <c r="K2195">
        <v>1240.6963396994599</v>
      </c>
      <c r="L2195">
        <v>93.545000000000002</v>
      </c>
      <c r="M2195">
        <v>44.66</v>
      </c>
      <c r="N2195">
        <v>171.24100000000001</v>
      </c>
    </row>
    <row r="2196" spans="1:14" x14ac:dyDescent="0.45">
      <c r="A2196">
        <v>1991</v>
      </c>
      <c r="B2196" t="s">
        <v>68</v>
      </c>
      <c r="C2196">
        <v>1</v>
      </c>
      <c r="D2196">
        <v>0</v>
      </c>
      <c r="E2196">
        <v>0</v>
      </c>
      <c r="F2196">
        <v>0</v>
      </c>
      <c r="G2196">
        <v>0</v>
      </c>
      <c r="H2196">
        <v>1</v>
      </c>
      <c r="I2196">
        <v>1</v>
      </c>
      <c r="J2196">
        <v>42264.714325876499</v>
      </c>
      <c r="K2196">
        <v>35566.459818363001</v>
      </c>
      <c r="L2196">
        <v>3.5390000000000001</v>
      </c>
      <c r="M2196">
        <v>76.198999999999998</v>
      </c>
      <c r="N2196">
        <v>9.6890000000000001</v>
      </c>
    </row>
    <row r="2197" spans="1:14" x14ac:dyDescent="0.45">
      <c r="A2197">
        <v>1991</v>
      </c>
      <c r="B2197" t="s">
        <v>69</v>
      </c>
      <c r="C2197">
        <v>0</v>
      </c>
      <c r="D2197">
        <v>0</v>
      </c>
      <c r="E2197">
        <v>1</v>
      </c>
      <c r="F2197">
        <v>0</v>
      </c>
      <c r="G2197">
        <v>0</v>
      </c>
      <c r="H2197">
        <v>0</v>
      </c>
      <c r="I2197">
        <v>0</v>
      </c>
      <c r="J2197">
        <v>2230.46054664537</v>
      </c>
      <c r="K2197">
        <v>2116.1536469982402</v>
      </c>
      <c r="L2197">
        <v>64.753</v>
      </c>
      <c r="M2197">
        <v>53.441000000000003</v>
      </c>
      <c r="N2197">
        <v>168.74100000000001</v>
      </c>
    </row>
    <row r="2198" spans="1:14" x14ac:dyDescent="0.45">
      <c r="A2198">
        <v>1991</v>
      </c>
      <c r="B2198" t="s">
        <v>70</v>
      </c>
      <c r="C2198">
        <v>0</v>
      </c>
      <c r="D2198">
        <v>0</v>
      </c>
      <c r="E2198">
        <v>1</v>
      </c>
      <c r="F2198">
        <v>0</v>
      </c>
      <c r="G2198">
        <v>0</v>
      </c>
      <c r="H2198">
        <v>0</v>
      </c>
      <c r="I2198">
        <v>0</v>
      </c>
      <c r="J2198">
        <v>1178.0770463906299</v>
      </c>
      <c r="K2198">
        <v>1077.8663808734</v>
      </c>
      <c r="L2198">
        <v>85.93</v>
      </c>
      <c r="M2198">
        <v>49.33</v>
      </c>
      <c r="N2198">
        <v>199.48400000000001</v>
      </c>
    </row>
    <row r="2199" spans="1:14" x14ac:dyDescent="0.45">
      <c r="A2199">
        <v>1991</v>
      </c>
      <c r="B2199" t="s">
        <v>71</v>
      </c>
      <c r="C2199">
        <v>0</v>
      </c>
      <c r="D2199">
        <v>0</v>
      </c>
      <c r="E2199">
        <v>0</v>
      </c>
      <c r="F2199">
        <v>0</v>
      </c>
      <c r="G2199">
        <v>0</v>
      </c>
      <c r="H2199">
        <v>0</v>
      </c>
      <c r="I2199">
        <v>0</v>
      </c>
      <c r="J2199">
        <v>2101.3836603565801</v>
      </c>
      <c r="K2199">
        <v>1708.4134946867</v>
      </c>
      <c r="L2199">
        <v>79.742999999999995</v>
      </c>
      <c r="M2199">
        <v>53.780999999999999</v>
      </c>
      <c r="N2199">
        <v>151.66200000000001</v>
      </c>
    </row>
    <row r="2200" spans="1:14" x14ac:dyDescent="0.45">
      <c r="A2200">
        <v>1991</v>
      </c>
      <c r="B2200" t="s">
        <v>72</v>
      </c>
      <c r="C2200">
        <v>1</v>
      </c>
      <c r="D2200">
        <v>0</v>
      </c>
      <c r="E2200">
        <v>0</v>
      </c>
      <c r="F2200">
        <v>1</v>
      </c>
      <c r="G2200">
        <v>0</v>
      </c>
      <c r="H2200">
        <v>0</v>
      </c>
      <c r="I2200">
        <v>0</v>
      </c>
      <c r="J2200">
        <v>13827.555375473199</v>
      </c>
      <c r="K2200">
        <v>11474.098159818301</v>
      </c>
      <c r="L2200">
        <v>33.283000000000001</v>
      </c>
      <c r="M2200">
        <v>71.194000000000003</v>
      </c>
      <c r="N2200">
        <v>20.253</v>
      </c>
    </row>
    <row r="2201" spans="1:14" x14ac:dyDescent="0.45">
      <c r="A2201">
        <v>1991</v>
      </c>
      <c r="B2201" t="s">
        <v>73</v>
      </c>
      <c r="C2201">
        <v>0</v>
      </c>
      <c r="D2201">
        <v>0</v>
      </c>
      <c r="E2201">
        <v>0</v>
      </c>
      <c r="F2201">
        <v>0</v>
      </c>
      <c r="G2201">
        <v>1</v>
      </c>
      <c r="H2201">
        <v>0</v>
      </c>
      <c r="I2201">
        <v>0</v>
      </c>
      <c r="J2201">
        <v>47644.023471688197</v>
      </c>
      <c r="K2201">
        <v>44392.902419728402</v>
      </c>
      <c r="L2201">
        <v>11.670999999999999</v>
      </c>
      <c r="M2201">
        <v>72.668000000000006</v>
      </c>
      <c r="N2201">
        <v>22.146999999999998</v>
      </c>
    </row>
    <row r="2202" spans="1:14" x14ac:dyDescent="0.45">
      <c r="A2202">
        <v>1991</v>
      </c>
      <c r="B2202" t="s">
        <v>74</v>
      </c>
      <c r="C2202">
        <v>0</v>
      </c>
      <c r="D2202">
        <v>1</v>
      </c>
      <c r="E2202">
        <v>0</v>
      </c>
      <c r="F2202">
        <v>0</v>
      </c>
      <c r="G2202">
        <v>0</v>
      </c>
      <c r="H2202">
        <v>1</v>
      </c>
      <c r="I2202">
        <v>1</v>
      </c>
      <c r="J2202">
        <v>31148.827027728199</v>
      </c>
      <c r="K2202">
        <v>32310.241720372302</v>
      </c>
      <c r="L2202">
        <v>19.933</v>
      </c>
      <c r="M2202">
        <v>71.183000000000007</v>
      </c>
      <c r="N2202">
        <v>22.396999999999998</v>
      </c>
    </row>
    <row r="2203" spans="1:14" x14ac:dyDescent="0.45">
      <c r="A2203">
        <v>1991</v>
      </c>
      <c r="B2203" t="s">
        <v>75</v>
      </c>
      <c r="C2203">
        <v>1</v>
      </c>
      <c r="D2203">
        <v>0</v>
      </c>
      <c r="E2203">
        <v>0</v>
      </c>
      <c r="F2203">
        <v>0</v>
      </c>
      <c r="G2203">
        <v>1</v>
      </c>
      <c r="H2203">
        <v>0</v>
      </c>
      <c r="I2203">
        <v>0</v>
      </c>
      <c r="J2203">
        <v>2182.8010936051201</v>
      </c>
      <c r="K2203">
        <v>1885.6373714059</v>
      </c>
      <c r="L2203">
        <v>60.421999999999997</v>
      </c>
      <c r="M2203">
        <v>71.813000000000002</v>
      </c>
      <c r="N2203">
        <v>16.922000000000001</v>
      </c>
    </row>
    <row r="2204" spans="1:14" x14ac:dyDescent="0.45">
      <c r="A2204">
        <v>1991</v>
      </c>
      <c r="B2204" t="s">
        <v>76</v>
      </c>
      <c r="C2204">
        <v>1</v>
      </c>
      <c r="D2204">
        <v>0</v>
      </c>
      <c r="E2204">
        <v>0</v>
      </c>
      <c r="F2204">
        <v>0</v>
      </c>
      <c r="G2204">
        <v>1</v>
      </c>
      <c r="H2204">
        <v>0</v>
      </c>
      <c r="I2204">
        <v>0</v>
      </c>
      <c r="J2204">
        <v>12197.7877934025</v>
      </c>
      <c r="K2204">
        <v>8806.7426306876096</v>
      </c>
      <c r="L2204">
        <v>33.625999999999998</v>
      </c>
      <c r="M2204">
        <v>70.721999999999994</v>
      </c>
      <c r="N2204">
        <v>15.59</v>
      </c>
    </row>
    <row r="2205" spans="1:14" x14ac:dyDescent="0.45">
      <c r="A2205">
        <v>1991</v>
      </c>
      <c r="B2205" t="s">
        <v>77</v>
      </c>
      <c r="C2205">
        <v>0</v>
      </c>
      <c r="D2205">
        <v>1</v>
      </c>
      <c r="E2205">
        <v>0</v>
      </c>
      <c r="F2205">
        <v>1</v>
      </c>
      <c r="G2205">
        <v>0</v>
      </c>
      <c r="H2205">
        <v>0</v>
      </c>
      <c r="I2205">
        <v>0</v>
      </c>
      <c r="J2205">
        <v>9019.6057553210794</v>
      </c>
      <c r="K2205">
        <v>7108.2897575072202</v>
      </c>
      <c r="L2205">
        <v>52.728999999999999</v>
      </c>
      <c r="M2205">
        <v>69.644999999999996</v>
      </c>
      <c r="N2205">
        <v>37.058999999999997</v>
      </c>
    </row>
    <row r="2206" spans="1:14" x14ac:dyDescent="0.45">
      <c r="A2206">
        <v>1991</v>
      </c>
      <c r="B2206" t="s">
        <v>78</v>
      </c>
      <c r="C2206">
        <v>0</v>
      </c>
      <c r="D2206">
        <v>0</v>
      </c>
      <c r="E2206">
        <v>0</v>
      </c>
      <c r="F2206">
        <v>0</v>
      </c>
      <c r="G2206">
        <v>0</v>
      </c>
      <c r="H2206">
        <v>1</v>
      </c>
      <c r="I2206">
        <v>1</v>
      </c>
      <c r="J2206">
        <v>76365.043054065507</v>
      </c>
      <c r="K2206">
        <v>67847.585369038294</v>
      </c>
      <c r="L2206">
        <v>0</v>
      </c>
      <c r="M2206">
        <v>74.203999999999994</v>
      </c>
      <c r="N2206">
        <v>9.7769999999999992</v>
      </c>
    </row>
    <row r="2207" spans="1:14" x14ac:dyDescent="0.45">
      <c r="A2207">
        <v>1991</v>
      </c>
      <c r="B2207" t="s">
        <v>79</v>
      </c>
      <c r="C2207">
        <v>0</v>
      </c>
      <c r="D2207">
        <v>1</v>
      </c>
      <c r="E2207">
        <v>0</v>
      </c>
      <c r="F2207">
        <v>1</v>
      </c>
      <c r="G2207">
        <v>0</v>
      </c>
      <c r="H2207">
        <v>0</v>
      </c>
      <c r="I2207">
        <v>0</v>
      </c>
      <c r="J2207">
        <v>5283.1182549384002</v>
      </c>
      <c r="K2207">
        <v>4662.6171396674699</v>
      </c>
      <c r="L2207">
        <v>43.420999999999999</v>
      </c>
      <c r="M2207">
        <v>57.439</v>
      </c>
      <c r="N2207">
        <v>147.97800000000001</v>
      </c>
    </row>
    <row r="2208" spans="1:14" x14ac:dyDescent="0.45">
      <c r="A2208">
        <v>1991</v>
      </c>
      <c r="B2208" t="s">
        <v>80</v>
      </c>
      <c r="C2208">
        <v>0</v>
      </c>
      <c r="D2208">
        <v>1</v>
      </c>
      <c r="E2208">
        <v>0</v>
      </c>
      <c r="F2208">
        <v>0</v>
      </c>
      <c r="G2208">
        <v>1</v>
      </c>
      <c r="H2208">
        <v>0</v>
      </c>
      <c r="I2208">
        <v>0</v>
      </c>
      <c r="J2208">
        <v>12546.560500555899</v>
      </c>
      <c r="K2208">
        <v>10305.8594880614</v>
      </c>
      <c r="L2208">
        <v>25.31</v>
      </c>
      <c r="M2208">
        <v>66.203000000000003</v>
      </c>
      <c r="N2208">
        <v>59.648000000000003</v>
      </c>
    </row>
    <row r="2209" spans="1:14" x14ac:dyDescent="0.45">
      <c r="A2209">
        <v>1991</v>
      </c>
      <c r="B2209" t="s">
        <v>81</v>
      </c>
      <c r="C2209">
        <v>0</v>
      </c>
      <c r="D2209">
        <v>1</v>
      </c>
      <c r="E2209">
        <v>0</v>
      </c>
      <c r="F2209">
        <v>0</v>
      </c>
      <c r="G2209">
        <v>1</v>
      </c>
      <c r="H2209">
        <v>0</v>
      </c>
      <c r="I2209">
        <v>0</v>
      </c>
      <c r="J2209">
        <v>16264.9294747268</v>
      </c>
      <c r="K2209">
        <v>15534.627138087701</v>
      </c>
      <c r="L2209">
        <v>62.994</v>
      </c>
      <c r="M2209">
        <v>73.543000000000006</v>
      </c>
      <c r="N2209">
        <v>17.334</v>
      </c>
    </row>
    <row r="2210" spans="1:14" x14ac:dyDescent="0.45">
      <c r="A2210">
        <v>1991</v>
      </c>
      <c r="B2210" t="s">
        <v>82</v>
      </c>
      <c r="C2210">
        <v>0</v>
      </c>
      <c r="D2210">
        <v>0</v>
      </c>
      <c r="E2210">
        <v>0</v>
      </c>
      <c r="F2210">
        <v>0</v>
      </c>
      <c r="G2210">
        <v>0</v>
      </c>
      <c r="H2210">
        <v>1</v>
      </c>
      <c r="I2210">
        <v>1</v>
      </c>
      <c r="J2210">
        <v>118220.68361895101</v>
      </c>
      <c r="K2210">
        <v>92307.238660181698</v>
      </c>
      <c r="L2210">
        <v>33.414999999999999</v>
      </c>
      <c r="M2210">
        <v>71.858000000000004</v>
      </c>
      <c r="N2210">
        <v>13.079000000000001</v>
      </c>
    </row>
    <row r="2211" spans="1:14" x14ac:dyDescent="0.45">
      <c r="A2211">
        <v>1991</v>
      </c>
      <c r="B2211" t="s">
        <v>83</v>
      </c>
      <c r="C2211">
        <v>0</v>
      </c>
      <c r="D2211">
        <v>0</v>
      </c>
      <c r="E2211">
        <v>0</v>
      </c>
      <c r="F2211">
        <v>0</v>
      </c>
      <c r="G2211">
        <v>0</v>
      </c>
      <c r="H2211">
        <v>0</v>
      </c>
      <c r="I2211">
        <v>0</v>
      </c>
      <c r="J2211">
        <v>3338.00941826599</v>
      </c>
      <c r="K2211">
        <v>2891.1382842007802</v>
      </c>
      <c r="L2211">
        <v>82.838999999999999</v>
      </c>
      <c r="M2211">
        <v>56.451000000000001</v>
      </c>
      <c r="N2211">
        <v>123.16500000000001</v>
      </c>
    </row>
    <row r="2212" spans="1:14" x14ac:dyDescent="0.45">
      <c r="A2212">
        <v>1991</v>
      </c>
      <c r="B2212" t="s">
        <v>84</v>
      </c>
      <c r="C2212">
        <v>0</v>
      </c>
      <c r="D2212">
        <v>0</v>
      </c>
      <c r="E2212">
        <v>1</v>
      </c>
      <c r="F2212">
        <v>0</v>
      </c>
      <c r="G2212">
        <v>1</v>
      </c>
      <c r="H2212">
        <v>0</v>
      </c>
      <c r="I2212">
        <v>0</v>
      </c>
      <c r="J2212">
        <v>11001.8013578216</v>
      </c>
      <c r="K2212">
        <v>9954.2806287737803</v>
      </c>
      <c r="L2212">
        <v>54.707999999999998</v>
      </c>
      <c r="M2212">
        <v>58.911000000000001</v>
      </c>
      <c r="N2212">
        <v>52.755000000000003</v>
      </c>
    </row>
    <row r="2213" spans="1:14" x14ac:dyDescent="0.45">
      <c r="A2213">
        <v>1991</v>
      </c>
      <c r="B2213" t="s">
        <v>85</v>
      </c>
      <c r="C2213">
        <v>0</v>
      </c>
      <c r="D2213">
        <v>0</v>
      </c>
      <c r="E2213">
        <v>1</v>
      </c>
      <c r="F2213">
        <v>0</v>
      </c>
      <c r="G2213">
        <v>0</v>
      </c>
      <c r="H2213">
        <v>0</v>
      </c>
      <c r="I2213">
        <v>0</v>
      </c>
      <c r="J2213">
        <v>1427.69018313539</v>
      </c>
      <c r="K2213">
        <v>1143.08060734785</v>
      </c>
      <c r="L2213">
        <v>63.094000000000001</v>
      </c>
      <c r="M2213">
        <v>49.575000000000003</v>
      </c>
      <c r="N2213">
        <v>176.02199999999999</v>
      </c>
    </row>
    <row r="2214" spans="1:14" x14ac:dyDescent="0.45">
      <c r="A2214">
        <v>1991</v>
      </c>
      <c r="B2214" t="s">
        <v>86</v>
      </c>
      <c r="C2214">
        <v>0</v>
      </c>
      <c r="D2214">
        <v>0</v>
      </c>
      <c r="E2214">
        <v>0</v>
      </c>
      <c r="F2214">
        <v>0</v>
      </c>
      <c r="G2214">
        <v>0</v>
      </c>
      <c r="H2214">
        <v>1</v>
      </c>
      <c r="I2214">
        <v>1</v>
      </c>
      <c r="J2214">
        <v>39139.3122852292</v>
      </c>
      <c r="K2214">
        <v>33879.637469397501</v>
      </c>
      <c r="L2214">
        <v>23.38</v>
      </c>
      <c r="M2214">
        <v>77.593999999999994</v>
      </c>
      <c r="N2214">
        <v>7.6109999999999998</v>
      </c>
    </row>
    <row r="2215" spans="1:14" x14ac:dyDescent="0.45">
      <c r="A2215">
        <v>1991</v>
      </c>
      <c r="B2215" t="s">
        <v>87</v>
      </c>
      <c r="C2215">
        <v>1</v>
      </c>
      <c r="D2215">
        <v>0</v>
      </c>
      <c r="E2215">
        <v>0</v>
      </c>
      <c r="F2215">
        <v>0</v>
      </c>
      <c r="G2215">
        <v>0</v>
      </c>
      <c r="H2215">
        <v>1</v>
      </c>
      <c r="I2215">
        <v>1</v>
      </c>
      <c r="J2215">
        <v>62636.774106725599</v>
      </c>
      <c r="K2215">
        <v>54491.920292609502</v>
      </c>
      <c r="L2215">
        <v>26.131</v>
      </c>
      <c r="M2215">
        <v>77.647999999999996</v>
      </c>
      <c r="N2215">
        <v>7.8940000000000001</v>
      </c>
    </row>
    <row r="2216" spans="1:14" x14ac:dyDescent="0.45">
      <c r="A2216">
        <v>1991</v>
      </c>
      <c r="B2216" t="s">
        <v>88</v>
      </c>
      <c r="C2216">
        <v>1</v>
      </c>
      <c r="D2216">
        <v>0</v>
      </c>
      <c r="E2216">
        <v>0</v>
      </c>
      <c r="F2216">
        <v>0</v>
      </c>
      <c r="G2216">
        <v>0</v>
      </c>
      <c r="H2216">
        <v>1</v>
      </c>
      <c r="I2216">
        <v>1</v>
      </c>
      <c r="L2216">
        <v>68.738</v>
      </c>
      <c r="M2216">
        <v>76.511741087828995</v>
      </c>
      <c r="N2216">
        <v>15.3099163299115</v>
      </c>
    </row>
    <row r="2217" spans="1:14" x14ac:dyDescent="0.45">
      <c r="A2217">
        <v>1991</v>
      </c>
      <c r="B2217" t="s">
        <v>89</v>
      </c>
      <c r="C2217">
        <v>0</v>
      </c>
      <c r="D2217">
        <v>1</v>
      </c>
      <c r="E2217">
        <v>0</v>
      </c>
      <c r="F2217">
        <v>1</v>
      </c>
      <c r="G2217">
        <v>0</v>
      </c>
      <c r="H2217">
        <v>0</v>
      </c>
      <c r="I2217">
        <v>0</v>
      </c>
      <c r="J2217">
        <v>11607.530403426899</v>
      </c>
      <c r="K2217">
        <v>10111.110183716701</v>
      </c>
      <c r="L2217">
        <v>16.602</v>
      </c>
      <c r="M2217">
        <v>74.081999999999994</v>
      </c>
      <c r="N2217">
        <v>17.526</v>
      </c>
    </row>
    <row r="2218" spans="1:14" x14ac:dyDescent="0.45">
      <c r="A2218">
        <v>1991</v>
      </c>
      <c r="B2218" t="s">
        <v>90</v>
      </c>
      <c r="C2218">
        <v>0</v>
      </c>
      <c r="D2218">
        <v>0</v>
      </c>
      <c r="E2218">
        <v>0</v>
      </c>
      <c r="F2218">
        <v>0</v>
      </c>
      <c r="G2218">
        <v>0</v>
      </c>
      <c r="H2218">
        <v>0</v>
      </c>
      <c r="I2218">
        <v>0</v>
      </c>
      <c r="J2218">
        <v>1798.2761052865301</v>
      </c>
      <c r="K2218">
        <v>1612.0380907158601</v>
      </c>
      <c r="L2218">
        <v>72.688000000000002</v>
      </c>
      <c r="M2218">
        <v>68.61</v>
      </c>
      <c r="N2218">
        <v>52.030999999999999</v>
      </c>
    </row>
    <row r="2219" spans="1:14" x14ac:dyDescent="0.45">
      <c r="A2219">
        <v>1991</v>
      </c>
      <c r="B2219" t="s">
        <v>91</v>
      </c>
      <c r="C2219">
        <v>0</v>
      </c>
      <c r="D2219">
        <v>0</v>
      </c>
      <c r="E2219">
        <v>1</v>
      </c>
      <c r="F2219">
        <v>1</v>
      </c>
      <c r="G2219">
        <v>0</v>
      </c>
      <c r="H2219">
        <v>0</v>
      </c>
      <c r="I2219">
        <v>0</v>
      </c>
      <c r="J2219">
        <v>5052.85167051386</v>
      </c>
      <c r="K2219">
        <v>4265.3509549640603</v>
      </c>
      <c r="L2219">
        <v>60.283999999999999</v>
      </c>
      <c r="M2219">
        <v>52.621000000000002</v>
      </c>
      <c r="N2219">
        <v>152.88900000000001</v>
      </c>
    </row>
    <row r="2220" spans="1:14" x14ac:dyDescent="0.45">
      <c r="A2220">
        <v>1991</v>
      </c>
      <c r="B2220" t="s">
        <v>92</v>
      </c>
      <c r="C2220">
        <v>0</v>
      </c>
      <c r="D2220">
        <v>0</v>
      </c>
      <c r="E2220">
        <v>1</v>
      </c>
      <c r="F2220">
        <v>1</v>
      </c>
      <c r="G2220">
        <v>0</v>
      </c>
      <c r="H2220">
        <v>0</v>
      </c>
      <c r="I2220">
        <v>0</v>
      </c>
      <c r="J2220">
        <v>4220.6529738708396</v>
      </c>
      <c r="K2220">
        <v>3314.1097471099301</v>
      </c>
      <c r="L2220">
        <v>59.765000000000001</v>
      </c>
      <c r="M2220">
        <v>54.167999999999999</v>
      </c>
      <c r="N2220">
        <v>139.745</v>
      </c>
    </row>
    <row r="2221" spans="1:14" x14ac:dyDescent="0.45">
      <c r="A2221">
        <v>1991</v>
      </c>
      <c r="B2221" t="s">
        <v>93</v>
      </c>
      <c r="C2221">
        <v>0</v>
      </c>
      <c r="D2221">
        <v>0</v>
      </c>
      <c r="E2221">
        <v>1</v>
      </c>
      <c r="F2221">
        <v>0</v>
      </c>
      <c r="G2221">
        <v>0</v>
      </c>
      <c r="H2221">
        <v>0</v>
      </c>
      <c r="I2221">
        <v>0</v>
      </c>
      <c r="J2221">
        <v>1923.96992285171</v>
      </c>
      <c r="K2221">
        <v>1540.26204912037</v>
      </c>
      <c r="L2221">
        <v>68.933000000000007</v>
      </c>
      <c r="M2221">
        <v>48.944000000000003</v>
      </c>
      <c r="N2221">
        <v>183.44399999999999</v>
      </c>
    </row>
    <row r="2222" spans="1:14" x14ac:dyDescent="0.45">
      <c r="A2222">
        <v>1991</v>
      </c>
      <c r="B2222" t="s">
        <v>94</v>
      </c>
      <c r="C2222">
        <v>0</v>
      </c>
      <c r="D2222">
        <v>0</v>
      </c>
      <c r="E2222">
        <v>1</v>
      </c>
      <c r="F2222">
        <v>1</v>
      </c>
      <c r="G2222">
        <v>0</v>
      </c>
      <c r="H2222">
        <v>0</v>
      </c>
      <c r="I2222">
        <v>0</v>
      </c>
      <c r="J2222">
        <v>8658.1614528600494</v>
      </c>
      <c r="K2222">
        <v>5219.5311736888698</v>
      </c>
      <c r="L2222">
        <v>45.256999999999998</v>
      </c>
      <c r="M2222">
        <v>56.764000000000003</v>
      </c>
      <c r="N2222">
        <v>93.83</v>
      </c>
    </row>
    <row r="2223" spans="1:14" x14ac:dyDescent="0.45">
      <c r="A2223">
        <v>1991</v>
      </c>
      <c r="B2223" t="s">
        <v>95</v>
      </c>
      <c r="C2223">
        <v>0</v>
      </c>
      <c r="D2223">
        <v>1</v>
      </c>
      <c r="E2223">
        <v>0</v>
      </c>
      <c r="F2223">
        <v>1</v>
      </c>
      <c r="G2223">
        <v>0</v>
      </c>
      <c r="H2223">
        <v>0</v>
      </c>
      <c r="I2223">
        <v>0</v>
      </c>
      <c r="J2223">
        <v>9996.0978604327993</v>
      </c>
      <c r="K2223">
        <v>8322.8458888627792</v>
      </c>
      <c r="L2223">
        <v>30.050999999999998</v>
      </c>
      <c r="M2223">
        <v>68.772000000000006</v>
      </c>
      <c r="N2223">
        <v>34.588000000000001</v>
      </c>
    </row>
    <row r="2224" spans="1:14" x14ac:dyDescent="0.45">
      <c r="A2224">
        <v>1991</v>
      </c>
      <c r="B2224" t="s">
        <v>96</v>
      </c>
      <c r="C2224">
        <v>0</v>
      </c>
      <c r="D2224">
        <v>0</v>
      </c>
      <c r="E2224">
        <v>1</v>
      </c>
      <c r="F2224">
        <v>0</v>
      </c>
      <c r="G2224">
        <v>0</v>
      </c>
      <c r="H2224">
        <v>0</v>
      </c>
      <c r="I2224">
        <v>0</v>
      </c>
      <c r="J2224">
        <v>2198.3203855143001</v>
      </c>
      <c r="K2224">
        <v>2273.3438311402801</v>
      </c>
      <c r="L2224">
        <v>71.634</v>
      </c>
      <c r="M2224">
        <v>56.103999999999999</v>
      </c>
      <c r="N2224">
        <v>122.509</v>
      </c>
    </row>
    <row r="2225" spans="1:14" x14ac:dyDescent="0.45">
      <c r="A2225">
        <v>1991</v>
      </c>
      <c r="B2225" t="s">
        <v>97</v>
      </c>
      <c r="C2225">
        <v>0</v>
      </c>
      <c r="D2225">
        <v>0</v>
      </c>
      <c r="E2225">
        <v>1</v>
      </c>
      <c r="F2225">
        <v>1</v>
      </c>
      <c r="G2225">
        <v>0</v>
      </c>
      <c r="H2225">
        <v>0</v>
      </c>
      <c r="I2225">
        <v>0</v>
      </c>
      <c r="J2225">
        <v>1830.07599656211</v>
      </c>
      <c r="K2225">
        <v>1763.67005378611</v>
      </c>
      <c r="L2225">
        <v>54.956000000000003</v>
      </c>
      <c r="M2225">
        <v>64.066000000000003</v>
      </c>
      <c r="N2225">
        <v>57.881</v>
      </c>
    </row>
    <row r="2226" spans="1:14" x14ac:dyDescent="0.45">
      <c r="A2226">
        <v>1991</v>
      </c>
      <c r="B2226" t="s">
        <v>98</v>
      </c>
      <c r="C2226">
        <v>0</v>
      </c>
      <c r="D2226">
        <v>1</v>
      </c>
      <c r="E2226">
        <v>0</v>
      </c>
      <c r="F2226">
        <v>1</v>
      </c>
      <c r="G2226">
        <v>0</v>
      </c>
      <c r="H2226">
        <v>0</v>
      </c>
      <c r="I2226">
        <v>0</v>
      </c>
      <c r="J2226">
        <v>10920.099404538099</v>
      </c>
      <c r="K2226">
        <v>9777.3595091003499</v>
      </c>
      <c r="L2226">
        <v>49.082999999999998</v>
      </c>
      <c r="M2226">
        <v>76.236999999999995</v>
      </c>
      <c r="N2226">
        <v>16.635000000000002</v>
      </c>
    </row>
    <row r="2227" spans="1:14" x14ac:dyDescent="0.45">
      <c r="A2227">
        <v>1991</v>
      </c>
      <c r="B2227" t="s">
        <v>99</v>
      </c>
      <c r="C2227">
        <v>0</v>
      </c>
      <c r="D2227">
        <v>1</v>
      </c>
      <c r="E2227">
        <v>0</v>
      </c>
      <c r="F2227">
        <v>1</v>
      </c>
      <c r="G2227">
        <v>0</v>
      </c>
      <c r="H2227">
        <v>0</v>
      </c>
      <c r="I2227">
        <v>0</v>
      </c>
      <c r="L2227">
        <v>26.324000000000002</v>
      </c>
      <c r="M2227">
        <v>73.757000000000005</v>
      </c>
      <c r="N2227">
        <v>12.875999999999999</v>
      </c>
    </row>
    <row r="2228" spans="1:14" x14ac:dyDescent="0.45">
      <c r="A2228">
        <v>1991</v>
      </c>
      <c r="B2228" t="s">
        <v>100</v>
      </c>
      <c r="C2228">
        <v>0</v>
      </c>
      <c r="D2228">
        <v>1</v>
      </c>
      <c r="E2228">
        <v>0</v>
      </c>
      <c r="F2228">
        <v>0</v>
      </c>
      <c r="G2228">
        <v>0</v>
      </c>
      <c r="H2228">
        <v>1</v>
      </c>
      <c r="I2228">
        <v>1</v>
      </c>
      <c r="L2228">
        <v>15.053000000000001</v>
      </c>
      <c r="M2228">
        <v>72.536000000000001</v>
      </c>
      <c r="N2228">
        <v>18.428999999999998</v>
      </c>
    </row>
    <row r="2229" spans="1:14" x14ac:dyDescent="0.45">
      <c r="A2229">
        <v>1991</v>
      </c>
      <c r="B2229" t="s">
        <v>101</v>
      </c>
      <c r="C2229">
        <v>0</v>
      </c>
      <c r="D2229">
        <v>1</v>
      </c>
      <c r="E2229">
        <v>0</v>
      </c>
      <c r="F2229">
        <v>0</v>
      </c>
      <c r="G2229">
        <v>0</v>
      </c>
      <c r="H2229">
        <v>1</v>
      </c>
      <c r="I2229">
        <v>1</v>
      </c>
      <c r="L2229">
        <v>0</v>
      </c>
      <c r="M2229">
        <v>72.911000000000001</v>
      </c>
      <c r="N2229">
        <v>9.2710000000000008</v>
      </c>
    </row>
    <row r="2230" spans="1:14" x14ac:dyDescent="0.45">
      <c r="A2230">
        <v>1991</v>
      </c>
      <c r="B2230" t="s">
        <v>102</v>
      </c>
      <c r="C2230">
        <v>1</v>
      </c>
      <c r="D2230">
        <v>0</v>
      </c>
      <c r="E2230">
        <v>0</v>
      </c>
      <c r="F2230">
        <v>0</v>
      </c>
      <c r="G2230">
        <v>0</v>
      </c>
      <c r="H2230">
        <v>1</v>
      </c>
      <c r="I2230">
        <v>1</v>
      </c>
      <c r="J2230">
        <v>27159.70703125</v>
      </c>
      <c r="K2230">
        <v>24195.011866414799</v>
      </c>
      <c r="L2230">
        <v>32.811999999999998</v>
      </c>
      <c r="M2230">
        <v>76.245999999999995</v>
      </c>
      <c r="N2230">
        <v>10.62</v>
      </c>
    </row>
    <row r="2231" spans="1:14" x14ac:dyDescent="0.45">
      <c r="A2231">
        <v>1991</v>
      </c>
      <c r="B2231" t="s">
        <v>103</v>
      </c>
      <c r="C2231">
        <v>1</v>
      </c>
      <c r="D2231">
        <v>0</v>
      </c>
      <c r="E2231">
        <v>0</v>
      </c>
      <c r="F2231">
        <v>0</v>
      </c>
      <c r="G2231">
        <v>1</v>
      </c>
      <c r="H2231">
        <v>0</v>
      </c>
      <c r="I2231">
        <v>0</v>
      </c>
      <c r="J2231">
        <v>24734.770206254601</v>
      </c>
      <c r="K2231">
        <v>20594.232573893201</v>
      </c>
      <c r="L2231">
        <v>24.841999999999999</v>
      </c>
      <c r="M2231">
        <v>71.97</v>
      </c>
      <c r="N2231">
        <v>11.92</v>
      </c>
    </row>
    <row r="2232" spans="1:14" x14ac:dyDescent="0.45">
      <c r="A2232">
        <v>1991</v>
      </c>
      <c r="B2232" t="s">
        <v>104</v>
      </c>
      <c r="C2232">
        <v>1</v>
      </c>
      <c r="D2232">
        <v>0</v>
      </c>
      <c r="E2232">
        <v>0</v>
      </c>
      <c r="F2232">
        <v>0</v>
      </c>
      <c r="G2232">
        <v>0</v>
      </c>
      <c r="H2232">
        <v>1</v>
      </c>
      <c r="I2232">
        <v>1</v>
      </c>
      <c r="J2232">
        <v>44214.752574678103</v>
      </c>
      <c r="K2232">
        <v>38336.495532334899</v>
      </c>
      <c r="L2232">
        <v>26.731000000000002</v>
      </c>
      <c r="M2232">
        <v>75.56</v>
      </c>
      <c r="N2232">
        <v>8.0630000000000006</v>
      </c>
    </row>
    <row r="2233" spans="1:14" x14ac:dyDescent="0.45">
      <c r="A2233">
        <v>1991</v>
      </c>
      <c r="B2233" t="s">
        <v>105</v>
      </c>
      <c r="C2233">
        <v>0</v>
      </c>
      <c r="D2233">
        <v>0</v>
      </c>
      <c r="E2233">
        <v>0</v>
      </c>
      <c r="F2233">
        <v>1</v>
      </c>
      <c r="G2233">
        <v>0</v>
      </c>
      <c r="H2233">
        <v>0</v>
      </c>
      <c r="I2233">
        <v>0</v>
      </c>
      <c r="L2233">
        <v>23.885999999999999</v>
      </c>
      <c r="M2233">
        <v>55.194000000000003</v>
      </c>
      <c r="N2233">
        <v>115.29300000000001</v>
      </c>
    </row>
    <row r="2234" spans="1:14" x14ac:dyDescent="0.45">
      <c r="A2234">
        <v>1991</v>
      </c>
      <c r="B2234" t="s">
        <v>106</v>
      </c>
      <c r="C2234">
        <v>0</v>
      </c>
      <c r="D2234">
        <v>1</v>
      </c>
      <c r="E2234">
        <v>0</v>
      </c>
      <c r="F2234">
        <v>1</v>
      </c>
      <c r="G2234">
        <v>0</v>
      </c>
      <c r="H2234">
        <v>0</v>
      </c>
      <c r="I2234">
        <v>0</v>
      </c>
      <c r="J2234">
        <v>11518.7642016718</v>
      </c>
      <c r="K2234">
        <v>8964.2286326502199</v>
      </c>
      <c r="L2234">
        <v>35.518000000000001</v>
      </c>
      <c r="M2234">
        <v>70.397999999999996</v>
      </c>
      <c r="N2234">
        <v>17.026</v>
      </c>
    </row>
    <row r="2235" spans="1:14" x14ac:dyDescent="0.45">
      <c r="A2235">
        <v>1991</v>
      </c>
      <c r="B2235" t="s">
        <v>107</v>
      </c>
      <c r="C2235">
        <v>1</v>
      </c>
      <c r="D2235">
        <v>0</v>
      </c>
      <c r="E2235">
        <v>0</v>
      </c>
      <c r="F2235">
        <v>0</v>
      </c>
      <c r="G2235">
        <v>0</v>
      </c>
      <c r="H2235">
        <v>1</v>
      </c>
      <c r="I2235">
        <v>1</v>
      </c>
      <c r="J2235">
        <v>46368.742893718198</v>
      </c>
      <c r="K2235">
        <v>39188.408056785898</v>
      </c>
      <c r="L2235">
        <v>15.129</v>
      </c>
      <c r="M2235">
        <v>75.227000000000004</v>
      </c>
      <c r="N2235">
        <v>8.8239999999999998</v>
      </c>
    </row>
    <row r="2236" spans="1:14" x14ac:dyDescent="0.45">
      <c r="A2236">
        <v>1991</v>
      </c>
      <c r="B2236" t="s">
        <v>108</v>
      </c>
      <c r="C2236">
        <v>0</v>
      </c>
      <c r="D2236">
        <v>1</v>
      </c>
      <c r="E2236">
        <v>0</v>
      </c>
      <c r="F2236">
        <v>1</v>
      </c>
      <c r="G2236">
        <v>0</v>
      </c>
      <c r="H2236">
        <v>0</v>
      </c>
      <c r="I2236">
        <v>0</v>
      </c>
      <c r="J2236">
        <v>7246.24670144222</v>
      </c>
      <c r="K2236">
        <v>6259.48903426379</v>
      </c>
      <c r="L2236">
        <v>44.503</v>
      </c>
      <c r="M2236">
        <v>68.153999999999996</v>
      </c>
      <c r="N2236">
        <v>59.536999999999999</v>
      </c>
    </row>
    <row r="2237" spans="1:14" x14ac:dyDescent="0.45">
      <c r="A2237">
        <v>1991</v>
      </c>
      <c r="B2237" t="s">
        <v>109</v>
      </c>
      <c r="C2237">
        <v>0</v>
      </c>
      <c r="D2237">
        <v>0</v>
      </c>
      <c r="E2237">
        <v>0</v>
      </c>
      <c r="F2237">
        <v>1</v>
      </c>
      <c r="G2237">
        <v>0</v>
      </c>
      <c r="H2237">
        <v>0</v>
      </c>
      <c r="I2237">
        <v>0</v>
      </c>
      <c r="J2237">
        <v>11314.8647351204</v>
      </c>
      <c r="K2237">
        <v>9896.3667921228207</v>
      </c>
      <c r="L2237">
        <v>47.128999999999998</v>
      </c>
      <c r="M2237">
        <v>67.691999999999993</v>
      </c>
      <c r="N2237">
        <v>50.875999999999998</v>
      </c>
    </row>
    <row r="2238" spans="1:14" x14ac:dyDescent="0.45">
      <c r="A2238">
        <v>1991</v>
      </c>
      <c r="B2238" t="s">
        <v>110</v>
      </c>
      <c r="C2238">
        <v>0</v>
      </c>
      <c r="D2238">
        <v>1</v>
      </c>
      <c r="E2238">
        <v>0</v>
      </c>
      <c r="F2238">
        <v>1</v>
      </c>
      <c r="G2238">
        <v>0</v>
      </c>
      <c r="H2238">
        <v>0</v>
      </c>
      <c r="I2238">
        <v>0</v>
      </c>
      <c r="J2238">
        <v>9292.6177917376208</v>
      </c>
      <c r="K2238">
        <v>7729.1141832871999</v>
      </c>
      <c r="L2238">
        <v>44.290999999999997</v>
      </c>
      <c r="M2238">
        <v>69.040000000000006</v>
      </c>
      <c r="N2238">
        <v>51.512</v>
      </c>
    </row>
    <row r="2239" spans="1:14" x14ac:dyDescent="0.45">
      <c r="A2239">
        <v>1991</v>
      </c>
      <c r="B2239" t="s">
        <v>111</v>
      </c>
      <c r="C2239">
        <v>0</v>
      </c>
      <c r="D2239">
        <v>0</v>
      </c>
      <c r="E2239">
        <v>0</v>
      </c>
      <c r="F2239">
        <v>0</v>
      </c>
      <c r="G2239">
        <v>0</v>
      </c>
      <c r="H2239">
        <v>0</v>
      </c>
      <c r="I2239">
        <v>0</v>
      </c>
      <c r="J2239">
        <v>7876.5525755410899</v>
      </c>
      <c r="K2239">
        <v>6250.6994148556896</v>
      </c>
      <c r="L2239">
        <v>56.655000000000001</v>
      </c>
      <c r="M2239">
        <v>63.058999999999997</v>
      </c>
      <c r="N2239">
        <v>81.278000000000006</v>
      </c>
    </row>
    <row r="2240" spans="1:14" x14ac:dyDescent="0.45">
      <c r="A2240">
        <v>1991</v>
      </c>
      <c r="B2240" t="s">
        <v>112</v>
      </c>
      <c r="C2240">
        <v>0</v>
      </c>
      <c r="D2240">
        <v>0</v>
      </c>
      <c r="E2240">
        <v>1</v>
      </c>
      <c r="F2240">
        <v>0</v>
      </c>
      <c r="G2240">
        <v>0</v>
      </c>
      <c r="H2240">
        <v>0</v>
      </c>
      <c r="I2240">
        <v>0</v>
      </c>
      <c r="L2240">
        <v>80.41</v>
      </c>
      <c r="M2240">
        <v>50.515999999999998</v>
      </c>
      <c r="N2240">
        <v>144.66</v>
      </c>
    </row>
    <row r="2241" spans="1:14" x14ac:dyDescent="0.45">
      <c r="A2241">
        <v>1991</v>
      </c>
      <c r="B2241" t="s">
        <v>113</v>
      </c>
      <c r="C2241">
        <v>1</v>
      </c>
      <c r="D2241">
        <v>0</v>
      </c>
      <c r="E2241">
        <v>0</v>
      </c>
      <c r="F2241">
        <v>0</v>
      </c>
      <c r="G2241">
        <v>0</v>
      </c>
      <c r="H2241">
        <v>1</v>
      </c>
      <c r="I2241">
        <v>1</v>
      </c>
      <c r="J2241">
        <v>32499.348137190202</v>
      </c>
      <c r="K2241">
        <v>28600.2907169713</v>
      </c>
      <c r="L2241">
        <v>24.472000000000001</v>
      </c>
      <c r="M2241">
        <v>77.129000000000005</v>
      </c>
      <c r="N2241">
        <v>8.7669999999999995</v>
      </c>
    </row>
    <row r="2242" spans="1:14" x14ac:dyDescent="0.45">
      <c r="A2242">
        <v>1991</v>
      </c>
      <c r="B2242" t="s">
        <v>114</v>
      </c>
      <c r="C2242">
        <v>1</v>
      </c>
      <c r="D2242">
        <v>0</v>
      </c>
      <c r="E2242">
        <v>0</v>
      </c>
      <c r="F2242">
        <v>0</v>
      </c>
      <c r="G2242">
        <v>1</v>
      </c>
      <c r="H2242">
        <v>0</v>
      </c>
      <c r="I2242">
        <v>0</v>
      </c>
      <c r="J2242">
        <v>17900.921030580099</v>
      </c>
      <c r="K2242">
        <v>15187.2465727405</v>
      </c>
      <c r="L2242">
        <v>28.954000000000001</v>
      </c>
      <c r="M2242">
        <v>69.795000000000002</v>
      </c>
      <c r="N2242">
        <v>15.843999999999999</v>
      </c>
    </row>
    <row r="2243" spans="1:14" x14ac:dyDescent="0.45">
      <c r="A2243">
        <v>1991</v>
      </c>
      <c r="B2243" t="s">
        <v>115</v>
      </c>
      <c r="C2243">
        <v>0</v>
      </c>
      <c r="D2243">
        <v>0</v>
      </c>
      <c r="E2243">
        <v>1</v>
      </c>
      <c r="F2243">
        <v>0</v>
      </c>
      <c r="G2243">
        <v>0</v>
      </c>
      <c r="H2243">
        <v>0</v>
      </c>
      <c r="I2243">
        <v>0</v>
      </c>
      <c r="J2243">
        <v>777.52356625892401</v>
      </c>
      <c r="K2243">
        <v>701.24104242589397</v>
      </c>
      <c r="L2243">
        <v>87.132999999999996</v>
      </c>
      <c r="M2243">
        <v>46.656999999999996</v>
      </c>
      <c r="N2243">
        <v>198.13499999999999</v>
      </c>
    </row>
    <row r="2244" spans="1:14" x14ac:dyDescent="0.45">
      <c r="A2244">
        <v>1991</v>
      </c>
      <c r="B2244" t="s">
        <v>116</v>
      </c>
      <c r="C2244">
        <v>1</v>
      </c>
      <c r="D2244">
        <v>0</v>
      </c>
      <c r="E2244">
        <v>0</v>
      </c>
      <c r="F2244">
        <v>0</v>
      </c>
      <c r="G2244">
        <v>0</v>
      </c>
      <c r="H2244">
        <v>1</v>
      </c>
      <c r="I2244">
        <v>1</v>
      </c>
      <c r="J2244">
        <v>36326.082894535801</v>
      </c>
      <c r="K2244">
        <v>30538.7135115702</v>
      </c>
      <c r="L2244">
        <v>20.157</v>
      </c>
      <c r="M2244">
        <v>75.406999999999996</v>
      </c>
      <c r="N2244">
        <v>6.9260000000000002</v>
      </c>
    </row>
    <row r="2245" spans="1:14" x14ac:dyDescent="0.45">
      <c r="A2245">
        <v>1991</v>
      </c>
      <c r="B2245" t="s">
        <v>117</v>
      </c>
      <c r="C2245">
        <v>0</v>
      </c>
      <c r="D2245">
        <v>0</v>
      </c>
      <c r="E2245">
        <v>0</v>
      </c>
      <c r="F2245">
        <v>1</v>
      </c>
      <c r="G2245">
        <v>0</v>
      </c>
      <c r="H2245">
        <v>0</v>
      </c>
      <c r="I2245">
        <v>0</v>
      </c>
      <c r="J2245">
        <v>7843.1625321786796</v>
      </c>
      <c r="K2245">
        <v>7680.8302272457704</v>
      </c>
      <c r="L2245">
        <v>57.619</v>
      </c>
      <c r="M2245">
        <v>65.456999999999994</v>
      </c>
      <c r="N2245">
        <v>28.03</v>
      </c>
    </row>
    <row r="2246" spans="1:14" x14ac:dyDescent="0.45">
      <c r="A2246">
        <v>1991</v>
      </c>
      <c r="B2246" t="s">
        <v>118</v>
      </c>
      <c r="C2246">
        <v>1</v>
      </c>
      <c r="D2246">
        <v>0</v>
      </c>
      <c r="E2246">
        <v>0</v>
      </c>
      <c r="F2246">
        <v>0</v>
      </c>
      <c r="G2246">
        <v>0</v>
      </c>
      <c r="H2246">
        <v>1</v>
      </c>
      <c r="I2246">
        <v>1</v>
      </c>
      <c r="J2246">
        <v>38937.952251374903</v>
      </c>
      <c r="K2246">
        <v>32509.249134183901</v>
      </c>
      <c r="L2246">
        <v>25.771000000000001</v>
      </c>
      <c r="M2246">
        <v>77.016000000000005</v>
      </c>
      <c r="N2246">
        <v>8.8719999999999999</v>
      </c>
    </row>
    <row r="2247" spans="1:14" x14ac:dyDescent="0.45">
      <c r="A2247">
        <v>1991</v>
      </c>
      <c r="B2247" t="s">
        <v>119</v>
      </c>
      <c r="C2247">
        <v>1</v>
      </c>
      <c r="D2247">
        <v>0</v>
      </c>
      <c r="E2247">
        <v>0</v>
      </c>
      <c r="F2247">
        <v>0</v>
      </c>
      <c r="G2247">
        <v>0</v>
      </c>
      <c r="H2247">
        <v>1</v>
      </c>
      <c r="I2247">
        <v>1</v>
      </c>
      <c r="L2247">
        <v>68.846000000000004</v>
      </c>
      <c r="M2247">
        <v>77.087999999999994</v>
      </c>
      <c r="N2247">
        <v>11.271000000000001</v>
      </c>
    </row>
    <row r="2248" spans="1:14" x14ac:dyDescent="0.45">
      <c r="A2248">
        <v>1991</v>
      </c>
      <c r="B2248" t="s">
        <v>120</v>
      </c>
      <c r="C2248">
        <v>0</v>
      </c>
      <c r="D2248">
        <v>0</v>
      </c>
      <c r="E2248">
        <v>0</v>
      </c>
      <c r="F2248">
        <v>1</v>
      </c>
      <c r="G2248">
        <v>0</v>
      </c>
      <c r="H2248">
        <v>0</v>
      </c>
      <c r="I2248">
        <v>0</v>
      </c>
      <c r="J2248">
        <v>3308.74576065164</v>
      </c>
      <c r="K2248">
        <v>2994.8714892992498</v>
      </c>
      <c r="L2248">
        <v>74.248000000000005</v>
      </c>
      <c r="M2248">
        <v>63.881</v>
      </c>
      <c r="N2248">
        <v>47.415999999999997</v>
      </c>
    </row>
    <row r="2249" spans="1:14" x14ac:dyDescent="0.45">
      <c r="A2249">
        <v>1991</v>
      </c>
      <c r="B2249" t="s">
        <v>121</v>
      </c>
      <c r="C2249">
        <v>0</v>
      </c>
      <c r="D2249">
        <v>0</v>
      </c>
      <c r="E2249">
        <v>1</v>
      </c>
      <c r="F2249">
        <v>0</v>
      </c>
      <c r="G2249">
        <v>1</v>
      </c>
      <c r="H2249">
        <v>0</v>
      </c>
      <c r="I2249">
        <v>0</v>
      </c>
      <c r="J2249">
        <v>24665.679229433299</v>
      </c>
      <c r="K2249">
        <v>18663.0375095415</v>
      </c>
      <c r="L2249">
        <v>29.538</v>
      </c>
      <c r="M2249">
        <v>60.890999999999998</v>
      </c>
      <c r="N2249">
        <v>91.733000000000004</v>
      </c>
    </row>
    <row r="2250" spans="1:14" x14ac:dyDescent="0.45">
      <c r="A2250">
        <v>1991</v>
      </c>
      <c r="B2250" t="s">
        <v>122</v>
      </c>
      <c r="C2250">
        <v>1</v>
      </c>
      <c r="D2250">
        <v>0</v>
      </c>
      <c r="E2250">
        <v>0</v>
      </c>
      <c r="F2250">
        <v>0</v>
      </c>
      <c r="G2250">
        <v>0</v>
      </c>
      <c r="H2250">
        <v>1</v>
      </c>
      <c r="I2250">
        <v>1</v>
      </c>
      <c r="J2250">
        <v>33824.716469684303</v>
      </c>
      <c r="K2250">
        <v>29141.013286026398</v>
      </c>
      <c r="L2250">
        <v>21.888000000000002</v>
      </c>
      <c r="M2250">
        <v>75.911000000000001</v>
      </c>
      <c r="N2250">
        <v>8.8230000000000004</v>
      </c>
    </row>
    <row r="2251" spans="1:14" x14ac:dyDescent="0.45">
      <c r="A2251">
        <v>1991</v>
      </c>
      <c r="B2251" t="s">
        <v>123</v>
      </c>
      <c r="C2251">
        <v>1</v>
      </c>
      <c r="D2251">
        <v>0</v>
      </c>
      <c r="E2251">
        <v>0</v>
      </c>
      <c r="F2251">
        <v>1</v>
      </c>
      <c r="G2251">
        <v>0</v>
      </c>
      <c r="H2251">
        <v>0</v>
      </c>
      <c r="I2251">
        <v>0</v>
      </c>
      <c r="J2251">
        <v>10120.162888143501</v>
      </c>
      <c r="K2251">
        <v>8550.3807012590496</v>
      </c>
      <c r="L2251">
        <v>45.201000000000001</v>
      </c>
      <c r="M2251">
        <v>68.201999999999998</v>
      </c>
      <c r="N2251">
        <v>47.168999999999997</v>
      </c>
    </row>
    <row r="2252" spans="1:14" x14ac:dyDescent="0.45">
      <c r="A2252">
        <v>1991</v>
      </c>
      <c r="B2252" t="s">
        <v>124</v>
      </c>
      <c r="C2252">
        <v>0</v>
      </c>
      <c r="D2252">
        <v>0</v>
      </c>
      <c r="E2252">
        <v>1</v>
      </c>
      <c r="F2252">
        <v>0</v>
      </c>
      <c r="G2252">
        <v>0</v>
      </c>
      <c r="H2252">
        <v>0</v>
      </c>
      <c r="I2252">
        <v>0</v>
      </c>
      <c r="J2252">
        <v>2859.8270216641099</v>
      </c>
      <c r="K2252">
        <v>2467.2949620163299</v>
      </c>
      <c r="L2252">
        <v>62.83</v>
      </c>
      <c r="M2252">
        <v>55.722000000000001</v>
      </c>
      <c r="N2252">
        <v>125.25700000000001</v>
      </c>
    </row>
    <row r="2253" spans="1:14" x14ac:dyDescent="0.45">
      <c r="A2253">
        <v>1991</v>
      </c>
      <c r="B2253" t="s">
        <v>125</v>
      </c>
      <c r="C2253">
        <v>1</v>
      </c>
      <c r="D2253">
        <v>0</v>
      </c>
      <c r="E2253">
        <v>0</v>
      </c>
      <c r="F2253">
        <v>0</v>
      </c>
      <c r="G2253">
        <v>1</v>
      </c>
      <c r="H2253">
        <v>0</v>
      </c>
      <c r="I2253">
        <v>0</v>
      </c>
      <c r="L2253">
        <v>0</v>
      </c>
      <c r="M2253">
        <v>77.117999999999995</v>
      </c>
      <c r="N2253">
        <v>19.937999999999999</v>
      </c>
    </row>
    <row r="2254" spans="1:14" x14ac:dyDescent="0.45">
      <c r="A2254">
        <v>1991</v>
      </c>
      <c r="B2254" t="s">
        <v>126</v>
      </c>
      <c r="C2254">
        <v>0</v>
      </c>
      <c r="D2254">
        <v>0</v>
      </c>
      <c r="E2254">
        <v>1</v>
      </c>
      <c r="F2254">
        <v>0</v>
      </c>
      <c r="G2254">
        <v>0</v>
      </c>
      <c r="H2254">
        <v>0</v>
      </c>
      <c r="I2254">
        <v>0</v>
      </c>
      <c r="J2254">
        <v>2075.9919430267501</v>
      </c>
      <c r="K2254">
        <v>1673.80132843615</v>
      </c>
      <c r="L2254">
        <v>71.688000000000002</v>
      </c>
      <c r="M2254">
        <v>47.780999999999999</v>
      </c>
      <c r="N2254">
        <v>226.19</v>
      </c>
    </row>
    <row r="2255" spans="1:14" x14ac:dyDescent="0.45">
      <c r="A2255">
        <v>1991</v>
      </c>
      <c r="B2255" t="s">
        <v>127</v>
      </c>
      <c r="C2255">
        <v>0</v>
      </c>
      <c r="D2255">
        <v>0</v>
      </c>
      <c r="E2255">
        <v>1</v>
      </c>
      <c r="F2255">
        <v>0</v>
      </c>
      <c r="G2255">
        <v>0</v>
      </c>
      <c r="H2255">
        <v>0</v>
      </c>
      <c r="I2255">
        <v>0</v>
      </c>
      <c r="J2255">
        <v>2623.64161607507</v>
      </c>
      <c r="K2255">
        <v>2111.7611745712302</v>
      </c>
      <c r="L2255">
        <v>60.59</v>
      </c>
      <c r="M2255">
        <v>51.856999999999999</v>
      </c>
      <c r="N2255">
        <v>160.595</v>
      </c>
    </row>
    <row r="2256" spans="1:14" x14ac:dyDescent="0.45">
      <c r="A2256">
        <v>1991</v>
      </c>
      <c r="B2256" t="s">
        <v>128</v>
      </c>
      <c r="C2256">
        <v>0</v>
      </c>
      <c r="D2256">
        <v>0</v>
      </c>
      <c r="E2256">
        <v>1</v>
      </c>
      <c r="F2256">
        <v>0</v>
      </c>
      <c r="G2256">
        <v>0</v>
      </c>
      <c r="H2256">
        <v>0</v>
      </c>
      <c r="I2256">
        <v>0</v>
      </c>
      <c r="J2256">
        <v>2000.3027686375699</v>
      </c>
      <c r="K2256">
        <v>1799.46926760055</v>
      </c>
      <c r="L2256">
        <v>67.61</v>
      </c>
      <c r="M2256">
        <v>47.201000000000001</v>
      </c>
      <c r="N2256">
        <v>216.98599999999999</v>
      </c>
    </row>
    <row r="2257" spans="1:14" x14ac:dyDescent="0.45">
      <c r="A2257">
        <v>1991</v>
      </c>
      <c r="B2257" t="s">
        <v>129</v>
      </c>
      <c r="C2257">
        <v>0</v>
      </c>
      <c r="D2257">
        <v>0</v>
      </c>
      <c r="E2257">
        <v>1</v>
      </c>
      <c r="F2257">
        <v>0</v>
      </c>
      <c r="G2257">
        <v>0</v>
      </c>
      <c r="H2257">
        <v>0</v>
      </c>
      <c r="I2257">
        <v>0</v>
      </c>
      <c r="J2257">
        <v>1070.82764283041</v>
      </c>
      <c r="K2257">
        <v>887.19436423694901</v>
      </c>
      <c r="L2257">
        <v>64.251999999999995</v>
      </c>
      <c r="M2257">
        <v>51.497</v>
      </c>
      <c r="N2257">
        <v>176.41399999999999</v>
      </c>
    </row>
    <row r="2258" spans="1:14" x14ac:dyDescent="0.45">
      <c r="A2258">
        <v>1991</v>
      </c>
      <c r="B2258" t="s">
        <v>130</v>
      </c>
      <c r="C2258">
        <v>1</v>
      </c>
      <c r="D2258">
        <v>0</v>
      </c>
      <c r="E2258">
        <v>0</v>
      </c>
      <c r="F2258">
        <v>0</v>
      </c>
      <c r="G2258">
        <v>1</v>
      </c>
      <c r="H2258">
        <v>0</v>
      </c>
      <c r="I2258">
        <v>0</v>
      </c>
      <c r="J2258">
        <v>27419.602933223399</v>
      </c>
      <c r="K2258">
        <v>24545.867104946501</v>
      </c>
      <c r="L2258">
        <v>28.364999999999998</v>
      </c>
      <c r="M2258">
        <v>77.385999999999996</v>
      </c>
      <c r="N2258">
        <v>10.173</v>
      </c>
    </row>
    <row r="2259" spans="1:14" x14ac:dyDescent="0.45">
      <c r="A2259">
        <v>1991</v>
      </c>
      <c r="B2259" t="s">
        <v>131</v>
      </c>
      <c r="C2259">
        <v>0</v>
      </c>
      <c r="D2259">
        <v>1</v>
      </c>
      <c r="E2259">
        <v>0</v>
      </c>
      <c r="F2259">
        <v>1</v>
      </c>
      <c r="G2259">
        <v>0</v>
      </c>
      <c r="H2259">
        <v>0</v>
      </c>
      <c r="I2259">
        <v>0</v>
      </c>
      <c r="J2259">
        <v>8937.7770713227492</v>
      </c>
      <c r="K2259">
        <v>8246.9322381988895</v>
      </c>
      <c r="L2259">
        <v>66.497</v>
      </c>
      <c r="M2259">
        <v>70.822999999999993</v>
      </c>
      <c r="N2259">
        <v>21.317</v>
      </c>
    </row>
    <row r="2260" spans="1:14" x14ac:dyDescent="0.45">
      <c r="A2260">
        <v>1991</v>
      </c>
      <c r="B2260" t="s">
        <v>132</v>
      </c>
      <c r="C2260">
        <v>1</v>
      </c>
      <c r="D2260">
        <v>0</v>
      </c>
      <c r="E2260">
        <v>0</v>
      </c>
      <c r="F2260">
        <v>0</v>
      </c>
      <c r="G2260">
        <v>0</v>
      </c>
      <c r="H2260">
        <v>1</v>
      </c>
      <c r="I2260">
        <v>1</v>
      </c>
      <c r="J2260">
        <v>38162.934223262098</v>
      </c>
      <c r="K2260">
        <v>34543.873339240403</v>
      </c>
      <c r="L2260">
        <v>19.966999999999999</v>
      </c>
      <c r="M2260">
        <v>63.514000000000003</v>
      </c>
      <c r="N2260">
        <v>34.113</v>
      </c>
    </row>
    <row r="2261" spans="1:14" x14ac:dyDescent="0.45">
      <c r="A2261">
        <v>1991</v>
      </c>
      <c r="B2261" t="s">
        <v>133</v>
      </c>
      <c r="C2261">
        <v>0</v>
      </c>
      <c r="D2261">
        <v>1</v>
      </c>
      <c r="E2261">
        <v>0</v>
      </c>
      <c r="F2261">
        <v>1</v>
      </c>
      <c r="G2261">
        <v>0</v>
      </c>
      <c r="H2261">
        <v>0</v>
      </c>
      <c r="I2261">
        <v>0</v>
      </c>
      <c r="J2261">
        <v>7662.1672287081501</v>
      </c>
      <c r="K2261">
        <v>6655.9381723468196</v>
      </c>
      <c r="L2261">
        <v>57.677</v>
      </c>
      <c r="M2261">
        <v>61.926000000000002</v>
      </c>
      <c r="N2261">
        <v>76.801000000000002</v>
      </c>
    </row>
    <row r="2262" spans="1:14" x14ac:dyDescent="0.45">
      <c r="A2262">
        <v>1991</v>
      </c>
      <c r="B2262" t="s">
        <v>134</v>
      </c>
      <c r="C2262">
        <v>0</v>
      </c>
      <c r="D2262">
        <v>0</v>
      </c>
      <c r="E2262">
        <v>0</v>
      </c>
      <c r="F2262">
        <v>0</v>
      </c>
      <c r="G2262">
        <v>1</v>
      </c>
      <c r="H2262">
        <v>0</v>
      </c>
      <c r="I2262">
        <v>0</v>
      </c>
      <c r="L2262">
        <v>8.9389999999999894</v>
      </c>
      <c r="M2262">
        <v>73.518000000000001</v>
      </c>
      <c r="N2262">
        <v>12.753</v>
      </c>
    </row>
    <row r="2263" spans="1:14" x14ac:dyDescent="0.45">
      <c r="A2263">
        <v>1991</v>
      </c>
      <c r="B2263" t="s">
        <v>135</v>
      </c>
      <c r="C2263">
        <v>0</v>
      </c>
      <c r="D2263">
        <v>1</v>
      </c>
      <c r="E2263">
        <v>0</v>
      </c>
      <c r="F2263">
        <v>0</v>
      </c>
      <c r="G2263">
        <v>0</v>
      </c>
      <c r="H2263">
        <v>0</v>
      </c>
      <c r="I2263">
        <v>0</v>
      </c>
      <c r="J2263">
        <v>5396.4634259054301</v>
      </c>
      <c r="K2263">
        <v>5161.0650411821698</v>
      </c>
      <c r="L2263">
        <v>70.507000000000005</v>
      </c>
      <c r="M2263">
        <v>62.463000000000001</v>
      </c>
      <c r="N2263">
        <v>58.993000000000002</v>
      </c>
    </row>
    <row r="2264" spans="1:14" x14ac:dyDescent="0.45">
      <c r="A2264">
        <v>1991</v>
      </c>
      <c r="B2264" t="s">
        <v>136</v>
      </c>
      <c r="C2264">
        <v>0</v>
      </c>
      <c r="D2264">
        <v>0</v>
      </c>
      <c r="E2264">
        <v>0</v>
      </c>
      <c r="F2264">
        <v>0</v>
      </c>
      <c r="G2264">
        <v>0</v>
      </c>
      <c r="H2264">
        <v>1</v>
      </c>
      <c r="I2264">
        <v>1</v>
      </c>
      <c r="J2264">
        <v>33124.796354947197</v>
      </c>
      <c r="K2264">
        <v>29895.242920921301</v>
      </c>
      <c r="L2264">
        <v>0.16800000000000601</v>
      </c>
      <c r="M2264">
        <v>77.692999999999998</v>
      </c>
      <c r="N2264">
        <v>7.0119999999999996</v>
      </c>
    </row>
    <row r="2265" spans="1:14" x14ac:dyDescent="0.45">
      <c r="A2265">
        <v>1991</v>
      </c>
      <c r="B2265" t="s">
        <v>137</v>
      </c>
      <c r="C2265">
        <v>0</v>
      </c>
      <c r="D2265">
        <v>1</v>
      </c>
      <c r="E2265">
        <v>0</v>
      </c>
      <c r="F2265">
        <v>0</v>
      </c>
      <c r="G2265">
        <v>0</v>
      </c>
      <c r="H2265">
        <v>0</v>
      </c>
      <c r="I2265">
        <v>0</v>
      </c>
      <c r="J2265">
        <v>4160.3859665070004</v>
      </c>
      <c r="K2265">
        <v>3833.70427441538</v>
      </c>
      <c r="L2265">
        <v>59.046999999999997</v>
      </c>
      <c r="M2265">
        <v>65.584000000000003</v>
      </c>
      <c r="N2265">
        <v>55.533999999999999</v>
      </c>
    </row>
    <row r="2266" spans="1:14" x14ac:dyDescent="0.45">
      <c r="A2266">
        <v>1991</v>
      </c>
      <c r="B2266" t="s">
        <v>138</v>
      </c>
      <c r="C2266">
        <v>1</v>
      </c>
      <c r="D2266">
        <v>0</v>
      </c>
      <c r="E2266">
        <v>0</v>
      </c>
      <c r="F2266">
        <v>0</v>
      </c>
      <c r="G2266">
        <v>1</v>
      </c>
      <c r="H2266">
        <v>0</v>
      </c>
      <c r="I2266">
        <v>0</v>
      </c>
      <c r="J2266">
        <v>18811.828793908899</v>
      </c>
      <c r="K2266">
        <v>16223.493097599299</v>
      </c>
      <c r="L2266">
        <v>48.643000000000001</v>
      </c>
      <c r="M2266">
        <v>70.575000000000003</v>
      </c>
      <c r="N2266">
        <v>14.22</v>
      </c>
    </row>
    <row r="2267" spans="1:14" x14ac:dyDescent="0.45">
      <c r="A2267">
        <v>1991</v>
      </c>
      <c r="B2267" t="s">
        <v>139</v>
      </c>
      <c r="C2267">
        <v>0</v>
      </c>
      <c r="D2267">
        <v>1</v>
      </c>
      <c r="E2267">
        <v>0</v>
      </c>
      <c r="F2267">
        <v>0</v>
      </c>
      <c r="G2267">
        <v>0</v>
      </c>
      <c r="H2267">
        <v>0</v>
      </c>
      <c r="I2267">
        <v>0</v>
      </c>
      <c r="J2267">
        <v>3939.53502422662</v>
      </c>
      <c r="K2267">
        <v>3786.5067797941401</v>
      </c>
      <c r="L2267">
        <v>70.358999999999995</v>
      </c>
      <c r="M2267">
        <v>53.524000000000001</v>
      </c>
      <c r="N2267">
        <v>140.441</v>
      </c>
    </row>
    <row r="2268" spans="1:14" x14ac:dyDescent="0.45">
      <c r="A2268">
        <v>1991</v>
      </c>
      <c r="B2268" t="s">
        <v>140</v>
      </c>
      <c r="C2268">
        <v>1</v>
      </c>
      <c r="D2268">
        <v>0</v>
      </c>
      <c r="E2268">
        <v>0</v>
      </c>
      <c r="F2268">
        <v>0</v>
      </c>
      <c r="G2268">
        <v>1</v>
      </c>
      <c r="H2268">
        <v>0</v>
      </c>
      <c r="I2268">
        <v>0</v>
      </c>
      <c r="J2268">
        <v>18765.416250400802</v>
      </c>
      <c r="K2268">
        <v>16352.51173819</v>
      </c>
      <c r="L2268">
        <v>34.286999999999999</v>
      </c>
      <c r="M2268">
        <v>69.441000000000003</v>
      </c>
      <c r="N2268">
        <v>17.591999999999999</v>
      </c>
    </row>
    <row r="2269" spans="1:14" x14ac:dyDescent="0.45">
      <c r="A2269">
        <v>1991</v>
      </c>
      <c r="B2269" t="s">
        <v>141</v>
      </c>
      <c r="C2269">
        <v>0</v>
      </c>
      <c r="D2269">
        <v>0</v>
      </c>
      <c r="E2269">
        <v>0</v>
      </c>
      <c r="F2269">
        <v>0</v>
      </c>
      <c r="G2269">
        <v>0</v>
      </c>
      <c r="H2269">
        <v>0</v>
      </c>
      <c r="I2269">
        <v>0</v>
      </c>
      <c r="J2269">
        <v>5118.4678959181501</v>
      </c>
      <c r="K2269">
        <v>4646.7621108513604</v>
      </c>
      <c r="L2269">
        <v>68.387</v>
      </c>
      <c r="M2269">
        <v>63.703000000000003</v>
      </c>
      <c r="N2269">
        <v>79.861000000000004</v>
      </c>
    </row>
    <row r="2270" spans="1:14" x14ac:dyDescent="0.45">
      <c r="A2270">
        <v>1991</v>
      </c>
      <c r="B2270" t="s">
        <v>142</v>
      </c>
      <c r="C2270">
        <v>1</v>
      </c>
      <c r="D2270">
        <v>0</v>
      </c>
      <c r="E2270">
        <v>0</v>
      </c>
      <c r="F2270">
        <v>0</v>
      </c>
      <c r="G2270">
        <v>1</v>
      </c>
      <c r="H2270">
        <v>0</v>
      </c>
      <c r="I2270">
        <v>0</v>
      </c>
      <c r="L2270">
        <v>48.255000000000003</v>
      </c>
      <c r="M2270">
        <v>72.183000000000007</v>
      </c>
      <c r="N2270">
        <v>34.997</v>
      </c>
    </row>
    <row r="2271" spans="1:14" x14ac:dyDescent="0.45">
      <c r="A2271">
        <v>1991</v>
      </c>
      <c r="B2271" t="s">
        <v>143</v>
      </c>
      <c r="C2271">
        <v>0</v>
      </c>
      <c r="D2271">
        <v>0</v>
      </c>
      <c r="E2271">
        <v>0</v>
      </c>
      <c r="F2271">
        <v>0</v>
      </c>
      <c r="G2271">
        <v>0</v>
      </c>
      <c r="H2271">
        <v>0</v>
      </c>
      <c r="I2271">
        <v>0</v>
      </c>
      <c r="J2271">
        <v>2178.6859145400999</v>
      </c>
      <c r="K2271">
        <v>1827.2319522954199</v>
      </c>
      <c r="L2271">
        <v>74.221999999999994</v>
      </c>
      <c r="M2271">
        <v>59.031999999999996</v>
      </c>
      <c r="N2271">
        <v>122.867</v>
      </c>
    </row>
    <row r="2272" spans="1:14" x14ac:dyDescent="0.45">
      <c r="A2272">
        <v>1991</v>
      </c>
      <c r="B2272" t="s">
        <v>144</v>
      </c>
      <c r="C2272">
        <v>1</v>
      </c>
      <c r="D2272">
        <v>0</v>
      </c>
      <c r="E2272">
        <v>0</v>
      </c>
      <c r="F2272">
        <v>0</v>
      </c>
      <c r="G2272">
        <v>0</v>
      </c>
      <c r="H2272">
        <v>1</v>
      </c>
      <c r="I2272">
        <v>1</v>
      </c>
      <c r="J2272">
        <v>29992.049284849501</v>
      </c>
      <c r="K2272">
        <v>27576.124561384899</v>
      </c>
      <c r="L2272">
        <v>42.927</v>
      </c>
      <c r="M2272">
        <v>75.027000000000001</v>
      </c>
      <c r="N2272">
        <v>8.9280000000000008</v>
      </c>
    </row>
    <row r="2273" spans="1:14" x14ac:dyDescent="0.45">
      <c r="A2273">
        <v>1991</v>
      </c>
      <c r="B2273" t="s">
        <v>145</v>
      </c>
      <c r="C2273">
        <v>0</v>
      </c>
      <c r="D2273">
        <v>0</v>
      </c>
      <c r="E2273">
        <v>0</v>
      </c>
      <c r="F2273">
        <v>1</v>
      </c>
      <c r="G2273">
        <v>0</v>
      </c>
      <c r="H2273">
        <v>0</v>
      </c>
      <c r="I2273">
        <v>0</v>
      </c>
      <c r="J2273">
        <v>9923.8212375243802</v>
      </c>
      <c r="K2273">
        <v>9898.95880943667</v>
      </c>
      <c r="L2273">
        <v>43.134999999999998</v>
      </c>
      <c r="M2273">
        <v>66.233000000000004</v>
      </c>
      <c r="N2273">
        <v>55.15</v>
      </c>
    </row>
    <row r="2274" spans="1:14" x14ac:dyDescent="0.45">
      <c r="A2274">
        <v>1991</v>
      </c>
      <c r="B2274" t="s">
        <v>146</v>
      </c>
      <c r="C2274">
        <v>0</v>
      </c>
      <c r="D2274">
        <v>0</v>
      </c>
      <c r="E2274">
        <v>0</v>
      </c>
      <c r="F2274">
        <v>1</v>
      </c>
      <c r="G2274">
        <v>0</v>
      </c>
      <c r="H2274">
        <v>0</v>
      </c>
      <c r="I2274">
        <v>0</v>
      </c>
      <c r="J2274">
        <v>3819.16194827144</v>
      </c>
      <c r="K2274">
        <v>2699.7226810888101</v>
      </c>
      <c r="L2274">
        <v>30.478000000000002</v>
      </c>
      <c r="M2274">
        <v>61.338000000000001</v>
      </c>
      <c r="N2274">
        <v>65.3</v>
      </c>
    </row>
    <row r="2275" spans="1:14" x14ac:dyDescent="0.45">
      <c r="A2275">
        <v>1991</v>
      </c>
      <c r="B2275" t="s">
        <v>147</v>
      </c>
      <c r="C2275">
        <v>1</v>
      </c>
      <c r="D2275">
        <v>0</v>
      </c>
      <c r="E2275">
        <v>0</v>
      </c>
      <c r="F2275">
        <v>0</v>
      </c>
      <c r="G2275">
        <v>0</v>
      </c>
      <c r="H2275">
        <v>1</v>
      </c>
      <c r="I2275">
        <v>1</v>
      </c>
      <c r="J2275">
        <v>39565.789505062203</v>
      </c>
      <c r="K2275">
        <v>34235.837916409997</v>
      </c>
      <c r="L2275">
        <v>9.0679999999999996</v>
      </c>
      <c r="M2275">
        <v>77.757000000000005</v>
      </c>
      <c r="N2275">
        <v>6.923</v>
      </c>
    </row>
    <row r="2276" spans="1:14" x14ac:dyDescent="0.45">
      <c r="A2276">
        <v>1991</v>
      </c>
      <c r="B2276" t="s">
        <v>148</v>
      </c>
      <c r="C2276">
        <v>0</v>
      </c>
      <c r="D2276">
        <v>0</v>
      </c>
      <c r="E2276">
        <v>0</v>
      </c>
      <c r="F2276">
        <v>0</v>
      </c>
      <c r="G2276">
        <v>0</v>
      </c>
      <c r="H2276">
        <v>1</v>
      </c>
      <c r="I2276">
        <v>1</v>
      </c>
      <c r="J2276">
        <v>25698.9296957607</v>
      </c>
      <c r="K2276">
        <v>23573.041620380998</v>
      </c>
      <c r="L2276">
        <v>9.5370000000000097</v>
      </c>
      <c r="M2276">
        <v>77.582999999999998</v>
      </c>
      <c r="N2276">
        <v>10.555</v>
      </c>
    </row>
    <row r="2277" spans="1:14" x14ac:dyDescent="0.45">
      <c r="A2277">
        <v>1991</v>
      </c>
      <c r="B2277" t="s">
        <v>149</v>
      </c>
      <c r="C2277">
        <v>1</v>
      </c>
      <c r="D2277">
        <v>0</v>
      </c>
      <c r="E2277">
        <v>0</v>
      </c>
      <c r="F2277">
        <v>0</v>
      </c>
      <c r="G2277">
        <v>0</v>
      </c>
      <c r="H2277">
        <v>1</v>
      </c>
      <c r="I2277">
        <v>1</v>
      </c>
      <c r="J2277">
        <v>43283.020444190101</v>
      </c>
      <c r="K2277">
        <v>36867.053497647401</v>
      </c>
      <c r="L2277">
        <v>33.293999999999997</v>
      </c>
      <c r="M2277">
        <v>76.989999999999995</v>
      </c>
      <c r="N2277">
        <v>9.6539999999999999</v>
      </c>
    </row>
    <row r="2278" spans="1:14" x14ac:dyDescent="0.45">
      <c r="A2278">
        <v>1991</v>
      </c>
      <c r="B2278" t="s">
        <v>150</v>
      </c>
      <c r="C2278">
        <v>0</v>
      </c>
      <c r="D2278">
        <v>1</v>
      </c>
      <c r="E2278">
        <v>0</v>
      </c>
      <c r="F2278">
        <v>1</v>
      </c>
      <c r="G2278">
        <v>0</v>
      </c>
      <c r="H2278">
        <v>0</v>
      </c>
      <c r="I2278">
        <v>0</v>
      </c>
      <c r="J2278">
        <v>9084.9966329583494</v>
      </c>
      <c r="K2278">
        <v>8953.5381628182095</v>
      </c>
      <c r="L2278">
        <v>50.344000000000001</v>
      </c>
      <c r="M2278">
        <v>71.787000000000006</v>
      </c>
      <c r="N2278">
        <v>27.277999999999999</v>
      </c>
    </row>
    <row r="2279" spans="1:14" x14ac:dyDescent="0.45">
      <c r="A2279">
        <v>1991</v>
      </c>
      <c r="B2279" t="s">
        <v>151</v>
      </c>
      <c r="C2279">
        <v>0</v>
      </c>
      <c r="D2279">
        <v>0</v>
      </c>
      <c r="E2279">
        <v>0</v>
      </c>
      <c r="F2279">
        <v>1</v>
      </c>
      <c r="G2279">
        <v>0</v>
      </c>
      <c r="H2279">
        <v>0</v>
      </c>
      <c r="I2279">
        <v>0</v>
      </c>
      <c r="J2279">
        <v>7134.2902408485597</v>
      </c>
      <c r="K2279">
        <v>7077.5390389902004</v>
      </c>
      <c r="L2279">
        <v>25.545000000000002</v>
      </c>
      <c r="M2279">
        <v>70.239999999999995</v>
      </c>
      <c r="N2279">
        <v>34.948999999999998</v>
      </c>
    </row>
    <row r="2280" spans="1:14" x14ac:dyDescent="0.45">
      <c r="A2280">
        <v>1991</v>
      </c>
      <c r="B2280" t="s">
        <v>152</v>
      </c>
      <c r="C2280">
        <v>0</v>
      </c>
      <c r="D2280">
        <v>0</v>
      </c>
      <c r="E2280">
        <v>0</v>
      </c>
      <c r="F2280">
        <v>0</v>
      </c>
      <c r="G2280">
        <v>0</v>
      </c>
      <c r="H2280">
        <v>1</v>
      </c>
      <c r="I2280">
        <v>1</v>
      </c>
      <c r="J2280">
        <v>36372.034751718602</v>
      </c>
      <c r="K2280">
        <v>33692.591457041701</v>
      </c>
      <c r="L2280">
        <v>22.527000000000001</v>
      </c>
      <c r="M2280">
        <v>79.262</v>
      </c>
      <c r="N2280">
        <v>6.1260000000000003</v>
      </c>
    </row>
    <row r="2281" spans="1:14" x14ac:dyDescent="0.45">
      <c r="A2281">
        <v>1991</v>
      </c>
      <c r="B2281" t="s">
        <v>153</v>
      </c>
      <c r="C2281">
        <v>1</v>
      </c>
      <c r="D2281">
        <v>0</v>
      </c>
      <c r="E2281">
        <v>0</v>
      </c>
      <c r="F2281">
        <v>1</v>
      </c>
      <c r="G2281">
        <v>0</v>
      </c>
      <c r="H2281">
        <v>0</v>
      </c>
      <c r="I2281">
        <v>0</v>
      </c>
      <c r="J2281">
        <v>14877.5273541269</v>
      </c>
      <c r="K2281">
        <v>11313.755701268799</v>
      </c>
      <c r="L2281">
        <v>43.825000000000003</v>
      </c>
      <c r="M2281">
        <v>65.379000000000005</v>
      </c>
      <c r="N2281">
        <v>52.201000000000001</v>
      </c>
    </row>
    <row r="2282" spans="1:14" x14ac:dyDescent="0.45">
      <c r="A2282">
        <v>1991</v>
      </c>
      <c r="B2282" t="s">
        <v>154</v>
      </c>
      <c r="C2282">
        <v>0</v>
      </c>
      <c r="D2282">
        <v>0</v>
      </c>
      <c r="E2282">
        <v>1</v>
      </c>
      <c r="F2282">
        <v>0</v>
      </c>
      <c r="G2282">
        <v>0</v>
      </c>
      <c r="H2282">
        <v>0</v>
      </c>
      <c r="I2282">
        <v>0</v>
      </c>
      <c r="J2282">
        <v>4102.4767751296504</v>
      </c>
      <c r="K2282">
        <v>3535.7041800485699</v>
      </c>
      <c r="L2282">
        <v>82.956999999999994</v>
      </c>
      <c r="M2282">
        <v>57.826000000000001</v>
      </c>
      <c r="N2282">
        <v>103.131</v>
      </c>
    </row>
    <row r="2283" spans="1:14" x14ac:dyDescent="0.45">
      <c r="A2283">
        <v>1991</v>
      </c>
      <c r="B2283" t="s">
        <v>155</v>
      </c>
      <c r="C2283">
        <v>1</v>
      </c>
      <c r="D2283">
        <v>0</v>
      </c>
      <c r="E2283">
        <v>0</v>
      </c>
      <c r="F2283">
        <v>1</v>
      </c>
      <c r="G2283">
        <v>0</v>
      </c>
      <c r="H2283">
        <v>0</v>
      </c>
      <c r="I2283">
        <v>0</v>
      </c>
      <c r="J2283">
        <v>5520.4297989131301</v>
      </c>
      <c r="K2283">
        <v>4665.6908082548698</v>
      </c>
      <c r="L2283">
        <v>62.51</v>
      </c>
      <c r="M2283">
        <v>64.94</v>
      </c>
      <c r="N2283">
        <v>64.808999999999997</v>
      </c>
    </row>
    <row r="2284" spans="1:14" x14ac:dyDescent="0.45">
      <c r="A2284">
        <v>1991</v>
      </c>
      <c r="B2284" t="s">
        <v>156</v>
      </c>
      <c r="C2284">
        <v>0</v>
      </c>
      <c r="D2284">
        <v>0</v>
      </c>
      <c r="E2284">
        <v>0</v>
      </c>
      <c r="F2284">
        <v>0</v>
      </c>
      <c r="G2284">
        <v>0</v>
      </c>
      <c r="H2284">
        <v>0</v>
      </c>
      <c r="I2284">
        <v>0</v>
      </c>
      <c r="J2284">
        <v>2731.37973720226</v>
      </c>
      <c r="K2284">
        <v>2449.1415904781302</v>
      </c>
      <c r="L2284">
        <v>84.113</v>
      </c>
      <c r="M2284">
        <v>55.582000000000001</v>
      </c>
      <c r="N2284">
        <v>118.22199999999999</v>
      </c>
    </row>
    <row r="2285" spans="1:14" x14ac:dyDescent="0.45">
      <c r="A2285">
        <v>1991</v>
      </c>
      <c r="B2285" t="s">
        <v>157</v>
      </c>
      <c r="C2285">
        <v>0</v>
      </c>
      <c r="D2285">
        <v>0</v>
      </c>
      <c r="E2285">
        <v>0</v>
      </c>
      <c r="F2285">
        <v>1</v>
      </c>
      <c r="G2285">
        <v>0</v>
      </c>
      <c r="H2285">
        <v>0</v>
      </c>
      <c r="I2285">
        <v>0</v>
      </c>
      <c r="J2285">
        <v>2047.15376376789</v>
      </c>
      <c r="K2285">
        <v>1851.85385633242</v>
      </c>
      <c r="L2285">
        <v>64.727999999999994</v>
      </c>
      <c r="M2285">
        <v>61.502000000000002</v>
      </c>
      <c r="N2285">
        <v>87.552999999999997</v>
      </c>
    </row>
    <row r="2286" spans="1:14" x14ac:dyDescent="0.45">
      <c r="A2286">
        <v>1991</v>
      </c>
      <c r="B2286" t="s">
        <v>158</v>
      </c>
      <c r="C2286">
        <v>0</v>
      </c>
      <c r="D2286">
        <v>1</v>
      </c>
      <c r="E2286">
        <v>0</v>
      </c>
      <c r="F2286">
        <v>0</v>
      </c>
      <c r="G2286">
        <v>1</v>
      </c>
      <c r="H2286">
        <v>0</v>
      </c>
      <c r="I2286">
        <v>0</v>
      </c>
      <c r="J2286">
        <v>14084.6831940102</v>
      </c>
      <c r="K2286">
        <v>13910.540427652501</v>
      </c>
      <c r="L2286">
        <v>65.525999999999996</v>
      </c>
      <c r="M2286">
        <v>65.957999999999998</v>
      </c>
      <c r="N2286">
        <v>29.983000000000001</v>
      </c>
    </row>
    <row r="2287" spans="1:14" x14ac:dyDescent="0.45">
      <c r="A2287">
        <v>1991</v>
      </c>
      <c r="B2287" t="s">
        <v>159</v>
      </c>
      <c r="C2287">
        <v>0</v>
      </c>
      <c r="D2287">
        <v>0</v>
      </c>
      <c r="E2287">
        <v>0</v>
      </c>
      <c r="F2287">
        <v>0</v>
      </c>
      <c r="G2287">
        <v>1</v>
      </c>
      <c r="H2287">
        <v>0</v>
      </c>
      <c r="I2287">
        <v>0</v>
      </c>
      <c r="J2287">
        <v>15180.668569105201</v>
      </c>
      <c r="K2287">
        <v>13839.038980028799</v>
      </c>
      <c r="L2287">
        <v>25.027999999999999</v>
      </c>
      <c r="M2287">
        <v>71.402000000000001</v>
      </c>
      <c r="N2287">
        <v>14.54</v>
      </c>
    </row>
    <row r="2288" spans="1:14" x14ac:dyDescent="0.45">
      <c r="A2288">
        <v>1991</v>
      </c>
      <c r="B2288" t="s">
        <v>160</v>
      </c>
      <c r="C2288">
        <v>0</v>
      </c>
      <c r="D2288">
        <v>0</v>
      </c>
      <c r="E2288">
        <v>0</v>
      </c>
      <c r="F2288">
        <v>0</v>
      </c>
      <c r="G2288">
        <v>0</v>
      </c>
      <c r="H2288">
        <v>1</v>
      </c>
      <c r="I2288">
        <v>1</v>
      </c>
      <c r="J2288">
        <v>28633.969607135201</v>
      </c>
      <c r="K2288">
        <v>25501.416917497401</v>
      </c>
      <c r="L2288">
        <v>2.012</v>
      </c>
      <c r="M2288">
        <v>73.31</v>
      </c>
      <c r="N2288">
        <v>17.088000000000001</v>
      </c>
    </row>
    <row r="2289" spans="1:14" x14ac:dyDescent="0.45">
      <c r="A2289">
        <v>1991</v>
      </c>
      <c r="B2289" t="s">
        <v>161</v>
      </c>
      <c r="C2289">
        <v>0</v>
      </c>
      <c r="D2289">
        <v>0</v>
      </c>
      <c r="E2289">
        <v>0</v>
      </c>
      <c r="F2289">
        <v>0</v>
      </c>
      <c r="G2289">
        <v>0</v>
      </c>
      <c r="H2289">
        <v>0</v>
      </c>
      <c r="I2289">
        <v>0</v>
      </c>
      <c r="J2289">
        <v>2033.5825830328099</v>
      </c>
      <c r="K2289">
        <v>1954.0849501585001</v>
      </c>
      <c r="L2289">
        <v>84.218000000000004</v>
      </c>
      <c r="M2289">
        <v>54.7</v>
      </c>
      <c r="N2289">
        <v>148.22499999999999</v>
      </c>
    </row>
    <row r="2290" spans="1:14" x14ac:dyDescent="0.45">
      <c r="A2290">
        <v>1991</v>
      </c>
      <c r="B2290" t="s">
        <v>162</v>
      </c>
      <c r="C2290">
        <v>0</v>
      </c>
      <c r="D2290">
        <v>0</v>
      </c>
      <c r="E2290">
        <v>0</v>
      </c>
      <c r="F2290">
        <v>1</v>
      </c>
      <c r="G2290">
        <v>0</v>
      </c>
      <c r="H2290">
        <v>0</v>
      </c>
      <c r="I2290">
        <v>0</v>
      </c>
      <c r="J2290">
        <v>7828.1720107765595</v>
      </c>
      <c r="K2290">
        <v>10175.0063807323</v>
      </c>
      <c r="L2290">
        <v>16.527999999999999</v>
      </c>
      <c r="M2290">
        <v>70.864999999999995</v>
      </c>
      <c r="N2290">
        <v>30.504999999999999</v>
      </c>
    </row>
    <row r="2291" spans="1:14" x14ac:dyDescent="0.45">
      <c r="A2291">
        <v>1991</v>
      </c>
      <c r="B2291" t="s">
        <v>163</v>
      </c>
      <c r="C2291">
        <v>0</v>
      </c>
      <c r="D2291">
        <v>0</v>
      </c>
      <c r="E2291">
        <v>1</v>
      </c>
      <c r="F2291">
        <v>0</v>
      </c>
      <c r="G2291">
        <v>0</v>
      </c>
      <c r="H2291">
        <v>0</v>
      </c>
      <c r="I2291">
        <v>0</v>
      </c>
      <c r="J2291">
        <v>1819.4978529252201</v>
      </c>
      <c r="K2291">
        <v>2688.2088205856098</v>
      </c>
      <c r="L2291">
        <v>42</v>
      </c>
      <c r="M2291">
        <v>43.575000000000003</v>
      </c>
      <c r="N2291">
        <v>258.45800000000003</v>
      </c>
    </row>
    <row r="2292" spans="1:14" x14ac:dyDescent="0.45">
      <c r="A2292">
        <v>1991</v>
      </c>
      <c r="B2292" t="s">
        <v>164</v>
      </c>
      <c r="C2292">
        <v>0</v>
      </c>
      <c r="D2292">
        <v>0</v>
      </c>
      <c r="E2292">
        <v>0</v>
      </c>
      <c r="F2292">
        <v>0</v>
      </c>
      <c r="G2292">
        <v>1</v>
      </c>
      <c r="H2292">
        <v>0</v>
      </c>
      <c r="I2292">
        <v>0</v>
      </c>
      <c r="J2292">
        <v>20501.478419572399</v>
      </c>
      <c r="K2292">
        <v>23959.9782804321</v>
      </c>
      <c r="L2292">
        <v>24.222999999999999</v>
      </c>
      <c r="M2292">
        <v>69.635000000000005</v>
      </c>
      <c r="N2292">
        <v>39.948999999999998</v>
      </c>
    </row>
    <row r="2293" spans="1:14" x14ac:dyDescent="0.45">
      <c r="A2293">
        <v>1991</v>
      </c>
      <c r="B2293" t="s">
        <v>165</v>
      </c>
      <c r="C2293">
        <v>0</v>
      </c>
      <c r="D2293">
        <v>1</v>
      </c>
      <c r="E2293">
        <v>0</v>
      </c>
      <c r="F2293">
        <v>1</v>
      </c>
      <c r="G2293">
        <v>0</v>
      </c>
      <c r="H2293">
        <v>0</v>
      </c>
      <c r="I2293">
        <v>0</v>
      </c>
      <c r="J2293">
        <v>17080.798974653299</v>
      </c>
      <c r="K2293">
        <v>12288.046473443301</v>
      </c>
      <c r="L2293">
        <v>70.427999999999997</v>
      </c>
      <c r="M2293">
        <v>70.308999999999997</v>
      </c>
      <c r="N2293">
        <v>20.21</v>
      </c>
    </row>
    <row r="2294" spans="1:14" x14ac:dyDescent="0.45">
      <c r="A2294">
        <v>1991</v>
      </c>
      <c r="B2294" t="s">
        <v>166</v>
      </c>
      <c r="C2294">
        <v>1</v>
      </c>
      <c r="D2294">
        <v>0</v>
      </c>
      <c r="E2294">
        <v>0</v>
      </c>
      <c r="F2294">
        <v>0</v>
      </c>
      <c r="G2294">
        <v>0</v>
      </c>
      <c r="H2294">
        <v>1</v>
      </c>
      <c r="I2294">
        <v>1</v>
      </c>
      <c r="L2294">
        <v>83.179000000000002</v>
      </c>
      <c r="M2294">
        <v>78.66</v>
      </c>
      <c r="N2294">
        <v>11.786</v>
      </c>
    </row>
    <row r="2295" spans="1:14" x14ac:dyDescent="0.45">
      <c r="A2295">
        <v>1991</v>
      </c>
      <c r="B2295" t="s">
        <v>167</v>
      </c>
      <c r="C2295">
        <v>0</v>
      </c>
      <c r="D2295">
        <v>0</v>
      </c>
      <c r="E2295">
        <v>0</v>
      </c>
      <c r="F2295">
        <v>0</v>
      </c>
      <c r="G2295">
        <v>0</v>
      </c>
      <c r="H2295">
        <v>0</v>
      </c>
      <c r="I2295">
        <v>0</v>
      </c>
      <c r="J2295">
        <v>4735.81940023678</v>
      </c>
      <c r="K2295">
        <v>4423.1804697196303</v>
      </c>
      <c r="L2295">
        <v>81.48</v>
      </c>
      <c r="M2295">
        <v>69.131</v>
      </c>
      <c r="N2295">
        <v>22.347000000000001</v>
      </c>
    </row>
    <row r="2296" spans="1:14" x14ac:dyDescent="0.45">
      <c r="A2296">
        <v>1991</v>
      </c>
      <c r="B2296" t="s">
        <v>168</v>
      </c>
      <c r="C2296">
        <v>0</v>
      </c>
      <c r="D2296">
        <v>0</v>
      </c>
      <c r="E2296">
        <v>1</v>
      </c>
      <c r="F2296">
        <v>0</v>
      </c>
      <c r="G2296">
        <v>0</v>
      </c>
      <c r="H2296">
        <v>0</v>
      </c>
      <c r="I2296">
        <v>0</v>
      </c>
      <c r="J2296">
        <v>1494.2403244677701</v>
      </c>
      <c r="K2296">
        <v>1337.9729638302199</v>
      </c>
      <c r="L2296">
        <v>85.472999999999999</v>
      </c>
      <c r="M2296">
        <v>59.061</v>
      </c>
      <c r="N2296">
        <v>86.415000000000006</v>
      </c>
    </row>
    <row r="2297" spans="1:14" x14ac:dyDescent="0.45">
      <c r="A2297">
        <v>1991</v>
      </c>
      <c r="B2297" t="s">
        <v>169</v>
      </c>
      <c r="C2297">
        <v>1</v>
      </c>
      <c r="D2297">
        <v>0</v>
      </c>
      <c r="E2297">
        <v>0</v>
      </c>
      <c r="F2297">
        <v>0</v>
      </c>
      <c r="G2297">
        <v>1</v>
      </c>
      <c r="H2297">
        <v>0</v>
      </c>
      <c r="I2297">
        <v>0</v>
      </c>
      <c r="J2297">
        <v>19384.8179312258</v>
      </c>
      <c r="K2297">
        <v>16585.0043307042</v>
      </c>
      <c r="L2297">
        <v>32.476999999999997</v>
      </c>
      <c r="M2297">
        <v>70.510000000000005</v>
      </c>
      <c r="N2297">
        <v>17.155000000000001</v>
      </c>
    </row>
    <row r="2298" spans="1:14" x14ac:dyDescent="0.45">
      <c r="A2298">
        <v>1991</v>
      </c>
      <c r="B2298" t="s">
        <v>170</v>
      </c>
      <c r="C2298">
        <v>1</v>
      </c>
      <c r="D2298">
        <v>0</v>
      </c>
      <c r="E2298">
        <v>0</v>
      </c>
      <c r="F2298">
        <v>0</v>
      </c>
      <c r="G2298">
        <v>0</v>
      </c>
      <c r="H2298">
        <v>1</v>
      </c>
      <c r="I2298">
        <v>1</v>
      </c>
      <c r="J2298">
        <v>87313.717618106602</v>
      </c>
      <c r="K2298">
        <v>74614.925186581997</v>
      </c>
      <c r="L2298">
        <v>18.87</v>
      </c>
      <c r="M2298">
        <v>74.963999999999999</v>
      </c>
      <c r="N2298">
        <v>11.932</v>
      </c>
    </row>
    <row r="2299" spans="1:14" x14ac:dyDescent="0.45">
      <c r="A2299">
        <v>1991</v>
      </c>
      <c r="B2299" t="s">
        <v>171</v>
      </c>
      <c r="C2299">
        <v>1</v>
      </c>
      <c r="D2299">
        <v>0</v>
      </c>
      <c r="E2299">
        <v>0</v>
      </c>
      <c r="F2299">
        <v>0</v>
      </c>
      <c r="G2299">
        <v>1</v>
      </c>
      <c r="H2299">
        <v>0</v>
      </c>
      <c r="I2299">
        <v>0</v>
      </c>
      <c r="J2299">
        <v>15376.090576901001</v>
      </c>
      <c r="K2299">
        <v>13340.1314137139</v>
      </c>
      <c r="L2299">
        <v>30.798999999999999</v>
      </c>
      <c r="M2299">
        <v>69.182000000000002</v>
      </c>
      <c r="N2299">
        <v>18.27</v>
      </c>
    </row>
    <row r="2300" spans="1:14" x14ac:dyDescent="0.45">
      <c r="A2300">
        <v>1991</v>
      </c>
      <c r="B2300" t="s">
        <v>172</v>
      </c>
      <c r="C2300">
        <v>0</v>
      </c>
      <c r="D2300">
        <v>0</v>
      </c>
      <c r="E2300">
        <v>0</v>
      </c>
      <c r="F2300">
        <v>0</v>
      </c>
      <c r="G2300">
        <v>1</v>
      </c>
      <c r="H2300">
        <v>0</v>
      </c>
      <c r="I2300">
        <v>0</v>
      </c>
      <c r="J2300">
        <v>54545.016904757598</v>
      </c>
      <c r="K2300">
        <v>49430.957157091099</v>
      </c>
      <c r="L2300">
        <v>0.19499999999999301</v>
      </c>
      <c r="M2300">
        <v>76.638000000000005</v>
      </c>
      <c r="N2300">
        <v>12.651999999999999</v>
      </c>
    </row>
    <row r="2301" spans="1:14" x14ac:dyDescent="0.45">
      <c r="A2301">
        <v>1991</v>
      </c>
      <c r="B2301" t="s">
        <v>173</v>
      </c>
      <c r="C2301">
        <v>0</v>
      </c>
      <c r="D2301">
        <v>1</v>
      </c>
      <c r="E2301">
        <v>0</v>
      </c>
      <c r="F2301">
        <v>0</v>
      </c>
      <c r="G2301">
        <v>0</v>
      </c>
      <c r="H2301">
        <v>1</v>
      </c>
      <c r="I2301">
        <v>1</v>
      </c>
      <c r="L2301">
        <v>0</v>
      </c>
      <c r="M2301">
        <v>74.924999999999997</v>
      </c>
      <c r="N2301">
        <v>19.248999999999999</v>
      </c>
    </row>
    <row r="2302" spans="1:14" x14ac:dyDescent="0.45">
      <c r="A2302">
        <v>1991</v>
      </c>
      <c r="B2302" t="s">
        <v>174</v>
      </c>
      <c r="C2302">
        <v>0</v>
      </c>
      <c r="D2302">
        <v>0</v>
      </c>
      <c r="E2302">
        <v>0</v>
      </c>
      <c r="F2302">
        <v>1</v>
      </c>
      <c r="G2302">
        <v>0</v>
      </c>
      <c r="H2302">
        <v>0</v>
      </c>
      <c r="I2302">
        <v>0</v>
      </c>
      <c r="J2302">
        <v>4656.1259765625</v>
      </c>
      <c r="K2302">
        <v>4471.5964391093503</v>
      </c>
      <c r="L2302">
        <v>50.883000000000003</v>
      </c>
      <c r="M2302">
        <v>62.918999999999997</v>
      </c>
      <c r="N2302">
        <v>77.012</v>
      </c>
    </row>
    <row r="2303" spans="1:14" x14ac:dyDescent="0.45">
      <c r="A2303">
        <v>1991</v>
      </c>
      <c r="B2303" t="s">
        <v>175</v>
      </c>
      <c r="C2303">
        <v>1</v>
      </c>
      <c r="D2303">
        <v>0</v>
      </c>
      <c r="E2303">
        <v>0</v>
      </c>
      <c r="F2303">
        <v>0</v>
      </c>
      <c r="G2303">
        <v>0</v>
      </c>
      <c r="H2303">
        <v>1</v>
      </c>
      <c r="I2303">
        <v>1</v>
      </c>
      <c r="L2303">
        <v>0</v>
      </c>
      <c r="M2303">
        <v>79.748999999999995</v>
      </c>
      <c r="N2303">
        <v>10.369</v>
      </c>
    </row>
    <row r="2304" spans="1:14" x14ac:dyDescent="0.45">
      <c r="A2304">
        <v>1991</v>
      </c>
      <c r="B2304" t="s">
        <v>176</v>
      </c>
      <c r="C2304">
        <v>1</v>
      </c>
      <c r="D2304">
        <v>0</v>
      </c>
      <c r="E2304">
        <v>0</v>
      </c>
      <c r="F2304">
        <v>1</v>
      </c>
      <c r="G2304">
        <v>0</v>
      </c>
      <c r="H2304">
        <v>0</v>
      </c>
      <c r="I2304">
        <v>0</v>
      </c>
      <c r="J2304">
        <v>13342.060023796201</v>
      </c>
      <c r="K2304">
        <v>11443.586799754101</v>
      </c>
      <c r="L2304">
        <v>53.331000000000003</v>
      </c>
      <c r="M2304">
        <v>67.554000000000002</v>
      </c>
      <c r="N2304">
        <v>35.402999999999999</v>
      </c>
    </row>
    <row r="2305" spans="1:14" x14ac:dyDescent="0.45">
      <c r="A2305">
        <v>1991</v>
      </c>
      <c r="B2305" t="s">
        <v>177</v>
      </c>
      <c r="C2305">
        <v>0</v>
      </c>
      <c r="D2305">
        <v>0</v>
      </c>
      <c r="E2305">
        <v>1</v>
      </c>
      <c r="F2305">
        <v>0</v>
      </c>
      <c r="G2305">
        <v>0</v>
      </c>
      <c r="H2305">
        <v>0</v>
      </c>
      <c r="I2305">
        <v>0</v>
      </c>
      <c r="J2305">
        <v>1789.84169365977</v>
      </c>
      <c r="K2305">
        <v>1658.1568551498699</v>
      </c>
      <c r="L2305">
        <v>75.881</v>
      </c>
      <c r="M2305">
        <v>52.555</v>
      </c>
      <c r="N2305">
        <v>150.322</v>
      </c>
    </row>
    <row r="2306" spans="1:14" x14ac:dyDescent="0.45">
      <c r="A2306">
        <v>1991</v>
      </c>
      <c r="B2306" t="s">
        <v>178</v>
      </c>
      <c r="C2306">
        <v>0</v>
      </c>
      <c r="D2306">
        <v>0</v>
      </c>
      <c r="E2306">
        <v>0</v>
      </c>
      <c r="F2306">
        <v>0</v>
      </c>
      <c r="G2306">
        <v>0</v>
      </c>
      <c r="H2306">
        <v>0</v>
      </c>
      <c r="I2306">
        <v>0</v>
      </c>
      <c r="J2306">
        <v>8799.2551139138504</v>
      </c>
      <c r="K2306">
        <v>8681.1981346387092</v>
      </c>
      <c r="L2306">
        <v>74.224000000000004</v>
      </c>
      <c r="M2306">
        <v>63.911000000000001</v>
      </c>
      <c r="N2306">
        <v>80.849999999999994</v>
      </c>
    </row>
    <row r="2307" spans="1:14" x14ac:dyDescent="0.45">
      <c r="A2307">
        <v>1991</v>
      </c>
      <c r="B2307" t="s">
        <v>179</v>
      </c>
      <c r="C2307">
        <v>0</v>
      </c>
      <c r="D2307">
        <v>1</v>
      </c>
      <c r="E2307">
        <v>0</v>
      </c>
      <c r="F2307">
        <v>0</v>
      </c>
      <c r="G2307">
        <v>1</v>
      </c>
      <c r="H2307">
        <v>0</v>
      </c>
      <c r="I2307">
        <v>0</v>
      </c>
      <c r="J2307">
        <v>17511.731309188701</v>
      </c>
      <c r="K2307">
        <v>16280.222156551699</v>
      </c>
      <c r="L2307">
        <v>28.184000000000001</v>
      </c>
      <c r="M2307">
        <v>69.367999999999995</v>
      </c>
      <c r="N2307">
        <v>43.06</v>
      </c>
    </row>
    <row r="2308" spans="1:14" x14ac:dyDescent="0.45">
      <c r="A2308">
        <v>1991</v>
      </c>
      <c r="B2308" t="s">
        <v>180</v>
      </c>
      <c r="C2308">
        <v>0</v>
      </c>
      <c r="D2308">
        <v>0</v>
      </c>
      <c r="E2308">
        <v>0</v>
      </c>
      <c r="F2308">
        <v>1</v>
      </c>
      <c r="G2308">
        <v>0</v>
      </c>
      <c r="H2308">
        <v>0</v>
      </c>
      <c r="I2308">
        <v>0</v>
      </c>
      <c r="J2308">
        <v>3828.46355230264</v>
      </c>
      <c r="K2308">
        <v>3462.7874232399299</v>
      </c>
      <c r="L2308">
        <v>34.607999999999997</v>
      </c>
      <c r="M2308">
        <v>61.792000000000002</v>
      </c>
      <c r="N2308">
        <v>46.404000000000003</v>
      </c>
    </row>
    <row r="2309" spans="1:14" x14ac:dyDescent="0.45">
      <c r="A2309">
        <v>1991</v>
      </c>
      <c r="B2309" t="s">
        <v>181</v>
      </c>
      <c r="C2309">
        <v>1</v>
      </c>
      <c r="D2309">
        <v>0</v>
      </c>
      <c r="E2309">
        <v>0</v>
      </c>
      <c r="F2309">
        <v>0</v>
      </c>
      <c r="G2309">
        <v>1</v>
      </c>
      <c r="H2309">
        <v>0</v>
      </c>
      <c r="I2309">
        <v>0</v>
      </c>
      <c r="J2309">
        <v>12152.8290630994</v>
      </c>
      <c r="K2309">
        <v>10259.270987849401</v>
      </c>
      <c r="L2309">
        <v>41.765999999999998</v>
      </c>
      <c r="M2309">
        <v>71.751999999999995</v>
      </c>
      <c r="N2309">
        <v>32.267000000000003</v>
      </c>
    </row>
    <row r="2310" spans="1:14" x14ac:dyDescent="0.45">
      <c r="A2310">
        <v>1991</v>
      </c>
      <c r="B2310" t="s">
        <v>182</v>
      </c>
      <c r="C2310">
        <v>0</v>
      </c>
      <c r="D2310">
        <v>0</v>
      </c>
      <c r="E2310">
        <v>1</v>
      </c>
      <c r="F2310">
        <v>0</v>
      </c>
      <c r="G2310">
        <v>0</v>
      </c>
      <c r="H2310">
        <v>0</v>
      </c>
      <c r="I2310">
        <v>0</v>
      </c>
      <c r="J2310">
        <v>1770.2150109066899</v>
      </c>
      <c r="K2310">
        <v>1638.5283299826699</v>
      </c>
      <c r="L2310">
        <v>76.248999999999995</v>
      </c>
      <c r="M2310">
        <v>46.889000000000003</v>
      </c>
      <c r="N2310">
        <v>229.244</v>
      </c>
    </row>
    <row r="2311" spans="1:14" x14ac:dyDescent="0.45">
      <c r="A2311">
        <v>1991</v>
      </c>
      <c r="B2311" t="s">
        <v>183</v>
      </c>
      <c r="C2311">
        <v>0</v>
      </c>
      <c r="D2311">
        <v>0</v>
      </c>
      <c r="E2311">
        <v>0</v>
      </c>
      <c r="F2311">
        <v>0</v>
      </c>
      <c r="G2311">
        <v>1</v>
      </c>
      <c r="H2311">
        <v>0</v>
      </c>
      <c r="I2311">
        <v>0</v>
      </c>
      <c r="J2311">
        <v>18814.673519762298</v>
      </c>
      <c r="K2311">
        <v>16275.6134931736</v>
      </c>
      <c r="L2311">
        <v>9.5030000000000001</v>
      </c>
      <c r="M2311">
        <v>76.488</v>
      </c>
      <c r="N2311">
        <v>10.726000000000001</v>
      </c>
    </row>
    <row r="2312" spans="1:14" x14ac:dyDescent="0.45">
      <c r="A2312">
        <v>1991</v>
      </c>
      <c r="B2312" t="s">
        <v>184</v>
      </c>
      <c r="C2312">
        <v>0</v>
      </c>
      <c r="D2312">
        <v>0</v>
      </c>
      <c r="E2312">
        <v>0</v>
      </c>
      <c r="F2312">
        <v>0</v>
      </c>
      <c r="G2312">
        <v>0</v>
      </c>
      <c r="H2312">
        <v>0</v>
      </c>
      <c r="I2312">
        <v>0</v>
      </c>
      <c r="J2312">
        <v>759.28276416972597</v>
      </c>
      <c r="K2312">
        <v>607.96008741962805</v>
      </c>
      <c r="L2312">
        <v>74.581999999999994</v>
      </c>
      <c r="M2312">
        <v>57.395000000000003</v>
      </c>
      <c r="N2312">
        <v>112.479</v>
      </c>
    </row>
    <row r="2313" spans="1:14" x14ac:dyDescent="0.45">
      <c r="A2313">
        <v>1991</v>
      </c>
      <c r="B2313" t="s">
        <v>185</v>
      </c>
      <c r="C2313">
        <v>1</v>
      </c>
      <c r="D2313">
        <v>0</v>
      </c>
      <c r="E2313">
        <v>0</v>
      </c>
      <c r="F2313">
        <v>0</v>
      </c>
      <c r="G2313">
        <v>1</v>
      </c>
      <c r="H2313">
        <v>0</v>
      </c>
      <c r="I2313">
        <v>0</v>
      </c>
      <c r="L2313">
        <v>50.835000000000001</v>
      </c>
      <c r="M2313">
        <v>73.950999999999993</v>
      </c>
      <c r="N2313">
        <v>15.092000000000001</v>
      </c>
    </row>
    <row r="2314" spans="1:14" x14ac:dyDescent="0.45">
      <c r="A2314">
        <v>1991</v>
      </c>
      <c r="B2314" t="s">
        <v>186</v>
      </c>
      <c r="C2314">
        <v>0</v>
      </c>
      <c r="D2314">
        <v>0</v>
      </c>
      <c r="E2314">
        <v>0</v>
      </c>
      <c r="F2314">
        <v>1</v>
      </c>
      <c r="G2314">
        <v>0</v>
      </c>
      <c r="H2314">
        <v>0</v>
      </c>
      <c r="I2314">
        <v>0</v>
      </c>
      <c r="J2314">
        <v>5874.25558231388</v>
      </c>
      <c r="K2314">
        <v>4525.9723657124596</v>
      </c>
      <c r="L2314">
        <v>43.012999999999998</v>
      </c>
      <c r="M2314">
        <v>59.817999999999998</v>
      </c>
      <c r="N2314">
        <v>102.566</v>
      </c>
    </row>
    <row r="2315" spans="1:14" x14ac:dyDescent="0.45">
      <c r="A2315">
        <v>1991</v>
      </c>
      <c r="B2315" t="s">
        <v>187</v>
      </c>
      <c r="C2315">
        <v>0</v>
      </c>
      <c r="D2315">
        <v>0</v>
      </c>
      <c r="E2315">
        <v>0</v>
      </c>
      <c r="F2315">
        <v>1</v>
      </c>
      <c r="G2315">
        <v>0</v>
      </c>
      <c r="H2315">
        <v>0</v>
      </c>
      <c r="I2315">
        <v>0</v>
      </c>
      <c r="L2315">
        <v>10.303000000000001</v>
      </c>
      <c r="M2315">
        <v>70.361999999999995</v>
      </c>
      <c r="N2315">
        <v>9.0779999999999994</v>
      </c>
    </row>
    <row r="2316" spans="1:14" x14ac:dyDescent="0.45">
      <c r="A2316">
        <v>1991</v>
      </c>
      <c r="B2316" t="s">
        <v>188</v>
      </c>
      <c r="C2316">
        <v>0</v>
      </c>
      <c r="D2316">
        <v>0</v>
      </c>
      <c r="E2316">
        <v>1</v>
      </c>
      <c r="F2316">
        <v>0</v>
      </c>
      <c r="G2316">
        <v>0</v>
      </c>
      <c r="H2316">
        <v>0</v>
      </c>
      <c r="I2316">
        <v>0</v>
      </c>
      <c r="J2316">
        <v>563.51210341623198</v>
      </c>
      <c r="K2316">
        <v>471.82863094761097</v>
      </c>
      <c r="L2316">
        <v>74.513000000000005</v>
      </c>
      <c r="M2316">
        <v>44.704999999999998</v>
      </c>
      <c r="N2316">
        <v>238.46199999999999</v>
      </c>
    </row>
    <row r="2317" spans="1:14" x14ac:dyDescent="0.45">
      <c r="A2317">
        <v>1991</v>
      </c>
      <c r="B2317" t="s">
        <v>189</v>
      </c>
      <c r="C2317">
        <v>0</v>
      </c>
      <c r="D2317">
        <v>0</v>
      </c>
      <c r="E2317">
        <v>1</v>
      </c>
      <c r="F2317">
        <v>0</v>
      </c>
      <c r="G2317">
        <v>0</v>
      </c>
      <c r="H2317">
        <v>0</v>
      </c>
      <c r="I2317">
        <v>0</v>
      </c>
      <c r="J2317">
        <v>5456.5557652757698</v>
      </c>
      <c r="K2317">
        <v>4827.4878434595303</v>
      </c>
      <c r="L2317">
        <v>60.801000000000002</v>
      </c>
      <c r="M2317">
        <v>58.290999999999997</v>
      </c>
      <c r="N2317">
        <v>115.72199999999999</v>
      </c>
    </row>
    <row r="2318" spans="1:14" x14ac:dyDescent="0.45">
      <c r="A2318">
        <v>1991</v>
      </c>
      <c r="B2318" t="s">
        <v>190</v>
      </c>
      <c r="C2318">
        <v>0</v>
      </c>
      <c r="D2318">
        <v>0</v>
      </c>
      <c r="E2318">
        <v>1</v>
      </c>
      <c r="F2318">
        <v>1</v>
      </c>
      <c r="G2318">
        <v>0</v>
      </c>
      <c r="H2318">
        <v>0</v>
      </c>
      <c r="I2318">
        <v>0</v>
      </c>
      <c r="J2318">
        <v>9248.0002503010892</v>
      </c>
      <c r="K2318">
        <v>8680.4013061107598</v>
      </c>
      <c r="L2318">
        <v>56.222999999999999</v>
      </c>
      <c r="M2318">
        <v>70.051000000000002</v>
      </c>
      <c r="N2318">
        <v>22.062999999999999</v>
      </c>
    </row>
    <row r="2319" spans="1:14" x14ac:dyDescent="0.45">
      <c r="A2319">
        <v>1991</v>
      </c>
      <c r="B2319" t="s">
        <v>191</v>
      </c>
      <c r="C2319">
        <v>0</v>
      </c>
      <c r="D2319">
        <v>0</v>
      </c>
      <c r="E2319">
        <v>1</v>
      </c>
      <c r="F2319">
        <v>0</v>
      </c>
      <c r="G2319">
        <v>0</v>
      </c>
      <c r="H2319">
        <v>0</v>
      </c>
      <c r="I2319">
        <v>0</v>
      </c>
      <c r="J2319">
        <v>1104.3904622212001</v>
      </c>
      <c r="K2319">
        <v>944.98425449454396</v>
      </c>
      <c r="L2319">
        <v>88.114999999999995</v>
      </c>
      <c r="M2319">
        <v>43.54</v>
      </c>
      <c r="N2319">
        <v>234.99199999999999</v>
      </c>
    </row>
    <row r="2320" spans="1:14" x14ac:dyDescent="0.45">
      <c r="A2320">
        <v>1991</v>
      </c>
      <c r="B2320" t="s">
        <v>192</v>
      </c>
      <c r="C2320">
        <v>0</v>
      </c>
      <c r="D2320">
        <v>0</v>
      </c>
      <c r="E2320">
        <v>0</v>
      </c>
      <c r="F2320">
        <v>1</v>
      </c>
      <c r="G2320">
        <v>0</v>
      </c>
      <c r="H2320">
        <v>0</v>
      </c>
      <c r="I2320">
        <v>0</v>
      </c>
      <c r="J2320">
        <v>12795.049896422801</v>
      </c>
      <c r="K2320">
        <v>11437.264902418199</v>
      </c>
      <c r="L2320">
        <v>49.423999999999999</v>
      </c>
      <c r="M2320">
        <v>71.218999999999994</v>
      </c>
      <c r="N2320">
        <v>15.888999999999999</v>
      </c>
    </row>
    <row r="2321" spans="1:14" x14ac:dyDescent="0.45">
      <c r="A2321">
        <v>1991</v>
      </c>
      <c r="B2321" t="s">
        <v>193</v>
      </c>
      <c r="C2321">
        <v>0</v>
      </c>
      <c r="D2321">
        <v>0</v>
      </c>
      <c r="E2321">
        <v>1</v>
      </c>
      <c r="F2321">
        <v>1</v>
      </c>
      <c r="G2321">
        <v>0</v>
      </c>
      <c r="H2321">
        <v>0</v>
      </c>
      <c r="I2321">
        <v>0</v>
      </c>
      <c r="J2321">
        <v>7618.3327818444895</v>
      </c>
      <c r="K2321">
        <v>6602.8075319353302</v>
      </c>
      <c r="L2321">
        <v>72.081000000000003</v>
      </c>
      <c r="M2321">
        <v>60.832999999999998</v>
      </c>
      <c r="N2321">
        <v>73.424999999999997</v>
      </c>
    </row>
    <row r="2322" spans="1:14" x14ac:dyDescent="0.45">
      <c r="A2322">
        <v>1991</v>
      </c>
      <c r="B2322" t="s">
        <v>194</v>
      </c>
      <c r="C2322">
        <v>0</v>
      </c>
      <c r="D2322">
        <v>0</v>
      </c>
      <c r="E2322">
        <v>0</v>
      </c>
      <c r="F2322">
        <v>0</v>
      </c>
      <c r="G2322">
        <v>1</v>
      </c>
      <c r="H2322">
        <v>0</v>
      </c>
      <c r="I2322">
        <v>0</v>
      </c>
      <c r="L2322">
        <v>40.280999999999999</v>
      </c>
      <c r="M2322">
        <v>69.819999999999993</v>
      </c>
      <c r="N2322">
        <v>30.923999999999999</v>
      </c>
    </row>
    <row r="2323" spans="1:14" x14ac:dyDescent="0.45">
      <c r="A2323">
        <v>1991</v>
      </c>
      <c r="B2323" t="s">
        <v>195</v>
      </c>
      <c r="C2323">
        <v>0</v>
      </c>
      <c r="D2323">
        <v>0</v>
      </c>
      <c r="E2323">
        <v>1</v>
      </c>
      <c r="F2323">
        <v>0</v>
      </c>
      <c r="G2323">
        <v>0</v>
      </c>
      <c r="H2323">
        <v>0</v>
      </c>
      <c r="I2323">
        <v>0</v>
      </c>
      <c r="J2323">
        <v>1362.7454534352601</v>
      </c>
      <c r="K2323">
        <v>1083.1539449027</v>
      </c>
      <c r="L2323">
        <v>84.551000000000002</v>
      </c>
      <c r="M2323">
        <v>42.289000000000001</v>
      </c>
      <c r="N2323">
        <v>325.68200000000002</v>
      </c>
    </row>
    <row r="2324" spans="1:14" x14ac:dyDescent="0.45">
      <c r="A2324">
        <v>1991</v>
      </c>
      <c r="B2324" t="s">
        <v>196</v>
      </c>
      <c r="C2324">
        <v>0</v>
      </c>
      <c r="D2324">
        <v>0</v>
      </c>
      <c r="E2324">
        <v>1</v>
      </c>
      <c r="F2324">
        <v>0</v>
      </c>
      <c r="G2324">
        <v>0</v>
      </c>
      <c r="H2324">
        <v>0</v>
      </c>
      <c r="I2324">
        <v>0</v>
      </c>
      <c r="J2324">
        <v>3568.2583637637599</v>
      </c>
      <c r="K2324">
        <v>3154.8213162572802</v>
      </c>
      <c r="L2324">
        <v>69.823999999999998</v>
      </c>
      <c r="M2324">
        <v>45.482999999999997</v>
      </c>
      <c r="N2324">
        <v>209.18100000000001</v>
      </c>
    </row>
    <row r="2325" spans="1:14" x14ac:dyDescent="0.45">
      <c r="A2325">
        <v>1991</v>
      </c>
      <c r="B2325" t="s">
        <v>197</v>
      </c>
      <c r="C2325">
        <v>0</v>
      </c>
      <c r="D2325">
        <v>1</v>
      </c>
      <c r="E2325">
        <v>0</v>
      </c>
      <c r="F2325">
        <v>0</v>
      </c>
      <c r="G2325">
        <v>0</v>
      </c>
      <c r="H2325">
        <v>0</v>
      </c>
      <c r="I2325">
        <v>0</v>
      </c>
      <c r="J2325">
        <v>4113.6874989365397</v>
      </c>
      <c r="K2325">
        <v>3464.8156245809</v>
      </c>
      <c r="L2325">
        <v>46.648000000000003</v>
      </c>
      <c r="M2325">
        <v>63.31</v>
      </c>
      <c r="N2325">
        <v>69.557000000000002</v>
      </c>
    </row>
    <row r="2326" spans="1:14" x14ac:dyDescent="0.45">
      <c r="A2326">
        <v>1991</v>
      </c>
      <c r="B2326" t="s">
        <v>198</v>
      </c>
      <c r="C2326">
        <v>1</v>
      </c>
      <c r="D2326">
        <v>0</v>
      </c>
      <c r="E2326">
        <v>0</v>
      </c>
      <c r="F2326">
        <v>0</v>
      </c>
      <c r="G2326">
        <v>0</v>
      </c>
      <c r="H2326">
        <v>1</v>
      </c>
      <c r="I2326">
        <v>1</v>
      </c>
      <c r="J2326">
        <v>43833.484171269803</v>
      </c>
      <c r="K2326">
        <v>37001.729923696301</v>
      </c>
      <c r="L2326">
        <v>30.670999999999999</v>
      </c>
      <c r="M2326">
        <v>77.162000000000006</v>
      </c>
      <c r="N2326">
        <v>8.0709999999999997</v>
      </c>
    </row>
    <row r="2327" spans="1:14" x14ac:dyDescent="0.45">
      <c r="A2327">
        <v>1991</v>
      </c>
      <c r="B2327" t="s">
        <v>199</v>
      </c>
      <c r="C2327">
        <v>1</v>
      </c>
      <c r="D2327">
        <v>0</v>
      </c>
      <c r="E2327">
        <v>0</v>
      </c>
      <c r="F2327">
        <v>0</v>
      </c>
      <c r="G2327">
        <v>0</v>
      </c>
      <c r="H2327">
        <v>1</v>
      </c>
      <c r="I2327">
        <v>1</v>
      </c>
      <c r="J2327">
        <v>58588.468379367099</v>
      </c>
      <c r="K2327">
        <v>43290.293215728198</v>
      </c>
      <c r="L2327">
        <v>27.734999999999999</v>
      </c>
      <c r="M2327">
        <v>77.037999999999997</v>
      </c>
      <c r="N2327">
        <v>7.84</v>
      </c>
    </row>
    <row r="2328" spans="1:14" x14ac:dyDescent="0.45">
      <c r="A2328">
        <v>1991</v>
      </c>
      <c r="B2328" t="s">
        <v>200</v>
      </c>
      <c r="C2328">
        <v>0</v>
      </c>
      <c r="D2328">
        <v>0</v>
      </c>
      <c r="E2328">
        <v>0</v>
      </c>
      <c r="F2328">
        <v>0</v>
      </c>
      <c r="G2328">
        <v>0</v>
      </c>
      <c r="H2328">
        <v>0</v>
      </c>
      <c r="I2328">
        <v>0</v>
      </c>
      <c r="J2328">
        <v>1874.2751359521201</v>
      </c>
      <c r="K2328">
        <v>1659.30875285876</v>
      </c>
      <c r="L2328">
        <v>90.82</v>
      </c>
      <c r="M2328">
        <v>55.65</v>
      </c>
      <c r="N2328">
        <v>131.61799999999999</v>
      </c>
    </row>
    <row r="2329" spans="1:14" x14ac:dyDescent="0.45">
      <c r="A2329">
        <v>1991</v>
      </c>
      <c r="B2329" t="s">
        <v>201</v>
      </c>
      <c r="C2329">
        <v>0</v>
      </c>
      <c r="D2329">
        <v>0</v>
      </c>
      <c r="E2329">
        <v>0</v>
      </c>
      <c r="F2329">
        <v>0</v>
      </c>
      <c r="G2329">
        <v>0</v>
      </c>
      <c r="H2329">
        <v>1</v>
      </c>
      <c r="I2329">
        <v>1</v>
      </c>
      <c r="J2329">
        <v>24171.634849378399</v>
      </c>
      <c r="K2329">
        <v>21868.572827153799</v>
      </c>
      <c r="L2329">
        <v>0</v>
      </c>
      <c r="M2329">
        <v>59.311999999999998</v>
      </c>
      <c r="N2329">
        <v>60.451999999999998</v>
      </c>
    </row>
    <row r="2330" spans="1:14" x14ac:dyDescent="0.45">
      <c r="A2330">
        <v>1991</v>
      </c>
      <c r="B2330" t="s">
        <v>202</v>
      </c>
      <c r="C2330">
        <v>0</v>
      </c>
      <c r="D2330">
        <v>0</v>
      </c>
      <c r="E2330">
        <v>0</v>
      </c>
      <c r="F2330">
        <v>0</v>
      </c>
      <c r="G2330">
        <v>0</v>
      </c>
      <c r="H2330">
        <v>1</v>
      </c>
      <c r="I2330">
        <v>1</v>
      </c>
      <c r="J2330">
        <v>28924.743200908699</v>
      </c>
      <c r="K2330">
        <v>26308.558029027001</v>
      </c>
      <c r="L2330">
        <v>15.05</v>
      </c>
      <c r="M2330">
        <v>76.078999999999994</v>
      </c>
      <c r="N2330">
        <v>9.7590000000000003</v>
      </c>
    </row>
    <row r="2331" spans="1:14" x14ac:dyDescent="0.45">
      <c r="A2331">
        <v>1991</v>
      </c>
      <c r="B2331" t="s">
        <v>203</v>
      </c>
      <c r="C2331">
        <v>0</v>
      </c>
      <c r="D2331">
        <v>0</v>
      </c>
      <c r="E2331">
        <v>0</v>
      </c>
      <c r="F2331">
        <v>0</v>
      </c>
      <c r="G2331">
        <v>1</v>
      </c>
      <c r="H2331">
        <v>0</v>
      </c>
      <c r="I2331">
        <v>0</v>
      </c>
      <c r="J2331">
        <v>35574.676136959897</v>
      </c>
      <c r="K2331">
        <v>30911.568447491001</v>
      </c>
      <c r="L2331">
        <v>32.204000000000001</v>
      </c>
      <c r="M2331">
        <v>69.584000000000003</v>
      </c>
      <c r="N2331">
        <v>35.646000000000001</v>
      </c>
    </row>
    <row r="2332" spans="1:14" x14ac:dyDescent="0.45">
      <c r="A2332">
        <v>1991</v>
      </c>
      <c r="B2332" t="s">
        <v>204</v>
      </c>
      <c r="C2332">
        <v>0</v>
      </c>
      <c r="D2332">
        <v>0</v>
      </c>
      <c r="E2332">
        <v>0</v>
      </c>
      <c r="F2332">
        <v>0</v>
      </c>
      <c r="G2332">
        <v>0</v>
      </c>
      <c r="H2332">
        <v>0</v>
      </c>
      <c r="I2332">
        <v>0</v>
      </c>
      <c r="J2332">
        <v>3252.35104026309</v>
      </c>
      <c r="K2332">
        <v>3095.90898781949</v>
      </c>
      <c r="L2332">
        <v>69.174000000000007</v>
      </c>
      <c r="M2332">
        <v>59.863999999999997</v>
      </c>
      <c r="N2332">
        <v>136.803</v>
      </c>
    </row>
    <row r="2333" spans="1:14" x14ac:dyDescent="0.45">
      <c r="A2333">
        <v>1991</v>
      </c>
      <c r="B2333" t="s">
        <v>205</v>
      </c>
      <c r="C2333">
        <v>0</v>
      </c>
      <c r="D2333">
        <v>1</v>
      </c>
      <c r="E2333">
        <v>0</v>
      </c>
      <c r="F2333">
        <v>1</v>
      </c>
      <c r="G2333">
        <v>0</v>
      </c>
      <c r="H2333">
        <v>0</v>
      </c>
      <c r="I2333">
        <v>0</v>
      </c>
      <c r="J2333">
        <v>12143.149038670001</v>
      </c>
      <c r="K2333">
        <v>12733.039316636099</v>
      </c>
      <c r="L2333">
        <v>45.243000000000002</v>
      </c>
      <c r="M2333">
        <v>71.331000000000003</v>
      </c>
      <c r="N2333">
        <v>30.190999999999999</v>
      </c>
    </row>
    <row r="2334" spans="1:14" x14ac:dyDescent="0.45">
      <c r="A2334">
        <v>1991</v>
      </c>
      <c r="B2334" t="s">
        <v>206</v>
      </c>
      <c r="C2334">
        <v>0</v>
      </c>
      <c r="D2334">
        <v>1</v>
      </c>
      <c r="E2334">
        <v>0</v>
      </c>
      <c r="F2334">
        <v>1</v>
      </c>
      <c r="G2334">
        <v>0</v>
      </c>
      <c r="H2334">
        <v>0</v>
      </c>
      <c r="I2334">
        <v>0</v>
      </c>
      <c r="J2334">
        <v>6322.5749048607004</v>
      </c>
      <c r="K2334">
        <v>5283.0438429300902</v>
      </c>
      <c r="L2334">
        <v>30.7</v>
      </c>
      <c r="M2334">
        <v>64.248000000000005</v>
      </c>
      <c r="N2334">
        <v>76.494</v>
      </c>
    </row>
    <row r="2335" spans="1:14" x14ac:dyDescent="0.45">
      <c r="A2335">
        <v>1991</v>
      </c>
      <c r="B2335" t="s">
        <v>207</v>
      </c>
      <c r="C2335">
        <v>0</v>
      </c>
      <c r="D2335">
        <v>0</v>
      </c>
      <c r="E2335">
        <v>0</v>
      </c>
      <c r="F2335">
        <v>1</v>
      </c>
      <c r="G2335">
        <v>0</v>
      </c>
      <c r="H2335">
        <v>0</v>
      </c>
      <c r="I2335">
        <v>0</v>
      </c>
      <c r="J2335">
        <v>4378.3953209051797</v>
      </c>
      <c r="K2335">
        <v>3965.0773149688398</v>
      </c>
      <c r="L2335">
        <v>53.098999999999997</v>
      </c>
      <c r="M2335">
        <v>64.622</v>
      </c>
      <c r="N2335">
        <v>54.939</v>
      </c>
    </row>
    <row r="2336" spans="1:14" x14ac:dyDescent="0.45">
      <c r="A2336">
        <v>1991</v>
      </c>
      <c r="B2336" t="s">
        <v>208</v>
      </c>
      <c r="C2336">
        <v>0</v>
      </c>
      <c r="D2336">
        <v>0</v>
      </c>
      <c r="E2336">
        <v>0</v>
      </c>
      <c r="F2336">
        <v>0</v>
      </c>
      <c r="G2336">
        <v>1</v>
      </c>
      <c r="H2336">
        <v>0</v>
      </c>
      <c r="I2336">
        <v>0</v>
      </c>
      <c r="J2336">
        <v>18291.721069050102</v>
      </c>
      <c r="K2336">
        <v>16548.894471769399</v>
      </c>
      <c r="L2336">
        <v>30.033999999999999</v>
      </c>
      <c r="M2336">
        <v>62.848999999999997</v>
      </c>
      <c r="N2336">
        <v>34.643000000000001</v>
      </c>
    </row>
    <row r="2337" spans="1:14" x14ac:dyDescent="0.45">
      <c r="A2337">
        <v>1991</v>
      </c>
      <c r="B2337" t="s">
        <v>209</v>
      </c>
      <c r="C2337">
        <v>0</v>
      </c>
      <c r="D2337">
        <v>0</v>
      </c>
      <c r="E2337">
        <v>0</v>
      </c>
      <c r="F2337">
        <v>1</v>
      </c>
      <c r="G2337">
        <v>0</v>
      </c>
      <c r="H2337">
        <v>0</v>
      </c>
      <c r="I2337">
        <v>0</v>
      </c>
      <c r="J2337">
        <v>3358.1886520578901</v>
      </c>
      <c r="K2337">
        <v>3037.8219744784601</v>
      </c>
      <c r="L2337">
        <v>85.183999999999997</v>
      </c>
      <c r="M2337">
        <v>59.94</v>
      </c>
      <c r="N2337">
        <v>83.799000000000007</v>
      </c>
    </row>
    <row r="2338" spans="1:14" x14ac:dyDescent="0.45">
      <c r="A2338">
        <v>1991</v>
      </c>
      <c r="B2338" t="s">
        <v>210</v>
      </c>
      <c r="C2338">
        <v>1</v>
      </c>
      <c r="D2338">
        <v>0</v>
      </c>
      <c r="E2338">
        <v>0</v>
      </c>
      <c r="F2338">
        <v>1</v>
      </c>
      <c r="G2338">
        <v>0</v>
      </c>
      <c r="H2338">
        <v>0</v>
      </c>
      <c r="I2338">
        <v>0</v>
      </c>
      <c r="J2338">
        <v>11879.753925261901</v>
      </c>
      <c r="K2338">
        <v>10254.2598299737</v>
      </c>
      <c r="L2338">
        <v>38.685000000000002</v>
      </c>
      <c r="M2338">
        <v>70.653000000000006</v>
      </c>
      <c r="N2338">
        <v>20.288</v>
      </c>
    </row>
    <row r="2339" spans="1:14" x14ac:dyDescent="0.45">
      <c r="A2339">
        <v>1991</v>
      </c>
      <c r="B2339" t="s">
        <v>211</v>
      </c>
      <c r="C2339">
        <v>0</v>
      </c>
      <c r="D2339">
        <v>1</v>
      </c>
      <c r="E2339">
        <v>0</v>
      </c>
      <c r="F2339">
        <v>0</v>
      </c>
      <c r="G2339">
        <v>1</v>
      </c>
      <c r="H2339">
        <v>0</v>
      </c>
      <c r="I2339">
        <v>0</v>
      </c>
      <c r="J2339">
        <v>27162.150788061499</v>
      </c>
      <c r="K2339">
        <v>20867.070595541099</v>
      </c>
      <c r="L2339">
        <v>6.8940000000000099</v>
      </c>
      <c r="M2339">
        <v>73.876999999999995</v>
      </c>
      <c r="N2339">
        <v>20.07</v>
      </c>
    </row>
    <row r="2340" spans="1:14" x14ac:dyDescent="0.45">
      <c r="A2340">
        <v>1991</v>
      </c>
      <c r="B2340" t="s">
        <v>212</v>
      </c>
      <c r="C2340">
        <v>0</v>
      </c>
      <c r="D2340">
        <v>0</v>
      </c>
      <c r="E2340">
        <v>0</v>
      </c>
      <c r="F2340">
        <v>1</v>
      </c>
      <c r="G2340">
        <v>0</v>
      </c>
      <c r="H2340">
        <v>0</v>
      </c>
      <c r="I2340">
        <v>0</v>
      </c>
      <c r="L2340">
        <v>41.469000000000001</v>
      </c>
      <c r="M2340">
        <v>70.716999999999999</v>
      </c>
      <c r="N2340">
        <v>41.905000000000001</v>
      </c>
    </row>
    <row r="2341" spans="1:14" x14ac:dyDescent="0.45">
      <c r="A2341">
        <v>1991</v>
      </c>
      <c r="B2341" t="s">
        <v>213</v>
      </c>
      <c r="C2341">
        <v>1</v>
      </c>
      <c r="D2341">
        <v>0</v>
      </c>
      <c r="E2341">
        <v>0</v>
      </c>
      <c r="F2341">
        <v>0</v>
      </c>
      <c r="G2341">
        <v>1</v>
      </c>
      <c r="H2341">
        <v>0</v>
      </c>
      <c r="I2341">
        <v>0</v>
      </c>
      <c r="J2341">
        <v>28443.794457476299</v>
      </c>
      <c r="K2341">
        <v>24586.335054246902</v>
      </c>
      <c r="L2341">
        <v>51.530999999999999</v>
      </c>
      <c r="M2341">
        <v>74.241</v>
      </c>
      <c r="N2341">
        <v>14.016999999999999</v>
      </c>
    </row>
    <row r="2342" spans="1:14" x14ac:dyDescent="0.45">
      <c r="A2342">
        <v>1991</v>
      </c>
      <c r="B2342" t="s">
        <v>214</v>
      </c>
      <c r="C2342">
        <v>0</v>
      </c>
      <c r="D2342">
        <v>1</v>
      </c>
      <c r="E2342">
        <v>0</v>
      </c>
      <c r="F2342">
        <v>1</v>
      </c>
      <c r="G2342">
        <v>0</v>
      </c>
      <c r="H2342">
        <v>0</v>
      </c>
      <c r="I2342">
        <v>0</v>
      </c>
      <c r="J2342">
        <v>10040.3122459121</v>
      </c>
      <c r="K2342">
        <v>9160.1687844698899</v>
      </c>
      <c r="L2342">
        <v>50.561</v>
      </c>
      <c r="M2342">
        <v>67.676000000000002</v>
      </c>
      <c r="N2342">
        <v>44.063000000000002</v>
      </c>
    </row>
    <row r="2343" spans="1:14" x14ac:dyDescent="0.45">
      <c r="A2343">
        <v>1991</v>
      </c>
      <c r="B2343" t="s">
        <v>215</v>
      </c>
      <c r="C2343">
        <v>0</v>
      </c>
      <c r="D2343">
        <v>0</v>
      </c>
      <c r="E2343">
        <v>0</v>
      </c>
      <c r="F2343">
        <v>1</v>
      </c>
      <c r="G2343">
        <v>0</v>
      </c>
      <c r="H2343">
        <v>0</v>
      </c>
      <c r="I2343">
        <v>0</v>
      </c>
      <c r="L2343">
        <v>31.780999999999999</v>
      </c>
      <c r="M2343">
        <v>68.221999999999994</v>
      </c>
      <c r="N2343">
        <v>42.957999999999998</v>
      </c>
    </row>
    <row r="2344" spans="1:14" x14ac:dyDescent="0.45">
      <c r="A2344">
        <v>1991</v>
      </c>
      <c r="B2344" t="s">
        <v>216</v>
      </c>
      <c r="C2344">
        <v>0</v>
      </c>
      <c r="D2344">
        <v>0</v>
      </c>
      <c r="E2344">
        <v>0</v>
      </c>
      <c r="F2344">
        <v>0</v>
      </c>
      <c r="G2344">
        <v>0</v>
      </c>
      <c r="H2344">
        <v>1</v>
      </c>
      <c r="I2344">
        <v>1</v>
      </c>
      <c r="L2344">
        <v>42.39</v>
      </c>
      <c r="M2344">
        <v>74.295000000000002</v>
      </c>
      <c r="N2344">
        <v>19.003</v>
      </c>
    </row>
    <row r="2345" spans="1:14" x14ac:dyDescent="0.45">
      <c r="A2345">
        <v>1991</v>
      </c>
      <c r="B2345" t="s">
        <v>217</v>
      </c>
      <c r="C2345">
        <v>0</v>
      </c>
      <c r="D2345">
        <v>0</v>
      </c>
      <c r="E2345">
        <v>0</v>
      </c>
      <c r="F2345">
        <v>0</v>
      </c>
      <c r="G2345">
        <v>0</v>
      </c>
      <c r="H2345">
        <v>1</v>
      </c>
      <c r="I2345">
        <v>1</v>
      </c>
      <c r="J2345">
        <v>68122.931110843099</v>
      </c>
      <c r="K2345">
        <v>58824.005363825803</v>
      </c>
      <c r="L2345">
        <v>6.7089999999999996</v>
      </c>
      <c r="M2345">
        <v>73.653999999999996</v>
      </c>
      <c r="N2345">
        <v>19.486000000000001</v>
      </c>
    </row>
    <row r="2346" spans="1:14" x14ac:dyDescent="0.45">
      <c r="A2346">
        <v>1991</v>
      </c>
      <c r="B2346" t="s">
        <v>218</v>
      </c>
      <c r="C2346">
        <v>1</v>
      </c>
      <c r="D2346">
        <v>0</v>
      </c>
      <c r="E2346">
        <v>0</v>
      </c>
      <c r="F2346">
        <v>1</v>
      </c>
      <c r="G2346">
        <v>0</v>
      </c>
      <c r="H2346">
        <v>0</v>
      </c>
      <c r="I2346">
        <v>0</v>
      </c>
      <c r="J2346">
        <v>14331.431554152899</v>
      </c>
      <c r="K2346">
        <v>11649.1044322342</v>
      </c>
      <c r="L2346">
        <v>46.07</v>
      </c>
      <c r="M2346">
        <v>70.046000000000006</v>
      </c>
      <c r="N2346">
        <v>27.994</v>
      </c>
    </row>
    <row r="2347" spans="1:14" x14ac:dyDescent="0.45">
      <c r="A2347">
        <v>1991</v>
      </c>
      <c r="B2347" t="s">
        <v>219</v>
      </c>
      <c r="C2347">
        <v>1</v>
      </c>
      <c r="D2347">
        <v>0</v>
      </c>
      <c r="E2347">
        <v>0</v>
      </c>
      <c r="F2347">
        <v>0</v>
      </c>
      <c r="G2347">
        <v>1</v>
      </c>
      <c r="H2347">
        <v>0</v>
      </c>
      <c r="I2347">
        <v>0</v>
      </c>
      <c r="J2347">
        <v>28066.921875</v>
      </c>
      <c r="K2347">
        <v>20340.1309063767</v>
      </c>
      <c r="L2347">
        <v>26.611000000000001</v>
      </c>
      <c r="M2347">
        <v>68.997</v>
      </c>
      <c r="N2347">
        <v>21.05</v>
      </c>
    </row>
    <row r="2348" spans="1:14" x14ac:dyDescent="0.45">
      <c r="A2348">
        <v>1991</v>
      </c>
      <c r="B2348" t="s">
        <v>220</v>
      </c>
      <c r="C2348">
        <v>0</v>
      </c>
      <c r="D2348">
        <v>0</v>
      </c>
      <c r="E2348">
        <v>1</v>
      </c>
      <c r="F2348">
        <v>0</v>
      </c>
      <c r="G2348">
        <v>0</v>
      </c>
      <c r="H2348">
        <v>0</v>
      </c>
      <c r="I2348">
        <v>0</v>
      </c>
      <c r="J2348">
        <v>1072.6971064156101</v>
      </c>
      <c r="K2348">
        <v>897.69071098240602</v>
      </c>
      <c r="L2348">
        <v>94.509</v>
      </c>
      <c r="M2348">
        <v>46.243000000000002</v>
      </c>
      <c r="N2348">
        <v>167.14599999999999</v>
      </c>
    </row>
    <row r="2349" spans="1:14" x14ac:dyDescent="0.45">
      <c r="A2349">
        <v>1991</v>
      </c>
      <c r="B2349" t="s">
        <v>221</v>
      </c>
      <c r="C2349">
        <v>0</v>
      </c>
      <c r="D2349">
        <v>0</v>
      </c>
      <c r="E2349">
        <v>0</v>
      </c>
      <c r="F2349">
        <v>0</v>
      </c>
      <c r="G2349">
        <v>1</v>
      </c>
      <c r="H2349">
        <v>0</v>
      </c>
      <c r="I2349">
        <v>0</v>
      </c>
      <c r="J2349">
        <v>67268.551848876305</v>
      </c>
      <c r="K2349">
        <v>61670.331165658499</v>
      </c>
      <c r="L2349">
        <v>22.777000000000001</v>
      </c>
      <c r="M2349">
        <v>69.340999999999994</v>
      </c>
      <c r="N2349">
        <v>41.191000000000003</v>
      </c>
    </row>
    <row r="2350" spans="1:14" x14ac:dyDescent="0.45">
      <c r="A2350">
        <v>1991</v>
      </c>
      <c r="B2350" t="s">
        <v>222</v>
      </c>
      <c r="C2350">
        <v>0</v>
      </c>
      <c r="D2350">
        <v>0</v>
      </c>
      <c r="E2350">
        <v>1</v>
      </c>
      <c r="F2350">
        <v>0</v>
      </c>
      <c r="G2350">
        <v>0</v>
      </c>
      <c r="H2350">
        <v>0</v>
      </c>
      <c r="I2350">
        <v>0</v>
      </c>
      <c r="J2350">
        <v>2591.869140625</v>
      </c>
      <c r="K2350">
        <v>2714.02879104355</v>
      </c>
      <c r="L2350">
        <v>70.16</v>
      </c>
      <c r="M2350">
        <v>55.552999999999997</v>
      </c>
      <c r="N2350">
        <v>129.22399999999999</v>
      </c>
    </row>
    <row r="2351" spans="1:14" x14ac:dyDescent="0.45">
      <c r="A2351">
        <v>1991</v>
      </c>
      <c r="B2351" t="s">
        <v>223</v>
      </c>
      <c r="C2351">
        <v>0</v>
      </c>
      <c r="D2351">
        <v>0</v>
      </c>
      <c r="E2351">
        <v>1</v>
      </c>
      <c r="F2351">
        <v>1</v>
      </c>
      <c r="G2351">
        <v>0</v>
      </c>
      <c r="H2351">
        <v>0</v>
      </c>
      <c r="I2351">
        <v>0</v>
      </c>
      <c r="J2351">
        <v>2917.01427785027</v>
      </c>
      <c r="K2351">
        <v>2436.9875172557199</v>
      </c>
      <c r="L2351">
        <v>60.962000000000003</v>
      </c>
      <c r="M2351">
        <v>57.036999999999999</v>
      </c>
      <c r="N2351">
        <v>139.72499999999999</v>
      </c>
    </row>
    <row r="2352" spans="1:14" x14ac:dyDescent="0.45">
      <c r="A2352">
        <v>1991</v>
      </c>
      <c r="B2352" t="s">
        <v>224</v>
      </c>
      <c r="C2352">
        <v>0</v>
      </c>
      <c r="D2352">
        <v>0</v>
      </c>
      <c r="E2352">
        <v>0</v>
      </c>
      <c r="F2352">
        <v>0</v>
      </c>
      <c r="G2352">
        <v>0</v>
      </c>
      <c r="H2352">
        <v>1</v>
      </c>
      <c r="I2352">
        <v>1</v>
      </c>
      <c r="J2352">
        <v>47251.694441600201</v>
      </c>
      <c r="K2352">
        <v>38842.655941206001</v>
      </c>
      <c r="L2352">
        <v>0</v>
      </c>
      <c r="M2352">
        <v>75.058000000000007</v>
      </c>
      <c r="N2352">
        <v>6.9489999999999998</v>
      </c>
    </row>
    <row r="2353" spans="1:14" x14ac:dyDescent="0.45">
      <c r="A2353">
        <v>1991</v>
      </c>
      <c r="B2353" t="s">
        <v>225</v>
      </c>
      <c r="C2353">
        <v>0</v>
      </c>
      <c r="D2353">
        <v>0</v>
      </c>
      <c r="E2353">
        <v>0</v>
      </c>
      <c r="F2353">
        <v>0</v>
      </c>
      <c r="G2353">
        <v>0</v>
      </c>
      <c r="H2353">
        <v>0</v>
      </c>
      <c r="I2353">
        <v>0</v>
      </c>
      <c r="J2353">
        <v>2418.38691027504</v>
      </c>
      <c r="K2353">
        <v>2187.6074056843399</v>
      </c>
      <c r="L2353">
        <v>86.13</v>
      </c>
      <c r="M2353">
        <v>66.356999999999999</v>
      </c>
      <c r="N2353">
        <v>37.192999999999998</v>
      </c>
    </row>
    <row r="2354" spans="1:14" x14ac:dyDescent="0.45">
      <c r="A2354">
        <v>1991</v>
      </c>
      <c r="B2354" t="s">
        <v>226</v>
      </c>
      <c r="C2354">
        <v>0</v>
      </c>
      <c r="D2354">
        <v>0</v>
      </c>
      <c r="E2354">
        <v>1</v>
      </c>
      <c r="F2354">
        <v>0</v>
      </c>
      <c r="G2354">
        <v>0</v>
      </c>
      <c r="H2354">
        <v>0</v>
      </c>
      <c r="I2354">
        <v>0</v>
      </c>
      <c r="J2354">
        <v>2737.42911190625</v>
      </c>
      <c r="K2354">
        <v>2484.6838712925601</v>
      </c>
      <c r="L2354">
        <v>66.515000000000001</v>
      </c>
      <c r="M2354">
        <v>43.286999999999999</v>
      </c>
      <c r="N2354">
        <v>259.04599999999999</v>
      </c>
    </row>
    <row r="2355" spans="1:14" x14ac:dyDescent="0.45">
      <c r="A2355">
        <v>1991</v>
      </c>
      <c r="B2355" t="s">
        <v>227</v>
      </c>
      <c r="C2355">
        <v>0</v>
      </c>
      <c r="D2355">
        <v>1</v>
      </c>
      <c r="E2355">
        <v>0</v>
      </c>
      <c r="F2355">
        <v>1</v>
      </c>
      <c r="G2355">
        <v>0</v>
      </c>
      <c r="H2355">
        <v>0</v>
      </c>
      <c r="I2355">
        <v>0</v>
      </c>
      <c r="J2355">
        <v>5960.05892897788</v>
      </c>
      <c r="K2355">
        <v>5308.9248474902597</v>
      </c>
      <c r="L2355">
        <v>50.206000000000003</v>
      </c>
      <c r="M2355">
        <v>62.542000000000002</v>
      </c>
      <c r="N2355">
        <v>62.883000000000003</v>
      </c>
    </row>
    <row r="2356" spans="1:14" x14ac:dyDescent="0.45">
      <c r="A2356">
        <v>1991</v>
      </c>
      <c r="B2356" t="s">
        <v>228</v>
      </c>
      <c r="C2356">
        <v>1</v>
      </c>
      <c r="D2356">
        <v>0</v>
      </c>
      <c r="E2356">
        <v>0</v>
      </c>
      <c r="F2356">
        <v>0</v>
      </c>
      <c r="G2356">
        <v>0</v>
      </c>
      <c r="H2356">
        <v>1</v>
      </c>
      <c r="I2356">
        <v>1</v>
      </c>
      <c r="L2356">
        <v>9.5999999999999908</v>
      </c>
      <c r="M2356">
        <v>77.944000000000003</v>
      </c>
      <c r="N2356">
        <v>11.047000000000001</v>
      </c>
    </row>
    <row r="2357" spans="1:14" x14ac:dyDescent="0.45">
      <c r="A2357">
        <v>1991</v>
      </c>
      <c r="B2357" t="s">
        <v>229</v>
      </c>
      <c r="C2357">
        <v>0</v>
      </c>
      <c r="D2357">
        <v>0</v>
      </c>
      <c r="E2357">
        <v>1</v>
      </c>
      <c r="F2357">
        <v>0</v>
      </c>
      <c r="G2357">
        <v>0</v>
      </c>
      <c r="H2357">
        <v>0</v>
      </c>
      <c r="I2357">
        <v>0</v>
      </c>
      <c r="J2357">
        <v>836.96660677736202</v>
      </c>
      <c r="K2357">
        <v>776.31522174295799</v>
      </c>
      <c r="L2357">
        <v>69.992999999999995</v>
      </c>
      <c r="M2357">
        <v>25.417999999999999</v>
      </c>
      <c r="N2357">
        <v>432.89800000000002</v>
      </c>
    </row>
    <row r="2358" spans="1:14" x14ac:dyDescent="0.45">
      <c r="A2358">
        <v>1991</v>
      </c>
      <c r="B2358" t="s">
        <v>230</v>
      </c>
      <c r="C2358">
        <v>1</v>
      </c>
      <c r="D2358">
        <v>0</v>
      </c>
      <c r="E2358">
        <v>0</v>
      </c>
      <c r="F2358">
        <v>0</v>
      </c>
      <c r="G2358">
        <v>1</v>
      </c>
      <c r="H2358">
        <v>0</v>
      </c>
      <c r="I2358">
        <v>0</v>
      </c>
      <c r="L2358">
        <v>49.244</v>
      </c>
      <c r="M2358">
        <v>71.938000000000002</v>
      </c>
      <c r="N2358">
        <v>16.844999999999999</v>
      </c>
    </row>
    <row r="2359" spans="1:14" x14ac:dyDescent="0.45">
      <c r="A2359">
        <v>1991</v>
      </c>
      <c r="B2359" t="s">
        <v>231</v>
      </c>
      <c r="C2359">
        <v>0</v>
      </c>
      <c r="D2359">
        <v>0</v>
      </c>
      <c r="E2359">
        <v>1</v>
      </c>
      <c r="F2359">
        <v>1</v>
      </c>
      <c r="G2359">
        <v>0</v>
      </c>
      <c r="H2359">
        <v>0</v>
      </c>
      <c r="I2359">
        <v>0</v>
      </c>
      <c r="L2359">
        <v>85.926000000000002</v>
      </c>
      <c r="M2359">
        <v>29.184999999999999</v>
      </c>
      <c r="N2359">
        <v>283.11</v>
      </c>
    </row>
    <row r="2360" spans="1:14" x14ac:dyDescent="0.45">
      <c r="A2360">
        <v>1991</v>
      </c>
      <c r="B2360" t="s">
        <v>232</v>
      </c>
      <c r="C2360">
        <v>0</v>
      </c>
      <c r="D2360">
        <v>0</v>
      </c>
      <c r="E2360">
        <v>1</v>
      </c>
      <c r="F2360">
        <v>0</v>
      </c>
      <c r="G2360">
        <v>0</v>
      </c>
      <c r="H2360">
        <v>0</v>
      </c>
      <c r="I2360">
        <v>0</v>
      </c>
      <c r="J2360">
        <v>3844.8963771481999</v>
      </c>
      <c r="K2360">
        <v>2393.0030698145702</v>
      </c>
      <c r="L2360">
        <v>55.207000000000001</v>
      </c>
      <c r="M2360">
        <v>60.792000000000002</v>
      </c>
      <c r="N2360">
        <v>108.277</v>
      </c>
    </row>
    <row r="2361" spans="1:14" x14ac:dyDescent="0.45">
      <c r="A2361">
        <v>1991</v>
      </c>
      <c r="B2361" t="s">
        <v>233</v>
      </c>
      <c r="C2361">
        <v>0</v>
      </c>
      <c r="D2361">
        <v>1</v>
      </c>
      <c r="E2361">
        <v>0</v>
      </c>
      <c r="F2361">
        <v>0</v>
      </c>
      <c r="G2361">
        <v>1</v>
      </c>
      <c r="H2361">
        <v>0</v>
      </c>
      <c r="I2361">
        <v>0</v>
      </c>
      <c r="J2361">
        <v>17493.496225742601</v>
      </c>
      <c r="K2361">
        <v>13924.4665897093</v>
      </c>
      <c r="L2361">
        <v>34.22</v>
      </c>
      <c r="M2361">
        <v>62.151000000000003</v>
      </c>
      <c r="N2361">
        <v>43.332000000000001</v>
      </c>
    </row>
    <row r="2362" spans="1:14" x14ac:dyDescent="0.45">
      <c r="A2362">
        <v>1991</v>
      </c>
      <c r="B2362" t="s">
        <v>234</v>
      </c>
      <c r="C2362">
        <v>1</v>
      </c>
      <c r="D2362">
        <v>0</v>
      </c>
      <c r="E2362">
        <v>0</v>
      </c>
      <c r="F2362">
        <v>0</v>
      </c>
      <c r="G2362">
        <v>1</v>
      </c>
      <c r="H2362">
        <v>0</v>
      </c>
      <c r="I2362">
        <v>0</v>
      </c>
      <c r="J2362">
        <v>14955.9249096069</v>
      </c>
      <c r="K2362">
        <v>12881.2813974161</v>
      </c>
      <c r="L2362">
        <v>43.22</v>
      </c>
      <c r="M2362">
        <v>70.921000000000006</v>
      </c>
      <c r="N2362">
        <v>15.215999999999999</v>
      </c>
    </row>
    <row r="2363" spans="1:14" x14ac:dyDescent="0.45">
      <c r="A2363">
        <v>1991</v>
      </c>
      <c r="B2363" t="s">
        <v>235</v>
      </c>
      <c r="C2363">
        <v>1</v>
      </c>
      <c r="D2363">
        <v>0</v>
      </c>
      <c r="E2363">
        <v>0</v>
      </c>
      <c r="F2363">
        <v>0</v>
      </c>
      <c r="G2363">
        <v>1</v>
      </c>
      <c r="H2363">
        <v>0</v>
      </c>
      <c r="I2363">
        <v>0</v>
      </c>
      <c r="J2363">
        <v>23080.461880402901</v>
      </c>
      <c r="K2363">
        <v>19867.7698671486</v>
      </c>
      <c r="L2363">
        <v>49.482999999999997</v>
      </c>
      <c r="M2363">
        <v>73.474999999999994</v>
      </c>
      <c r="N2363">
        <v>9.8529999999999998</v>
      </c>
    </row>
    <row r="2364" spans="1:14" x14ac:dyDescent="0.45">
      <c r="A2364">
        <v>1991</v>
      </c>
      <c r="B2364" t="s">
        <v>236</v>
      </c>
      <c r="C2364">
        <v>1</v>
      </c>
      <c r="D2364">
        <v>0</v>
      </c>
      <c r="E2364">
        <v>0</v>
      </c>
      <c r="F2364">
        <v>0</v>
      </c>
      <c r="G2364">
        <v>0</v>
      </c>
      <c r="H2364">
        <v>1</v>
      </c>
      <c r="I2364">
        <v>1</v>
      </c>
      <c r="J2364">
        <v>39474.654924565497</v>
      </c>
      <c r="K2364">
        <v>33719.978617314198</v>
      </c>
      <c r="L2364">
        <v>16.795999999999999</v>
      </c>
      <c r="M2364">
        <v>77.727999999999994</v>
      </c>
      <c r="N2364">
        <v>7.0890000000000004</v>
      </c>
    </row>
    <row r="2365" spans="1:14" x14ac:dyDescent="0.45">
      <c r="A2365">
        <v>1991</v>
      </c>
      <c r="B2365" t="s">
        <v>237</v>
      </c>
      <c r="C2365">
        <v>0</v>
      </c>
      <c r="D2365">
        <v>0</v>
      </c>
      <c r="E2365">
        <v>1</v>
      </c>
      <c r="F2365">
        <v>1</v>
      </c>
      <c r="G2365">
        <v>0</v>
      </c>
      <c r="H2365">
        <v>0</v>
      </c>
      <c r="I2365">
        <v>0</v>
      </c>
      <c r="J2365">
        <v>5398.2372928430505</v>
      </c>
      <c r="K2365">
        <v>4780.1401117648202</v>
      </c>
      <c r="L2365">
        <v>79.393000000000001</v>
      </c>
      <c r="M2365">
        <v>60.392000000000003</v>
      </c>
      <c r="N2365">
        <v>71.596000000000004</v>
      </c>
    </row>
    <row r="2366" spans="1:14" x14ac:dyDescent="0.45">
      <c r="A2366">
        <v>1991</v>
      </c>
      <c r="B2366" t="s">
        <v>238</v>
      </c>
      <c r="C2366">
        <v>0</v>
      </c>
      <c r="D2366">
        <v>1</v>
      </c>
      <c r="E2366">
        <v>0</v>
      </c>
      <c r="F2366">
        <v>0</v>
      </c>
      <c r="G2366">
        <v>0</v>
      </c>
      <c r="H2366">
        <v>1</v>
      </c>
      <c r="I2366">
        <v>1</v>
      </c>
      <c r="L2366">
        <v>0</v>
      </c>
      <c r="M2366">
        <v>72.384</v>
      </c>
      <c r="N2366">
        <v>25.352</v>
      </c>
    </row>
    <row r="2367" spans="1:14" x14ac:dyDescent="0.45">
      <c r="A2367">
        <v>1991</v>
      </c>
      <c r="B2367" t="s">
        <v>239</v>
      </c>
      <c r="C2367">
        <v>0</v>
      </c>
      <c r="D2367">
        <v>0</v>
      </c>
      <c r="E2367">
        <v>1</v>
      </c>
      <c r="F2367">
        <v>0</v>
      </c>
      <c r="G2367">
        <v>1</v>
      </c>
      <c r="H2367">
        <v>0</v>
      </c>
      <c r="I2367">
        <v>0</v>
      </c>
      <c r="J2367">
        <v>15695.670838946</v>
      </c>
      <c r="K2367">
        <v>15238.140149978901</v>
      </c>
      <c r="L2367">
        <v>50.692999999999998</v>
      </c>
      <c r="M2367">
        <v>70.263000000000005</v>
      </c>
      <c r="N2367">
        <v>15.903</v>
      </c>
    </row>
    <row r="2368" spans="1:14" x14ac:dyDescent="0.45">
      <c r="A2368">
        <v>1991</v>
      </c>
      <c r="B2368" t="s">
        <v>240</v>
      </c>
      <c r="C2368">
        <v>0</v>
      </c>
      <c r="D2368">
        <v>0</v>
      </c>
      <c r="E2368">
        <v>0</v>
      </c>
      <c r="F2368">
        <v>1</v>
      </c>
      <c r="G2368">
        <v>0</v>
      </c>
      <c r="H2368">
        <v>0</v>
      </c>
      <c r="I2368">
        <v>0</v>
      </c>
      <c r="J2368">
        <v>6081.0890710388903</v>
      </c>
      <c r="K2368">
        <v>3988.7531166632998</v>
      </c>
      <c r="L2368">
        <v>50.860999999999997</v>
      </c>
      <c r="M2368">
        <v>70.075000000000003</v>
      </c>
      <c r="N2368">
        <v>35.167999999999999</v>
      </c>
    </row>
    <row r="2369" spans="1:14" x14ac:dyDescent="0.45">
      <c r="A2369">
        <v>1991</v>
      </c>
      <c r="B2369" t="s">
        <v>241</v>
      </c>
      <c r="C2369">
        <v>0</v>
      </c>
      <c r="D2369">
        <v>1</v>
      </c>
      <c r="E2369">
        <v>0</v>
      </c>
      <c r="F2369">
        <v>0</v>
      </c>
      <c r="G2369">
        <v>0</v>
      </c>
      <c r="H2369">
        <v>1</v>
      </c>
      <c r="I2369">
        <v>1</v>
      </c>
      <c r="L2369">
        <v>24.463000000000001</v>
      </c>
      <c r="M2369">
        <v>70.540000000000006</v>
      </c>
      <c r="N2369">
        <v>17.558</v>
      </c>
    </row>
    <row r="2370" spans="1:14" x14ac:dyDescent="0.45">
      <c r="A2370">
        <v>1991</v>
      </c>
      <c r="B2370" t="s">
        <v>242</v>
      </c>
      <c r="C2370">
        <v>0</v>
      </c>
      <c r="D2370">
        <v>0</v>
      </c>
      <c r="E2370">
        <v>1</v>
      </c>
      <c r="F2370">
        <v>0</v>
      </c>
      <c r="G2370">
        <v>0</v>
      </c>
      <c r="H2370">
        <v>0</v>
      </c>
      <c r="I2370">
        <v>0</v>
      </c>
      <c r="J2370">
        <v>1784.1168359998801</v>
      </c>
      <c r="K2370">
        <v>1498.7226891269499</v>
      </c>
      <c r="L2370">
        <v>78.977000000000004</v>
      </c>
      <c r="M2370">
        <v>46.595999999999997</v>
      </c>
      <c r="N2370">
        <v>211.11</v>
      </c>
    </row>
    <row r="2371" spans="1:14" x14ac:dyDescent="0.45">
      <c r="A2371">
        <v>1991</v>
      </c>
      <c r="B2371" t="s">
        <v>243</v>
      </c>
      <c r="C2371">
        <v>0</v>
      </c>
      <c r="D2371">
        <v>0</v>
      </c>
      <c r="E2371">
        <v>1</v>
      </c>
      <c r="F2371">
        <v>0</v>
      </c>
      <c r="G2371">
        <v>0</v>
      </c>
      <c r="H2371">
        <v>0</v>
      </c>
      <c r="I2371">
        <v>0</v>
      </c>
      <c r="J2371">
        <v>2094.8114663113702</v>
      </c>
      <c r="K2371">
        <v>1740.8673931866299</v>
      </c>
      <c r="L2371">
        <v>70.995000000000005</v>
      </c>
      <c r="M2371">
        <v>54.255000000000003</v>
      </c>
      <c r="N2371">
        <v>145.98099999999999</v>
      </c>
    </row>
    <row r="2372" spans="1:14" x14ac:dyDescent="0.45">
      <c r="A2372">
        <v>1991</v>
      </c>
      <c r="B2372" t="s">
        <v>244</v>
      </c>
      <c r="C2372">
        <v>0</v>
      </c>
      <c r="D2372">
        <v>0</v>
      </c>
      <c r="E2372">
        <v>0</v>
      </c>
      <c r="F2372">
        <v>1</v>
      </c>
      <c r="G2372">
        <v>0</v>
      </c>
      <c r="H2372">
        <v>0</v>
      </c>
      <c r="I2372">
        <v>0</v>
      </c>
      <c r="J2372">
        <v>9294.0310625539405</v>
      </c>
      <c r="K2372">
        <v>8127.8817997384804</v>
      </c>
      <c r="L2372">
        <v>70.406999999999996</v>
      </c>
      <c r="M2372">
        <v>69.132000000000005</v>
      </c>
      <c r="N2372">
        <v>35.055999999999997</v>
      </c>
    </row>
    <row r="2373" spans="1:14" x14ac:dyDescent="0.45">
      <c r="A2373">
        <v>1991</v>
      </c>
      <c r="B2373" t="s">
        <v>245</v>
      </c>
      <c r="C2373">
        <v>1</v>
      </c>
      <c r="D2373">
        <v>0</v>
      </c>
      <c r="E2373">
        <v>0</v>
      </c>
      <c r="F2373">
        <v>1</v>
      </c>
      <c r="G2373">
        <v>0</v>
      </c>
      <c r="H2373">
        <v>0</v>
      </c>
      <c r="I2373">
        <v>0</v>
      </c>
      <c r="J2373">
        <v>3777.10750632183</v>
      </c>
      <c r="K2373">
        <v>3439.9447697147298</v>
      </c>
      <c r="L2373">
        <v>68.91</v>
      </c>
      <c r="M2373">
        <v>61.679000000000002</v>
      </c>
      <c r="N2373">
        <v>108.036</v>
      </c>
    </row>
    <row r="2374" spans="1:14" x14ac:dyDescent="0.45">
      <c r="A2374">
        <v>1991</v>
      </c>
      <c r="B2374" t="s">
        <v>246</v>
      </c>
      <c r="C2374">
        <v>1</v>
      </c>
      <c r="D2374">
        <v>0</v>
      </c>
      <c r="E2374">
        <v>0</v>
      </c>
      <c r="F2374">
        <v>1</v>
      </c>
      <c r="G2374">
        <v>0</v>
      </c>
      <c r="H2374">
        <v>0</v>
      </c>
      <c r="I2374">
        <v>0</v>
      </c>
      <c r="J2374">
        <v>7373.5841921315296</v>
      </c>
      <c r="K2374">
        <v>6940.1569687214496</v>
      </c>
      <c r="L2374">
        <v>55.01</v>
      </c>
      <c r="M2374">
        <v>63.841999999999999</v>
      </c>
      <c r="N2374">
        <v>79.408000000000001</v>
      </c>
    </row>
    <row r="2375" spans="1:14" x14ac:dyDescent="0.45">
      <c r="A2375">
        <v>1991</v>
      </c>
      <c r="B2375" t="s">
        <v>247</v>
      </c>
      <c r="C2375">
        <v>0</v>
      </c>
      <c r="D2375">
        <v>0</v>
      </c>
      <c r="E2375">
        <v>0</v>
      </c>
      <c r="F2375">
        <v>0</v>
      </c>
      <c r="G2375">
        <v>0</v>
      </c>
      <c r="H2375">
        <v>0</v>
      </c>
      <c r="I2375">
        <v>0</v>
      </c>
      <c r="J2375">
        <v>2319.9028615324301</v>
      </c>
      <c r="K2375">
        <v>1871.8429582313199</v>
      </c>
      <c r="L2375">
        <v>78.784999999999997</v>
      </c>
      <c r="M2375">
        <v>45.076000000000001</v>
      </c>
      <c r="N2375">
        <v>220.85</v>
      </c>
    </row>
    <row r="2376" spans="1:14" x14ac:dyDescent="0.45">
      <c r="A2376">
        <v>1991</v>
      </c>
      <c r="B2376" t="s">
        <v>248</v>
      </c>
      <c r="C2376">
        <v>0</v>
      </c>
      <c r="D2376">
        <v>0</v>
      </c>
      <c r="E2376">
        <v>0</v>
      </c>
      <c r="F2376">
        <v>1</v>
      </c>
      <c r="G2376">
        <v>0</v>
      </c>
      <c r="H2376">
        <v>0</v>
      </c>
      <c r="I2376">
        <v>0</v>
      </c>
      <c r="J2376">
        <v>4766.3883130857002</v>
      </c>
      <c r="K2376">
        <v>4314.6837482250903</v>
      </c>
      <c r="L2376">
        <v>77.263999999999996</v>
      </c>
      <c r="M2376">
        <v>67.748999999999995</v>
      </c>
      <c r="N2376">
        <v>21.477</v>
      </c>
    </row>
    <row r="2377" spans="1:14" x14ac:dyDescent="0.45">
      <c r="A2377">
        <v>1991</v>
      </c>
      <c r="B2377" t="s">
        <v>249</v>
      </c>
      <c r="C2377">
        <v>0</v>
      </c>
      <c r="D2377">
        <v>1</v>
      </c>
      <c r="E2377">
        <v>0</v>
      </c>
      <c r="F2377">
        <v>0</v>
      </c>
      <c r="G2377">
        <v>1</v>
      </c>
      <c r="H2377">
        <v>0</v>
      </c>
      <c r="I2377">
        <v>0</v>
      </c>
      <c r="J2377">
        <v>12157.926819227099</v>
      </c>
      <c r="K2377">
        <v>10146.920923086</v>
      </c>
      <c r="L2377">
        <v>45.692</v>
      </c>
      <c r="M2377">
        <v>67.781999999999996</v>
      </c>
      <c r="N2377">
        <v>29.756</v>
      </c>
    </row>
    <row r="2378" spans="1:14" x14ac:dyDescent="0.45">
      <c r="A2378">
        <v>1991</v>
      </c>
      <c r="B2378" t="s">
        <v>250</v>
      </c>
      <c r="C2378">
        <v>0</v>
      </c>
      <c r="D2378">
        <v>0</v>
      </c>
      <c r="E2378">
        <v>0</v>
      </c>
      <c r="F2378">
        <v>1</v>
      </c>
      <c r="G2378">
        <v>0</v>
      </c>
      <c r="H2378">
        <v>0</v>
      </c>
      <c r="I2378">
        <v>0</v>
      </c>
      <c r="J2378">
        <v>6859.7267377080498</v>
      </c>
      <c r="K2378">
        <v>5978.1372646437503</v>
      </c>
      <c r="L2378">
        <v>41.244</v>
      </c>
      <c r="M2378">
        <v>69.397999999999996</v>
      </c>
      <c r="N2378">
        <v>52.375999999999998</v>
      </c>
    </row>
    <row r="2379" spans="1:14" x14ac:dyDescent="0.45">
      <c r="A2379">
        <v>1991</v>
      </c>
      <c r="B2379" t="s">
        <v>251</v>
      </c>
      <c r="C2379">
        <v>1</v>
      </c>
      <c r="D2379">
        <v>0</v>
      </c>
      <c r="E2379">
        <v>0</v>
      </c>
      <c r="F2379">
        <v>1</v>
      </c>
      <c r="G2379">
        <v>0</v>
      </c>
      <c r="H2379">
        <v>0</v>
      </c>
      <c r="I2379">
        <v>0</v>
      </c>
      <c r="J2379">
        <v>11885.786967984401</v>
      </c>
      <c r="K2379">
        <v>11917.583355786301</v>
      </c>
      <c r="L2379">
        <v>40.024000000000001</v>
      </c>
      <c r="M2379">
        <v>68.287000000000006</v>
      </c>
      <c r="N2379">
        <v>69.436999999999998</v>
      </c>
    </row>
    <row r="2380" spans="1:14" x14ac:dyDescent="0.45">
      <c r="A2380">
        <v>1991</v>
      </c>
      <c r="B2380" t="s">
        <v>252</v>
      </c>
      <c r="C2380">
        <v>0</v>
      </c>
      <c r="D2380">
        <v>0</v>
      </c>
      <c r="E2380">
        <v>0</v>
      </c>
      <c r="F2380">
        <v>1</v>
      </c>
      <c r="G2380">
        <v>0</v>
      </c>
      <c r="H2380">
        <v>0</v>
      </c>
      <c r="I2380">
        <v>0</v>
      </c>
      <c r="J2380">
        <v>3046.9715755826201</v>
      </c>
      <c r="K2380">
        <v>2756.4562909533201</v>
      </c>
      <c r="L2380">
        <v>58.009</v>
      </c>
      <c r="M2380">
        <v>61.808999999999997</v>
      </c>
      <c r="N2380">
        <v>52.765999999999998</v>
      </c>
    </row>
    <row r="2381" spans="1:14" x14ac:dyDescent="0.45">
      <c r="A2381">
        <v>1991</v>
      </c>
      <c r="B2381" t="s">
        <v>253</v>
      </c>
      <c r="C2381">
        <v>0</v>
      </c>
      <c r="D2381">
        <v>0</v>
      </c>
      <c r="E2381">
        <v>0</v>
      </c>
      <c r="F2381">
        <v>0</v>
      </c>
      <c r="G2381">
        <v>0</v>
      </c>
      <c r="H2381">
        <v>1</v>
      </c>
      <c r="I2381">
        <v>1</v>
      </c>
      <c r="L2381">
        <v>72.688000000000002</v>
      </c>
      <c r="M2381">
        <v>74.287000000000006</v>
      </c>
      <c r="N2381">
        <v>8.6709999999999994</v>
      </c>
    </row>
    <row r="2382" spans="1:14" x14ac:dyDescent="0.45">
      <c r="A2382">
        <v>1991</v>
      </c>
      <c r="B2382" t="s">
        <v>254</v>
      </c>
      <c r="C2382">
        <v>0</v>
      </c>
      <c r="D2382">
        <v>0</v>
      </c>
      <c r="E2382">
        <v>1</v>
      </c>
      <c r="F2382">
        <v>0</v>
      </c>
      <c r="G2382">
        <v>0</v>
      </c>
      <c r="H2382">
        <v>0</v>
      </c>
      <c r="I2382">
        <v>0</v>
      </c>
      <c r="J2382">
        <v>1785.66394042969</v>
      </c>
      <c r="K2382">
        <v>1330.0816724296101</v>
      </c>
      <c r="L2382">
        <v>80.792000000000002</v>
      </c>
      <c r="M2382">
        <v>51.837000000000003</v>
      </c>
      <c r="N2382">
        <v>164.708</v>
      </c>
    </row>
    <row r="2383" spans="1:14" x14ac:dyDescent="0.45">
      <c r="A2383">
        <v>1991</v>
      </c>
      <c r="B2383" t="s">
        <v>255</v>
      </c>
      <c r="C2383">
        <v>0</v>
      </c>
      <c r="D2383">
        <v>0</v>
      </c>
      <c r="E2383">
        <v>1</v>
      </c>
      <c r="F2383">
        <v>0</v>
      </c>
      <c r="G2383">
        <v>0</v>
      </c>
      <c r="H2383">
        <v>0</v>
      </c>
      <c r="I2383">
        <v>0</v>
      </c>
      <c r="J2383">
        <v>1103.2289727883499</v>
      </c>
      <c r="K2383">
        <v>935.87415775764998</v>
      </c>
      <c r="L2383">
        <v>88.546000000000006</v>
      </c>
      <c r="M2383">
        <v>47.548999999999999</v>
      </c>
      <c r="N2383">
        <v>177.89500000000001</v>
      </c>
    </row>
    <row r="2384" spans="1:14" x14ac:dyDescent="0.45">
      <c r="A2384">
        <v>1991</v>
      </c>
      <c r="B2384" t="s">
        <v>256</v>
      </c>
      <c r="C2384">
        <v>1</v>
      </c>
      <c r="D2384">
        <v>0</v>
      </c>
      <c r="E2384">
        <v>0</v>
      </c>
      <c r="F2384">
        <v>1</v>
      </c>
      <c r="G2384">
        <v>0</v>
      </c>
      <c r="H2384">
        <v>0</v>
      </c>
      <c r="I2384">
        <v>0</v>
      </c>
      <c r="J2384">
        <v>20784.16015625</v>
      </c>
      <c r="K2384">
        <v>14700.335798001501</v>
      </c>
      <c r="L2384">
        <v>33.204000000000001</v>
      </c>
      <c r="M2384">
        <v>69.688000000000002</v>
      </c>
      <c r="N2384">
        <v>17.224</v>
      </c>
    </row>
    <row r="2385" spans="1:14" x14ac:dyDescent="0.45">
      <c r="A2385">
        <v>1991</v>
      </c>
      <c r="B2385" t="s">
        <v>257</v>
      </c>
      <c r="C2385">
        <v>0</v>
      </c>
      <c r="D2385">
        <v>1</v>
      </c>
      <c r="E2385">
        <v>0</v>
      </c>
      <c r="F2385">
        <v>0</v>
      </c>
      <c r="G2385">
        <v>1</v>
      </c>
      <c r="H2385">
        <v>0</v>
      </c>
      <c r="I2385">
        <v>0</v>
      </c>
      <c r="J2385">
        <v>14474.7327106176</v>
      </c>
      <c r="K2385">
        <v>11480.9031759758</v>
      </c>
      <c r="L2385">
        <v>10.696</v>
      </c>
      <c r="M2385">
        <v>73.197999999999993</v>
      </c>
      <c r="N2385">
        <v>22.709</v>
      </c>
    </row>
    <row r="2386" spans="1:14" x14ac:dyDescent="0.45">
      <c r="A2386">
        <v>1991</v>
      </c>
      <c r="B2386" t="s">
        <v>258</v>
      </c>
      <c r="C2386">
        <v>0</v>
      </c>
      <c r="D2386">
        <v>0</v>
      </c>
      <c r="E2386">
        <v>0</v>
      </c>
      <c r="F2386">
        <v>0</v>
      </c>
      <c r="G2386">
        <v>0</v>
      </c>
      <c r="H2386">
        <v>1</v>
      </c>
      <c r="I2386">
        <v>1</v>
      </c>
      <c r="J2386">
        <v>43742.026120051902</v>
      </c>
      <c r="K2386">
        <v>39703.526381290299</v>
      </c>
      <c r="L2386">
        <v>24.298999999999999</v>
      </c>
      <c r="M2386">
        <v>75.524000000000001</v>
      </c>
      <c r="N2386">
        <v>11.085000000000001</v>
      </c>
    </row>
    <row r="2387" spans="1:14" x14ac:dyDescent="0.45">
      <c r="A2387">
        <v>1991</v>
      </c>
      <c r="B2387" t="s">
        <v>259</v>
      </c>
      <c r="C2387">
        <v>1</v>
      </c>
      <c r="D2387">
        <v>0</v>
      </c>
      <c r="E2387">
        <v>0</v>
      </c>
      <c r="F2387">
        <v>1</v>
      </c>
      <c r="G2387">
        <v>0</v>
      </c>
      <c r="H2387">
        <v>0</v>
      </c>
      <c r="I2387">
        <v>0</v>
      </c>
      <c r="J2387">
        <v>4094.2273655645599</v>
      </c>
      <c r="K2387">
        <v>3977.6933798274299</v>
      </c>
      <c r="L2387">
        <v>58.164000000000001</v>
      </c>
      <c r="M2387">
        <v>65.528999999999996</v>
      </c>
      <c r="N2387">
        <v>70.721000000000004</v>
      </c>
    </row>
    <row r="2388" spans="1:14" x14ac:dyDescent="0.45">
      <c r="A2388">
        <v>1991</v>
      </c>
      <c r="B2388" t="s">
        <v>260</v>
      </c>
      <c r="C2388">
        <v>0</v>
      </c>
      <c r="D2388">
        <v>1</v>
      </c>
      <c r="E2388">
        <v>0</v>
      </c>
      <c r="F2388">
        <v>1</v>
      </c>
      <c r="G2388">
        <v>0</v>
      </c>
      <c r="H2388">
        <v>0</v>
      </c>
      <c r="I2388">
        <v>0</v>
      </c>
      <c r="J2388">
        <v>7524.5847781596303</v>
      </c>
      <c r="K2388">
        <v>6576.1949799370304</v>
      </c>
      <c r="L2388">
        <v>58.051000000000002</v>
      </c>
      <c r="M2388">
        <v>70.64</v>
      </c>
      <c r="N2388">
        <v>24.413</v>
      </c>
    </row>
    <row r="2389" spans="1:14" x14ac:dyDescent="0.45">
      <c r="A2389">
        <v>1991</v>
      </c>
      <c r="B2389" t="s">
        <v>261</v>
      </c>
      <c r="C2389">
        <v>0</v>
      </c>
      <c r="D2389">
        <v>1</v>
      </c>
      <c r="E2389">
        <v>0</v>
      </c>
      <c r="F2389">
        <v>0</v>
      </c>
      <c r="G2389">
        <v>1</v>
      </c>
      <c r="H2389">
        <v>0</v>
      </c>
      <c r="I2389">
        <v>0</v>
      </c>
      <c r="L2389">
        <v>15.336</v>
      </c>
      <c r="M2389">
        <v>71.171999999999997</v>
      </c>
      <c r="N2389">
        <v>29.106999999999999</v>
      </c>
    </row>
    <row r="2390" spans="1:14" x14ac:dyDescent="0.45">
      <c r="A2390">
        <v>1991</v>
      </c>
      <c r="B2390" t="s">
        <v>262</v>
      </c>
      <c r="C2390">
        <v>0</v>
      </c>
      <c r="D2390">
        <v>1</v>
      </c>
      <c r="E2390">
        <v>0</v>
      </c>
      <c r="F2390">
        <v>0</v>
      </c>
      <c r="G2390">
        <v>0</v>
      </c>
      <c r="H2390">
        <v>1</v>
      </c>
      <c r="I2390">
        <v>1</v>
      </c>
      <c r="L2390">
        <v>60.665999999999997</v>
      </c>
      <c r="M2390">
        <v>72.75</v>
      </c>
      <c r="N2390">
        <v>22.077999999999999</v>
      </c>
    </row>
    <row r="2391" spans="1:14" x14ac:dyDescent="0.45">
      <c r="A2391">
        <v>1991</v>
      </c>
      <c r="B2391" t="s">
        <v>263</v>
      </c>
      <c r="C2391">
        <v>0</v>
      </c>
      <c r="D2391">
        <v>1</v>
      </c>
      <c r="E2391">
        <v>0</v>
      </c>
      <c r="F2391">
        <v>0</v>
      </c>
      <c r="G2391">
        <v>0</v>
      </c>
      <c r="H2391">
        <v>1</v>
      </c>
      <c r="I2391">
        <v>1</v>
      </c>
      <c r="L2391">
        <v>11.715</v>
      </c>
      <c r="M2391">
        <v>70.808999999999997</v>
      </c>
      <c r="N2391">
        <v>17.411000000000001</v>
      </c>
    </row>
    <row r="2392" spans="1:14" x14ac:dyDescent="0.45">
      <c r="A2392">
        <v>1991</v>
      </c>
      <c r="B2392" t="s">
        <v>264</v>
      </c>
      <c r="C2392">
        <v>0</v>
      </c>
      <c r="D2392">
        <v>0</v>
      </c>
      <c r="E2392">
        <v>0</v>
      </c>
      <c r="F2392">
        <v>0</v>
      </c>
      <c r="G2392">
        <v>0</v>
      </c>
      <c r="H2392">
        <v>0</v>
      </c>
      <c r="I2392">
        <v>0</v>
      </c>
      <c r="J2392">
        <v>2560.8438349616399</v>
      </c>
      <c r="K2392">
        <v>2281.9241279758398</v>
      </c>
      <c r="L2392">
        <v>79.370999999999995</v>
      </c>
      <c r="M2392">
        <v>69.302999999999997</v>
      </c>
      <c r="N2392">
        <v>48.991999999999997</v>
      </c>
    </row>
    <row r="2393" spans="1:14" x14ac:dyDescent="0.45">
      <c r="A2393">
        <v>1991</v>
      </c>
      <c r="B2393" t="s">
        <v>265</v>
      </c>
      <c r="C2393">
        <v>0</v>
      </c>
      <c r="D2393">
        <v>0</v>
      </c>
      <c r="E2393">
        <v>0</v>
      </c>
      <c r="F2393">
        <v>1</v>
      </c>
      <c r="G2393">
        <v>0</v>
      </c>
      <c r="H2393">
        <v>0</v>
      </c>
      <c r="I2393">
        <v>0</v>
      </c>
      <c r="J2393">
        <v>3120.6937888938101</v>
      </c>
      <c r="K2393">
        <v>2822.9838016130202</v>
      </c>
      <c r="L2393">
        <v>81.001999999999995</v>
      </c>
      <c r="M2393">
        <v>67.114000000000004</v>
      </c>
      <c r="N2393">
        <v>35.704999999999998</v>
      </c>
    </row>
    <row r="2394" spans="1:14" x14ac:dyDescent="0.45">
      <c r="A2394">
        <v>1991</v>
      </c>
      <c r="B2394" t="s">
        <v>266</v>
      </c>
      <c r="C2394">
        <v>0</v>
      </c>
      <c r="D2394">
        <v>0</v>
      </c>
      <c r="E2394">
        <v>0</v>
      </c>
      <c r="F2394">
        <v>1</v>
      </c>
      <c r="G2394">
        <v>0</v>
      </c>
      <c r="H2394">
        <v>0</v>
      </c>
      <c r="I2394">
        <v>0</v>
      </c>
      <c r="J2394">
        <v>3891.6298385219902</v>
      </c>
      <c r="K2394">
        <v>3520.3735897188599</v>
      </c>
      <c r="L2394">
        <v>78.8</v>
      </c>
      <c r="M2394">
        <v>68.039000000000001</v>
      </c>
      <c r="N2394">
        <v>29.724</v>
      </c>
    </row>
    <row r="2395" spans="1:14" x14ac:dyDescent="0.45">
      <c r="A2395">
        <v>1991</v>
      </c>
      <c r="B2395" t="s">
        <v>267</v>
      </c>
      <c r="C2395">
        <v>1</v>
      </c>
      <c r="D2395">
        <v>0</v>
      </c>
      <c r="E2395">
        <v>0</v>
      </c>
      <c r="F2395">
        <v>0</v>
      </c>
      <c r="G2395">
        <v>1</v>
      </c>
      <c r="H2395">
        <v>0</v>
      </c>
      <c r="I2395">
        <v>0</v>
      </c>
      <c r="L2395">
        <v>49.244</v>
      </c>
      <c r="M2395">
        <v>66.456000000000003</v>
      </c>
      <c r="N2395">
        <v>96.882000000000005</v>
      </c>
    </row>
    <row r="2396" spans="1:14" x14ac:dyDescent="0.45">
      <c r="A2396">
        <v>1991</v>
      </c>
      <c r="B2396" t="s">
        <v>268</v>
      </c>
      <c r="C2396">
        <v>0</v>
      </c>
      <c r="D2396">
        <v>0</v>
      </c>
      <c r="E2396">
        <v>0</v>
      </c>
      <c r="F2396">
        <v>0</v>
      </c>
      <c r="G2396">
        <v>0</v>
      </c>
      <c r="H2396">
        <v>0</v>
      </c>
      <c r="I2396">
        <v>0</v>
      </c>
      <c r="L2396">
        <v>78.510999999999996</v>
      </c>
      <c r="M2396">
        <v>58.805</v>
      </c>
      <c r="N2396">
        <v>123.20099999999999</v>
      </c>
    </row>
    <row r="2397" spans="1:14" x14ac:dyDescent="0.45">
      <c r="A2397">
        <v>1991</v>
      </c>
      <c r="B2397" t="s">
        <v>269</v>
      </c>
      <c r="C2397">
        <v>0</v>
      </c>
      <c r="D2397">
        <v>0</v>
      </c>
      <c r="E2397">
        <v>1</v>
      </c>
      <c r="F2397">
        <v>0</v>
      </c>
      <c r="G2397">
        <v>1</v>
      </c>
      <c r="H2397">
        <v>0</v>
      </c>
      <c r="I2397">
        <v>0</v>
      </c>
      <c r="J2397">
        <v>10472.1585980251</v>
      </c>
      <c r="K2397">
        <v>9859.9680735029197</v>
      </c>
      <c r="L2397">
        <v>47.445999999999998</v>
      </c>
      <c r="M2397">
        <v>62.982999999999997</v>
      </c>
      <c r="N2397">
        <v>61.942999999999998</v>
      </c>
    </row>
    <row r="2398" spans="1:14" x14ac:dyDescent="0.45">
      <c r="A2398">
        <v>1991</v>
      </c>
      <c r="B2398" t="s">
        <v>270</v>
      </c>
      <c r="C2398">
        <v>0</v>
      </c>
      <c r="D2398">
        <v>0</v>
      </c>
      <c r="E2398">
        <v>1</v>
      </c>
      <c r="F2398">
        <v>0</v>
      </c>
      <c r="G2398">
        <v>0</v>
      </c>
      <c r="H2398">
        <v>0</v>
      </c>
      <c r="I2398">
        <v>0</v>
      </c>
      <c r="J2398">
        <v>2364.8623403995598</v>
      </c>
      <c r="K2398">
        <v>2220.26819372214</v>
      </c>
      <c r="L2398">
        <v>61.011000000000003</v>
      </c>
      <c r="M2398">
        <v>47.442999999999998</v>
      </c>
      <c r="N2398">
        <v>182.672</v>
      </c>
    </row>
    <row r="2399" spans="1:14" x14ac:dyDescent="0.45">
      <c r="A2399">
        <v>1991</v>
      </c>
      <c r="B2399" t="s">
        <v>271</v>
      </c>
      <c r="C2399">
        <v>0</v>
      </c>
      <c r="D2399">
        <v>0</v>
      </c>
      <c r="E2399">
        <v>1</v>
      </c>
      <c r="F2399">
        <v>0</v>
      </c>
      <c r="G2399">
        <v>0</v>
      </c>
      <c r="H2399">
        <v>0</v>
      </c>
      <c r="I2399">
        <v>0</v>
      </c>
      <c r="J2399">
        <v>4126.4019965810203</v>
      </c>
      <c r="K2399">
        <v>2747.5065348258599</v>
      </c>
      <c r="L2399">
        <v>70.262</v>
      </c>
      <c r="M2399">
        <v>57.036999999999999</v>
      </c>
      <c r="N2399">
        <v>84.465999999999994</v>
      </c>
    </row>
    <row r="2400" spans="1:14" x14ac:dyDescent="0.45">
      <c r="A2400">
        <v>1992</v>
      </c>
      <c r="B2400" t="s">
        <v>54</v>
      </c>
      <c r="C2400">
        <v>0</v>
      </c>
      <c r="D2400">
        <v>1</v>
      </c>
      <c r="E2400">
        <v>0</v>
      </c>
      <c r="F2400">
        <v>0</v>
      </c>
      <c r="G2400">
        <v>1</v>
      </c>
      <c r="H2400">
        <v>0</v>
      </c>
      <c r="I2400">
        <v>0</v>
      </c>
      <c r="J2400">
        <v>35947.372259322801</v>
      </c>
      <c r="K2400">
        <v>34984.245058939101</v>
      </c>
      <c r="L2400">
        <v>50.002000000000002</v>
      </c>
      <c r="M2400">
        <v>72.716999999999999</v>
      </c>
      <c r="N2400">
        <v>22.129000000000001</v>
      </c>
    </row>
    <row r="2401" spans="1:14" x14ac:dyDescent="0.45">
      <c r="A2401">
        <v>1992</v>
      </c>
      <c r="B2401" t="s">
        <v>55</v>
      </c>
      <c r="C2401">
        <v>0</v>
      </c>
      <c r="D2401">
        <v>0</v>
      </c>
      <c r="E2401">
        <v>0</v>
      </c>
      <c r="F2401">
        <v>0</v>
      </c>
      <c r="G2401">
        <v>0</v>
      </c>
      <c r="H2401">
        <v>0</v>
      </c>
      <c r="I2401">
        <v>0</v>
      </c>
      <c r="L2401">
        <v>78.644999999999996</v>
      </c>
      <c r="M2401">
        <v>46.569000000000003</v>
      </c>
      <c r="N2401">
        <v>183.39699999999999</v>
      </c>
    </row>
    <row r="2402" spans="1:14" x14ac:dyDescent="0.45">
      <c r="A2402">
        <v>1992</v>
      </c>
      <c r="B2402" t="s">
        <v>56</v>
      </c>
      <c r="C2402">
        <v>0</v>
      </c>
      <c r="D2402">
        <v>0</v>
      </c>
      <c r="E2402">
        <v>1</v>
      </c>
      <c r="F2402">
        <v>1</v>
      </c>
      <c r="G2402">
        <v>0</v>
      </c>
      <c r="H2402">
        <v>0</v>
      </c>
      <c r="I2402">
        <v>0</v>
      </c>
      <c r="J2402">
        <v>6578.0685749200002</v>
      </c>
      <c r="K2402">
        <v>5087.1545650177904</v>
      </c>
      <c r="L2402">
        <v>59.960999999999999</v>
      </c>
      <c r="M2402">
        <v>42.267000000000003</v>
      </c>
      <c r="N2402">
        <v>236.285</v>
      </c>
    </row>
    <row r="2403" spans="1:14" x14ac:dyDescent="0.45">
      <c r="A2403">
        <v>1992</v>
      </c>
      <c r="B2403" t="s">
        <v>57</v>
      </c>
      <c r="C2403">
        <v>1</v>
      </c>
      <c r="D2403">
        <v>0</v>
      </c>
      <c r="E2403">
        <v>0</v>
      </c>
      <c r="F2403">
        <v>1</v>
      </c>
      <c r="G2403">
        <v>0</v>
      </c>
      <c r="H2403">
        <v>0</v>
      </c>
      <c r="I2403">
        <v>0</v>
      </c>
      <c r="J2403">
        <v>3760.9397277795802</v>
      </c>
      <c r="K2403">
        <v>3407.2388877972298</v>
      </c>
      <c r="L2403">
        <v>62.750999999999998</v>
      </c>
      <c r="M2403">
        <v>73.302999999999997</v>
      </c>
      <c r="N2403">
        <v>37.997</v>
      </c>
    </row>
    <row r="2404" spans="1:14" x14ac:dyDescent="0.45">
      <c r="A2404">
        <v>1992</v>
      </c>
      <c r="B2404" t="s">
        <v>58</v>
      </c>
      <c r="C2404">
        <v>1</v>
      </c>
      <c r="D2404">
        <v>0</v>
      </c>
      <c r="E2404">
        <v>0</v>
      </c>
      <c r="F2404">
        <v>0</v>
      </c>
      <c r="G2404">
        <v>0</v>
      </c>
      <c r="H2404">
        <v>1</v>
      </c>
      <c r="I2404">
        <v>1</v>
      </c>
      <c r="J2404">
        <v>45246.533071010002</v>
      </c>
      <c r="K2404">
        <v>37981.009195839702</v>
      </c>
      <c r="L2404">
        <v>5.6760000000000002</v>
      </c>
      <c r="M2404">
        <v>79.793999999999997</v>
      </c>
      <c r="N2404">
        <v>9.5519999999999996</v>
      </c>
    </row>
    <row r="2405" spans="1:14" x14ac:dyDescent="0.45">
      <c r="A2405">
        <v>1992</v>
      </c>
      <c r="B2405" t="s">
        <v>59</v>
      </c>
      <c r="C2405">
        <v>0</v>
      </c>
      <c r="D2405">
        <v>0</v>
      </c>
      <c r="E2405">
        <v>0</v>
      </c>
      <c r="F2405">
        <v>0</v>
      </c>
      <c r="G2405">
        <v>0</v>
      </c>
      <c r="H2405">
        <v>1</v>
      </c>
      <c r="I2405">
        <v>1</v>
      </c>
      <c r="J2405">
        <v>101100.48750966899</v>
      </c>
      <c r="K2405">
        <v>99884.116224597194</v>
      </c>
      <c r="L2405">
        <v>21.24</v>
      </c>
      <c r="M2405">
        <v>71.165999999999997</v>
      </c>
      <c r="N2405">
        <v>15.035</v>
      </c>
    </row>
    <row r="2406" spans="1:14" x14ac:dyDescent="0.45">
      <c r="A2406">
        <v>1992</v>
      </c>
      <c r="B2406" t="s">
        <v>60</v>
      </c>
      <c r="C2406">
        <v>0</v>
      </c>
      <c r="D2406">
        <v>1</v>
      </c>
      <c r="E2406">
        <v>0</v>
      </c>
      <c r="F2406">
        <v>0</v>
      </c>
      <c r="G2406">
        <v>1</v>
      </c>
      <c r="H2406">
        <v>0</v>
      </c>
      <c r="I2406">
        <v>0</v>
      </c>
      <c r="J2406">
        <v>19476.2840606477</v>
      </c>
      <c r="K2406">
        <v>16073.9679265655</v>
      </c>
      <c r="L2406">
        <v>12.458</v>
      </c>
      <c r="M2406">
        <v>72.096000000000004</v>
      </c>
      <c r="N2406">
        <v>28.189</v>
      </c>
    </row>
    <row r="2407" spans="1:14" x14ac:dyDescent="0.45">
      <c r="A2407">
        <v>1992</v>
      </c>
      <c r="B2407" t="s">
        <v>61</v>
      </c>
      <c r="C2407">
        <v>1</v>
      </c>
      <c r="D2407">
        <v>0</v>
      </c>
      <c r="E2407">
        <v>0</v>
      </c>
      <c r="F2407">
        <v>1</v>
      </c>
      <c r="G2407">
        <v>0</v>
      </c>
      <c r="H2407">
        <v>0</v>
      </c>
      <c r="I2407">
        <v>0</v>
      </c>
      <c r="J2407">
        <v>3136.7242826052602</v>
      </c>
      <c r="K2407">
        <v>2657.12300222674</v>
      </c>
      <c r="L2407">
        <v>33.122</v>
      </c>
      <c r="M2407">
        <v>67.882000000000005</v>
      </c>
      <c r="N2407">
        <v>44.801000000000002</v>
      </c>
    </row>
    <row r="2408" spans="1:14" x14ac:dyDescent="0.45">
      <c r="A2408">
        <v>1992</v>
      </c>
      <c r="B2408" t="s">
        <v>62</v>
      </c>
      <c r="C2408">
        <v>0</v>
      </c>
      <c r="D2408">
        <v>0</v>
      </c>
      <c r="E2408">
        <v>0</v>
      </c>
      <c r="F2408">
        <v>0</v>
      </c>
      <c r="G2408">
        <v>1</v>
      </c>
      <c r="H2408">
        <v>0</v>
      </c>
      <c r="I2408">
        <v>0</v>
      </c>
      <c r="L2408">
        <v>17.210999999999999</v>
      </c>
      <c r="M2408">
        <v>71.510999999999996</v>
      </c>
      <c r="N2408">
        <v>15.475</v>
      </c>
    </row>
    <row r="2409" spans="1:14" x14ac:dyDescent="0.45">
      <c r="A2409">
        <v>1992</v>
      </c>
      <c r="B2409" t="s">
        <v>63</v>
      </c>
      <c r="C2409">
        <v>0</v>
      </c>
      <c r="D2409">
        <v>1</v>
      </c>
      <c r="E2409">
        <v>0</v>
      </c>
      <c r="F2409">
        <v>0</v>
      </c>
      <c r="G2409">
        <v>1</v>
      </c>
      <c r="H2409">
        <v>0</v>
      </c>
      <c r="I2409">
        <v>0</v>
      </c>
      <c r="J2409">
        <v>21330.273191852699</v>
      </c>
      <c r="K2409">
        <v>16799.655572417501</v>
      </c>
      <c r="L2409">
        <v>64.915000000000006</v>
      </c>
      <c r="M2409">
        <v>73.385999999999996</v>
      </c>
      <c r="N2409">
        <v>14.246</v>
      </c>
    </row>
    <row r="2410" spans="1:14" x14ac:dyDescent="0.45">
      <c r="A2410">
        <v>1992</v>
      </c>
      <c r="B2410" t="s">
        <v>64</v>
      </c>
      <c r="C2410">
        <v>0</v>
      </c>
      <c r="D2410">
        <v>0</v>
      </c>
      <c r="E2410">
        <v>0</v>
      </c>
      <c r="F2410">
        <v>0</v>
      </c>
      <c r="G2410">
        <v>0</v>
      </c>
      <c r="H2410">
        <v>1</v>
      </c>
      <c r="I2410">
        <v>1</v>
      </c>
      <c r="J2410">
        <v>35364.427745885303</v>
      </c>
      <c r="K2410">
        <v>30630.9553548724</v>
      </c>
      <c r="L2410">
        <v>14.715</v>
      </c>
      <c r="M2410">
        <v>77.472999999999999</v>
      </c>
      <c r="N2410">
        <v>8.4369999999999994</v>
      </c>
    </row>
    <row r="2411" spans="1:14" x14ac:dyDescent="0.45">
      <c r="A2411">
        <v>1992</v>
      </c>
      <c r="B2411" t="s">
        <v>65</v>
      </c>
      <c r="C2411">
        <v>1</v>
      </c>
      <c r="D2411">
        <v>0</v>
      </c>
      <c r="E2411">
        <v>0</v>
      </c>
      <c r="F2411">
        <v>0</v>
      </c>
      <c r="G2411">
        <v>0</v>
      </c>
      <c r="H2411">
        <v>1</v>
      </c>
      <c r="I2411">
        <v>1</v>
      </c>
      <c r="J2411">
        <v>44789.393080043497</v>
      </c>
      <c r="K2411">
        <v>38167.529183693303</v>
      </c>
      <c r="L2411">
        <v>37.582999999999998</v>
      </c>
      <c r="M2411">
        <v>75.992000000000004</v>
      </c>
      <c r="N2411">
        <v>9.0649999999999995</v>
      </c>
    </row>
    <row r="2412" spans="1:14" x14ac:dyDescent="0.45">
      <c r="A2412">
        <v>1992</v>
      </c>
      <c r="B2412" t="s">
        <v>66</v>
      </c>
      <c r="C2412">
        <v>1</v>
      </c>
      <c r="D2412">
        <v>0</v>
      </c>
      <c r="E2412">
        <v>0</v>
      </c>
      <c r="F2412">
        <v>1</v>
      </c>
      <c r="G2412">
        <v>0</v>
      </c>
      <c r="H2412">
        <v>0</v>
      </c>
      <c r="I2412">
        <v>0</v>
      </c>
      <c r="J2412">
        <v>8050.21624065796</v>
      </c>
      <c r="K2412">
        <v>5862.2669286565297</v>
      </c>
      <c r="L2412">
        <v>46.868000000000002</v>
      </c>
      <c r="M2412">
        <v>60.773000000000003</v>
      </c>
      <c r="N2412">
        <v>96.254000000000005</v>
      </c>
    </row>
    <row r="2413" spans="1:14" x14ac:dyDescent="0.45">
      <c r="A2413">
        <v>1992</v>
      </c>
      <c r="B2413" t="s">
        <v>67</v>
      </c>
      <c r="C2413">
        <v>0</v>
      </c>
      <c r="D2413">
        <v>0</v>
      </c>
      <c r="E2413">
        <v>1</v>
      </c>
      <c r="F2413">
        <v>0</v>
      </c>
      <c r="G2413">
        <v>0</v>
      </c>
      <c r="H2413">
        <v>0</v>
      </c>
      <c r="I2413">
        <v>0</v>
      </c>
      <c r="J2413">
        <v>1412.06054627098</v>
      </c>
      <c r="K2413">
        <v>1220.1660975858199</v>
      </c>
      <c r="L2413">
        <v>93.363</v>
      </c>
      <c r="M2413">
        <v>44.469000000000001</v>
      </c>
      <c r="N2413">
        <v>171.137</v>
      </c>
    </row>
    <row r="2414" spans="1:14" x14ac:dyDescent="0.45">
      <c r="A2414">
        <v>1992</v>
      </c>
      <c r="B2414" t="s">
        <v>68</v>
      </c>
      <c r="C2414">
        <v>1</v>
      </c>
      <c r="D2414">
        <v>0</v>
      </c>
      <c r="E2414">
        <v>0</v>
      </c>
      <c r="F2414">
        <v>0</v>
      </c>
      <c r="G2414">
        <v>0</v>
      </c>
      <c r="H2414">
        <v>1</v>
      </c>
      <c r="I2414">
        <v>1</v>
      </c>
      <c r="J2414">
        <v>42737.895557357399</v>
      </c>
      <c r="K2414">
        <v>35964.649691989202</v>
      </c>
      <c r="L2414">
        <v>3.4580000000000002</v>
      </c>
      <c r="M2414">
        <v>76.358000000000004</v>
      </c>
      <c r="N2414">
        <v>9.4649999999999999</v>
      </c>
    </row>
    <row r="2415" spans="1:14" x14ac:dyDescent="0.45">
      <c r="A2415">
        <v>1992</v>
      </c>
      <c r="B2415" t="s">
        <v>69</v>
      </c>
      <c r="C2415">
        <v>0</v>
      </c>
      <c r="D2415">
        <v>0</v>
      </c>
      <c r="E2415">
        <v>1</v>
      </c>
      <c r="F2415">
        <v>0</v>
      </c>
      <c r="G2415">
        <v>0</v>
      </c>
      <c r="H2415">
        <v>0</v>
      </c>
      <c r="I2415">
        <v>0</v>
      </c>
      <c r="J2415">
        <v>2226.5666600662498</v>
      </c>
      <c r="K2415">
        <v>2112.4593147681499</v>
      </c>
      <c r="L2415">
        <v>64.173000000000002</v>
      </c>
      <c r="M2415">
        <v>54.137</v>
      </c>
      <c r="N2415">
        <v>164.52799999999999</v>
      </c>
    </row>
    <row r="2416" spans="1:14" x14ac:dyDescent="0.45">
      <c r="A2416">
        <v>1992</v>
      </c>
      <c r="B2416" t="s">
        <v>70</v>
      </c>
      <c r="C2416">
        <v>0</v>
      </c>
      <c r="D2416">
        <v>0</v>
      </c>
      <c r="E2416">
        <v>1</v>
      </c>
      <c r="F2416">
        <v>0</v>
      </c>
      <c r="G2416">
        <v>0</v>
      </c>
      <c r="H2416">
        <v>0</v>
      </c>
      <c r="I2416">
        <v>0</v>
      </c>
      <c r="J2416">
        <v>1152.0447609509599</v>
      </c>
      <c r="K2416">
        <v>1054.0484774699801</v>
      </c>
      <c r="L2416">
        <v>85.67</v>
      </c>
      <c r="M2416">
        <v>49.378</v>
      </c>
      <c r="N2416">
        <v>198.226</v>
      </c>
    </row>
    <row r="2417" spans="1:14" x14ac:dyDescent="0.45">
      <c r="A2417">
        <v>1992</v>
      </c>
      <c r="B2417" t="s">
        <v>71</v>
      </c>
      <c r="C2417">
        <v>0</v>
      </c>
      <c r="D2417">
        <v>0</v>
      </c>
      <c r="E2417">
        <v>0</v>
      </c>
      <c r="F2417">
        <v>0</v>
      </c>
      <c r="G2417">
        <v>0</v>
      </c>
      <c r="H2417">
        <v>0</v>
      </c>
      <c r="I2417">
        <v>0</v>
      </c>
      <c r="J2417">
        <v>2174.3823286694301</v>
      </c>
      <c r="K2417">
        <v>1767.76101527162</v>
      </c>
      <c r="L2417">
        <v>79.39</v>
      </c>
      <c r="M2417">
        <v>56.591999999999999</v>
      </c>
      <c r="N2417">
        <v>132.39099999999999</v>
      </c>
    </row>
    <row r="2418" spans="1:14" x14ac:dyDescent="0.45">
      <c r="A2418">
        <v>1992</v>
      </c>
      <c r="B2418" t="s">
        <v>72</v>
      </c>
      <c r="C2418">
        <v>1</v>
      </c>
      <c r="D2418">
        <v>0</v>
      </c>
      <c r="E2418">
        <v>0</v>
      </c>
      <c r="F2418">
        <v>1</v>
      </c>
      <c r="G2418">
        <v>0</v>
      </c>
      <c r="H2418">
        <v>0</v>
      </c>
      <c r="I2418">
        <v>0</v>
      </c>
      <c r="J2418">
        <v>12960.3928884902</v>
      </c>
      <c r="K2418">
        <v>10754.527185342</v>
      </c>
      <c r="L2418">
        <v>32.944000000000003</v>
      </c>
      <c r="M2418">
        <v>71.177999999999997</v>
      </c>
      <c r="N2418">
        <v>19.692</v>
      </c>
    </row>
    <row r="2419" spans="1:14" x14ac:dyDescent="0.45">
      <c r="A2419">
        <v>1992</v>
      </c>
      <c r="B2419" t="s">
        <v>73</v>
      </c>
      <c r="C2419">
        <v>0</v>
      </c>
      <c r="D2419">
        <v>0</v>
      </c>
      <c r="E2419">
        <v>0</v>
      </c>
      <c r="F2419">
        <v>0</v>
      </c>
      <c r="G2419">
        <v>1</v>
      </c>
      <c r="H2419">
        <v>0</v>
      </c>
      <c r="I2419">
        <v>0</v>
      </c>
      <c r="J2419">
        <v>49511.947401962701</v>
      </c>
      <c r="K2419">
        <v>46133.363420328598</v>
      </c>
      <c r="L2419">
        <v>11.602</v>
      </c>
      <c r="M2419">
        <v>72.784999999999997</v>
      </c>
      <c r="N2419">
        <v>21.372</v>
      </c>
    </row>
    <row r="2420" spans="1:14" x14ac:dyDescent="0.45">
      <c r="A2420">
        <v>1992</v>
      </c>
      <c r="B2420" t="s">
        <v>74</v>
      </c>
      <c r="C2420">
        <v>0</v>
      </c>
      <c r="D2420">
        <v>1</v>
      </c>
      <c r="E2420">
        <v>0</v>
      </c>
      <c r="F2420">
        <v>0</v>
      </c>
      <c r="G2420">
        <v>0</v>
      </c>
      <c r="H2420">
        <v>1</v>
      </c>
      <c r="I2420">
        <v>1</v>
      </c>
      <c r="J2420">
        <v>29412.806624290999</v>
      </c>
      <c r="K2420">
        <v>30509.492086473601</v>
      </c>
      <c r="L2420">
        <v>19.707000000000001</v>
      </c>
      <c r="M2420">
        <v>71.298000000000002</v>
      </c>
      <c r="N2420">
        <v>21.562999999999999</v>
      </c>
    </row>
    <row r="2421" spans="1:14" x14ac:dyDescent="0.45">
      <c r="A2421">
        <v>1992</v>
      </c>
      <c r="B2421" t="s">
        <v>75</v>
      </c>
      <c r="C2421">
        <v>1</v>
      </c>
      <c r="D2421">
        <v>0</v>
      </c>
      <c r="E2421">
        <v>0</v>
      </c>
      <c r="F2421">
        <v>1</v>
      </c>
      <c r="G2421">
        <v>0</v>
      </c>
      <c r="H2421">
        <v>0</v>
      </c>
      <c r="I2421">
        <v>0</v>
      </c>
      <c r="J2421">
        <v>2150.1966116438398</v>
      </c>
      <c r="K2421">
        <v>1857.47162151617</v>
      </c>
      <c r="L2421">
        <v>60.113</v>
      </c>
      <c r="M2421">
        <v>51.966999999999999</v>
      </c>
      <c r="N2421">
        <v>60.805999999999997</v>
      </c>
    </row>
    <row r="2422" spans="1:14" x14ac:dyDescent="0.45">
      <c r="A2422">
        <v>1992</v>
      </c>
      <c r="B2422" t="s">
        <v>76</v>
      </c>
      <c r="C2422">
        <v>1</v>
      </c>
      <c r="D2422">
        <v>0</v>
      </c>
      <c r="E2422">
        <v>0</v>
      </c>
      <c r="F2422">
        <v>0</v>
      </c>
      <c r="G2422">
        <v>1</v>
      </c>
      <c r="H2422">
        <v>0</v>
      </c>
      <c r="I2422">
        <v>0</v>
      </c>
      <c r="J2422">
        <v>11002.6017579934</v>
      </c>
      <c r="K2422">
        <v>7943.8242074524596</v>
      </c>
      <c r="L2422">
        <v>33.234000000000002</v>
      </c>
      <c r="M2422">
        <v>70.119</v>
      </c>
      <c r="N2422">
        <v>15.486000000000001</v>
      </c>
    </row>
    <row r="2423" spans="1:14" x14ac:dyDescent="0.45">
      <c r="A2423">
        <v>1992</v>
      </c>
      <c r="B2423" t="s">
        <v>77</v>
      </c>
      <c r="C2423">
        <v>0</v>
      </c>
      <c r="D2423">
        <v>1</v>
      </c>
      <c r="E2423">
        <v>0</v>
      </c>
      <c r="F2423">
        <v>1</v>
      </c>
      <c r="G2423">
        <v>0</v>
      </c>
      <c r="H2423">
        <v>0</v>
      </c>
      <c r="I2423">
        <v>0</v>
      </c>
      <c r="J2423">
        <v>9957.9711028173206</v>
      </c>
      <c r="K2423">
        <v>7847.8090856632398</v>
      </c>
      <c r="L2423">
        <v>52.941000000000003</v>
      </c>
      <c r="M2423">
        <v>69.600999999999999</v>
      </c>
      <c r="N2423">
        <v>35.198999999999998</v>
      </c>
    </row>
    <row r="2424" spans="1:14" x14ac:dyDescent="0.45">
      <c r="A2424">
        <v>1992</v>
      </c>
      <c r="B2424" t="s">
        <v>78</v>
      </c>
      <c r="C2424">
        <v>0</v>
      </c>
      <c r="D2424">
        <v>0</v>
      </c>
      <c r="E2424">
        <v>0</v>
      </c>
      <c r="F2424">
        <v>0</v>
      </c>
      <c r="G2424">
        <v>0</v>
      </c>
      <c r="H2424">
        <v>1</v>
      </c>
      <c r="I2424">
        <v>1</v>
      </c>
      <c r="J2424">
        <v>75766.697104644496</v>
      </c>
      <c r="K2424">
        <v>67315.976582347503</v>
      </c>
      <c r="L2424">
        <v>0</v>
      </c>
      <c r="M2424">
        <v>74.445999999999998</v>
      </c>
      <c r="N2424">
        <v>9.1489999999999991</v>
      </c>
    </row>
    <row r="2425" spans="1:14" x14ac:dyDescent="0.45">
      <c r="A2425">
        <v>1992</v>
      </c>
      <c r="B2425" t="s">
        <v>79</v>
      </c>
      <c r="C2425">
        <v>0</v>
      </c>
      <c r="D2425">
        <v>1</v>
      </c>
      <c r="E2425">
        <v>0</v>
      </c>
      <c r="F2425">
        <v>1</v>
      </c>
      <c r="G2425">
        <v>0</v>
      </c>
      <c r="H2425">
        <v>0</v>
      </c>
      <c r="I2425">
        <v>0</v>
      </c>
      <c r="J2425">
        <v>5261.6616777073596</v>
      </c>
      <c r="K2425">
        <v>4643.6806328681896</v>
      </c>
      <c r="L2425">
        <v>42.459000000000003</v>
      </c>
      <c r="M2425">
        <v>57.923000000000002</v>
      </c>
      <c r="N2425">
        <v>142.68100000000001</v>
      </c>
    </row>
    <row r="2426" spans="1:14" x14ac:dyDescent="0.45">
      <c r="A2426">
        <v>1992</v>
      </c>
      <c r="B2426" t="s">
        <v>80</v>
      </c>
      <c r="C2426">
        <v>0</v>
      </c>
      <c r="D2426">
        <v>1</v>
      </c>
      <c r="E2426">
        <v>0</v>
      </c>
      <c r="F2426">
        <v>0</v>
      </c>
      <c r="G2426">
        <v>1</v>
      </c>
      <c r="H2426">
        <v>0</v>
      </c>
      <c r="I2426">
        <v>0</v>
      </c>
      <c r="J2426">
        <v>12271.9788478727</v>
      </c>
      <c r="K2426">
        <v>10080.315608491601</v>
      </c>
      <c r="L2426">
        <v>24.556000000000001</v>
      </c>
      <c r="M2426">
        <v>66.539000000000001</v>
      </c>
      <c r="N2426">
        <v>56.734999999999999</v>
      </c>
    </row>
    <row r="2427" spans="1:14" x14ac:dyDescent="0.45">
      <c r="A2427">
        <v>1992</v>
      </c>
      <c r="B2427" t="s">
        <v>81</v>
      </c>
      <c r="C2427">
        <v>0</v>
      </c>
      <c r="D2427">
        <v>1</v>
      </c>
      <c r="E2427">
        <v>0</v>
      </c>
      <c r="F2427">
        <v>0</v>
      </c>
      <c r="G2427">
        <v>1</v>
      </c>
      <c r="H2427">
        <v>0</v>
      </c>
      <c r="I2427">
        <v>0</v>
      </c>
      <c r="J2427">
        <v>15286.3563449945</v>
      </c>
      <c r="K2427">
        <v>14599.9923632266</v>
      </c>
      <c r="L2427">
        <v>63.356999999999999</v>
      </c>
      <c r="M2427">
        <v>73.61</v>
      </c>
      <c r="N2427">
        <v>16.658999999999999</v>
      </c>
    </row>
    <row r="2428" spans="1:14" x14ac:dyDescent="0.45">
      <c r="A2428">
        <v>1992</v>
      </c>
      <c r="B2428" t="s">
        <v>82</v>
      </c>
      <c r="C2428">
        <v>0</v>
      </c>
      <c r="D2428">
        <v>0</v>
      </c>
      <c r="E2428">
        <v>0</v>
      </c>
      <c r="F2428">
        <v>0</v>
      </c>
      <c r="G2428">
        <v>0</v>
      </c>
      <c r="H2428">
        <v>1</v>
      </c>
      <c r="I2428">
        <v>1</v>
      </c>
      <c r="J2428">
        <v>111457.220909813</v>
      </c>
      <c r="K2428">
        <v>87026.296718804093</v>
      </c>
      <c r="L2428">
        <v>32.921999999999997</v>
      </c>
      <c r="M2428">
        <v>72.09</v>
      </c>
      <c r="N2428">
        <v>12.884</v>
      </c>
    </row>
    <row r="2429" spans="1:14" x14ac:dyDescent="0.45">
      <c r="A2429">
        <v>1992</v>
      </c>
      <c r="B2429" t="s">
        <v>83</v>
      </c>
      <c r="C2429">
        <v>0</v>
      </c>
      <c r="D2429">
        <v>0</v>
      </c>
      <c r="E2429">
        <v>0</v>
      </c>
      <c r="F2429">
        <v>0</v>
      </c>
      <c r="G2429">
        <v>0</v>
      </c>
      <c r="H2429">
        <v>0</v>
      </c>
      <c r="I2429">
        <v>0</v>
      </c>
      <c r="J2429">
        <v>3624.5978150013598</v>
      </c>
      <c r="K2429">
        <v>3139.3600780265701</v>
      </c>
      <c r="L2429">
        <v>82.037999999999997</v>
      </c>
      <c r="M2429">
        <v>57.207999999999998</v>
      </c>
      <c r="N2429">
        <v>117.43600000000001</v>
      </c>
    </row>
    <row r="2430" spans="1:14" x14ac:dyDescent="0.45">
      <c r="A2430">
        <v>1992</v>
      </c>
      <c r="B2430" t="s">
        <v>84</v>
      </c>
      <c r="C2430">
        <v>0</v>
      </c>
      <c r="D2430">
        <v>0</v>
      </c>
      <c r="E2430">
        <v>1</v>
      </c>
      <c r="F2430">
        <v>0</v>
      </c>
      <c r="G2430">
        <v>1</v>
      </c>
      <c r="H2430">
        <v>0</v>
      </c>
      <c r="I2430">
        <v>0</v>
      </c>
      <c r="J2430">
        <v>11008.6810204266</v>
      </c>
      <c r="K2430">
        <v>9960.5052541759505</v>
      </c>
      <c r="L2430">
        <v>53.557000000000002</v>
      </c>
      <c r="M2430">
        <v>58.19</v>
      </c>
      <c r="N2430">
        <v>56.651000000000003</v>
      </c>
    </row>
    <row r="2431" spans="1:14" x14ac:dyDescent="0.45">
      <c r="A2431">
        <v>1992</v>
      </c>
      <c r="B2431" t="s">
        <v>85</v>
      </c>
      <c r="C2431">
        <v>0</v>
      </c>
      <c r="D2431">
        <v>0</v>
      </c>
      <c r="E2431">
        <v>1</v>
      </c>
      <c r="F2431">
        <v>0</v>
      </c>
      <c r="G2431">
        <v>0</v>
      </c>
      <c r="H2431">
        <v>0</v>
      </c>
      <c r="I2431">
        <v>0</v>
      </c>
      <c r="J2431">
        <v>1294.2025472576699</v>
      </c>
      <c r="K2431">
        <v>1036.20368846519</v>
      </c>
      <c r="L2431">
        <v>63.012999999999998</v>
      </c>
      <c r="M2431">
        <v>49.213000000000001</v>
      </c>
      <c r="N2431">
        <v>175.49700000000001</v>
      </c>
    </row>
    <row r="2432" spans="1:14" x14ac:dyDescent="0.45">
      <c r="A2432">
        <v>1992</v>
      </c>
      <c r="B2432" t="s">
        <v>86</v>
      </c>
      <c r="C2432">
        <v>0</v>
      </c>
      <c r="D2432">
        <v>0</v>
      </c>
      <c r="E2432">
        <v>0</v>
      </c>
      <c r="F2432">
        <v>0</v>
      </c>
      <c r="G2432">
        <v>0</v>
      </c>
      <c r="H2432">
        <v>1</v>
      </c>
      <c r="I2432">
        <v>1</v>
      </c>
      <c r="J2432">
        <v>39023.182197814996</v>
      </c>
      <c r="K2432">
        <v>33779.113340812699</v>
      </c>
      <c r="L2432">
        <v>23.113</v>
      </c>
      <c r="M2432">
        <v>77.852999999999994</v>
      </c>
      <c r="N2432">
        <v>7.2210000000000001</v>
      </c>
    </row>
    <row r="2433" spans="1:14" x14ac:dyDescent="0.45">
      <c r="A2433">
        <v>1992</v>
      </c>
      <c r="B2433" t="s">
        <v>87</v>
      </c>
      <c r="C2433">
        <v>1</v>
      </c>
      <c r="D2433">
        <v>0</v>
      </c>
      <c r="E2433">
        <v>0</v>
      </c>
      <c r="F2433">
        <v>0</v>
      </c>
      <c r="G2433">
        <v>0</v>
      </c>
      <c r="H2433">
        <v>1</v>
      </c>
      <c r="I2433">
        <v>1</v>
      </c>
      <c r="J2433">
        <v>61922.890844433299</v>
      </c>
      <c r="K2433">
        <v>53870.865482845897</v>
      </c>
      <c r="L2433">
        <v>26.184999999999999</v>
      </c>
      <c r="M2433">
        <v>77.944000000000003</v>
      </c>
      <c r="N2433">
        <v>7.7039999999999997</v>
      </c>
    </row>
    <row r="2434" spans="1:14" x14ac:dyDescent="0.45">
      <c r="A2434">
        <v>1992</v>
      </c>
      <c r="B2434" t="s">
        <v>88</v>
      </c>
      <c r="C2434">
        <v>1</v>
      </c>
      <c r="D2434">
        <v>0</v>
      </c>
      <c r="E2434">
        <v>0</v>
      </c>
      <c r="F2434">
        <v>0</v>
      </c>
      <c r="G2434">
        <v>0</v>
      </c>
      <c r="H2434">
        <v>1</v>
      </c>
      <c r="I2434">
        <v>1</v>
      </c>
      <c r="L2434">
        <v>68.924000000000007</v>
      </c>
      <c r="M2434">
        <v>77.078317591703296</v>
      </c>
      <c r="N2434">
        <v>14.0907062452931</v>
      </c>
    </row>
    <row r="2435" spans="1:14" x14ac:dyDescent="0.45">
      <c r="A2435">
        <v>1992</v>
      </c>
      <c r="B2435" t="s">
        <v>89</v>
      </c>
      <c r="C2435">
        <v>0</v>
      </c>
      <c r="D2435">
        <v>1</v>
      </c>
      <c r="E2435">
        <v>0</v>
      </c>
      <c r="F2435">
        <v>1</v>
      </c>
      <c r="G2435">
        <v>0</v>
      </c>
      <c r="H2435">
        <v>0</v>
      </c>
      <c r="I2435">
        <v>0</v>
      </c>
      <c r="J2435">
        <v>12735.601333340601</v>
      </c>
      <c r="K2435">
        <v>11093.752405703701</v>
      </c>
      <c r="L2435">
        <v>16.436</v>
      </c>
      <c r="M2435">
        <v>74.367000000000004</v>
      </c>
      <c r="N2435">
        <v>16.777000000000001</v>
      </c>
    </row>
    <row r="2436" spans="1:14" x14ac:dyDescent="0.45">
      <c r="A2436">
        <v>1992</v>
      </c>
      <c r="B2436" t="s">
        <v>90</v>
      </c>
      <c r="C2436">
        <v>0</v>
      </c>
      <c r="D2436">
        <v>0</v>
      </c>
      <c r="E2436">
        <v>0</v>
      </c>
      <c r="F2436">
        <v>0</v>
      </c>
      <c r="G2436">
        <v>0</v>
      </c>
      <c r="H2436">
        <v>0</v>
      </c>
      <c r="I2436">
        <v>0</v>
      </c>
      <c r="J2436">
        <v>2030.3863699933199</v>
      </c>
      <c r="K2436">
        <v>1820.10991397676</v>
      </c>
      <c r="L2436">
        <v>71.8</v>
      </c>
      <c r="M2436">
        <v>69.058999999999997</v>
      </c>
      <c r="N2436">
        <v>50.994</v>
      </c>
    </row>
    <row r="2437" spans="1:14" x14ac:dyDescent="0.45">
      <c r="A2437">
        <v>1992</v>
      </c>
      <c r="B2437" t="s">
        <v>91</v>
      </c>
      <c r="C2437">
        <v>0</v>
      </c>
      <c r="D2437">
        <v>0</v>
      </c>
      <c r="E2437">
        <v>1</v>
      </c>
      <c r="F2437">
        <v>1</v>
      </c>
      <c r="G2437">
        <v>0</v>
      </c>
      <c r="H2437">
        <v>0</v>
      </c>
      <c r="I2437">
        <v>0</v>
      </c>
      <c r="J2437">
        <v>4843.29349256353</v>
      </c>
      <c r="K2437">
        <v>4088.4529906606499</v>
      </c>
      <c r="L2437">
        <v>59.911999999999999</v>
      </c>
      <c r="M2437">
        <v>52.429000000000002</v>
      </c>
      <c r="N2437">
        <v>152.821</v>
      </c>
    </row>
    <row r="2438" spans="1:14" x14ac:dyDescent="0.45">
      <c r="A2438">
        <v>1992</v>
      </c>
      <c r="B2438" t="s">
        <v>92</v>
      </c>
      <c r="C2438">
        <v>0</v>
      </c>
      <c r="D2438">
        <v>0</v>
      </c>
      <c r="E2438">
        <v>1</v>
      </c>
      <c r="F2438">
        <v>1</v>
      </c>
      <c r="G2438">
        <v>0</v>
      </c>
      <c r="H2438">
        <v>0</v>
      </c>
      <c r="I2438">
        <v>0</v>
      </c>
      <c r="J2438">
        <v>3974.2775950119599</v>
      </c>
      <c r="K2438">
        <v>3120.6527039512098</v>
      </c>
      <c r="L2438">
        <v>59.183</v>
      </c>
      <c r="M2438">
        <v>54.052999999999997</v>
      </c>
      <c r="N2438">
        <v>140.83600000000001</v>
      </c>
    </row>
    <row r="2439" spans="1:14" x14ac:dyDescent="0.45">
      <c r="A2439">
        <v>1992</v>
      </c>
      <c r="B2439" t="s">
        <v>93</v>
      </c>
      <c r="C2439">
        <v>0</v>
      </c>
      <c r="D2439">
        <v>0</v>
      </c>
      <c r="E2439">
        <v>1</v>
      </c>
      <c r="F2439">
        <v>0</v>
      </c>
      <c r="G2439">
        <v>0</v>
      </c>
      <c r="H2439">
        <v>0</v>
      </c>
      <c r="I2439">
        <v>0</v>
      </c>
      <c r="J2439">
        <v>1664.7536518684501</v>
      </c>
      <c r="K2439">
        <v>1332.74270073148</v>
      </c>
      <c r="L2439">
        <v>68.494</v>
      </c>
      <c r="M2439">
        <v>49.323</v>
      </c>
      <c r="N2439">
        <v>181.16200000000001</v>
      </c>
    </row>
    <row r="2440" spans="1:14" x14ac:dyDescent="0.45">
      <c r="A2440">
        <v>1992</v>
      </c>
      <c r="B2440" t="s">
        <v>94</v>
      </c>
      <c r="C2440">
        <v>0</v>
      </c>
      <c r="D2440">
        <v>0</v>
      </c>
      <c r="E2440">
        <v>1</v>
      </c>
      <c r="F2440">
        <v>1</v>
      </c>
      <c r="G2440">
        <v>0</v>
      </c>
      <c r="H2440">
        <v>0</v>
      </c>
      <c r="I2440">
        <v>0</v>
      </c>
      <c r="J2440">
        <v>8636.6371920992297</v>
      </c>
      <c r="K2440">
        <v>5206.5553761545498</v>
      </c>
      <c r="L2440">
        <v>44.838000000000001</v>
      </c>
      <c r="M2440">
        <v>56.482999999999997</v>
      </c>
      <c r="N2440">
        <v>95.786000000000001</v>
      </c>
    </row>
    <row r="2441" spans="1:14" x14ac:dyDescent="0.45">
      <c r="A2441">
        <v>1992</v>
      </c>
      <c r="B2441" t="s">
        <v>95</v>
      </c>
      <c r="C2441">
        <v>0</v>
      </c>
      <c r="D2441">
        <v>1</v>
      </c>
      <c r="E2441">
        <v>0</v>
      </c>
      <c r="F2441">
        <v>1</v>
      </c>
      <c r="G2441">
        <v>0</v>
      </c>
      <c r="H2441">
        <v>0</v>
      </c>
      <c r="I2441">
        <v>0</v>
      </c>
      <c r="J2441">
        <v>10196.4329707468</v>
      </c>
      <c r="K2441">
        <v>8489.6468018341893</v>
      </c>
      <c r="L2441">
        <v>29.585000000000001</v>
      </c>
      <c r="M2441">
        <v>68.763999999999996</v>
      </c>
      <c r="N2441">
        <v>33.335999999999999</v>
      </c>
    </row>
    <row r="2442" spans="1:14" x14ac:dyDescent="0.45">
      <c r="A2442">
        <v>1992</v>
      </c>
      <c r="B2442" t="s">
        <v>96</v>
      </c>
      <c r="C2442">
        <v>0</v>
      </c>
      <c r="D2442">
        <v>0</v>
      </c>
      <c r="E2442">
        <v>1</v>
      </c>
      <c r="F2442">
        <v>0</v>
      </c>
      <c r="G2442">
        <v>0</v>
      </c>
      <c r="H2442">
        <v>0</v>
      </c>
      <c r="I2442">
        <v>0</v>
      </c>
      <c r="J2442">
        <v>2336.8348007456302</v>
      </c>
      <c r="K2442">
        <v>2416.5854138800401</v>
      </c>
      <c r="L2442">
        <v>71.564999999999998</v>
      </c>
      <c r="M2442">
        <v>56.576000000000001</v>
      </c>
      <c r="N2442">
        <v>118.78</v>
      </c>
    </row>
    <row r="2443" spans="1:14" x14ac:dyDescent="0.45">
      <c r="A2443">
        <v>1992</v>
      </c>
      <c r="B2443" t="s">
        <v>97</v>
      </c>
      <c r="C2443">
        <v>0</v>
      </c>
      <c r="D2443">
        <v>0</v>
      </c>
      <c r="E2443">
        <v>1</v>
      </c>
      <c r="F2443">
        <v>1</v>
      </c>
      <c r="G2443">
        <v>0</v>
      </c>
      <c r="H2443">
        <v>0</v>
      </c>
      <c r="I2443">
        <v>0</v>
      </c>
      <c r="J2443">
        <v>1984.6806299883499</v>
      </c>
      <c r="K2443">
        <v>1912.6647199435099</v>
      </c>
      <c r="L2443">
        <v>54.027000000000001</v>
      </c>
      <c r="M2443">
        <v>64.253</v>
      </c>
      <c r="N2443">
        <v>56.276000000000003</v>
      </c>
    </row>
    <row r="2444" spans="1:14" x14ac:dyDescent="0.45">
      <c r="A2444">
        <v>1992</v>
      </c>
      <c r="B2444" t="s">
        <v>98</v>
      </c>
      <c r="C2444">
        <v>0</v>
      </c>
      <c r="D2444">
        <v>1</v>
      </c>
      <c r="E2444">
        <v>0</v>
      </c>
      <c r="F2444">
        <v>1</v>
      </c>
      <c r="G2444">
        <v>0</v>
      </c>
      <c r="H2444">
        <v>0</v>
      </c>
      <c r="I2444">
        <v>0</v>
      </c>
      <c r="J2444">
        <v>11626.836127437</v>
      </c>
      <c r="K2444">
        <v>10410.1393732831</v>
      </c>
      <c r="L2444">
        <v>48.167999999999999</v>
      </c>
      <c r="M2444">
        <v>76.385000000000005</v>
      </c>
      <c r="N2444">
        <v>15.972</v>
      </c>
    </row>
    <row r="2445" spans="1:14" x14ac:dyDescent="0.45">
      <c r="A2445">
        <v>1992</v>
      </c>
      <c r="B2445" t="s">
        <v>99</v>
      </c>
      <c r="C2445">
        <v>0</v>
      </c>
      <c r="D2445">
        <v>1</v>
      </c>
      <c r="E2445">
        <v>0</v>
      </c>
      <c r="F2445">
        <v>1</v>
      </c>
      <c r="G2445">
        <v>0</v>
      </c>
      <c r="H2445">
        <v>0</v>
      </c>
      <c r="I2445">
        <v>0</v>
      </c>
      <c r="L2445">
        <v>26.172999999999998</v>
      </c>
      <c r="M2445">
        <v>73.846000000000004</v>
      </c>
      <c r="N2445">
        <v>12.279</v>
      </c>
    </row>
    <row r="2446" spans="1:14" x14ac:dyDescent="0.45">
      <c r="A2446">
        <v>1992</v>
      </c>
      <c r="B2446" t="s">
        <v>100</v>
      </c>
      <c r="C2446">
        <v>0</v>
      </c>
      <c r="D2446">
        <v>1</v>
      </c>
      <c r="E2446">
        <v>0</v>
      </c>
      <c r="F2446">
        <v>0</v>
      </c>
      <c r="G2446">
        <v>0</v>
      </c>
      <c r="H2446">
        <v>1</v>
      </c>
      <c r="I2446">
        <v>1</v>
      </c>
      <c r="L2446">
        <v>14.555999999999999</v>
      </c>
      <c r="M2446">
        <v>72.650000000000006</v>
      </c>
      <c r="N2446">
        <v>18.225999999999999</v>
      </c>
    </row>
    <row r="2447" spans="1:14" x14ac:dyDescent="0.45">
      <c r="A2447">
        <v>1992</v>
      </c>
      <c r="B2447" t="s">
        <v>101</v>
      </c>
      <c r="C2447">
        <v>0</v>
      </c>
      <c r="D2447">
        <v>1</v>
      </c>
      <c r="E2447">
        <v>0</v>
      </c>
      <c r="F2447">
        <v>0</v>
      </c>
      <c r="G2447">
        <v>0</v>
      </c>
      <c r="H2447">
        <v>1</v>
      </c>
      <c r="I2447">
        <v>1</v>
      </c>
      <c r="L2447">
        <v>0</v>
      </c>
      <c r="M2447">
        <v>73.087999999999994</v>
      </c>
      <c r="N2447">
        <v>8.8819999999999997</v>
      </c>
    </row>
    <row r="2448" spans="1:14" x14ac:dyDescent="0.45">
      <c r="A2448">
        <v>1992</v>
      </c>
      <c r="B2448" t="s">
        <v>102</v>
      </c>
      <c r="C2448">
        <v>1</v>
      </c>
      <c r="D2448">
        <v>0</v>
      </c>
      <c r="E2448">
        <v>0</v>
      </c>
      <c r="F2448">
        <v>0</v>
      </c>
      <c r="G2448">
        <v>0</v>
      </c>
      <c r="H2448">
        <v>1</v>
      </c>
      <c r="I2448">
        <v>1</v>
      </c>
      <c r="J2448">
        <v>28932.646484375</v>
      </c>
      <c r="K2448">
        <v>25774.421064659698</v>
      </c>
      <c r="L2448">
        <v>32.402000000000001</v>
      </c>
      <c r="M2448">
        <v>76.290999999999997</v>
      </c>
      <c r="N2448">
        <v>10.238</v>
      </c>
    </row>
    <row r="2449" spans="1:14" x14ac:dyDescent="0.45">
      <c r="A2449">
        <v>1992</v>
      </c>
      <c r="B2449" t="s">
        <v>103</v>
      </c>
      <c r="C2449">
        <v>1</v>
      </c>
      <c r="D2449">
        <v>0</v>
      </c>
      <c r="E2449">
        <v>0</v>
      </c>
      <c r="F2449">
        <v>1</v>
      </c>
      <c r="G2449">
        <v>0</v>
      </c>
      <c r="H2449">
        <v>0</v>
      </c>
      <c r="I2449">
        <v>0</v>
      </c>
      <c r="J2449">
        <v>24584.329962605101</v>
      </c>
      <c r="K2449">
        <v>20468.975644463299</v>
      </c>
      <c r="L2449">
        <v>24.97</v>
      </c>
      <c r="M2449">
        <v>72.33</v>
      </c>
      <c r="N2449">
        <v>11.316000000000001</v>
      </c>
    </row>
    <row r="2450" spans="1:14" x14ac:dyDescent="0.45">
      <c r="A2450">
        <v>1992</v>
      </c>
      <c r="B2450" t="s">
        <v>104</v>
      </c>
      <c r="C2450">
        <v>1</v>
      </c>
      <c r="D2450">
        <v>0</v>
      </c>
      <c r="E2450">
        <v>0</v>
      </c>
      <c r="F2450">
        <v>0</v>
      </c>
      <c r="G2450">
        <v>0</v>
      </c>
      <c r="H2450">
        <v>1</v>
      </c>
      <c r="I2450">
        <v>1</v>
      </c>
      <c r="J2450">
        <v>44763.662765545203</v>
      </c>
      <c r="K2450">
        <v>38812.4292841813</v>
      </c>
      <c r="L2450">
        <v>26.64</v>
      </c>
      <c r="M2450">
        <v>76.004000000000005</v>
      </c>
      <c r="N2450">
        <v>7.4459999999999997</v>
      </c>
    </row>
    <row r="2451" spans="1:14" x14ac:dyDescent="0.45">
      <c r="A2451">
        <v>1992</v>
      </c>
      <c r="B2451" t="s">
        <v>105</v>
      </c>
      <c r="C2451">
        <v>0</v>
      </c>
      <c r="D2451">
        <v>0</v>
      </c>
      <c r="E2451">
        <v>0</v>
      </c>
      <c r="F2451">
        <v>1</v>
      </c>
      <c r="G2451">
        <v>0</v>
      </c>
      <c r="H2451">
        <v>0</v>
      </c>
      <c r="I2451">
        <v>0</v>
      </c>
      <c r="J2451">
        <v>4919.2841561437299</v>
      </c>
      <c r="K2451">
        <v>4243.1327067543298</v>
      </c>
      <c r="L2451">
        <v>23.838999999999999</v>
      </c>
      <c r="M2451">
        <v>54.375</v>
      </c>
      <c r="N2451">
        <v>113.32</v>
      </c>
    </row>
    <row r="2452" spans="1:14" x14ac:dyDescent="0.45">
      <c r="A2452">
        <v>1992</v>
      </c>
      <c r="B2452" t="s">
        <v>106</v>
      </c>
      <c r="C2452">
        <v>0</v>
      </c>
      <c r="D2452">
        <v>1</v>
      </c>
      <c r="E2452">
        <v>0</v>
      </c>
      <c r="F2452">
        <v>1</v>
      </c>
      <c r="G2452">
        <v>0</v>
      </c>
      <c r="H2452">
        <v>0</v>
      </c>
      <c r="I2452">
        <v>0</v>
      </c>
      <c r="J2452">
        <v>11747.612089319</v>
      </c>
      <c r="K2452">
        <v>9142.3245421637403</v>
      </c>
      <c r="L2452">
        <v>35.430999999999997</v>
      </c>
      <c r="M2452">
        <v>70.472999999999999</v>
      </c>
      <c r="N2452">
        <v>16.856999999999999</v>
      </c>
    </row>
    <row r="2453" spans="1:14" x14ac:dyDescent="0.45">
      <c r="A2453">
        <v>1992</v>
      </c>
      <c r="B2453" t="s">
        <v>107</v>
      </c>
      <c r="C2453">
        <v>1</v>
      </c>
      <c r="D2453">
        <v>0</v>
      </c>
      <c r="E2453">
        <v>0</v>
      </c>
      <c r="F2453">
        <v>0</v>
      </c>
      <c r="G2453">
        <v>0</v>
      </c>
      <c r="H2453">
        <v>1</v>
      </c>
      <c r="I2453">
        <v>1</v>
      </c>
      <c r="J2453">
        <v>47150.523675283301</v>
      </c>
      <c r="K2453">
        <v>39849.127808217403</v>
      </c>
      <c r="L2453">
        <v>15.102</v>
      </c>
      <c r="M2453">
        <v>75.269000000000005</v>
      </c>
      <c r="N2453">
        <v>8.0239999999999991</v>
      </c>
    </row>
    <row r="2454" spans="1:14" x14ac:dyDescent="0.45">
      <c r="A2454">
        <v>1992</v>
      </c>
      <c r="B2454" t="s">
        <v>108</v>
      </c>
      <c r="C2454">
        <v>0</v>
      </c>
      <c r="D2454">
        <v>1</v>
      </c>
      <c r="E2454">
        <v>0</v>
      </c>
      <c r="F2454">
        <v>1</v>
      </c>
      <c r="G2454">
        <v>0</v>
      </c>
      <c r="H2454">
        <v>0</v>
      </c>
      <c r="I2454">
        <v>0</v>
      </c>
      <c r="J2454">
        <v>7900.7680926586499</v>
      </c>
      <c r="K2454">
        <v>6824.88097298911</v>
      </c>
      <c r="L2454">
        <v>44.232999999999997</v>
      </c>
      <c r="M2454">
        <v>68.525000000000006</v>
      </c>
      <c r="N2454">
        <v>56.581000000000003</v>
      </c>
    </row>
    <row r="2455" spans="1:14" x14ac:dyDescent="0.45">
      <c r="A2455">
        <v>1992</v>
      </c>
      <c r="B2455" t="s">
        <v>109</v>
      </c>
      <c r="C2455">
        <v>0</v>
      </c>
      <c r="D2455">
        <v>0</v>
      </c>
      <c r="E2455">
        <v>0</v>
      </c>
      <c r="F2455">
        <v>1</v>
      </c>
      <c r="G2455">
        <v>0</v>
      </c>
      <c r="H2455">
        <v>0</v>
      </c>
      <c r="I2455">
        <v>0</v>
      </c>
      <c r="J2455">
        <v>11241.4154173757</v>
      </c>
      <c r="K2455">
        <v>9832.1255125274492</v>
      </c>
      <c r="L2455">
        <v>46.343000000000004</v>
      </c>
      <c r="M2455">
        <v>67.724999999999994</v>
      </c>
      <c r="N2455">
        <v>49.982999999999997</v>
      </c>
    </row>
    <row r="2456" spans="1:14" x14ac:dyDescent="0.45">
      <c r="A2456">
        <v>1992</v>
      </c>
      <c r="B2456" t="s">
        <v>110</v>
      </c>
      <c r="C2456">
        <v>0</v>
      </c>
      <c r="D2456">
        <v>1</v>
      </c>
      <c r="E2456">
        <v>0</v>
      </c>
      <c r="F2456">
        <v>1</v>
      </c>
      <c r="G2456">
        <v>0</v>
      </c>
      <c r="H2456">
        <v>0</v>
      </c>
      <c r="I2456">
        <v>0</v>
      </c>
      <c r="J2456">
        <v>9291.3710483041996</v>
      </c>
      <c r="K2456">
        <v>7728.0772072089703</v>
      </c>
      <c r="L2456">
        <v>43.774000000000001</v>
      </c>
      <c r="M2456">
        <v>69.468000000000004</v>
      </c>
      <c r="N2456">
        <v>48.478999999999999</v>
      </c>
    </row>
    <row r="2457" spans="1:14" x14ac:dyDescent="0.45">
      <c r="A2457">
        <v>1992</v>
      </c>
      <c r="B2457" t="s">
        <v>111</v>
      </c>
      <c r="C2457">
        <v>0</v>
      </c>
      <c r="D2457">
        <v>0</v>
      </c>
      <c r="E2457">
        <v>0</v>
      </c>
      <c r="F2457">
        <v>0</v>
      </c>
      <c r="G2457">
        <v>0</v>
      </c>
      <c r="H2457">
        <v>0</v>
      </c>
      <c r="I2457">
        <v>0</v>
      </c>
      <c r="J2457">
        <v>8034.5623012582701</v>
      </c>
      <c r="K2457">
        <v>6376.0932709379704</v>
      </c>
      <c r="L2457">
        <v>56.787999999999997</v>
      </c>
      <c r="M2457">
        <v>63.585000000000001</v>
      </c>
      <c r="N2457">
        <v>76.903999999999996</v>
      </c>
    </row>
    <row r="2458" spans="1:14" x14ac:dyDescent="0.45">
      <c r="A2458">
        <v>1992</v>
      </c>
      <c r="B2458" t="s">
        <v>112</v>
      </c>
      <c r="C2458">
        <v>0</v>
      </c>
      <c r="D2458">
        <v>0</v>
      </c>
      <c r="E2458">
        <v>1</v>
      </c>
      <c r="F2458">
        <v>0</v>
      </c>
      <c r="G2458">
        <v>0</v>
      </c>
      <c r="H2458">
        <v>0</v>
      </c>
      <c r="I2458">
        <v>0</v>
      </c>
      <c r="L2458">
        <v>79.706000000000003</v>
      </c>
      <c r="M2458">
        <v>52.436</v>
      </c>
      <c r="N2458">
        <v>137.09899999999999</v>
      </c>
    </row>
    <row r="2459" spans="1:14" x14ac:dyDescent="0.45">
      <c r="A2459">
        <v>1992</v>
      </c>
      <c r="B2459" t="s">
        <v>113</v>
      </c>
      <c r="C2459">
        <v>1</v>
      </c>
      <c r="D2459">
        <v>0</v>
      </c>
      <c r="E2459">
        <v>0</v>
      </c>
      <c r="F2459">
        <v>0</v>
      </c>
      <c r="G2459">
        <v>0</v>
      </c>
      <c r="H2459">
        <v>1</v>
      </c>
      <c r="I2459">
        <v>1</v>
      </c>
      <c r="J2459">
        <v>32641.082719935999</v>
      </c>
      <c r="K2459">
        <v>28725.020919376198</v>
      </c>
      <c r="L2459">
        <v>24.39</v>
      </c>
      <c r="M2459">
        <v>77.588999999999999</v>
      </c>
      <c r="N2459">
        <v>8.6189999999999998</v>
      </c>
    </row>
    <row r="2460" spans="1:14" x14ac:dyDescent="0.45">
      <c r="A2460">
        <v>1992</v>
      </c>
      <c r="B2460" t="s">
        <v>114</v>
      </c>
      <c r="C2460">
        <v>1</v>
      </c>
      <c r="D2460">
        <v>0</v>
      </c>
      <c r="E2460">
        <v>0</v>
      </c>
      <c r="F2460">
        <v>0</v>
      </c>
      <c r="G2460">
        <v>1</v>
      </c>
      <c r="H2460">
        <v>0</v>
      </c>
      <c r="I2460">
        <v>0</v>
      </c>
      <c r="J2460">
        <v>14371.318893895401</v>
      </c>
      <c r="K2460">
        <v>12192.7113830746</v>
      </c>
      <c r="L2460">
        <v>29.14</v>
      </c>
      <c r="M2460">
        <v>69.159000000000006</v>
      </c>
      <c r="N2460">
        <v>19.488</v>
      </c>
    </row>
    <row r="2461" spans="1:14" x14ac:dyDescent="0.45">
      <c r="A2461">
        <v>1992</v>
      </c>
      <c r="B2461" t="s">
        <v>115</v>
      </c>
      <c r="C2461">
        <v>0</v>
      </c>
      <c r="D2461">
        <v>0</v>
      </c>
      <c r="E2461">
        <v>1</v>
      </c>
      <c r="F2461">
        <v>0</v>
      </c>
      <c r="G2461">
        <v>0</v>
      </c>
      <c r="H2461">
        <v>0</v>
      </c>
      <c r="I2461">
        <v>0</v>
      </c>
      <c r="J2461">
        <v>680.83476684779805</v>
      </c>
      <c r="K2461">
        <v>614.03834217052099</v>
      </c>
      <c r="L2461">
        <v>86.884</v>
      </c>
      <c r="M2461">
        <v>47.279000000000003</v>
      </c>
      <c r="N2461">
        <v>191.238</v>
      </c>
    </row>
    <row r="2462" spans="1:14" x14ac:dyDescent="0.45">
      <c r="A2462">
        <v>1992</v>
      </c>
      <c r="B2462" t="s">
        <v>116</v>
      </c>
      <c r="C2462">
        <v>1</v>
      </c>
      <c r="D2462">
        <v>0</v>
      </c>
      <c r="E2462">
        <v>0</v>
      </c>
      <c r="F2462">
        <v>0</v>
      </c>
      <c r="G2462">
        <v>0</v>
      </c>
      <c r="H2462">
        <v>1</v>
      </c>
      <c r="I2462">
        <v>1</v>
      </c>
      <c r="J2462">
        <v>34926.383359134103</v>
      </c>
      <c r="K2462">
        <v>29362.010170392201</v>
      </c>
      <c r="L2462">
        <v>19.872</v>
      </c>
      <c r="M2462">
        <v>75.647000000000006</v>
      </c>
      <c r="N2462">
        <v>5.9029999999999996</v>
      </c>
    </row>
    <row r="2463" spans="1:14" x14ac:dyDescent="0.45">
      <c r="A2463">
        <v>1992</v>
      </c>
      <c r="B2463" t="s">
        <v>117</v>
      </c>
      <c r="C2463">
        <v>0</v>
      </c>
      <c r="D2463">
        <v>0</v>
      </c>
      <c r="E2463">
        <v>0</v>
      </c>
      <c r="F2463">
        <v>1</v>
      </c>
      <c r="G2463">
        <v>0</v>
      </c>
      <c r="H2463">
        <v>0</v>
      </c>
      <c r="I2463">
        <v>0</v>
      </c>
      <c r="J2463">
        <v>8261.3038537602006</v>
      </c>
      <c r="K2463">
        <v>8090.3171515428403</v>
      </c>
      <c r="L2463">
        <v>56.844000000000001</v>
      </c>
      <c r="M2463">
        <v>65.406999999999996</v>
      </c>
      <c r="N2463">
        <v>27.085999999999999</v>
      </c>
    </row>
    <row r="2464" spans="1:14" x14ac:dyDescent="0.45">
      <c r="A2464">
        <v>1992</v>
      </c>
      <c r="B2464" t="s">
        <v>118</v>
      </c>
      <c r="C2464">
        <v>1</v>
      </c>
      <c r="D2464">
        <v>0</v>
      </c>
      <c r="E2464">
        <v>0</v>
      </c>
      <c r="F2464">
        <v>0</v>
      </c>
      <c r="G2464">
        <v>0</v>
      </c>
      <c r="H2464">
        <v>1</v>
      </c>
      <c r="I2464">
        <v>1</v>
      </c>
      <c r="J2464">
        <v>39331.904192071801</v>
      </c>
      <c r="K2464">
        <v>32838.1591319242</v>
      </c>
      <c r="L2464">
        <v>25.599</v>
      </c>
      <c r="M2464">
        <v>77.296999999999997</v>
      </c>
      <c r="N2464">
        <v>8.1630000000000003</v>
      </c>
    </row>
    <row r="2465" spans="1:14" x14ac:dyDescent="0.45">
      <c r="A2465">
        <v>1992</v>
      </c>
      <c r="B2465" t="s">
        <v>119</v>
      </c>
      <c r="C2465">
        <v>1</v>
      </c>
      <c r="D2465">
        <v>0</v>
      </c>
      <c r="E2465">
        <v>0</v>
      </c>
      <c r="F2465">
        <v>0</v>
      </c>
      <c r="G2465">
        <v>0</v>
      </c>
      <c r="H2465">
        <v>1</v>
      </c>
      <c r="I2465">
        <v>1</v>
      </c>
      <c r="L2465">
        <v>68.128</v>
      </c>
      <c r="M2465">
        <v>77.266999999999996</v>
      </c>
      <c r="N2465">
        <v>11</v>
      </c>
    </row>
    <row r="2466" spans="1:14" x14ac:dyDescent="0.45">
      <c r="A2466">
        <v>1992</v>
      </c>
      <c r="B2466" t="s">
        <v>120</v>
      </c>
      <c r="C2466">
        <v>0</v>
      </c>
      <c r="D2466">
        <v>0</v>
      </c>
      <c r="E2466">
        <v>0</v>
      </c>
      <c r="F2466">
        <v>1</v>
      </c>
      <c r="G2466">
        <v>0</v>
      </c>
      <c r="H2466">
        <v>0</v>
      </c>
      <c r="I2466">
        <v>0</v>
      </c>
      <c r="J2466">
        <v>3373.9823084695699</v>
      </c>
      <c r="K2466">
        <v>3053.91956710676</v>
      </c>
      <c r="L2466">
        <v>74.313999999999993</v>
      </c>
      <c r="M2466">
        <v>63.996000000000002</v>
      </c>
      <c r="N2466">
        <v>46.3</v>
      </c>
    </row>
    <row r="2467" spans="1:14" x14ac:dyDescent="0.45">
      <c r="A2467">
        <v>1992</v>
      </c>
      <c r="B2467" t="s">
        <v>121</v>
      </c>
      <c r="C2467">
        <v>0</v>
      </c>
      <c r="D2467">
        <v>0</v>
      </c>
      <c r="E2467">
        <v>1</v>
      </c>
      <c r="F2467">
        <v>0</v>
      </c>
      <c r="G2467">
        <v>1</v>
      </c>
      <c r="H2467">
        <v>0</v>
      </c>
      <c r="I2467">
        <v>0</v>
      </c>
      <c r="J2467">
        <v>23268.997472057599</v>
      </c>
      <c r="K2467">
        <v>17606.252339170402</v>
      </c>
      <c r="L2467">
        <v>28.251000000000001</v>
      </c>
      <c r="M2467">
        <v>61.012999999999998</v>
      </c>
      <c r="N2467">
        <v>90.631</v>
      </c>
    </row>
    <row r="2468" spans="1:14" x14ac:dyDescent="0.45">
      <c r="A2468">
        <v>1992</v>
      </c>
      <c r="B2468" t="s">
        <v>122</v>
      </c>
      <c r="C2468">
        <v>1</v>
      </c>
      <c r="D2468">
        <v>0</v>
      </c>
      <c r="E2468">
        <v>0</v>
      </c>
      <c r="F2468">
        <v>0</v>
      </c>
      <c r="G2468">
        <v>0</v>
      </c>
      <c r="H2468">
        <v>1</v>
      </c>
      <c r="I2468">
        <v>1</v>
      </c>
      <c r="J2468">
        <v>33868.665956715697</v>
      </c>
      <c r="K2468">
        <v>29178.877094482701</v>
      </c>
      <c r="L2468">
        <v>21.827999999999999</v>
      </c>
      <c r="M2468">
        <v>76.307000000000002</v>
      </c>
      <c r="N2468">
        <v>7.82</v>
      </c>
    </row>
    <row r="2469" spans="1:14" x14ac:dyDescent="0.45">
      <c r="A2469">
        <v>1992</v>
      </c>
      <c r="B2469" t="s">
        <v>123</v>
      </c>
      <c r="C2469">
        <v>1</v>
      </c>
      <c r="D2469">
        <v>0</v>
      </c>
      <c r="E2469">
        <v>0</v>
      </c>
      <c r="F2469">
        <v>1</v>
      </c>
      <c r="G2469">
        <v>0</v>
      </c>
      <c r="H2469">
        <v>0</v>
      </c>
      <c r="I2469">
        <v>0</v>
      </c>
      <c r="J2469">
        <v>5533.21082317728</v>
      </c>
      <c r="K2469">
        <v>4674.9305877201796</v>
      </c>
      <c r="L2469">
        <v>45.441000000000003</v>
      </c>
      <c r="M2469">
        <v>67.78</v>
      </c>
      <c r="N2469">
        <v>46.701999999999998</v>
      </c>
    </row>
    <row r="2470" spans="1:14" x14ac:dyDescent="0.45">
      <c r="A2470">
        <v>1992</v>
      </c>
      <c r="B2470" t="s">
        <v>124</v>
      </c>
      <c r="C2470">
        <v>0</v>
      </c>
      <c r="D2470">
        <v>0</v>
      </c>
      <c r="E2470">
        <v>1</v>
      </c>
      <c r="F2470">
        <v>0</v>
      </c>
      <c r="G2470">
        <v>0</v>
      </c>
      <c r="H2470">
        <v>0</v>
      </c>
      <c r="I2470">
        <v>0</v>
      </c>
      <c r="J2470">
        <v>2897.83543196858</v>
      </c>
      <c r="K2470">
        <v>2500.0864415527099</v>
      </c>
      <c r="L2470">
        <v>62.094999999999999</v>
      </c>
      <c r="M2470">
        <v>56.055</v>
      </c>
      <c r="N2470">
        <v>121.71</v>
      </c>
    </row>
    <row r="2471" spans="1:14" x14ac:dyDescent="0.45">
      <c r="A2471">
        <v>1992</v>
      </c>
      <c r="B2471" t="s">
        <v>125</v>
      </c>
      <c r="C2471">
        <v>1</v>
      </c>
      <c r="D2471">
        <v>0</v>
      </c>
      <c r="E2471">
        <v>0</v>
      </c>
      <c r="F2471">
        <v>0</v>
      </c>
      <c r="G2471">
        <v>1</v>
      </c>
      <c r="H2471">
        <v>0</v>
      </c>
      <c r="I2471">
        <v>0</v>
      </c>
      <c r="L2471">
        <v>0</v>
      </c>
      <c r="M2471">
        <v>77.412000000000006</v>
      </c>
      <c r="N2471">
        <v>19.346</v>
      </c>
    </row>
    <row r="2472" spans="1:14" x14ac:dyDescent="0.45">
      <c r="A2472">
        <v>1992</v>
      </c>
      <c r="B2472" t="s">
        <v>126</v>
      </c>
      <c r="C2472">
        <v>0</v>
      </c>
      <c r="D2472">
        <v>0</v>
      </c>
      <c r="E2472">
        <v>1</v>
      </c>
      <c r="F2472">
        <v>0</v>
      </c>
      <c r="G2472">
        <v>0</v>
      </c>
      <c r="H2472">
        <v>0</v>
      </c>
      <c r="I2472">
        <v>0</v>
      </c>
      <c r="J2472">
        <v>2076.5506269069501</v>
      </c>
      <c r="K2472">
        <v>1674.2517761481499</v>
      </c>
      <c r="L2472">
        <v>71.399000000000001</v>
      </c>
      <c r="M2472">
        <v>48.265999999999998</v>
      </c>
      <c r="N2472">
        <v>220.12799999999999</v>
      </c>
    </row>
    <row r="2473" spans="1:14" x14ac:dyDescent="0.45">
      <c r="A2473">
        <v>1992</v>
      </c>
      <c r="B2473" t="s">
        <v>127</v>
      </c>
      <c r="C2473">
        <v>0</v>
      </c>
      <c r="D2473">
        <v>0</v>
      </c>
      <c r="E2473">
        <v>1</v>
      </c>
      <c r="F2473">
        <v>0</v>
      </c>
      <c r="G2473">
        <v>0</v>
      </c>
      <c r="H2473">
        <v>0</v>
      </c>
      <c r="I2473">
        <v>0</v>
      </c>
      <c r="J2473">
        <v>2604.2690332675402</v>
      </c>
      <c r="K2473">
        <v>2096.1682414612201</v>
      </c>
      <c r="L2473">
        <v>59.48</v>
      </c>
      <c r="M2473">
        <v>52.476999999999997</v>
      </c>
      <c r="N2473">
        <v>154.88200000000001</v>
      </c>
    </row>
    <row r="2474" spans="1:14" x14ac:dyDescent="0.45">
      <c r="A2474">
        <v>1992</v>
      </c>
      <c r="B2474" t="s">
        <v>128</v>
      </c>
      <c r="C2474">
        <v>0</v>
      </c>
      <c r="D2474">
        <v>0</v>
      </c>
      <c r="E2474">
        <v>1</v>
      </c>
      <c r="F2474">
        <v>0</v>
      </c>
      <c r="G2474">
        <v>0</v>
      </c>
      <c r="H2474">
        <v>0</v>
      </c>
      <c r="I2474">
        <v>0</v>
      </c>
      <c r="J2474">
        <v>1963.6381447992801</v>
      </c>
      <c r="K2474">
        <v>1766.4858288733899</v>
      </c>
      <c r="L2474">
        <v>66.728999999999999</v>
      </c>
      <c r="M2474">
        <v>47.518000000000001</v>
      </c>
      <c r="N2474">
        <v>212.37299999999999</v>
      </c>
    </row>
    <row r="2475" spans="1:14" x14ac:dyDescent="0.45">
      <c r="A2475">
        <v>1992</v>
      </c>
      <c r="B2475" t="s">
        <v>129</v>
      </c>
      <c r="C2475">
        <v>0</v>
      </c>
      <c r="D2475">
        <v>0</v>
      </c>
      <c r="E2475">
        <v>1</v>
      </c>
      <c r="F2475">
        <v>0</v>
      </c>
      <c r="G2475">
        <v>0</v>
      </c>
      <c r="H2475">
        <v>0</v>
      </c>
      <c r="I2475">
        <v>0</v>
      </c>
      <c r="J2475">
        <v>1390.4791848201301</v>
      </c>
      <c r="K2475">
        <v>1152.0297450488799</v>
      </c>
      <c r="L2475">
        <v>63.234000000000002</v>
      </c>
      <c r="M2475">
        <v>51.579000000000001</v>
      </c>
      <c r="N2475">
        <v>174.84100000000001</v>
      </c>
    </row>
    <row r="2476" spans="1:14" x14ac:dyDescent="0.45">
      <c r="A2476">
        <v>1992</v>
      </c>
      <c r="B2476" t="s">
        <v>130</v>
      </c>
      <c r="C2476">
        <v>1</v>
      </c>
      <c r="D2476">
        <v>0</v>
      </c>
      <c r="E2476">
        <v>0</v>
      </c>
      <c r="F2476">
        <v>0</v>
      </c>
      <c r="G2476">
        <v>1</v>
      </c>
      <c r="H2476">
        <v>0</v>
      </c>
      <c r="I2476">
        <v>0</v>
      </c>
      <c r="J2476">
        <v>27401.424003405002</v>
      </c>
      <c r="K2476">
        <v>24529.593434006802</v>
      </c>
      <c r="L2476">
        <v>28.242999999999999</v>
      </c>
      <c r="M2476">
        <v>77.305999999999997</v>
      </c>
      <c r="N2476">
        <v>9.673</v>
      </c>
    </row>
    <row r="2477" spans="1:14" x14ac:dyDescent="0.45">
      <c r="A2477">
        <v>1992</v>
      </c>
      <c r="B2477" t="s">
        <v>131</v>
      </c>
      <c r="C2477">
        <v>0</v>
      </c>
      <c r="D2477">
        <v>1</v>
      </c>
      <c r="E2477">
        <v>0</v>
      </c>
      <c r="F2477">
        <v>1</v>
      </c>
      <c r="G2477">
        <v>0</v>
      </c>
      <c r="H2477">
        <v>0</v>
      </c>
      <c r="I2477">
        <v>0</v>
      </c>
      <c r="J2477">
        <v>8791.1424972383302</v>
      </c>
      <c r="K2477">
        <v>8111.6317729264501</v>
      </c>
      <c r="L2477">
        <v>66.256</v>
      </c>
      <c r="M2477">
        <v>71.125</v>
      </c>
      <c r="N2477">
        <v>20.306999999999999</v>
      </c>
    </row>
    <row r="2478" spans="1:14" x14ac:dyDescent="0.45">
      <c r="A2478">
        <v>1992</v>
      </c>
      <c r="B2478" t="s">
        <v>132</v>
      </c>
      <c r="C2478">
        <v>1</v>
      </c>
      <c r="D2478">
        <v>0</v>
      </c>
      <c r="E2478">
        <v>0</v>
      </c>
      <c r="F2478">
        <v>0</v>
      </c>
      <c r="G2478">
        <v>0</v>
      </c>
      <c r="H2478">
        <v>1</v>
      </c>
      <c r="I2478">
        <v>1</v>
      </c>
      <c r="J2478">
        <v>36343.125721051998</v>
      </c>
      <c r="K2478">
        <v>32896.640607232599</v>
      </c>
      <c r="L2478">
        <v>19.699000000000002</v>
      </c>
      <c r="M2478">
        <v>63.792000000000002</v>
      </c>
      <c r="N2478">
        <v>33.124000000000002</v>
      </c>
    </row>
    <row r="2479" spans="1:14" x14ac:dyDescent="0.45">
      <c r="A2479">
        <v>1992</v>
      </c>
      <c r="B2479" t="s">
        <v>133</v>
      </c>
      <c r="C2479">
        <v>0</v>
      </c>
      <c r="D2479">
        <v>1</v>
      </c>
      <c r="E2479">
        <v>0</v>
      </c>
      <c r="F2479">
        <v>1</v>
      </c>
      <c r="G2479">
        <v>0</v>
      </c>
      <c r="H2479">
        <v>0</v>
      </c>
      <c r="I2479">
        <v>0</v>
      </c>
      <c r="J2479">
        <v>7822.2595916149403</v>
      </c>
      <c r="K2479">
        <v>6795.0065113123501</v>
      </c>
      <c r="L2479">
        <v>57.344999999999999</v>
      </c>
      <c r="M2479">
        <v>61.991999999999997</v>
      </c>
      <c r="N2479">
        <v>73.555000000000007</v>
      </c>
    </row>
    <row r="2480" spans="1:14" x14ac:dyDescent="0.45">
      <c r="A2480">
        <v>1992</v>
      </c>
      <c r="B2480" t="s">
        <v>134</v>
      </c>
      <c r="C2480">
        <v>0</v>
      </c>
      <c r="D2480">
        <v>0</v>
      </c>
      <c r="E2480">
        <v>0</v>
      </c>
      <c r="F2480">
        <v>0</v>
      </c>
      <c r="G2480">
        <v>1</v>
      </c>
      <c r="H2480">
        <v>0</v>
      </c>
      <c r="I2480">
        <v>0</v>
      </c>
      <c r="L2480">
        <v>8.6800000000000104</v>
      </c>
      <c r="M2480">
        <v>73.632000000000005</v>
      </c>
      <c r="N2480">
        <v>12.71</v>
      </c>
    </row>
    <row r="2481" spans="1:14" x14ac:dyDescent="0.45">
      <c r="A2481">
        <v>1992</v>
      </c>
      <c r="B2481" t="s">
        <v>135</v>
      </c>
      <c r="C2481">
        <v>0</v>
      </c>
      <c r="D2481">
        <v>1</v>
      </c>
      <c r="E2481">
        <v>0</v>
      </c>
      <c r="F2481">
        <v>0</v>
      </c>
      <c r="G2481">
        <v>0</v>
      </c>
      <c r="H2481">
        <v>0</v>
      </c>
      <c r="I2481">
        <v>0</v>
      </c>
      <c r="J2481">
        <v>5799.2183606680601</v>
      </c>
      <c r="K2481">
        <v>5546.2514586400503</v>
      </c>
      <c r="L2481">
        <v>70.596000000000004</v>
      </c>
      <c r="M2481">
        <v>62.816000000000003</v>
      </c>
      <c r="N2481">
        <v>57.572000000000003</v>
      </c>
    </row>
    <row r="2482" spans="1:14" x14ac:dyDescent="0.45">
      <c r="A2482">
        <v>1992</v>
      </c>
      <c r="B2482" t="s">
        <v>136</v>
      </c>
      <c r="C2482">
        <v>0</v>
      </c>
      <c r="D2482">
        <v>0</v>
      </c>
      <c r="E2482">
        <v>0</v>
      </c>
      <c r="F2482">
        <v>0</v>
      </c>
      <c r="G2482">
        <v>0</v>
      </c>
      <c r="H2482">
        <v>1</v>
      </c>
      <c r="I2482">
        <v>1</v>
      </c>
      <c r="J2482">
        <v>34895.875191392501</v>
      </c>
      <c r="K2482">
        <v>31493.647677294299</v>
      </c>
      <c r="L2482">
        <v>2.1000000000000799E-2</v>
      </c>
      <c r="M2482">
        <v>77.988</v>
      </c>
      <c r="N2482">
        <v>6.5309999999999997</v>
      </c>
    </row>
    <row r="2483" spans="1:14" x14ac:dyDescent="0.45">
      <c r="A2483">
        <v>1992</v>
      </c>
      <c r="B2483" t="s">
        <v>137</v>
      </c>
      <c r="C2483">
        <v>0</v>
      </c>
      <c r="D2483">
        <v>1</v>
      </c>
      <c r="E2483">
        <v>0</v>
      </c>
      <c r="F2483">
        <v>0</v>
      </c>
      <c r="G2483">
        <v>0</v>
      </c>
      <c r="H2483">
        <v>0</v>
      </c>
      <c r="I2483">
        <v>0</v>
      </c>
      <c r="J2483">
        <v>4289.4761368695399</v>
      </c>
      <c r="K2483">
        <v>3952.6580306024198</v>
      </c>
      <c r="L2483">
        <v>58.552</v>
      </c>
      <c r="M2483">
        <v>65.908000000000001</v>
      </c>
      <c r="N2483">
        <v>53.081000000000003</v>
      </c>
    </row>
    <row r="2484" spans="1:14" x14ac:dyDescent="0.45">
      <c r="A2484">
        <v>1992</v>
      </c>
      <c r="B2484" t="s">
        <v>138</v>
      </c>
      <c r="C2484">
        <v>1</v>
      </c>
      <c r="D2484">
        <v>0</v>
      </c>
      <c r="E2484">
        <v>0</v>
      </c>
      <c r="F2484">
        <v>1</v>
      </c>
      <c r="G2484">
        <v>0</v>
      </c>
      <c r="H2484">
        <v>0</v>
      </c>
      <c r="I2484">
        <v>0</v>
      </c>
      <c r="J2484">
        <v>17019.228777544999</v>
      </c>
      <c r="K2484">
        <v>14677.5384585877</v>
      </c>
      <c r="L2484">
        <v>48.411999999999999</v>
      </c>
      <c r="M2484">
        <v>71.721000000000004</v>
      </c>
      <c r="N2484">
        <v>12.571999999999999</v>
      </c>
    </row>
    <row r="2485" spans="1:14" x14ac:dyDescent="0.45">
      <c r="A2485">
        <v>1992</v>
      </c>
      <c r="B2485" t="s">
        <v>139</v>
      </c>
      <c r="C2485">
        <v>0</v>
      </c>
      <c r="D2485">
        <v>1</v>
      </c>
      <c r="E2485">
        <v>0</v>
      </c>
      <c r="F2485">
        <v>0</v>
      </c>
      <c r="G2485">
        <v>0</v>
      </c>
      <c r="H2485">
        <v>0</v>
      </c>
      <c r="I2485">
        <v>0</v>
      </c>
      <c r="J2485">
        <v>3656.58317052336</v>
      </c>
      <c r="K2485">
        <v>3514.5459758378302</v>
      </c>
      <c r="L2485">
        <v>69.2</v>
      </c>
      <c r="M2485">
        <v>54.040999999999997</v>
      </c>
      <c r="N2485">
        <v>136.12</v>
      </c>
    </row>
    <row r="2486" spans="1:14" x14ac:dyDescent="0.45">
      <c r="A2486">
        <v>1992</v>
      </c>
      <c r="B2486" t="s">
        <v>140</v>
      </c>
      <c r="C2486">
        <v>1</v>
      </c>
      <c r="D2486">
        <v>0</v>
      </c>
      <c r="E2486">
        <v>0</v>
      </c>
      <c r="F2486">
        <v>0</v>
      </c>
      <c r="G2486">
        <v>1</v>
      </c>
      <c r="H2486">
        <v>0</v>
      </c>
      <c r="I2486">
        <v>0</v>
      </c>
      <c r="J2486">
        <v>18197.5305521351</v>
      </c>
      <c r="K2486">
        <v>15857.646214136401</v>
      </c>
      <c r="L2486">
        <v>34.412999999999997</v>
      </c>
      <c r="M2486">
        <v>69.167000000000002</v>
      </c>
      <c r="N2486">
        <v>15.589</v>
      </c>
    </row>
    <row r="2487" spans="1:14" x14ac:dyDescent="0.45">
      <c r="A2487">
        <v>1992</v>
      </c>
      <c r="B2487" t="s">
        <v>141</v>
      </c>
      <c r="C2487">
        <v>0</v>
      </c>
      <c r="D2487">
        <v>0</v>
      </c>
      <c r="E2487">
        <v>0</v>
      </c>
      <c r="F2487">
        <v>0</v>
      </c>
      <c r="G2487">
        <v>0</v>
      </c>
      <c r="H2487">
        <v>0</v>
      </c>
      <c r="I2487">
        <v>0</v>
      </c>
      <c r="J2487">
        <v>5357.3758979759004</v>
      </c>
      <c r="K2487">
        <v>4863.6529216399704</v>
      </c>
      <c r="L2487">
        <v>67.296999999999997</v>
      </c>
      <c r="M2487">
        <v>64.182000000000002</v>
      </c>
      <c r="N2487">
        <v>76.308999999999997</v>
      </c>
    </row>
    <row r="2488" spans="1:14" x14ac:dyDescent="0.45">
      <c r="A2488">
        <v>1992</v>
      </c>
      <c r="B2488" t="s">
        <v>142</v>
      </c>
      <c r="C2488">
        <v>1</v>
      </c>
      <c r="D2488">
        <v>0</v>
      </c>
      <c r="E2488">
        <v>0</v>
      </c>
      <c r="F2488">
        <v>0</v>
      </c>
      <c r="G2488">
        <v>1</v>
      </c>
      <c r="H2488">
        <v>0</v>
      </c>
      <c r="I2488">
        <v>0</v>
      </c>
      <c r="L2488">
        <v>48.246000000000002</v>
      </c>
      <c r="M2488">
        <v>72.543999999999997</v>
      </c>
      <c r="N2488">
        <v>33.395000000000003</v>
      </c>
    </row>
    <row r="2489" spans="1:14" x14ac:dyDescent="0.45">
      <c r="A2489">
        <v>1992</v>
      </c>
      <c r="B2489" t="s">
        <v>143</v>
      </c>
      <c r="C2489">
        <v>0</v>
      </c>
      <c r="D2489">
        <v>0</v>
      </c>
      <c r="E2489">
        <v>0</v>
      </c>
      <c r="F2489">
        <v>0</v>
      </c>
      <c r="G2489">
        <v>0</v>
      </c>
      <c r="H2489">
        <v>0</v>
      </c>
      <c r="I2489">
        <v>0</v>
      </c>
      <c r="J2489">
        <v>2249.6979038927402</v>
      </c>
      <c r="K2489">
        <v>1886.7886672285999</v>
      </c>
      <c r="L2489">
        <v>74.016000000000005</v>
      </c>
      <c r="M2489">
        <v>59.445</v>
      </c>
      <c r="N2489">
        <v>119.29900000000001</v>
      </c>
    </row>
    <row r="2490" spans="1:14" x14ac:dyDescent="0.45">
      <c r="A2490">
        <v>1992</v>
      </c>
      <c r="B2490" t="s">
        <v>144</v>
      </c>
      <c r="C2490">
        <v>1</v>
      </c>
      <c r="D2490">
        <v>0</v>
      </c>
      <c r="E2490">
        <v>0</v>
      </c>
      <c r="F2490">
        <v>0</v>
      </c>
      <c r="G2490">
        <v>0</v>
      </c>
      <c r="H2490">
        <v>1</v>
      </c>
      <c r="I2490">
        <v>1</v>
      </c>
      <c r="J2490">
        <v>30784.021910466901</v>
      </c>
      <c r="K2490">
        <v>28304.302071558101</v>
      </c>
      <c r="L2490">
        <v>42.707000000000001</v>
      </c>
      <c r="M2490">
        <v>75.423000000000002</v>
      </c>
      <c r="N2490">
        <v>7.6219999999999999</v>
      </c>
    </row>
    <row r="2491" spans="1:14" x14ac:dyDescent="0.45">
      <c r="A2491">
        <v>1992</v>
      </c>
      <c r="B2491" t="s">
        <v>145</v>
      </c>
      <c r="C2491">
        <v>0</v>
      </c>
      <c r="D2491">
        <v>0</v>
      </c>
      <c r="E2491">
        <v>0</v>
      </c>
      <c r="F2491">
        <v>1</v>
      </c>
      <c r="G2491">
        <v>0</v>
      </c>
      <c r="H2491">
        <v>0</v>
      </c>
      <c r="I2491">
        <v>0</v>
      </c>
      <c r="J2491">
        <v>10050.3820085854</v>
      </c>
      <c r="K2491">
        <v>10025.2025042431</v>
      </c>
      <c r="L2491">
        <v>42.347000000000001</v>
      </c>
      <c r="M2491">
        <v>66.653000000000006</v>
      </c>
      <c r="N2491">
        <v>52.582000000000001</v>
      </c>
    </row>
    <row r="2492" spans="1:14" x14ac:dyDescent="0.45">
      <c r="A2492">
        <v>1992</v>
      </c>
      <c r="B2492" t="s">
        <v>146</v>
      </c>
      <c r="C2492">
        <v>0</v>
      </c>
      <c r="D2492">
        <v>0</v>
      </c>
      <c r="E2492">
        <v>0</v>
      </c>
      <c r="F2492">
        <v>1</v>
      </c>
      <c r="G2492">
        <v>0</v>
      </c>
      <c r="H2492">
        <v>0</v>
      </c>
      <c r="I2492">
        <v>0</v>
      </c>
      <c r="J2492">
        <v>4916.2644029287803</v>
      </c>
      <c r="K2492">
        <v>3475.2520826783798</v>
      </c>
      <c r="L2492">
        <v>30.663</v>
      </c>
      <c r="M2492">
        <v>65.343999999999994</v>
      </c>
      <c r="N2492">
        <v>52.021999999999998</v>
      </c>
    </row>
    <row r="2493" spans="1:14" x14ac:dyDescent="0.45">
      <c r="A2493">
        <v>1992</v>
      </c>
      <c r="B2493" t="s">
        <v>147</v>
      </c>
      <c r="C2493">
        <v>1</v>
      </c>
      <c r="D2493">
        <v>0</v>
      </c>
      <c r="E2493">
        <v>0</v>
      </c>
      <c r="F2493">
        <v>0</v>
      </c>
      <c r="G2493">
        <v>0</v>
      </c>
      <c r="H2493">
        <v>1</v>
      </c>
      <c r="I2493">
        <v>1</v>
      </c>
      <c r="J2493">
        <v>37753.4660878266</v>
      </c>
      <c r="K2493">
        <v>32667.654606011201</v>
      </c>
      <c r="L2493">
        <v>8.8880000000000106</v>
      </c>
      <c r="M2493">
        <v>78.587000000000003</v>
      </c>
      <c r="N2493">
        <v>6.6559999999999997</v>
      </c>
    </row>
    <row r="2494" spans="1:14" x14ac:dyDescent="0.45">
      <c r="A2494">
        <v>1992</v>
      </c>
      <c r="B2494" t="s">
        <v>148</v>
      </c>
      <c r="C2494">
        <v>0</v>
      </c>
      <c r="D2494">
        <v>0</v>
      </c>
      <c r="E2494">
        <v>0</v>
      </c>
      <c r="F2494">
        <v>0</v>
      </c>
      <c r="G2494">
        <v>0</v>
      </c>
      <c r="H2494">
        <v>1</v>
      </c>
      <c r="I2494">
        <v>1</v>
      </c>
      <c r="J2494">
        <v>26752.400634689198</v>
      </c>
      <c r="K2494">
        <v>24539.366466715801</v>
      </c>
      <c r="L2494">
        <v>9.4350000000000005</v>
      </c>
      <c r="M2494">
        <v>77.272999999999996</v>
      </c>
      <c r="N2494">
        <v>11.013</v>
      </c>
    </row>
    <row r="2495" spans="1:14" x14ac:dyDescent="0.45">
      <c r="A2495">
        <v>1992</v>
      </c>
      <c r="B2495" t="s">
        <v>149</v>
      </c>
      <c r="C2495">
        <v>1</v>
      </c>
      <c r="D2495">
        <v>0</v>
      </c>
      <c r="E2495">
        <v>0</v>
      </c>
      <c r="F2495">
        <v>0</v>
      </c>
      <c r="G2495">
        <v>0</v>
      </c>
      <c r="H2495">
        <v>1</v>
      </c>
      <c r="I2495">
        <v>1</v>
      </c>
      <c r="J2495">
        <v>43614.485088375797</v>
      </c>
      <c r="K2495">
        <v>37149.384181697802</v>
      </c>
      <c r="L2495">
        <v>33.258000000000003</v>
      </c>
      <c r="M2495">
        <v>77.364999999999995</v>
      </c>
      <c r="N2495">
        <v>9.4879999999999995</v>
      </c>
    </row>
    <row r="2496" spans="1:14" x14ac:dyDescent="0.45">
      <c r="A2496">
        <v>1992</v>
      </c>
      <c r="B2496" t="s">
        <v>150</v>
      </c>
      <c r="C2496">
        <v>0</v>
      </c>
      <c r="D2496">
        <v>1</v>
      </c>
      <c r="E2496">
        <v>0</v>
      </c>
      <c r="F2496">
        <v>1</v>
      </c>
      <c r="G2496">
        <v>0</v>
      </c>
      <c r="H2496">
        <v>0</v>
      </c>
      <c r="I2496">
        <v>0</v>
      </c>
      <c r="J2496">
        <v>9171.61641693813</v>
      </c>
      <c r="K2496">
        <v>9038.9045721688199</v>
      </c>
      <c r="L2496">
        <v>50.103999999999999</v>
      </c>
      <c r="M2496">
        <v>71.816000000000003</v>
      </c>
      <c r="N2496">
        <v>26.416</v>
      </c>
    </row>
    <row r="2497" spans="1:14" x14ac:dyDescent="0.45">
      <c r="A2497">
        <v>1992</v>
      </c>
      <c r="B2497" t="s">
        <v>151</v>
      </c>
      <c r="C2497">
        <v>0</v>
      </c>
      <c r="D2497">
        <v>0</v>
      </c>
      <c r="E2497">
        <v>0</v>
      </c>
      <c r="F2497">
        <v>1</v>
      </c>
      <c r="G2497">
        <v>0</v>
      </c>
      <c r="H2497">
        <v>0</v>
      </c>
      <c r="I2497">
        <v>0</v>
      </c>
      <c r="J2497">
        <v>7737.9692206877698</v>
      </c>
      <c r="K2497">
        <v>7676.41592829399</v>
      </c>
      <c r="L2497">
        <v>24.414000000000001</v>
      </c>
      <c r="M2497">
        <v>70.400000000000006</v>
      </c>
      <c r="N2497">
        <v>33.795999999999999</v>
      </c>
    </row>
    <row r="2498" spans="1:14" x14ac:dyDescent="0.45">
      <c r="A2498">
        <v>1992</v>
      </c>
      <c r="B2498" t="s">
        <v>152</v>
      </c>
      <c r="C2498">
        <v>0</v>
      </c>
      <c r="D2498">
        <v>0</v>
      </c>
      <c r="E2498">
        <v>0</v>
      </c>
      <c r="F2498">
        <v>0</v>
      </c>
      <c r="G2498">
        <v>0</v>
      </c>
      <c r="H2498">
        <v>1</v>
      </c>
      <c r="I2498">
        <v>1</v>
      </c>
      <c r="J2498">
        <v>36563.622639369598</v>
      </c>
      <c r="K2498">
        <v>33870.065510137902</v>
      </c>
      <c r="L2498">
        <v>22.39</v>
      </c>
      <c r="M2498">
        <v>79.302999999999997</v>
      </c>
      <c r="N2498">
        <v>6.2169999999999996</v>
      </c>
    </row>
    <row r="2499" spans="1:14" x14ac:dyDescent="0.45">
      <c r="A2499">
        <v>1992</v>
      </c>
      <c r="B2499" t="s">
        <v>153</v>
      </c>
      <c r="C2499">
        <v>1</v>
      </c>
      <c r="D2499">
        <v>0</v>
      </c>
      <c r="E2499">
        <v>0</v>
      </c>
      <c r="F2499">
        <v>1</v>
      </c>
      <c r="G2499">
        <v>0</v>
      </c>
      <c r="H2499">
        <v>0</v>
      </c>
      <c r="I2499">
        <v>0</v>
      </c>
      <c r="J2499">
        <v>14045.1035780375</v>
      </c>
      <c r="K2499">
        <v>10680.731206106901</v>
      </c>
      <c r="L2499">
        <v>43.917000000000002</v>
      </c>
      <c r="M2499">
        <v>64.977999999999994</v>
      </c>
      <c r="N2499">
        <v>52.064</v>
      </c>
    </row>
    <row r="2500" spans="1:14" x14ac:dyDescent="0.45">
      <c r="A2500">
        <v>1992</v>
      </c>
      <c r="B2500" t="s">
        <v>154</v>
      </c>
      <c r="C2500">
        <v>0</v>
      </c>
      <c r="D2500">
        <v>0</v>
      </c>
      <c r="E2500">
        <v>1</v>
      </c>
      <c r="F2500">
        <v>0</v>
      </c>
      <c r="G2500">
        <v>0</v>
      </c>
      <c r="H2500">
        <v>0</v>
      </c>
      <c r="I2500">
        <v>0</v>
      </c>
      <c r="J2500">
        <v>3946.8409343785102</v>
      </c>
      <c r="K2500">
        <v>3401.5700160125598</v>
      </c>
      <c r="L2500">
        <v>82.658000000000001</v>
      </c>
      <c r="M2500">
        <v>57.094999999999999</v>
      </c>
      <c r="N2500">
        <v>105.14100000000001</v>
      </c>
    </row>
    <row r="2501" spans="1:14" x14ac:dyDescent="0.45">
      <c r="A2501">
        <v>1992</v>
      </c>
      <c r="B2501" t="s">
        <v>155</v>
      </c>
      <c r="C2501">
        <v>1</v>
      </c>
      <c r="D2501">
        <v>0</v>
      </c>
      <c r="E2501">
        <v>0</v>
      </c>
      <c r="F2501">
        <v>1</v>
      </c>
      <c r="G2501">
        <v>0</v>
      </c>
      <c r="H2501">
        <v>0</v>
      </c>
      <c r="I2501">
        <v>0</v>
      </c>
      <c r="J2501">
        <v>4701.9913809865802</v>
      </c>
      <c r="K2501">
        <v>3973.9728183993798</v>
      </c>
      <c r="L2501">
        <v>62.796999999999997</v>
      </c>
      <c r="M2501">
        <v>64.427000000000007</v>
      </c>
      <c r="N2501">
        <v>64.272000000000006</v>
      </c>
    </row>
    <row r="2502" spans="1:14" x14ac:dyDescent="0.45">
      <c r="A2502">
        <v>1992</v>
      </c>
      <c r="B2502" t="s">
        <v>156</v>
      </c>
      <c r="C2502">
        <v>0</v>
      </c>
      <c r="D2502">
        <v>0</v>
      </c>
      <c r="E2502">
        <v>0</v>
      </c>
      <c r="F2502">
        <v>0</v>
      </c>
      <c r="G2502">
        <v>0</v>
      </c>
      <c r="H2502">
        <v>0</v>
      </c>
      <c r="I2502">
        <v>0</v>
      </c>
      <c r="J2502">
        <v>2769.4882552655999</v>
      </c>
      <c r="K2502">
        <v>2483.3122900953199</v>
      </c>
      <c r="L2502">
        <v>83.766000000000005</v>
      </c>
      <c r="M2502">
        <v>55.747</v>
      </c>
      <c r="N2502">
        <v>117.717</v>
      </c>
    </row>
    <row r="2503" spans="1:14" x14ac:dyDescent="0.45">
      <c r="A2503">
        <v>1992</v>
      </c>
      <c r="B2503" t="s">
        <v>157</v>
      </c>
      <c r="C2503">
        <v>0</v>
      </c>
      <c r="D2503">
        <v>0</v>
      </c>
      <c r="E2503">
        <v>0</v>
      </c>
      <c r="F2503">
        <v>1</v>
      </c>
      <c r="G2503">
        <v>0</v>
      </c>
      <c r="H2503">
        <v>0</v>
      </c>
      <c r="I2503">
        <v>0</v>
      </c>
      <c r="J2503">
        <v>2495.9964020471498</v>
      </c>
      <c r="K2503">
        <v>2257.8765915538402</v>
      </c>
      <c r="L2503">
        <v>64.444999999999993</v>
      </c>
      <c r="M2503">
        <v>61.968000000000004</v>
      </c>
      <c r="N2503">
        <v>84.281999999999996</v>
      </c>
    </row>
    <row r="2504" spans="1:14" x14ac:dyDescent="0.45">
      <c r="A2504">
        <v>1992</v>
      </c>
      <c r="B2504" t="s">
        <v>158</v>
      </c>
      <c r="C2504">
        <v>0</v>
      </c>
      <c r="D2504">
        <v>1</v>
      </c>
      <c r="E2504">
        <v>0</v>
      </c>
      <c r="F2504">
        <v>0</v>
      </c>
      <c r="G2504">
        <v>1</v>
      </c>
      <c r="H2504">
        <v>0</v>
      </c>
      <c r="I2504">
        <v>0</v>
      </c>
      <c r="J2504">
        <v>14557.184258305</v>
      </c>
      <c r="K2504">
        <v>14377.1994973984</v>
      </c>
      <c r="L2504">
        <v>65.716999999999999</v>
      </c>
      <c r="M2504">
        <v>66.338999999999999</v>
      </c>
      <c r="N2504">
        <v>29.369</v>
      </c>
    </row>
    <row r="2505" spans="1:14" x14ac:dyDescent="0.45">
      <c r="A2505">
        <v>1992</v>
      </c>
      <c r="B2505" t="s">
        <v>159</v>
      </c>
      <c r="C2505">
        <v>0</v>
      </c>
      <c r="D2505">
        <v>0</v>
      </c>
      <c r="E2505">
        <v>0</v>
      </c>
      <c r="F2505">
        <v>0</v>
      </c>
      <c r="G2505">
        <v>1</v>
      </c>
      <c r="H2505">
        <v>0</v>
      </c>
      <c r="I2505">
        <v>0</v>
      </c>
      <c r="J2505">
        <v>15955.0013327835</v>
      </c>
      <c r="K2505">
        <v>14544.938147201599</v>
      </c>
      <c r="L2505">
        <v>24.18</v>
      </c>
      <c r="M2505">
        <v>72.174999999999997</v>
      </c>
      <c r="N2505">
        <v>13.352</v>
      </c>
    </row>
    <row r="2506" spans="1:14" x14ac:dyDescent="0.45">
      <c r="A2506">
        <v>1992</v>
      </c>
      <c r="B2506" t="s">
        <v>160</v>
      </c>
      <c r="C2506">
        <v>0</v>
      </c>
      <c r="D2506">
        <v>0</v>
      </c>
      <c r="E2506">
        <v>0</v>
      </c>
      <c r="F2506">
        <v>0</v>
      </c>
      <c r="G2506">
        <v>0</v>
      </c>
      <c r="H2506">
        <v>1</v>
      </c>
      <c r="I2506">
        <v>1</v>
      </c>
      <c r="J2506">
        <v>43266.932887664902</v>
      </c>
      <c r="K2506">
        <v>38533.535847393599</v>
      </c>
      <c r="L2506">
        <v>1.998</v>
      </c>
      <c r="M2506">
        <v>75.734999999999999</v>
      </c>
      <c r="N2506">
        <v>16.396000000000001</v>
      </c>
    </row>
    <row r="2507" spans="1:14" x14ac:dyDescent="0.45">
      <c r="A2507">
        <v>1992</v>
      </c>
      <c r="B2507" t="s">
        <v>161</v>
      </c>
      <c r="C2507">
        <v>0</v>
      </c>
      <c r="D2507">
        <v>0</v>
      </c>
      <c r="E2507">
        <v>0</v>
      </c>
      <c r="F2507">
        <v>0</v>
      </c>
      <c r="G2507">
        <v>0</v>
      </c>
      <c r="H2507">
        <v>0</v>
      </c>
      <c r="I2507">
        <v>0</v>
      </c>
      <c r="J2507">
        <v>2088.0200408323799</v>
      </c>
      <c r="K2507">
        <v>2006.3943168390399</v>
      </c>
      <c r="L2507">
        <v>83.867000000000004</v>
      </c>
      <c r="M2507">
        <v>55.097999999999999</v>
      </c>
      <c r="N2507">
        <v>143.56399999999999</v>
      </c>
    </row>
    <row r="2508" spans="1:14" x14ac:dyDescent="0.45">
      <c r="A2508">
        <v>1992</v>
      </c>
      <c r="B2508" t="s">
        <v>162</v>
      </c>
      <c r="C2508">
        <v>0</v>
      </c>
      <c r="D2508">
        <v>0</v>
      </c>
      <c r="E2508">
        <v>0</v>
      </c>
      <c r="F2508">
        <v>1</v>
      </c>
      <c r="G2508">
        <v>0</v>
      </c>
      <c r="H2508">
        <v>0</v>
      </c>
      <c r="I2508">
        <v>0</v>
      </c>
      <c r="J2508">
        <v>8924.1526455327094</v>
      </c>
      <c r="K2508">
        <v>11599.5547857049</v>
      </c>
      <c r="L2508">
        <v>16.181999999999999</v>
      </c>
      <c r="M2508">
        <v>71.168999999999997</v>
      </c>
      <c r="N2508">
        <v>29.305</v>
      </c>
    </row>
    <row r="2509" spans="1:14" x14ac:dyDescent="0.45">
      <c r="A2509">
        <v>1992</v>
      </c>
      <c r="B2509" t="s">
        <v>163</v>
      </c>
      <c r="C2509">
        <v>0</v>
      </c>
      <c r="D2509">
        <v>0</v>
      </c>
      <c r="E2509">
        <v>1</v>
      </c>
      <c r="F2509">
        <v>0</v>
      </c>
      <c r="G2509">
        <v>0</v>
      </c>
      <c r="H2509">
        <v>0</v>
      </c>
      <c r="I2509">
        <v>0</v>
      </c>
      <c r="J2509">
        <v>1115.0377081685201</v>
      </c>
      <c r="K2509">
        <v>1647.4073863649501</v>
      </c>
      <c r="L2509">
        <v>44.981000000000002</v>
      </c>
      <c r="M2509">
        <v>43.566000000000003</v>
      </c>
      <c r="N2509">
        <v>255.30099999999999</v>
      </c>
    </row>
    <row r="2510" spans="1:14" x14ac:dyDescent="0.45">
      <c r="A2510">
        <v>1992</v>
      </c>
      <c r="B2510" t="s">
        <v>164</v>
      </c>
      <c r="C2510">
        <v>0</v>
      </c>
      <c r="D2510">
        <v>0</v>
      </c>
      <c r="E2510">
        <v>0</v>
      </c>
      <c r="F2510">
        <v>0</v>
      </c>
      <c r="G2510">
        <v>1</v>
      </c>
      <c r="H2510">
        <v>0</v>
      </c>
      <c r="I2510">
        <v>0</v>
      </c>
      <c r="J2510">
        <v>19532.9958477092</v>
      </c>
      <c r="K2510">
        <v>22828.1174013325</v>
      </c>
      <c r="L2510">
        <v>24.167999999999999</v>
      </c>
      <c r="M2510">
        <v>69.974000000000004</v>
      </c>
      <c r="N2510">
        <v>38.08</v>
      </c>
    </row>
    <row r="2511" spans="1:14" x14ac:dyDescent="0.45">
      <c r="A2511">
        <v>1992</v>
      </c>
      <c r="B2511" t="s">
        <v>165</v>
      </c>
      <c r="C2511">
        <v>0</v>
      </c>
      <c r="D2511">
        <v>1</v>
      </c>
      <c r="E2511">
        <v>0</v>
      </c>
      <c r="F2511">
        <v>0</v>
      </c>
      <c r="G2511">
        <v>1</v>
      </c>
      <c r="H2511">
        <v>0</v>
      </c>
      <c r="I2511">
        <v>0</v>
      </c>
      <c r="J2511">
        <v>18166.207810922599</v>
      </c>
      <c r="K2511">
        <v>13068.8971960912</v>
      </c>
      <c r="L2511">
        <v>70.631</v>
      </c>
      <c r="M2511">
        <v>70.733999999999995</v>
      </c>
      <c r="N2511">
        <v>19.821999999999999</v>
      </c>
    </row>
    <row r="2512" spans="1:14" x14ac:dyDescent="0.45">
      <c r="A2512">
        <v>1992</v>
      </c>
      <c r="B2512" t="s">
        <v>166</v>
      </c>
      <c r="C2512">
        <v>1</v>
      </c>
      <c r="D2512">
        <v>0</v>
      </c>
      <c r="E2512">
        <v>0</v>
      </c>
      <c r="F2512">
        <v>0</v>
      </c>
      <c r="G2512">
        <v>0</v>
      </c>
      <c r="H2512">
        <v>1</v>
      </c>
      <c r="I2512">
        <v>1</v>
      </c>
      <c r="L2512">
        <v>83.263999999999996</v>
      </c>
      <c r="M2512">
        <v>78.653999999999996</v>
      </c>
      <c r="N2512">
        <v>11.778</v>
      </c>
    </row>
    <row r="2513" spans="1:14" x14ac:dyDescent="0.45">
      <c r="A2513">
        <v>1992</v>
      </c>
      <c r="B2513" t="s">
        <v>167</v>
      </c>
      <c r="C2513">
        <v>0</v>
      </c>
      <c r="D2513">
        <v>0</v>
      </c>
      <c r="E2513">
        <v>0</v>
      </c>
      <c r="F2513">
        <v>0</v>
      </c>
      <c r="G2513">
        <v>0</v>
      </c>
      <c r="H2513">
        <v>0</v>
      </c>
      <c r="I2513">
        <v>0</v>
      </c>
      <c r="J2513">
        <v>4866.23941153137</v>
      </c>
      <c r="K2513">
        <v>4544.9906989674</v>
      </c>
      <c r="L2513">
        <v>81.495999999999995</v>
      </c>
      <c r="M2513">
        <v>69.619</v>
      </c>
      <c r="N2513">
        <v>21.798999999999999</v>
      </c>
    </row>
    <row r="2514" spans="1:14" x14ac:dyDescent="0.45">
      <c r="A2514">
        <v>1992</v>
      </c>
      <c r="B2514" t="s">
        <v>168</v>
      </c>
      <c r="C2514">
        <v>0</v>
      </c>
      <c r="D2514">
        <v>0</v>
      </c>
      <c r="E2514">
        <v>1</v>
      </c>
      <c r="F2514">
        <v>0</v>
      </c>
      <c r="G2514">
        <v>0</v>
      </c>
      <c r="H2514">
        <v>0</v>
      </c>
      <c r="I2514">
        <v>0</v>
      </c>
      <c r="J2514">
        <v>1571.8270420314</v>
      </c>
      <c r="K2514">
        <v>1407.44567765853</v>
      </c>
      <c r="L2514">
        <v>84.894000000000005</v>
      </c>
      <c r="M2514">
        <v>58.637999999999998</v>
      </c>
      <c r="N2514">
        <v>87.253</v>
      </c>
    </row>
    <row r="2515" spans="1:14" x14ac:dyDescent="0.45">
      <c r="A2515">
        <v>1992</v>
      </c>
      <c r="B2515" t="s">
        <v>169</v>
      </c>
      <c r="C2515">
        <v>1</v>
      </c>
      <c r="D2515">
        <v>0</v>
      </c>
      <c r="E2515">
        <v>0</v>
      </c>
      <c r="F2515">
        <v>1</v>
      </c>
      <c r="G2515">
        <v>0</v>
      </c>
      <c r="H2515">
        <v>0</v>
      </c>
      <c r="I2515">
        <v>0</v>
      </c>
      <c r="J2515">
        <v>15280.3886006381</v>
      </c>
      <c r="K2515">
        <v>13073.3913527348</v>
      </c>
      <c r="L2515">
        <v>32.536000000000001</v>
      </c>
      <c r="M2515">
        <v>70.337000000000003</v>
      </c>
      <c r="N2515">
        <v>19.440000000000001</v>
      </c>
    </row>
    <row r="2516" spans="1:14" x14ac:dyDescent="0.45">
      <c r="A2516">
        <v>1992</v>
      </c>
      <c r="B2516" t="s">
        <v>170</v>
      </c>
      <c r="C2516">
        <v>1</v>
      </c>
      <c r="D2516">
        <v>0</v>
      </c>
      <c r="E2516">
        <v>0</v>
      </c>
      <c r="F2516">
        <v>0</v>
      </c>
      <c r="G2516">
        <v>0</v>
      </c>
      <c r="H2516">
        <v>1</v>
      </c>
      <c r="I2516">
        <v>1</v>
      </c>
      <c r="J2516">
        <v>87729.398597958105</v>
      </c>
      <c r="K2516">
        <v>74970.150070588905</v>
      </c>
      <c r="L2516">
        <v>18.472000000000001</v>
      </c>
      <c r="M2516">
        <v>74.745999999999995</v>
      </c>
      <c r="N2516">
        <v>11.186999999999999</v>
      </c>
    </row>
    <row r="2517" spans="1:14" x14ac:dyDescent="0.45">
      <c r="A2517">
        <v>1992</v>
      </c>
      <c r="B2517" t="s">
        <v>171</v>
      </c>
      <c r="C2517">
        <v>1</v>
      </c>
      <c r="D2517">
        <v>0</v>
      </c>
      <c r="E2517">
        <v>0</v>
      </c>
      <c r="F2517">
        <v>1</v>
      </c>
      <c r="G2517">
        <v>0</v>
      </c>
      <c r="H2517">
        <v>0</v>
      </c>
      <c r="I2517">
        <v>0</v>
      </c>
      <c r="J2517">
        <v>10582.2070186664</v>
      </c>
      <c r="K2517">
        <v>9181.0094100387196</v>
      </c>
      <c r="L2517">
        <v>31.148</v>
      </c>
      <c r="M2517">
        <v>68.450999999999993</v>
      </c>
      <c r="N2517">
        <v>20.544</v>
      </c>
    </row>
    <row r="2518" spans="1:14" x14ac:dyDescent="0.45">
      <c r="A2518">
        <v>1992</v>
      </c>
      <c r="B2518" t="s">
        <v>172</v>
      </c>
      <c r="C2518">
        <v>0</v>
      </c>
      <c r="D2518">
        <v>0</v>
      </c>
      <c r="E2518">
        <v>0</v>
      </c>
      <c r="F2518">
        <v>0</v>
      </c>
      <c r="G2518">
        <v>1</v>
      </c>
      <c r="H2518">
        <v>0</v>
      </c>
      <c r="I2518">
        <v>0</v>
      </c>
      <c r="J2518">
        <v>58591.650151782698</v>
      </c>
      <c r="K2518">
        <v>53098.184082942702</v>
      </c>
      <c r="L2518">
        <v>0.161000000000001</v>
      </c>
      <c r="M2518">
        <v>77.069999999999993</v>
      </c>
      <c r="N2518">
        <v>11.974</v>
      </c>
    </row>
    <row r="2519" spans="1:14" x14ac:dyDescent="0.45">
      <c r="A2519">
        <v>1992</v>
      </c>
      <c r="B2519" t="s">
        <v>173</v>
      </c>
      <c r="C2519">
        <v>0</v>
      </c>
      <c r="D2519">
        <v>1</v>
      </c>
      <c r="E2519">
        <v>0</v>
      </c>
      <c r="F2519">
        <v>0</v>
      </c>
      <c r="G2519">
        <v>0</v>
      </c>
      <c r="H2519">
        <v>1</v>
      </c>
      <c r="I2519">
        <v>1</v>
      </c>
      <c r="L2519">
        <v>0</v>
      </c>
      <c r="M2519">
        <v>75.150000000000006</v>
      </c>
      <c r="N2519">
        <v>18.498999999999999</v>
      </c>
    </row>
    <row r="2520" spans="1:14" x14ac:dyDescent="0.45">
      <c r="A2520">
        <v>1992</v>
      </c>
      <c r="B2520" t="s">
        <v>174</v>
      </c>
      <c r="C2520">
        <v>0</v>
      </c>
      <c r="D2520">
        <v>0</v>
      </c>
      <c r="E2520">
        <v>0</v>
      </c>
      <c r="F2520">
        <v>1</v>
      </c>
      <c r="G2520">
        <v>0</v>
      </c>
      <c r="H2520">
        <v>0</v>
      </c>
      <c r="I2520">
        <v>0</v>
      </c>
      <c r="J2520">
        <v>4483.24951171875</v>
      </c>
      <c r="K2520">
        <v>4305.5713383083103</v>
      </c>
      <c r="L2520">
        <v>50.155999999999999</v>
      </c>
      <c r="M2520">
        <v>63.387999999999998</v>
      </c>
      <c r="N2520">
        <v>73.837999999999994</v>
      </c>
    </row>
    <row r="2521" spans="1:14" x14ac:dyDescent="0.45">
      <c r="A2521">
        <v>1992</v>
      </c>
      <c r="B2521" t="s">
        <v>175</v>
      </c>
      <c r="C2521">
        <v>1</v>
      </c>
      <c r="D2521">
        <v>0</v>
      </c>
      <c r="E2521">
        <v>0</v>
      </c>
      <c r="F2521">
        <v>0</v>
      </c>
      <c r="G2521">
        <v>0</v>
      </c>
      <c r="H2521">
        <v>1</v>
      </c>
      <c r="I2521">
        <v>1</v>
      </c>
      <c r="L2521">
        <v>0</v>
      </c>
      <c r="M2521">
        <v>80.064999999999998</v>
      </c>
      <c r="N2521">
        <v>9.9949999999999992</v>
      </c>
    </row>
    <row r="2522" spans="1:14" x14ac:dyDescent="0.45">
      <c r="A2522">
        <v>1992</v>
      </c>
      <c r="B2522" t="s">
        <v>176</v>
      </c>
      <c r="C2522">
        <v>1</v>
      </c>
      <c r="D2522">
        <v>0</v>
      </c>
      <c r="E2522">
        <v>0</v>
      </c>
      <c r="F2522">
        <v>1</v>
      </c>
      <c r="G2522">
        <v>0</v>
      </c>
      <c r="H2522">
        <v>0</v>
      </c>
      <c r="I2522">
        <v>0</v>
      </c>
      <c r="J2522">
        <v>9461.4277260657691</v>
      </c>
      <c r="K2522">
        <v>8115.1388346120602</v>
      </c>
      <c r="L2522">
        <v>53.424999999999997</v>
      </c>
      <c r="M2522">
        <v>66.748999999999995</v>
      </c>
      <c r="N2522">
        <v>35.603000000000002</v>
      </c>
    </row>
    <row r="2523" spans="1:14" x14ac:dyDescent="0.45">
      <c r="A2523">
        <v>1992</v>
      </c>
      <c r="B2523" t="s">
        <v>177</v>
      </c>
      <c r="C2523">
        <v>0</v>
      </c>
      <c r="D2523">
        <v>0</v>
      </c>
      <c r="E2523">
        <v>1</v>
      </c>
      <c r="F2523">
        <v>0</v>
      </c>
      <c r="G2523">
        <v>0</v>
      </c>
      <c r="H2523">
        <v>0</v>
      </c>
      <c r="I2523">
        <v>0</v>
      </c>
      <c r="J2523">
        <v>1757.2945977499301</v>
      </c>
      <c r="K2523">
        <v>1628.0043615582299</v>
      </c>
      <c r="L2523">
        <v>75.319000000000003</v>
      </c>
      <c r="M2523">
        <v>52.945999999999998</v>
      </c>
      <c r="N2523">
        <v>145.18100000000001</v>
      </c>
    </row>
    <row r="2524" spans="1:14" x14ac:dyDescent="0.45">
      <c r="A2524">
        <v>1992</v>
      </c>
      <c r="B2524" t="s">
        <v>178</v>
      </c>
      <c r="C2524">
        <v>0</v>
      </c>
      <c r="D2524">
        <v>0</v>
      </c>
      <c r="E2524">
        <v>0</v>
      </c>
      <c r="F2524">
        <v>0</v>
      </c>
      <c r="G2524">
        <v>0</v>
      </c>
      <c r="H2524">
        <v>0</v>
      </c>
      <c r="I2524">
        <v>0</v>
      </c>
      <c r="J2524">
        <v>9120.9918246897396</v>
      </c>
      <c r="K2524">
        <v>8998.6182000049102</v>
      </c>
      <c r="L2524">
        <v>74.287000000000006</v>
      </c>
      <c r="M2524">
        <v>64.664000000000001</v>
      </c>
      <c r="N2524">
        <v>75.991</v>
      </c>
    </row>
    <row r="2525" spans="1:14" x14ac:dyDescent="0.45">
      <c r="A2525">
        <v>1992</v>
      </c>
      <c r="B2525" t="s">
        <v>179</v>
      </c>
      <c r="C2525">
        <v>0</v>
      </c>
      <c r="D2525">
        <v>1</v>
      </c>
      <c r="E2525">
        <v>0</v>
      </c>
      <c r="F2525">
        <v>0</v>
      </c>
      <c r="G2525">
        <v>1</v>
      </c>
      <c r="H2525">
        <v>0</v>
      </c>
      <c r="I2525">
        <v>0</v>
      </c>
      <c r="J2525">
        <v>17796.4059641926</v>
      </c>
      <c r="K2525">
        <v>16544.8771209281</v>
      </c>
      <c r="L2525">
        <v>27.791</v>
      </c>
      <c r="M2525">
        <v>69.662999999999997</v>
      </c>
      <c r="N2525">
        <v>41.075000000000003</v>
      </c>
    </row>
    <row r="2526" spans="1:14" x14ac:dyDescent="0.45">
      <c r="A2526">
        <v>1992</v>
      </c>
      <c r="B2526" t="s">
        <v>180</v>
      </c>
      <c r="C2526">
        <v>0</v>
      </c>
      <c r="D2526">
        <v>0</v>
      </c>
      <c r="E2526">
        <v>0</v>
      </c>
      <c r="F2526">
        <v>1</v>
      </c>
      <c r="G2526">
        <v>0</v>
      </c>
      <c r="H2526">
        <v>0</v>
      </c>
      <c r="I2526">
        <v>0</v>
      </c>
      <c r="J2526">
        <v>4029.34125092656</v>
      </c>
      <c r="K2526">
        <v>3644.4782657675801</v>
      </c>
      <c r="L2526">
        <v>34.271999999999998</v>
      </c>
      <c r="M2526">
        <v>61.9</v>
      </c>
      <c r="N2526">
        <v>45.125</v>
      </c>
    </row>
    <row r="2527" spans="1:14" x14ac:dyDescent="0.45">
      <c r="A2527">
        <v>1992</v>
      </c>
      <c r="B2527" t="s">
        <v>181</v>
      </c>
      <c r="C2527">
        <v>1</v>
      </c>
      <c r="D2527">
        <v>0</v>
      </c>
      <c r="E2527">
        <v>0</v>
      </c>
      <c r="F2527">
        <v>1</v>
      </c>
      <c r="G2527">
        <v>0</v>
      </c>
      <c r="H2527">
        <v>0</v>
      </c>
      <c r="I2527">
        <v>0</v>
      </c>
      <c r="J2527">
        <v>11486.095687635299</v>
      </c>
      <c r="K2527">
        <v>9696.4227539102994</v>
      </c>
      <c r="L2527">
        <v>41.235999999999997</v>
      </c>
      <c r="M2527">
        <v>71.302000000000007</v>
      </c>
      <c r="N2527">
        <v>35.063000000000002</v>
      </c>
    </row>
    <row r="2528" spans="1:14" x14ac:dyDescent="0.45">
      <c r="A2528">
        <v>1992</v>
      </c>
      <c r="B2528" t="s">
        <v>182</v>
      </c>
      <c r="C2528">
        <v>0</v>
      </c>
      <c r="D2528">
        <v>0</v>
      </c>
      <c r="E2528">
        <v>1</v>
      </c>
      <c r="F2528">
        <v>0</v>
      </c>
      <c r="G2528">
        <v>0</v>
      </c>
      <c r="H2528">
        <v>0</v>
      </c>
      <c r="I2528">
        <v>0</v>
      </c>
      <c r="J2528">
        <v>1679.0481125327501</v>
      </c>
      <c r="K2528">
        <v>1554.1433570714701</v>
      </c>
      <c r="L2528">
        <v>75.813999999999993</v>
      </c>
      <c r="M2528">
        <v>47.238</v>
      </c>
      <c r="N2528">
        <v>224.655</v>
      </c>
    </row>
    <row r="2529" spans="1:14" x14ac:dyDescent="0.45">
      <c r="A2529">
        <v>1992</v>
      </c>
      <c r="B2529" t="s">
        <v>183</v>
      </c>
      <c r="C2529">
        <v>0</v>
      </c>
      <c r="D2529">
        <v>0</v>
      </c>
      <c r="E2529">
        <v>0</v>
      </c>
      <c r="F2529">
        <v>0</v>
      </c>
      <c r="G2529">
        <v>1</v>
      </c>
      <c r="H2529">
        <v>0</v>
      </c>
      <c r="I2529">
        <v>0</v>
      </c>
      <c r="J2529">
        <v>19495.096831515701</v>
      </c>
      <c r="K2529">
        <v>16864.212961679401</v>
      </c>
      <c r="L2529">
        <v>9.3889999999999993</v>
      </c>
      <c r="M2529">
        <v>76.680000000000007</v>
      </c>
      <c r="N2529">
        <v>10.64</v>
      </c>
    </row>
    <row r="2530" spans="1:14" x14ac:dyDescent="0.45">
      <c r="A2530">
        <v>1992</v>
      </c>
      <c r="B2530" t="s">
        <v>184</v>
      </c>
      <c r="C2530">
        <v>0</v>
      </c>
      <c r="D2530">
        <v>0</v>
      </c>
      <c r="E2530">
        <v>0</v>
      </c>
      <c r="F2530">
        <v>0</v>
      </c>
      <c r="G2530">
        <v>0</v>
      </c>
      <c r="H2530">
        <v>0</v>
      </c>
      <c r="I2530">
        <v>0</v>
      </c>
      <c r="J2530">
        <v>821.32775504712504</v>
      </c>
      <c r="K2530">
        <v>657.63970594622697</v>
      </c>
      <c r="L2530">
        <v>74.406999999999996</v>
      </c>
      <c r="M2530">
        <v>57.680999999999997</v>
      </c>
      <c r="N2530">
        <v>109.754</v>
      </c>
    </row>
    <row r="2531" spans="1:14" x14ac:dyDescent="0.45">
      <c r="A2531">
        <v>1992</v>
      </c>
      <c r="B2531" t="s">
        <v>185</v>
      </c>
      <c r="C2531">
        <v>1</v>
      </c>
      <c r="D2531">
        <v>0</v>
      </c>
      <c r="E2531">
        <v>0</v>
      </c>
      <c r="F2531">
        <v>1</v>
      </c>
      <c r="G2531">
        <v>0</v>
      </c>
      <c r="H2531">
        <v>0</v>
      </c>
      <c r="I2531">
        <v>0</v>
      </c>
      <c r="L2531">
        <v>49.781999999999996</v>
      </c>
      <c r="M2531">
        <v>73.8</v>
      </c>
      <c r="N2531">
        <v>15.099</v>
      </c>
    </row>
    <row r="2532" spans="1:14" x14ac:dyDescent="0.45">
      <c r="A2532">
        <v>1992</v>
      </c>
      <c r="B2532" t="s">
        <v>186</v>
      </c>
      <c r="C2532">
        <v>0</v>
      </c>
      <c r="D2532">
        <v>0</v>
      </c>
      <c r="E2532">
        <v>0</v>
      </c>
      <c r="F2532">
        <v>1</v>
      </c>
      <c r="G2532">
        <v>0</v>
      </c>
      <c r="H2532">
        <v>0</v>
      </c>
      <c r="I2532">
        <v>0</v>
      </c>
      <c r="J2532">
        <v>5324.4875968998704</v>
      </c>
      <c r="K2532">
        <v>4102.38938150783</v>
      </c>
      <c r="L2532">
        <v>43.058</v>
      </c>
      <c r="M2532">
        <v>60.44</v>
      </c>
      <c r="N2532">
        <v>98.010999999999996</v>
      </c>
    </row>
    <row r="2533" spans="1:14" x14ac:dyDescent="0.45">
      <c r="A2533">
        <v>1992</v>
      </c>
      <c r="B2533" t="s">
        <v>187</v>
      </c>
      <c r="C2533">
        <v>0</v>
      </c>
      <c r="D2533">
        <v>0</v>
      </c>
      <c r="E2533">
        <v>0</v>
      </c>
      <c r="F2533">
        <v>1</v>
      </c>
      <c r="G2533">
        <v>0</v>
      </c>
      <c r="H2533">
        <v>0</v>
      </c>
      <c r="I2533">
        <v>0</v>
      </c>
      <c r="L2533">
        <v>10.337999999999999</v>
      </c>
      <c r="M2533">
        <v>70.762</v>
      </c>
      <c r="N2533">
        <v>8.6969999999999992</v>
      </c>
    </row>
    <row r="2534" spans="1:14" x14ac:dyDescent="0.45">
      <c r="A2534">
        <v>1992</v>
      </c>
      <c r="B2534" t="s">
        <v>188</v>
      </c>
      <c r="C2534">
        <v>0</v>
      </c>
      <c r="D2534">
        <v>0</v>
      </c>
      <c r="E2534">
        <v>1</v>
      </c>
      <c r="F2534">
        <v>0</v>
      </c>
      <c r="G2534">
        <v>0</v>
      </c>
      <c r="H2534">
        <v>0</v>
      </c>
      <c r="I2534">
        <v>0</v>
      </c>
      <c r="J2534">
        <v>510.82282292831002</v>
      </c>
      <c r="K2534">
        <v>427.71190137335998</v>
      </c>
      <c r="L2534">
        <v>74.02</v>
      </c>
      <c r="M2534">
        <v>45.094999999999999</v>
      </c>
      <c r="N2534">
        <v>233.59</v>
      </c>
    </row>
    <row r="2535" spans="1:14" x14ac:dyDescent="0.45">
      <c r="A2535">
        <v>1992</v>
      </c>
      <c r="B2535" t="s">
        <v>189</v>
      </c>
      <c r="C2535">
        <v>0</v>
      </c>
      <c r="D2535">
        <v>0</v>
      </c>
      <c r="E2535">
        <v>1</v>
      </c>
      <c r="F2535">
        <v>0</v>
      </c>
      <c r="G2535">
        <v>0</v>
      </c>
      <c r="H2535">
        <v>0</v>
      </c>
      <c r="I2535">
        <v>0</v>
      </c>
      <c r="J2535">
        <v>5350.1180415864201</v>
      </c>
      <c r="K2535">
        <v>4733.3209661656701</v>
      </c>
      <c r="L2535">
        <v>60.924999999999997</v>
      </c>
      <c r="M2535">
        <v>58.567999999999998</v>
      </c>
      <c r="N2535">
        <v>114.11499999999999</v>
      </c>
    </row>
    <row r="2536" spans="1:14" x14ac:dyDescent="0.45">
      <c r="A2536">
        <v>1992</v>
      </c>
      <c r="B2536" t="s">
        <v>190</v>
      </c>
      <c r="C2536">
        <v>0</v>
      </c>
      <c r="D2536">
        <v>0</v>
      </c>
      <c r="E2536">
        <v>1</v>
      </c>
      <c r="F2536">
        <v>0</v>
      </c>
      <c r="G2536">
        <v>1</v>
      </c>
      <c r="H2536">
        <v>0</v>
      </c>
      <c r="I2536">
        <v>0</v>
      </c>
      <c r="J2536">
        <v>9721.5389625835105</v>
      </c>
      <c r="K2536">
        <v>9124.8764299578306</v>
      </c>
      <c r="L2536">
        <v>56.347000000000001</v>
      </c>
      <c r="M2536">
        <v>70.212999999999994</v>
      </c>
      <c r="N2536">
        <v>21.344999999999999</v>
      </c>
    </row>
    <row r="2537" spans="1:14" x14ac:dyDescent="0.45">
      <c r="A2537">
        <v>1992</v>
      </c>
      <c r="B2537" t="s">
        <v>191</v>
      </c>
      <c r="C2537">
        <v>0</v>
      </c>
      <c r="D2537">
        <v>0</v>
      </c>
      <c r="E2537">
        <v>1</v>
      </c>
      <c r="F2537">
        <v>0</v>
      </c>
      <c r="G2537">
        <v>0</v>
      </c>
      <c r="H2537">
        <v>0</v>
      </c>
      <c r="I2537">
        <v>0</v>
      </c>
      <c r="J2537">
        <v>994.03650479047099</v>
      </c>
      <c r="K2537">
        <v>850.55863623679295</v>
      </c>
      <c r="L2537">
        <v>87.781999999999996</v>
      </c>
      <c r="M2537">
        <v>43.636000000000003</v>
      </c>
      <c r="N2537">
        <v>227.71100000000001</v>
      </c>
    </row>
    <row r="2538" spans="1:14" x14ac:dyDescent="0.45">
      <c r="A2538">
        <v>1992</v>
      </c>
      <c r="B2538" t="s">
        <v>192</v>
      </c>
      <c r="C2538">
        <v>0</v>
      </c>
      <c r="D2538">
        <v>0</v>
      </c>
      <c r="E2538">
        <v>0</v>
      </c>
      <c r="F2538">
        <v>0</v>
      </c>
      <c r="G2538">
        <v>1</v>
      </c>
      <c r="H2538">
        <v>0</v>
      </c>
      <c r="I2538">
        <v>0</v>
      </c>
      <c r="J2538">
        <v>13567.8936121181</v>
      </c>
      <c r="K2538">
        <v>12128.0959953901</v>
      </c>
      <c r="L2538">
        <v>48.186</v>
      </c>
      <c r="M2538">
        <v>71.483000000000004</v>
      </c>
      <c r="N2538">
        <v>15.180999999999999</v>
      </c>
    </row>
    <row r="2539" spans="1:14" x14ac:dyDescent="0.45">
      <c r="A2539">
        <v>1992</v>
      </c>
      <c r="B2539" t="s">
        <v>193</v>
      </c>
      <c r="C2539">
        <v>0</v>
      </c>
      <c r="D2539">
        <v>0</v>
      </c>
      <c r="E2539">
        <v>1</v>
      </c>
      <c r="F2539">
        <v>1</v>
      </c>
      <c r="G2539">
        <v>0</v>
      </c>
      <c r="H2539">
        <v>0</v>
      </c>
      <c r="I2539">
        <v>0</v>
      </c>
      <c r="J2539">
        <v>7911.0102580428102</v>
      </c>
      <c r="K2539">
        <v>6856.4710433108703</v>
      </c>
      <c r="L2539">
        <v>71.664000000000001</v>
      </c>
      <c r="M2539">
        <v>60.16</v>
      </c>
      <c r="N2539">
        <v>72.225999999999999</v>
      </c>
    </row>
    <row r="2540" spans="1:14" x14ac:dyDescent="0.45">
      <c r="A2540">
        <v>1992</v>
      </c>
      <c r="B2540" t="s">
        <v>194</v>
      </c>
      <c r="C2540">
        <v>0</v>
      </c>
      <c r="D2540">
        <v>0</v>
      </c>
      <c r="E2540">
        <v>0</v>
      </c>
      <c r="F2540">
        <v>0</v>
      </c>
      <c r="G2540">
        <v>1</v>
      </c>
      <c r="H2540">
        <v>0</v>
      </c>
      <c r="I2540">
        <v>0</v>
      </c>
      <c r="L2540">
        <v>40.137999999999998</v>
      </c>
      <c r="M2540">
        <v>70.143000000000001</v>
      </c>
      <c r="N2540">
        <v>29.727</v>
      </c>
    </row>
    <row r="2541" spans="1:14" x14ac:dyDescent="0.45">
      <c r="A2541">
        <v>1992</v>
      </c>
      <c r="B2541" t="s">
        <v>195</v>
      </c>
      <c r="C2541">
        <v>0</v>
      </c>
      <c r="D2541">
        <v>0</v>
      </c>
      <c r="E2541">
        <v>1</v>
      </c>
      <c r="F2541">
        <v>0</v>
      </c>
      <c r="G2541">
        <v>0</v>
      </c>
      <c r="H2541">
        <v>0</v>
      </c>
      <c r="I2541">
        <v>0</v>
      </c>
      <c r="J2541">
        <v>1347.33229741984</v>
      </c>
      <c r="K2541">
        <v>1070.90307244562</v>
      </c>
      <c r="L2541">
        <v>84.471000000000004</v>
      </c>
      <c r="M2541">
        <v>43.064</v>
      </c>
      <c r="N2541">
        <v>316.70400000000001</v>
      </c>
    </row>
    <row r="2542" spans="1:14" x14ac:dyDescent="0.45">
      <c r="A2542">
        <v>1992</v>
      </c>
      <c r="B2542" t="s">
        <v>196</v>
      </c>
      <c r="C2542">
        <v>0</v>
      </c>
      <c r="D2542">
        <v>0</v>
      </c>
      <c r="E2542">
        <v>1</v>
      </c>
      <c r="F2542">
        <v>0</v>
      </c>
      <c r="G2542">
        <v>0</v>
      </c>
      <c r="H2542">
        <v>0</v>
      </c>
      <c r="I2542">
        <v>0</v>
      </c>
      <c r="J2542">
        <v>3636.7712918884099</v>
      </c>
      <c r="K2542">
        <v>3215.3959787542099</v>
      </c>
      <c r="L2542">
        <v>69.322999999999993</v>
      </c>
      <c r="M2542">
        <v>45.587000000000003</v>
      </c>
      <c r="N2542">
        <v>208.34899999999999</v>
      </c>
    </row>
    <row r="2543" spans="1:14" x14ac:dyDescent="0.45">
      <c r="A2543">
        <v>1992</v>
      </c>
      <c r="B2543" t="s">
        <v>197</v>
      </c>
      <c r="C2543">
        <v>0</v>
      </c>
      <c r="D2543">
        <v>1</v>
      </c>
      <c r="E2543">
        <v>0</v>
      </c>
      <c r="F2543">
        <v>0</v>
      </c>
      <c r="G2543">
        <v>0</v>
      </c>
      <c r="H2543">
        <v>0</v>
      </c>
      <c r="I2543">
        <v>0</v>
      </c>
      <c r="J2543">
        <v>4037.27548904798</v>
      </c>
      <c r="K2543">
        <v>3400.45645149448</v>
      </c>
      <c r="L2543">
        <v>46.37</v>
      </c>
      <c r="M2543">
        <v>63.671999999999997</v>
      </c>
      <c r="N2543">
        <v>64.997</v>
      </c>
    </row>
    <row r="2544" spans="1:14" x14ac:dyDescent="0.45">
      <c r="A2544">
        <v>1992</v>
      </c>
      <c r="B2544" t="s">
        <v>198</v>
      </c>
      <c r="C2544">
        <v>1</v>
      </c>
      <c r="D2544">
        <v>0</v>
      </c>
      <c r="E2544">
        <v>0</v>
      </c>
      <c r="F2544">
        <v>0</v>
      </c>
      <c r="G2544">
        <v>0</v>
      </c>
      <c r="H2544">
        <v>1</v>
      </c>
      <c r="I2544">
        <v>1</v>
      </c>
      <c r="J2544">
        <v>44245.5254850329</v>
      </c>
      <c r="K2544">
        <v>37349.551724712503</v>
      </c>
      <c r="L2544">
        <v>29.777000000000001</v>
      </c>
      <c r="M2544">
        <v>77.364999999999995</v>
      </c>
      <c r="N2544">
        <v>7.6150000000000002</v>
      </c>
    </row>
    <row r="2545" spans="1:14" x14ac:dyDescent="0.45">
      <c r="A2545">
        <v>1992</v>
      </c>
      <c r="B2545" t="s">
        <v>199</v>
      </c>
      <c r="C2545">
        <v>1</v>
      </c>
      <c r="D2545">
        <v>0</v>
      </c>
      <c r="E2545">
        <v>0</v>
      </c>
      <c r="F2545">
        <v>0</v>
      </c>
      <c r="G2545">
        <v>0</v>
      </c>
      <c r="H2545">
        <v>1</v>
      </c>
      <c r="I2545">
        <v>1</v>
      </c>
      <c r="J2545">
        <v>60333.449466127597</v>
      </c>
      <c r="K2545">
        <v>44579.638115694303</v>
      </c>
      <c r="L2545">
        <v>27.335000000000001</v>
      </c>
      <c r="M2545">
        <v>77.245999999999995</v>
      </c>
      <c r="N2545">
        <v>7.2469999999999999</v>
      </c>
    </row>
    <row r="2546" spans="1:14" x14ac:dyDescent="0.45">
      <c r="A2546">
        <v>1992</v>
      </c>
      <c r="B2546" t="s">
        <v>200</v>
      </c>
      <c r="C2546">
        <v>0</v>
      </c>
      <c r="D2546">
        <v>0</v>
      </c>
      <c r="E2546">
        <v>0</v>
      </c>
      <c r="F2546">
        <v>0</v>
      </c>
      <c r="G2546">
        <v>0</v>
      </c>
      <c r="H2546">
        <v>0</v>
      </c>
      <c r="I2546">
        <v>0</v>
      </c>
      <c r="J2546">
        <v>1896.97166297747</v>
      </c>
      <c r="K2546">
        <v>1679.4021453550099</v>
      </c>
      <c r="L2546">
        <v>90.418000000000006</v>
      </c>
      <c r="M2546">
        <v>56.686</v>
      </c>
      <c r="N2546">
        <v>124.39700000000001</v>
      </c>
    </row>
    <row r="2547" spans="1:14" x14ac:dyDescent="0.45">
      <c r="A2547">
        <v>1992</v>
      </c>
      <c r="B2547" t="s">
        <v>201</v>
      </c>
      <c r="C2547">
        <v>0</v>
      </c>
      <c r="D2547">
        <v>0</v>
      </c>
      <c r="E2547">
        <v>0</v>
      </c>
      <c r="F2547">
        <v>0</v>
      </c>
      <c r="G2547">
        <v>0</v>
      </c>
      <c r="H2547">
        <v>1</v>
      </c>
      <c r="I2547">
        <v>1</v>
      </c>
      <c r="J2547">
        <v>19895.855054662999</v>
      </c>
      <c r="K2547">
        <v>18000.187324217499</v>
      </c>
      <c r="L2547">
        <v>0</v>
      </c>
      <c r="M2547">
        <v>59.518000000000001</v>
      </c>
      <c r="N2547">
        <v>58.801000000000002</v>
      </c>
    </row>
    <row r="2548" spans="1:14" x14ac:dyDescent="0.45">
      <c r="A2548">
        <v>1992</v>
      </c>
      <c r="B2548" t="s">
        <v>202</v>
      </c>
      <c r="C2548">
        <v>0</v>
      </c>
      <c r="D2548">
        <v>0</v>
      </c>
      <c r="E2548">
        <v>0</v>
      </c>
      <c r="F2548">
        <v>0</v>
      </c>
      <c r="G2548">
        <v>0</v>
      </c>
      <c r="H2548">
        <v>1</v>
      </c>
      <c r="I2548">
        <v>1</v>
      </c>
      <c r="J2548">
        <v>28938.0980223644</v>
      </c>
      <c r="K2548">
        <v>26320.704933592198</v>
      </c>
      <c r="L2548">
        <v>14.897</v>
      </c>
      <c r="M2548">
        <v>76.191000000000003</v>
      </c>
      <c r="N2548">
        <v>8.8279999999999994</v>
      </c>
    </row>
    <row r="2549" spans="1:14" x14ac:dyDescent="0.45">
      <c r="A2549">
        <v>1992</v>
      </c>
      <c r="B2549" t="s">
        <v>203</v>
      </c>
      <c r="C2549">
        <v>0</v>
      </c>
      <c r="D2549">
        <v>0</v>
      </c>
      <c r="E2549">
        <v>0</v>
      </c>
      <c r="F2549">
        <v>0</v>
      </c>
      <c r="G2549">
        <v>1</v>
      </c>
      <c r="H2549">
        <v>0</v>
      </c>
      <c r="I2549">
        <v>0</v>
      </c>
      <c r="J2549">
        <v>36841.4011555658</v>
      </c>
      <c r="K2549">
        <v>32012.251893379202</v>
      </c>
      <c r="L2549">
        <v>30.553000000000001</v>
      </c>
      <c r="M2549">
        <v>70.114000000000004</v>
      </c>
      <c r="N2549">
        <v>32.369999999999997</v>
      </c>
    </row>
    <row r="2550" spans="1:14" x14ac:dyDescent="0.45">
      <c r="A2550">
        <v>1992</v>
      </c>
      <c r="B2550" t="s">
        <v>204</v>
      </c>
      <c r="C2550">
        <v>0</v>
      </c>
      <c r="D2550">
        <v>0</v>
      </c>
      <c r="E2550">
        <v>0</v>
      </c>
      <c r="F2550">
        <v>0</v>
      </c>
      <c r="G2550">
        <v>0</v>
      </c>
      <c r="H2550">
        <v>0</v>
      </c>
      <c r="I2550">
        <v>0</v>
      </c>
      <c r="J2550">
        <v>3404.12138406329</v>
      </c>
      <c r="K2550">
        <v>3240.3789929446102</v>
      </c>
      <c r="L2550">
        <v>68.923000000000002</v>
      </c>
      <c r="M2550">
        <v>59.982999999999997</v>
      </c>
      <c r="N2550">
        <v>134.042</v>
      </c>
    </row>
    <row r="2551" spans="1:14" x14ac:dyDescent="0.45">
      <c r="A2551">
        <v>1992</v>
      </c>
      <c r="B2551" t="s">
        <v>205</v>
      </c>
      <c r="C2551">
        <v>0</v>
      </c>
      <c r="D2551">
        <v>1</v>
      </c>
      <c r="E2551">
        <v>0</v>
      </c>
      <c r="F2551">
        <v>1</v>
      </c>
      <c r="G2551">
        <v>0</v>
      </c>
      <c r="H2551">
        <v>0</v>
      </c>
      <c r="I2551">
        <v>0</v>
      </c>
      <c r="J2551">
        <v>12866.848707147899</v>
      </c>
      <c r="K2551">
        <v>13491.8948904927</v>
      </c>
      <c r="L2551">
        <v>44.390999999999998</v>
      </c>
      <c r="M2551">
        <v>71.460999999999999</v>
      </c>
      <c r="N2551">
        <v>29.509</v>
      </c>
    </row>
    <row r="2552" spans="1:14" x14ac:dyDescent="0.45">
      <c r="A2552">
        <v>1992</v>
      </c>
      <c r="B2552" t="s">
        <v>206</v>
      </c>
      <c r="C2552">
        <v>0</v>
      </c>
      <c r="D2552">
        <v>1</v>
      </c>
      <c r="E2552">
        <v>0</v>
      </c>
      <c r="F2552">
        <v>1</v>
      </c>
      <c r="G2552">
        <v>0</v>
      </c>
      <c r="H2552">
        <v>0</v>
      </c>
      <c r="I2552">
        <v>0</v>
      </c>
      <c r="J2552">
        <v>6161.6357525841904</v>
      </c>
      <c r="K2552">
        <v>5148.5656263308401</v>
      </c>
      <c r="L2552">
        <v>30.303000000000001</v>
      </c>
      <c r="M2552">
        <v>65.031000000000006</v>
      </c>
      <c r="N2552">
        <v>71.003</v>
      </c>
    </row>
    <row r="2553" spans="1:14" x14ac:dyDescent="0.45">
      <c r="A2553">
        <v>1992</v>
      </c>
      <c r="B2553" t="s">
        <v>207</v>
      </c>
      <c r="C2553">
        <v>0</v>
      </c>
      <c r="D2553">
        <v>0</v>
      </c>
      <c r="E2553">
        <v>0</v>
      </c>
      <c r="F2553">
        <v>1</v>
      </c>
      <c r="G2553">
        <v>0</v>
      </c>
      <c r="H2553">
        <v>0</v>
      </c>
      <c r="I2553">
        <v>0</v>
      </c>
      <c r="J2553">
        <v>4293.7181013108102</v>
      </c>
      <c r="K2553">
        <v>3888.3935763157401</v>
      </c>
      <c r="L2553">
        <v>53.185000000000002</v>
      </c>
      <c r="M2553">
        <v>65.352999999999994</v>
      </c>
      <c r="N2553">
        <v>50.856000000000002</v>
      </c>
    </row>
    <row r="2554" spans="1:14" x14ac:dyDescent="0.45">
      <c r="A2554">
        <v>1992</v>
      </c>
      <c r="B2554" t="s">
        <v>208</v>
      </c>
      <c r="C2554">
        <v>0</v>
      </c>
      <c r="D2554">
        <v>0</v>
      </c>
      <c r="E2554">
        <v>0</v>
      </c>
      <c r="F2554">
        <v>0</v>
      </c>
      <c r="G2554">
        <v>1</v>
      </c>
      <c r="H2554">
        <v>0</v>
      </c>
      <c r="I2554">
        <v>0</v>
      </c>
      <c r="J2554">
        <v>16719.493147640798</v>
      </c>
      <c r="K2554">
        <v>15126.467688704301</v>
      </c>
      <c r="L2554">
        <v>29.663</v>
      </c>
      <c r="M2554">
        <v>62.926000000000002</v>
      </c>
      <c r="N2554">
        <v>33.884999999999998</v>
      </c>
    </row>
    <row r="2555" spans="1:14" x14ac:dyDescent="0.45">
      <c r="A2555">
        <v>1992</v>
      </c>
      <c r="B2555" t="s">
        <v>209</v>
      </c>
      <c r="C2555">
        <v>0</v>
      </c>
      <c r="D2555">
        <v>0</v>
      </c>
      <c r="E2555">
        <v>0</v>
      </c>
      <c r="F2555">
        <v>1</v>
      </c>
      <c r="G2555">
        <v>0</v>
      </c>
      <c r="H2555">
        <v>0</v>
      </c>
      <c r="I2555">
        <v>0</v>
      </c>
      <c r="J2555">
        <v>3690.34502629694</v>
      </c>
      <c r="K2555">
        <v>3338.2910776684098</v>
      </c>
      <c r="L2555">
        <v>85.370999999999995</v>
      </c>
      <c r="M2555">
        <v>60.26</v>
      </c>
      <c r="N2555">
        <v>81.879000000000005</v>
      </c>
    </row>
    <row r="2556" spans="1:14" x14ac:dyDescent="0.45">
      <c r="A2556">
        <v>1992</v>
      </c>
      <c r="B2556" t="s">
        <v>210</v>
      </c>
      <c r="C2556">
        <v>1</v>
      </c>
      <c r="D2556">
        <v>0</v>
      </c>
      <c r="E2556">
        <v>0</v>
      </c>
      <c r="F2556">
        <v>1</v>
      </c>
      <c r="G2556">
        <v>0</v>
      </c>
      <c r="H2556">
        <v>0</v>
      </c>
      <c r="I2556">
        <v>0</v>
      </c>
      <c r="J2556">
        <v>12141.2351323725</v>
      </c>
      <c r="K2556">
        <v>10479.9628416048</v>
      </c>
      <c r="L2556">
        <v>38.640999999999998</v>
      </c>
      <c r="M2556">
        <v>70.900000000000006</v>
      </c>
      <c r="N2556">
        <v>19.007000000000001</v>
      </c>
    </row>
    <row r="2557" spans="1:14" x14ac:dyDescent="0.45">
      <c r="A2557">
        <v>1992</v>
      </c>
      <c r="B2557" t="s">
        <v>211</v>
      </c>
      <c r="C2557">
        <v>0</v>
      </c>
      <c r="D2557">
        <v>1</v>
      </c>
      <c r="E2557">
        <v>0</v>
      </c>
      <c r="F2557">
        <v>0</v>
      </c>
      <c r="G2557">
        <v>1</v>
      </c>
      <c r="H2557">
        <v>0</v>
      </c>
      <c r="I2557">
        <v>0</v>
      </c>
      <c r="J2557">
        <v>28219.116049829299</v>
      </c>
      <c r="K2557">
        <v>21679.074361606599</v>
      </c>
      <c r="L2557">
        <v>6.7329999999999997</v>
      </c>
      <c r="M2557">
        <v>73.387</v>
      </c>
      <c r="N2557">
        <v>20.053999999999998</v>
      </c>
    </row>
    <row r="2558" spans="1:14" x14ac:dyDescent="0.45">
      <c r="A2558">
        <v>1992</v>
      </c>
      <c r="B2558" t="s">
        <v>212</v>
      </c>
      <c r="C2558">
        <v>0</v>
      </c>
      <c r="D2558">
        <v>0</v>
      </c>
      <c r="E2558">
        <v>0</v>
      </c>
      <c r="F2558">
        <v>1</v>
      </c>
      <c r="G2558">
        <v>0</v>
      </c>
      <c r="H2558">
        <v>0</v>
      </c>
      <c r="I2558">
        <v>0</v>
      </c>
      <c r="L2558">
        <v>41.320999999999998</v>
      </c>
      <c r="M2558">
        <v>71.009</v>
      </c>
      <c r="N2558">
        <v>42.588000000000001</v>
      </c>
    </row>
    <row r="2559" spans="1:14" x14ac:dyDescent="0.45">
      <c r="A2559">
        <v>1992</v>
      </c>
      <c r="B2559" t="s">
        <v>213</v>
      </c>
      <c r="C2559">
        <v>1</v>
      </c>
      <c r="D2559">
        <v>0</v>
      </c>
      <c r="E2559">
        <v>0</v>
      </c>
      <c r="F2559">
        <v>0</v>
      </c>
      <c r="G2559">
        <v>1</v>
      </c>
      <c r="H2559">
        <v>0</v>
      </c>
      <c r="I2559">
        <v>0</v>
      </c>
      <c r="J2559">
        <v>28776.0473060554</v>
      </c>
      <c r="K2559">
        <v>24873.528799445201</v>
      </c>
      <c r="L2559">
        <v>50.87</v>
      </c>
      <c r="M2559">
        <v>74.870999999999995</v>
      </c>
      <c r="N2559">
        <v>12.031000000000001</v>
      </c>
    </row>
    <row r="2560" spans="1:14" x14ac:dyDescent="0.45">
      <c r="A2560">
        <v>1992</v>
      </c>
      <c r="B2560" t="s">
        <v>214</v>
      </c>
      <c r="C2560">
        <v>0</v>
      </c>
      <c r="D2560">
        <v>1</v>
      </c>
      <c r="E2560">
        <v>0</v>
      </c>
      <c r="F2560">
        <v>1</v>
      </c>
      <c r="G2560">
        <v>0</v>
      </c>
      <c r="H2560">
        <v>0</v>
      </c>
      <c r="I2560">
        <v>0</v>
      </c>
      <c r="J2560">
        <v>9948.4211814551199</v>
      </c>
      <c r="K2560">
        <v>9076.3329794078309</v>
      </c>
      <c r="L2560">
        <v>49.814</v>
      </c>
      <c r="M2560">
        <v>67.960999999999999</v>
      </c>
      <c r="N2560">
        <v>42.584000000000003</v>
      </c>
    </row>
    <row r="2561" spans="1:14" x14ac:dyDescent="0.45">
      <c r="A2561">
        <v>1992</v>
      </c>
      <c r="B2561" t="s">
        <v>215</v>
      </c>
      <c r="C2561">
        <v>0</v>
      </c>
      <c r="D2561">
        <v>0</v>
      </c>
      <c r="E2561">
        <v>0</v>
      </c>
      <c r="F2561">
        <v>1</v>
      </c>
      <c r="G2561">
        <v>0</v>
      </c>
      <c r="H2561">
        <v>0</v>
      </c>
      <c r="I2561">
        <v>0</v>
      </c>
      <c r="L2561">
        <v>31.274000000000001</v>
      </c>
      <c r="M2561">
        <v>68.477999999999994</v>
      </c>
      <c r="N2561">
        <v>41.235999999999997</v>
      </c>
    </row>
    <row r="2562" spans="1:14" x14ac:dyDescent="0.45">
      <c r="A2562">
        <v>1992</v>
      </c>
      <c r="B2562" t="s">
        <v>216</v>
      </c>
      <c r="C2562">
        <v>0</v>
      </c>
      <c r="D2562">
        <v>0</v>
      </c>
      <c r="E2562">
        <v>0</v>
      </c>
      <c r="F2562">
        <v>0</v>
      </c>
      <c r="G2562">
        <v>0</v>
      </c>
      <c r="H2562">
        <v>1</v>
      </c>
      <c r="I2562">
        <v>1</v>
      </c>
      <c r="L2562">
        <v>42.633000000000003</v>
      </c>
      <c r="M2562">
        <v>74.745999999999995</v>
      </c>
      <c r="N2562">
        <v>17.931000000000001</v>
      </c>
    </row>
    <row r="2563" spans="1:14" x14ac:dyDescent="0.45">
      <c r="A2563">
        <v>1992</v>
      </c>
      <c r="B2563" t="s">
        <v>217</v>
      </c>
      <c r="C2563">
        <v>0</v>
      </c>
      <c r="D2563">
        <v>0</v>
      </c>
      <c r="E2563">
        <v>0</v>
      </c>
      <c r="F2563">
        <v>0</v>
      </c>
      <c r="G2563">
        <v>0</v>
      </c>
      <c r="H2563">
        <v>1</v>
      </c>
      <c r="I2563">
        <v>1</v>
      </c>
      <c r="J2563">
        <v>73451.024449290504</v>
      </c>
      <c r="K2563">
        <v>63424.802569833097</v>
      </c>
      <c r="L2563">
        <v>6.2369999999999903</v>
      </c>
      <c r="M2563">
        <v>73.876000000000005</v>
      </c>
      <c r="N2563">
        <v>18.295000000000002</v>
      </c>
    </row>
    <row r="2564" spans="1:14" x14ac:dyDescent="0.45">
      <c r="A2564">
        <v>1992</v>
      </c>
      <c r="B2564" t="s">
        <v>218</v>
      </c>
      <c r="C2564">
        <v>1</v>
      </c>
      <c r="D2564">
        <v>0</v>
      </c>
      <c r="E2564">
        <v>0</v>
      </c>
      <c r="F2564">
        <v>1</v>
      </c>
      <c r="G2564">
        <v>0</v>
      </c>
      <c r="H2564">
        <v>0</v>
      </c>
      <c r="I2564">
        <v>0</v>
      </c>
      <c r="J2564">
        <v>13193.624875239</v>
      </c>
      <c r="K2564">
        <v>10724.2541284611</v>
      </c>
      <c r="L2564">
        <v>45.773000000000003</v>
      </c>
      <c r="M2564">
        <v>69.506</v>
      </c>
      <c r="N2564">
        <v>28.777000000000001</v>
      </c>
    </row>
    <row r="2565" spans="1:14" x14ac:dyDescent="0.45">
      <c r="A2565">
        <v>1992</v>
      </c>
      <c r="B2565" t="s">
        <v>219</v>
      </c>
      <c r="C2565">
        <v>1</v>
      </c>
      <c r="D2565">
        <v>0</v>
      </c>
      <c r="E2565">
        <v>0</v>
      </c>
      <c r="F2565">
        <v>1</v>
      </c>
      <c r="G2565">
        <v>0</v>
      </c>
      <c r="H2565">
        <v>0</v>
      </c>
      <c r="I2565">
        <v>0</v>
      </c>
      <c r="J2565">
        <v>23965.244140625</v>
      </c>
      <c r="K2565">
        <v>17367.640284693302</v>
      </c>
      <c r="L2565">
        <v>26.614999999999998</v>
      </c>
      <c r="M2565">
        <v>67.843000000000004</v>
      </c>
      <c r="N2565">
        <v>21.161000000000001</v>
      </c>
    </row>
    <row r="2566" spans="1:14" x14ac:dyDescent="0.45">
      <c r="A2566">
        <v>1992</v>
      </c>
      <c r="B2566" t="s">
        <v>220</v>
      </c>
      <c r="C2566">
        <v>0</v>
      </c>
      <c r="D2566">
        <v>0</v>
      </c>
      <c r="E2566">
        <v>1</v>
      </c>
      <c r="F2566">
        <v>0</v>
      </c>
      <c r="G2566">
        <v>0</v>
      </c>
      <c r="H2566">
        <v>0</v>
      </c>
      <c r="I2566">
        <v>0</v>
      </c>
      <c r="J2566">
        <v>1112.5903445689701</v>
      </c>
      <c r="K2566">
        <v>931.07552120245396</v>
      </c>
      <c r="L2566">
        <v>93.712000000000003</v>
      </c>
      <c r="M2566">
        <v>44.396999999999998</v>
      </c>
      <c r="N2566">
        <v>177.00899999999999</v>
      </c>
    </row>
    <row r="2567" spans="1:14" x14ac:dyDescent="0.45">
      <c r="A2567">
        <v>1992</v>
      </c>
      <c r="B2567" t="s">
        <v>221</v>
      </c>
      <c r="C2567">
        <v>0</v>
      </c>
      <c r="D2567">
        <v>0</v>
      </c>
      <c r="E2567">
        <v>0</v>
      </c>
      <c r="F2567">
        <v>0</v>
      </c>
      <c r="G2567">
        <v>1</v>
      </c>
      <c r="H2567">
        <v>0</v>
      </c>
      <c r="I2567">
        <v>0</v>
      </c>
      <c r="J2567">
        <v>67183.910029094506</v>
      </c>
      <c r="K2567">
        <v>61592.733403956503</v>
      </c>
      <c r="L2567">
        <v>22.149000000000001</v>
      </c>
      <c r="M2567">
        <v>69.799000000000007</v>
      </c>
      <c r="N2567">
        <v>38.177</v>
      </c>
    </row>
    <row r="2568" spans="1:14" x14ac:dyDescent="0.45">
      <c r="A2568">
        <v>1992</v>
      </c>
      <c r="B2568" t="s">
        <v>222</v>
      </c>
      <c r="C2568">
        <v>0</v>
      </c>
      <c r="D2568">
        <v>0</v>
      </c>
      <c r="E2568">
        <v>1</v>
      </c>
      <c r="F2568">
        <v>0</v>
      </c>
      <c r="G2568">
        <v>0</v>
      </c>
      <c r="H2568">
        <v>0</v>
      </c>
      <c r="I2568">
        <v>0</v>
      </c>
      <c r="J2568">
        <v>2709.7900390625</v>
      </c>
      <c r="K2568">
        <v>2837.5075224381198</v>
      </c>
      <c r="L2568">
        <v>68.897000000000006</v>
      </c>
      <c r="M2568">
        <v>55.951999999999998</v>
      </c>
      <c r="N2568">
        <v>126.977</v>
      </c>
    </row>
    <row r="2569" spans="1:14" x14ac:dyDescent="0.45">
      <c r="A2569">
        <v>1992</v>
      </c>
      <c r="B2569" t="s">
        <v>223</v>
      </c>
      <c r="C2569">
        <v>0</v>
      </c>
      <c r="D2569">
        <v>0</v>
      </c>
      <c r="E2569">
        <v>1</v>
      </c>
      <c r="F2569">
        <v>1</v>
      </c>
      <c r="G2569">
        <v>0</v>
      </c>
      <c r="H2569">
        <v>0</v>
      </c>
      <c r="I2569">
        <v>0</v>
      </c>
      <c r="J2569">
        <v>2874.0029796631102</v>
      </c>
      <c r="K2569">
        <v>2401.05420092643</v>
      </c>
      <c r="L2569">
        <v>60.82</v>
      </c>
      <c r="M2569">
        <v>57.286999999999999</v>
      </c>
      <c r="N2569">
        <v>138.203</v>
      </c>
    </row>
    <row r="2570" spans="1:14" x14ac:dyDescent="0.45">
      <c r="A2570">
        <v>1992</v>
      </c>
      <c r="B2570" t="s">
        <v>224</v>
      </c>
      <c r="C2570">
        <v>0</v>
      </c>
      <c r="D2570">
        <v>0</v>
      </c>
      <c r="E2570">
        <v>0</v>
      </c>
      <c r="F2570">
        <v>0</v>
      </c>
      <c r="G2570">
        <v>0</v>
      </c>
      <c r="H2570">
        <v>1</v>
      </c>
      <c r="I2570">
        <v>1</v>
      </c>
      <c r="J2570">
        <v>48897.810341575001</v>
      </c>
      <c r="K2570">
        <v>40195.824632777301</v>
      </c>
      <c r="L2570">
        <v>0</v>
      </c>
      <c r="M2570">
        <v>75.325999999999993</v>
      </c>
      <c r="N2570">
        <v>6.3689999999999998</v>
      </c>
    </row>
    <row r="2571" spans="1:14" x14ac:dyDescent="0.45">
      <c r="A2571">
        <v>1992</v>
      </c>
      <c r="B2571" t="s">
        <v>225</v>
      </c>
      <c r="C2571">
        <v>0</v>
      </c>
      <c r="D2571">
        <v>0</v>
      </c>
      <c r="E2571">
        <v>0</v>
      </c>
      <c r="F2571">
        <v>1</v>
      </c>
      <c r="G2571">
        <v>0</v>
      </c>
      <c r="H2571">
        <v>0</v>
      </c>
      <c r="I2571">
        <v>0</v>
      </c>
      <c r="J2571">
        <v>2644.5236130120302</v>
      </c>
      <c r="K2571">
        <v>2392.1645522280401</v>
      </c>
      <c r="L2571">
        <v>85.935000000000002</v>
      </c>
      <c r="M2571">
        <v>66.471000000000004</v>
      </c>
      <c r="N2571">
        <v>36.287999999999997</v>
      </c>
    </row>
    <row r="2572" spans="1:14" x14ac:dyDescent="0.45">
      <c r="A2572">
        <v>1992</v>
      </c>
      <c r="B2572" t="s">
        <v>226</v>
      </c>
      <c r="C2572">
        <v>0</v>
      </c>
      <c r="D2572">
        <v>0</v>
      </c>
      <c r="E2572">
        <v>1</v>
      </c>
      <c r="F2572">
        <v>0</v>
      </c>
      <c r="G2572">
        <v>0</v>
      </c>
      <c r="H2572">
        <v>0</v>
      </c>
      <c r="I2572">
        <v>0</v>
      </c>
      <c r="J2572">
        <v>2259.48029067587</v>
      </c>
      <c r="K2572">
        <v>2050.8637872402501</v>
      </c>
      <c r="L2572">
        <v>66.28</v>
      </c>
      <c r="M2572">
        <v>43.451000000000001</v>
      </c>
      <c r="N2572">
        <v>255.28</v>
      </c>
    </row>
    <row r="2573" spans="1:14" x14ac:dyDescent="0.45">
      <c r="A2573">
        <v>1992</v>
      </c>
      <c r="B2573" t="s">
        <v>227</v>
      </c>
      <c r="C2573">
        <v>0</v>
      </c>
      <c r="D2573">
        <v>1</v>
      </c>
      <c r="E2573">
        <v>0</v>
      </c>
      <c r="F2573">
        <v>1</v>
      </c>
      <c r="G2573">
        <v>0</v>
      </c>
      <c r="H2573">
        <v>0</v>
      </c>
      <c r="I2573">
        <v>0</v>
      </c>
      <c r="J2573">
        <v>6275.1876711690502</v>
      </c>
      <c r="K2573">
        <v>5589.6258991934401</v>
      </c>
      <c r="L2573">
        <v>49.685000000000002</v>
      </c>
      <c r="M2573">
        <v>62.944000000000003</v>
      </c>
      <c r="N2573">
        <v>57.26</v>
      </c>
    </row>
    <row r="2574" spans="1:14" x14ac:dyDescent="0.45">
      <c r="A2574">
        <v>1992</v>
      </c>
      <c r="B2574" t="s">
        <v>228</v>
      </c>
      <c r="C2574">
        <v>1</v>
      </c>
      <c r="D2574">
        <v>0</v>
      </c>
      <c r="E2574">
        <v>0</v>
      </c>
      <c r="F2574">
        <v>0</v>
      </c>
      <c r="G2574">
        <v>0</v>
      </c>
      <c r="H2574">
        <v>1</v>
      </c>
      <c r="I2574">
        <v>1</v>
      </c>
      <c r="L2574">
        <v>9.5999999999999908</v>
      </c>
      <c r="M2574">
        <v>78.132999999999996</v>
      </c>
      <c r="N2574">
        <v>10.37</v>
      </c>
    </row>
    <row r="2575" spans="1:14" x14ac:dyDescent="0.45">
      <c r="A2575">
        <v>1992</v>
      </c>
      <c r="B2575" t="s">
        <v>229</v>
      </c>
      <c r="C2575">
        <v>0</v>
      </c>
      <c r="D2575">
        <v>0</v>
      </c>
      <c r="E2575">
        <v>1</v>
      </c>
      <c r="F2575">
        <v>0</v>
      </c>
      <c r="G2575">
        <v>0</v>
      </c>
      <c r="H2575">
        <v>0</v>
      </c>
      <c r="I2575">
        <v>0</v>
      </c>
      <c r="J2575">
        <v>803.49867534139105</v>
      </c>
      <c r="K2575">
        <v>745.27256794577397</v>
      </c>
      <c r="L2575">
        <v>69.641000000000005</v>
      </c>
      <c r="M2575">
        <v>25.033999999999999</v>
      </c>
      <c r="N2575">
        <v>447.63600000000002</v>
      </c>
    </row>
    <row r="2576" spans="1:14" x14ac:dyDescent="0.45">
      <c r="A2576">
        <v>1992</v>
      </c>
      <c r="B2576" t="s">
        <v>230</v>
      </c>
      <c r="C2576">
        <v>1</v>
      </c>
      <c r="D2576">
        <v>0</v>
      </c>
      <c r="E2576">
        <v>0</v>
      </c>
      <c r="F2576">
        <v>1</v>
      </c>
      <c r="G2576">
        <v>0</v>
      </c>
      <c r="H2576">
        <v>0</v>
      </c>
      <c r="I2576">
        <v>0</v>
      </c>
      <c r="L2576">
        <v>49.018999999999998</v>
      </c>
      <c r="M2576">
        <v>71.628</v>
      </c>
      <c r="N2576">
        <v>17.146999999999998</v>
      </c>
    </row>
    <row r="2577" spans="1:14" x14ac:dyDescent="0.45">
      <c r="A2577">
        <v>1992</v>
      </c>
      <c r="B2577" t="s">
        <v>231</v>
      </c>
      <c r="C2577">
        <v>0</v>
      </c>
      <c r="D2577">
        <v>0</v>
      </c>
      <c r="E2577">
        <v>1</v>
      </c>
      <c r="F2577">
        <v>1</v>
      </c>
      <c r="G2577">
        <v>0</v>
      </c>
      <c r="H2577">
        <v>0</v>
      </c>
      <c r="I2577">
        <v>0</v>
      </c>
      <c r="L2577">
        <v>85.087999999999994</v>
      </c>
      <c r="M2577">
        <v>21.937999999999999</v>
      </c>
      <c r="N2577">
        <v>313.36399999999998</v>
      </c>
    </row>
    <row r="2578" spans="1:14" x14ac:dyDescent="0.45">
      <c r="A2578">
        <v>1992</v>
      </c>
      <c r="B2578" t="s">
        <v>232</v>
      </c>
      <c r="C2578">
        <v>0</v>
      </c>
      <c r="D2578">
        <v>0</v>
      </c>
      <c r="E2578">
        <v>1</v>
      </c>
      <c r="F2578">
        <v>0</v>
      </c>
      <c r="G2578">
        <v>0</v>
      </c>
      <c r="H2578">
        <v>0</v>
      </c>
      <c r="I2578">
        <v>0</v>
      </c>
      <c r="J2578">
        <v>3798.8835292951399</v>
      </c>
      <c r="K2578">
        <v>2364.36539655562</v>
      </c>
      <c r="L2578">
        <v>54.235999999999997</v>
      </c>
      <c r="M2578">
        <v>60.706000000000003</v>
      </c>
      <c r="N2578">
        <v>106.893</v>
      </c>
    </row>
    <row r="2579" spans="1:14" x14ac:dyDescent="0.45">
      <c r="A2579">
        <v>1992</v>
      </c>
      <c r="B2579" t="s">
        <v>233</v>
      </c>
      <c r="C2579">
        <v>0</v>
      </c>
      <c r="D2579">
        <v>1</v>
      </c>
      <c r="E2579">
        <v>0</v>
      </c>
      <c r="F2579">
        <v>0</v>
      </c>
      <c r="G2579">
        <v>1</v>
      </c>
      <c r="H2579">
        <v>0</v>
      </c>
      <c r="I2579">
        <v>0</v>
      </c>
      <c r="J2579">
        <v>17455.125645432199</v>
      </c>
      <c r="K2579">
        <v>13893.924389530101</v>
      </c>
      <c r="L2579">
        <v>34.146000000000001</v>
      </c>
      <c r="M2579">
        <v>62.246000000000002</v>
      </c>
      <c r="N2579">
        <v>41.826000000000001</v>
      </c>
    </row>
    <row r="2580" spans="1:14" x14ac:dyDescent="0.45">
      <c r="A2580">
        <v>1992</v>
      </c>
      <c r="B2580" t="s">
        <v>234</v>
      </c>
      <c r="C2580">
        <v>1</v>
      </c>
      <c r="D2580">
        <v>0</v>
      </c>
      <c r="E2580">
        <v>0</v>
      </c>
      <c r="F2580">
        <v>1</v>
      </c>
      <c r="G2580">
        <v>0</v>
      </c>
      <c r="H2580">
        <v>0</v>
      </c>
      <c r="I2580">
        <v>0</v>
      </c>
      <c r="J2580">
        <v>13946.1357593389</v>
      </c>
      <c r="K2580">
        <v>12011.5673359137</v>
      </c>
      <c r="L2580">
        <v>43.280999999999999</v>
      </c>
      <c r="M2580">
        <v>71.364999999999995</v>
      </c>
      <c r="N2580">
        <v>14.32</v>
      </c>
    </row>
    <row r="2581" spans="1:14" x14ac:dyDescent="0.45">
      <c r="A2581">
        <v>1992</v>
      </c>
      <c r="B2581" t="s">
        <v>235</v>
      </c>
      <c r="C2581">
        <v>1</v>
      </c>
      <c r="D2581">
        <v>0</v>
      </c>
      <c r="E2581">
        <v>0</v>
      </c>
      <c r="F2581">
        <v>0</v>
      </c>
      <c r="G2581">
        <v>1</v>
      </c>
      <c r="H2581">
        <v>0</v>
      </c>
      <c r="I2581">
        <v>0</v>
      </c>
      <c r="J2581">
        <v>21851.447639324801</v>
      </c>
      <c r="K2581">
        <v>18809.828642587501</v>
      </c>
      <c r="L2581">
        <v>49.457000000000001</v>
      </c>
      <c r="M2581">
        <v>73.418999999999997</v>
      </c>
      <c r="N2581">
        <v>9.2989999999999995</v>
      </c>
    </row>
    <row r="2582" spans="1:14" x14ac:dyDescent="0.45">
      <c r="A2582">
        <v>1992</v>
      </c>
      <c r="B2582" t="s">
        <v>236</v>
      </c>
      <c r="C2582">
        <v>1</v>
      </c>
      <c r="D2582">
        <v>0</v>
      </c>
      <c r="E2582">
        <v>0</v>
      </c>
      <c r="F2582">
        <v>0</v>
      </c>
      <c r="G2582">
        <v>0</v>
      </c>
      <c r="H2582">
        <v>1</v>
      </c>
      <c r="I2582">
        <v>1</v>
      </c>
      <c r="J2582">
        <v>38789.126086233096</v>
      </c>
      <c r="K2582">
        <v>33134.387234329501</v>
      </c>
      <c r="L2582">
        <v>16.638999999999999</v>
      </c>
      <c r="M2582">
        <v>78.070999999999998</v>
      </c>
      <c r="N2582">
        <v>6.2290000000000001</v>
      </c>
    </row>
    <row r="2583" spans="1:14" x14ac:dyDescent="0.45">
      <c r="A2583">
        <v>1992</v>
      </c>
      <c r="B2583" t="s">
        <v>237</v>
      </c>
      <c r="C2583">
        <v>0</v>
      </c>
      <c r="D2583">
        <v>0</v>
      </c>
      <c r="E2583">
        <v>1</v>
      </c>
      <c r="F2583">
        <v>1</v>
      </c>
      <c r="G2583">
        <v>0</v>
      </c>
      <c r="H2583">
        <v>0</v>
      </c>
      <c r="I2583">
        <v>0</v>
      </c>
      <c r="J2583">
        <v>5364.3232328516597</v>
      </c>
      <c r="K2583">
        <v>4750.1092054294204</v>
      </c>
      <c r="L2583">
        <v>78.981999999999999</v>
      </c>
      <c r="M2583">
        <v>59.283999999999999</v>
      </c>
      <c r="N2583">
        <v>73.293999999999997</v>
      </c>
    </row>
    <row r="2584" spans="1:14" x14ac:dyDescent="0.45">
      <c r="A2584">
        <v>1992</v>
      </c>
      <c r="B2584" t="s">
        <v>238</v>
      </c>
      <c r="C2584">
        <v>0</v>
      </c>
      <c r="D2584">
        <v>1</v>
      </c>
      <c r="E2584">
        <v>0</v>
      </c>
      <c r="F2584">
        <v>0</v>
      </c>
      <c r="G2584">
        <v>0</v>
      </c>
      <c r="H2584">
        <v>1</v>
      </c>
      <c r="I2584">
        <v>1</v>
      </c>
      <c r="L2584">
        <v>0</v>
      </c>
      <c r="M2584">
        <v>72.402000000000001</v>
      </c>
      <c r="N2584">
        <v>25.283999999999999</v>
      </c>
    </row>
    <row r="2585" spans="1:14" x14ac:dyDescent="0.45">
      <c r="A2585">
        <v>1992</v>
      </c>
      <c r="B2585" t="s">
        <v>239</v>
      </c>
      <c r="C2585">
        <v>0</v>
      </c>
      <c r="D2585">
        <v>0</v>
      </c>
      <c r="E2585">
        <v>1</v>
      </c>
      <c r="F2585">
        <v>0</v>
      </c>
      <c r="G2585">
        <v>1</v>
      </c>
      <c r="H2585">
        <v>0</v>
      </c>
      <c r="I2585">
        <v>0</v>
      </c>
      <c r="J2585">
        <v>16744.508081603399</v>
      </c>
      <c r="K2585">
        <v>16256.403661116799</v>
      </c>
      <c r="L2585">
        <v>50.637999999999998</v>
      </c>
      <c r="M2585">
        <v>70.346000000000004</v>
      </c>
      <c r="N2585">
        <v>15.441000000000001</v>
      </c>
    </row>
    <row r="2586" spans="1:14" x14ac:dyDescent="0.45">
      <c r="A2586">
        <v>1992</v>
      </c>
      <c r="B2586" t="s">
        <v>240</v>
      </c>
      <c r="C2586">
        <v>0</v>
      </c>
      <c r="D2586">
        <v>0</v>
      </c>
      <c r="E2586">
        <v>0</v>
      </c>
      <c r="F2586">
        <v>1</v>
      </c>
      <c r="G2586">
        <v>0</v>
      </c>
      <c r="H2586">
        <v>0</v>
      </c>
      <c r="I2586">
        <v>0</v>
      </c>
      <c r="J2586">
        <v>6662.2431424016504</v>
      </c>
      <c r="K2586">
        <v>4369.9480122371197</v>
      </c>
      <c r="L2586">
        <v>50.652999999999999</v>
      </c>
      <c r="M2586">
        <v>70.242999999999995</v>
      </c>
      <c r="N2586">
        <v>33.634</v>
      </c>
    </row>
    <row r="2587" spans="1:14" x14ac:dyDescent="0.45">
      <c r="A2587">
        <v>1992</v>
      </c>
      <c r="B2587" t="s">
        <v>241</v>
      </c>
      <c r="C2587">
        <v>0</v>
      </c>
      <c r="D2587">
        <v>1</v>
      </c>
      <c r="E2587">
        <v>0</v>
      </c>
      <c r="F2587">
        <v>0</v>
      </c>
      <c r="G2587">
        <v>0</v>
      </c>
      <c r="H2587">
        <v>1</v>
      </c>
      <c r="I2587">
        <v>1</v>
      </c>
      <c r="L2587">
        <v>23.306000000000001</v>
      </c>
      <c r="M2587">
        <v>70.887</v>
      </c>
      <c r="N2587">
        <v>16.542999999999999</v>
      </c>
    </row>
    <row r="2588" spans="1:14" x14ac:dyDescent="0.45">
      <c r="A2588">
        <v>1992</v>
      </c>
      <c r="B2588" t="s">
        <v>242</v>
      </c>
      <c r="C2588">
        <v>0</v>
      </c>
      <c r="D2588">
        <v>0</v>
      </c>
      <c r="E2588">
        <v>1</v>
      </c>
      <c r="F2588">
        <v>0</v>
      </c>
      <c r="G2588">
        <v>0</v>
      </c>
      <c r="H2588">
        <v>0</v>
      </c>
      <c r="I2588">
        <v>0</v>
      </c>
      <c r="J2588">
        <v>1846.82289144889</v>
      </c>
      <c r="K2588">
        <v>1551.3980443227499</v>
      </c>
      <c r="L2588">
        <v>78.765000000000001</v>
      </c>
      <c r="M2588">
        <v>46.777000000000001</v>
      </c>
      <c r="N2588">
        <v>207.464</v>
      </c>
    </row>
    <row r="2589" spans="1:14" x14ac:dyDescent="0.45">
      <c r="A2589">
        <v>1992</v>
      </c>
      <c r="B2589" t="s">
        <v>243</v>
      </c>
      <c r="C2589">
        <v>0</v>
      </c>
      <c r="D2589">
        <v>0</v>
      </c>
      <c r="E2589">
        <v>1</v>
      </c>
      <c r="F2589">
        <v>0</v>
      </c>
      <c r="G2589">
        <v>0</v>
      </c>
      <c r="H2589">
        <v>0</v>
      </c>
      <c r="I2589">
        <v>0</v>
      </c>
      <c r="J2589">
        <v>1955.33380539261</v>
      </c>
      <c r="K2589">
        <v>1624.9561926436199</v>
      </c>
      <c r="L2589">
        <v>70.575000000000003</v>
      </c>
      <c r="M2589">
        <v>54.076999999999998</v>
      </c>
      <c r="N2589">
        <v>143.72399999999999</v>
      </c>
    </row>
    <row r="2590" spans="1:14" x14ac:dyDescent="0.45">
      <c r="A2590">
        <v>1992</v>
      </c>
      <c r="B2590" t="s">
        <v>244</v>
      </c>
      <c r="C2590">
        <v>0</v>
      </c>
      <c r="D2590">
        <v>0</v>
      </c>
      <c r="E2590">
        <v>0</v>
      </c>
      <c r="F2590">
        <v>1</v>
      </c>
      <c r="G2590">
        <v>0</v>
      </c>
      <c r="H2590">
        <v>0</v>
      </c>
      <c r="I2590">
        <v>0</v>
      </c>
      <c r="J2590">
        <v>9886.8998286912101</v>
      </c>
      <c r="K2590">
        <v>8646.3615876246604</v>
      </c>
      <c r="L2590">
        <v>70.236999999999995</v>
      </c>
      <c r="M2590">
        <v>69.352999999999994</v>
      </c>
      <c r="N2590">
        <v>33.139000000000003</v>
      </c>
    </row>
    <row r="2591" spans="1:14" x14ac:dyDescent="0.45">
      <c r="A2591">
        <v>1992</v>
      </c>
      <c r="B2591" t="s">
        <v>245</v>
      </c>
      <c r="C2591">
        <v>1</v>
      </c>
      <c r="D2591">
        <v>0</v>
      </c>
      <c r="E2591">
        <v>0</v>
      </c>
      <c r="F2591">
        <v>0</v>
      </c>
      <c r="G2591">
        <v>0</v>
      </c>
      <c r="H2591">
        <v>0</v>
      </c>
      <c r="I2591">
        <v>0</v>
      </c>
      <c r="J2591">
        <v>2630.3865806618601</v>
      </c>
      <c r="K2591">
        <v>2395.5856552483901</v>
      </c>
      <c r="L2591">
        <v>69.472999999999999</v>
      </c>
      <c r="M2591">
        <v>57.085000000000001</v>
      </c>
      <c r="N2591">
        <v>108.929</v>
      </c>
    </row>
    <row r="2592" spans="1:14" x14ac:dyDescent="0.45">
      <c r="A2592">
        <v>1992</v>
      </c>
      <c r="B2592" t="s">
        <v>246</v>
      </c>
      <c r="C2592">
        <v>1</v>
      </c>
      <c r="D2592">
        <v>0</v>
      </c>
      <c r="E2592">
        <v>0</v>
      </c>
      <c r="F2592">
        <v>1</v>
      </c>
      <c r="G2592">
        <v>0</v>
      </c>
      <c r="H2592">
        <v>0</v>
      </c>
      <c r="I2592">
        <v>0</v>
      </c>
      <c r="J2592">
        <v>6128.9155614875599</v>
      </c>
      <c r="K2592">
        <v>5768.6513012428404</v>
      </c>
      <c r="L2592">
        <v>55.095999999999997</v>
      </c>
      <c r="M2592">
        <v>63.753</v>
      </c>
      <c r="N2592">
        <v>78.838999999999999</v>
      </c>
    </row>
    <row r="2593" spans="1:14" x14ac:dyDescent="0.45">
      <c r="A2593">
        <v>1992</v>
      </c>
      <c r="B2593" t="s">
        <v>247</v>
      </c>
      <c r="C2593">
        <v>0</v>
      </c>
      <c r="D2593">
        <v>0</v>
      </c>
      <c r="E2593">
        <v>0</v>
      </c>
      <c r="F2593">
        <v>0</v>
      </c>
      <c r="G2593">
        <v>0</v>
      </c>
      <c r="H2593">
        <v>0</v>
      </c>
      <c r="I2593">
        <v>0</v>
      </c>
      <c r="J2593">
        <v>2495.1008941454902</v>
      </c>
      <c r="K2593">
        <v>2013.20370616631</v>
      </c>
      <c r="L2593">
        <v>78.459999999999994</v>
      </c>
      <c r="M2593">
        <v>46.19</v>
      </c>
      <c r="N2593">
        <v>210.678</v>
      </c>
    </row>
    <row r="2594" spans="1:14" x14ac:dyDescent="0.45">
      <c r="A2594">
        <v>1992</v>
      </c>
      <c r="B2594" t="s">
        <v>248</v>
      </c>
      <c r="C2594">
        <v>0</v>
      </c>
      <c r="D2594">
        <v>0</v>
      </c>
      <c r="E2594">
        <v>0</v>
      </c>
      <c r="F2594">
        <v>1</v>
      </c>
      <c r="G2594">
        <v>0</v>
      </c>
      <c r="H2594">
        <v>0</v>
      </c>
      <c r="I2594">
        <v>0</v>
      </c>
      <c r="J2594">
        <v>4772.3311124715501</v>
      </c>
      <c r="K2594">
        <v>4320.0633560633096</v>
      </c>
      <c r="L2594">
        <v>77.231999999999999</v>
      </c>
      <c r="M2594">
        <v>67.927000000000007</v>
      </c>
      <c r="N2594">
        <v>20.81</v>
      </c>
    </row>
    <row r="2595" spans="1:14" x14ac:dyDescent="0.45">
      <c r="A2595">
        <v>1992</v>
      </c>
      <c r="B2595" t="s">
        <v>249</v>
      </c>
      <c r="C2595">
        <v>0</v>
      </c>
      <c r="D2595">
        <v>1</v>
      </c>
      <c r="E2595">
        <v>0</v>
      </c>
      <c r="F2595">
        <v>0</v>
      </c>
      <c r="G2595">
        <v>1</v>
      </c>
      <c r="H2595">
        <v>0</v>
      </c>
      <c r="I2595">
        <v>0</v>
      </c>
      <c r="J2595">
        <v>13284.9999123503</v>
      </c>
      <c r="K2595">
        <v>11087.568265392199</v>
      </c>
      <c r="L2595">
        <v>45.509</v>
      </c>
      <c r="M2595">
        <v>67.78</v>
      </c>
      <c r="N2595">
        <v>29.337</v>
      </c>
    </row>
    <row r="2596" spans="1:14" x14ac:dyDescent="0.45">
      <c r="A2596">
        <v>1992</v>
      </c>
      <c r="B2596" t="s">
        <v>250</v>
      </c>
      <c r="C2596">
        <v>0</v>
      </c>
      <c r="D2596">
        <v>0</v>
      </c>
      <c r="E2596">
        <v>0</v>
      </c>
      <c r="F2596">
        <v>1</v>
      </c>
      <c r="G2596">
        <v>0</v>
      </c>
      <c r="H2596">
        <v>0</v>
      </c>
      <c r="I2596">
        <v>0</v>
      </c>
      <c r="J2596">
        <v>7241.28310606588</v>
      </c>
      <c r="K2596">
        <v>6310.6572660169004</v>
      </c>
      <c r="L2596">
        <v>40.438000000000002</v>
      </c>
      <c r="M2596">
        <v>69.683999999999997</v>
      </c>
      <c r="N2596">
        <v>49.786999999999999</v>
      </c>
    </row>
    <row r="2597" spans="1:14" x14ac:dyDescent="0.45">
      <c r="A2597">
        <v>1992</v>
      </c>
      <c r="B2597" t="s">
        <v>251</v>
      </c>
      <c r="C2597">
        <v>1</v>
      </c>
      <c r="D2597">
        <v>0</v>
      </c>
      <c r="E2597">
        <v>0</v>
      </c>
      <c r="F2597">
        <v>1</v>
      </c>
      <c r="G2597">
        <v>0</v>
      </c>
      <c r="H2597">
        <v>0</v>
      </c>
      <c r="I2597">
        <v>0</v>
      </c>
      <c r="J2597">
        <v>12273.2843123693</v>
      </c>
      <c r="K2597">
        <v>12306.1173177605</v>
      </c>
      <c r="L2597">
        <v>39.481999999999999</v>
      </c>
      <c r="M2597">
        <v>68.602999999999994</v>
      </c>
      <c r="N2597">
        <v>65.319999999999993</v>
      </c>
    </row>
    <row r="2598" spans="1:14" x14ac:dyDescent="0.45">
      <c r="A2598">
        <v>1992</v>
      </c>
      <c r="B2598" t="s">
        <v>252</v>
      </c>
      <c r="C2598">
        <v>0</v>
      </c>
      <c r="D2598">
        <v>0</v>
      </c>
      <c r="E2598">
        <v>0</v>
      </c>
      <c r="F2598">
        <v>1</v>
      </c>
      <c r="G2598">
        <v>0</v>
      </c>
      <c r="H2598">
        <v>0</v>
      </c>
      <c r="I2598">
        <v>0</v>
      </c>
      <c r="J2598">
        <v>3093.8267944406298</v>
      </c>
      <c r="K2598">
        <v>2798.8440716008799</v>
      </c>
      <c r="L2598">
        <v>57.249000000000002</v>
      </c>
      <c r="M2598">
        <v>60.29</v>
      </c>
      <c r="N2598">
        <v>58.776000000000003</v>
      </c>
    </row>
    <row r="2599" spans="1:14" x14ac:dyDescent="0.45">
      <c r="A2599">
        <v>1992</v>
      </c>
      <c r="B2599" t="s">
        <v>253</v>
      </c>
      <c r="C2599">
        <v>0</v>
      </c>
      <c r="D2599">
        <v>0</v>
      </c>
      <c r="E2599">
        <v>0</v>
      </c>
      <c r="F2599">
        <v>0</v>
      </c>
      <c r="G2599">
        <v>0</v>
      </c>
      <c r="H2599">
        <v>1</v>
      </c>
      <c r="I2599">
        <v>1</v>
      </c>
      <c r="L2599">
        <v>71.8</v>
      </c>
      <c r="M2599">
        <v>74.305000000000007</v>
      </c>
      <c r="N2599">
        <v>8.6649999999999991</v>
      </c>
    </row>
    <row r="2600" spans="1:14" x14ac:dyDescent="0.45">
      <c r="A2600">
        <v>1992</v>
      </c>
      <c r="B2600" t="s">
        <v>254</v>
      </c>
      <c r="C2600">
        <v>0</v>
      </c>
      <c r="D2600">
        <v>0</v>
      </c>
      <c r="E2600">
        <v>1</v>
      </c>
      <c r="F2600">
        <v>0</v>
      </c>
      <c r="G2600">
        <v>0</v>
      </c>
      <c r="H2600">
        <v>0</v>
      </c>
      <c r="I2600">
        <v>0</v>
      </c>
      <c r="J2600">
        <v>1751.91845703125</v>
      </c>
      <c r="K2600">
        <v>1304.9457843269799</v>
      </c>
      <c r="L2600">
        <v>80.463999999999999</v>
      </c>
      <c r="M2600">
        <v>51.432000000000002</v>
      </c>
      <c r="N2600">
        <v>163.01400000000001</v>
      </c>
    </row>
    <row r="2601" spans="1:14" x14ac:dyDescent="0.45">
      <c r="A2601">
        <v>1992</v>
      </c>
      <c r="B2601" t="s">
        <v>255</v>
      </c>
      <c r="C2601">
        <v>0</v>
      </c>
      <c r="D2601">
        <v>0</v>
      </c>
      <c r="E2601">
        <v>1</v>
      </c>
      <c r="F2601">
        <v>0</v>
      </c>
      <c r="G2601">
        <v>0</v>
      </c>
      <c r="H2601">
        <v>0</v>
      </c>
      <c r="I2601">
        <v>0</v>
      </c>
      <c r="J2601">
        <v>1102.7299214570101</v>
      </c>
      <c r="K2601">
        <v>935.450810242388</v>
      </c>
      <c r="L2601">
        <v>88.21</v>
      </c>
      <c r="M2601">
        <v>47.670999999999999</v>
      </c>
      <c r="N2601">
        <v>174.43700000000001</v>
      </c>
    </row>
    <row r="2602" spans="1:14" x14ac:dyDescent="0.45">
      <c r="A2602">
        <v>1992</v>
      </c>
      <c r="B2602" t="s">
        <v>256</v>
      </c>
      <c r="C2602">
        <v>1</v>
      </c>
      <c r="D2602">
        <v>0</v>
      </c>
      <c r="E2602">
        <v>0</v>
      </c>
      <c r="F2602">
        <v>1</v>
      </c>
      <c r="G2602">
        <v>0</v>
      </c>
      <c r="H2602">
        <v>0</v>
      </c>
      <c r="I2602">
        <v>0</v>
      </c>
      <c r="J2602">
        <v>18671.873046875</v>
      </c>
      <c r="K2602">
        <v>13206.3456835987</v>
      </c>
      <c r="L2602">
        <v>33.164999999999999</v>
      </c>
      <c r="M2602">
        <v>68.947000000000003</v>
      </c>
      <c r="N2602">
        <v>17.916</v>
      </c>
    </row>
    <row r="2603" spans="1:14" x14ac:dyDescent="0.45">
      <c r="A2603">
        <v>1992</v>
      </c>
      <c r="B2603" t="s">
        <v>257</v>
      </c>
      <c r="C2603">
        <v>0</v>
      </c>
      <c r="D2603">
        <v>1</v>
      </c>
      <c r="E2603">
        <v>0</v>
      </c>
      <c r="F2603">
        <v>0</v>
      </c>
      <c r="G2603">
        <v>1</v>
      </c>
      <c r="H2603">
        <v>0</v>
      </c>
      <c r="I2603">
        <v>0</v>
      </c>
      <c r="J2603">
        <v>15536.487209279599</v>
      </c>
      <c r="K2603">
        <v>12323.053482962299</v>
      </c>
      <c r="L2603">
        <v>10.372999999999999</v>
      </c>
      <c r="M2603">
        <v>73.185000000000002</v>
      </c>
      <c r="N2603">
        <v>22.62</v>
      </c>
    </row>
    <row r="2604" spans="1:14" x14ac:dyDescent="0.45">
      <c r="A2604">
        <v>1992</v>
      </c>
      <c r="B2604" t="s">
        <v>258</v>
      </c>
      <c r="C2604">
        <v>0</v>
      </c>
      <c r="D2604">
        <v>0</v>
      </c>
      <c r="E2604">
        <v>0</v>
      </c>
      <c r="F2604">
        <v>0</v>
      </c>
      <c r="G2604">
        <v>0</v>
      </c>
      <c r="H2604">
        <v>1</v>
      </c>
      <c r="I2604">
        <v>1</v>
      </c>
      <c r="J2604">
        <v>44659.151462183698</v>
      </c>
      <c r="K2604">
        <v>40535.977766060198</v>
      </c>
      <c r="L2604">
        <v>23.902999999999999</v>
      </c>
      <c r="M2604">
        <v>75.778999999999996</v>
      </c>
      <c r="N2604">
        <v>10.436999999999999</v>
      </c>
    </row>
    <row r="2605" spans="1:14" x14ac:dyDescent="0.45">
      <c r="A2605">
        <v>1992</v>
      </c>
      <c r="B2605" t="s">
        <v>259</v>
      </c>
      <c r="C2605">
        <v>1</v>
      </c>
      <c r="D2605">
        <v>0</v>
      </c>
      <c r="E2605">
        <v>0</v>
      </c>
      <c r="F2605">
        <v>1</v>
      </c>
      <c r="G2605">
        <v>0</v>
      </c>
      <c r="H2605">
        <v>0</v>
      </c>
      <c r="I2605">
        <v>0</v>
      </c>
      <c r="J2605">
        <v>3547.3114038795002</v>
      </c>
      <c r="K2605">
        <v>3446.3442861220201</v>
      </c>
      <c r="L2605">
        <v>57.692</v>
      </c>
      <c r="M2605">
        <v>65.236000000000004</v>
      </c>
      <c r="N2605">
        <v>70.143000000000001</v>
      </c>
    </row>
    <row r="2606" spans="1:14" x14ac:dyDescent="0.45">
      <c r="A2606">
        <v>1992</v>
      </c>
      <c r="B2606" t="s">
        <v>260</v>
      </c>
      <c r="C2606">
        <v>0</v>
      </c>
      <c r="D2606">
        <v>1</v>
      </c>
      <c r="E2606">
        <v>0</v>
      </c>
      <c r="F2606">
        <v>1</v>
      </c>
      <c r="G2606">
        <v>0</v>
      </c>
      <c r="H2606">
        <v>0</v>
      </c>
      <c r="I2606">
        <v>0</v>
      </c>
      <c r="J2606">
        <v>7984.0795966208798</v>
      </c>
      <c r="K2606">
        <v>6977.7756129631398</v>
      </c>
      <c r="L2606">
        <v>57.694000000000003</v>
      </c>
      <c r="M2606">
        <v>70.745000000000005</v>
      </c>
      <c r="N2606">
        <v>21.77</v>
      </c>
    </row>
    <row r="2607" spans="1:14" x14ac:dyDescent="0.45">
      <c r="A2607">
        <v>1992</v>
      </c>
      <c r="B2607" t="s">
        <v>261</v>
      </c>
      <c r="C2607">
        <v>0</v>
      </c>
      <c r="D2607">
        <v>1</v>
      </c>
      <c r="E2607">
        <v>0</v>
      </c>
      <c r="F2607">
        <v>0</v>
      </c>
      <c r="G2607">
        <v>1</v>
      </c>
      <c r="H2607">
        <v>0</v>
      </c>
      <c r="I2607">
        <v>0</v>
      </c>
      <c r="L2607">
        <v>14.988</v>
      </c>
      <c r="M2607">
        <v>71.177000000000007</v>
      </c>
      <c r="N2607">
        <v>28.291</v>
      </c>
    </row>
    <row r="2608" spans="1:14" x14ac:dyDescent="0.45">
      <c r="A2608">
        <v>1992</v>
      </c>
      <c r="B2608" t="s">
        <v>262</v>
      </c>
      <c r="C2608">
        <v>0</v>
      </c>
      <c r="D2608">
        <v>1</v>
      </c>
      <c r="E2608">
        <v>0</v>
      </c>
      <c r="F2608">
        <v>0</v>
      </c>
      <c r="G2608">
        <v>0</v>
      </c>
      <c r="H2608">
        <v>1</v>
      </c>
      <c r="I2608">
        <v>1</v>
      </c>
      <c r="L2608">
        <v>60.396999999999998</v>
      </c>
      <c r="M2608">
        <v>73.108999999999995</v>
      </c>
      <c r="N2608">
        <v>21.209</v>
      </c>
    </row>
    <row r="2609" spans="1:14" x14ac:dyDescent="0.45">
      <c r="A2609">
        <v>1992</v>
      </c>
      <c r="B2609" t="s">
        <v>263</v>
      </c>
      <c r="C2609">
        <v>0</v>
      </c>
      <c r="D2609">
        <v>1</v>
      </c>
      <c r="E2609">
        <v>0</v>
      </c>
      <c r="F2609">
        <v>0</v>
      </c>
      <c r="G2609">
        <v>0</v>
      </c>
      <c r="H2609">
        <v>1</v>
      </c>
      <c r="I2609">
        <v>1</v>
      </c>
      <c r="L2609">
        <v>11.14</v>
      </c>
      <c r="M2609">
        <v>70.968999999999994</v>
      </c>
      <c r="N2609">
        <v>16.609000000000002</v>
      </c>
    </row>
    <row r="2610" spans="1:14" x14ac:dyDescent="0.45">
      <c r="A2610">
        <v>1992</v>
      </c>
      <c r="B2610" t="s">
        <v>264</v>
      </c>
      <c r="C2610">
        <v>0</v>
      </c>
      <c r="D2610">
        <v>0</v>
      </c>
      <c r="E2610">
        <v>0</v>
      </c>
      <c r="F2610">
        <v>0</v>
      </c>
      <c r="G2610">
        <v>0</v>
      </c>
      <c r="H2610">
        <v>0</v>
      </c>
      <c r="I2610">
        <v>0</v>
      </c>
      <c r="J2610">
        <v>2726.4737374848701</v>
      </c>
      <c r="K2610">
        <v>2429.5141003599601</v>
      </c>
      <c r="L2610">
        <v>78.994</v>
      </c>
      <c r="M2610">
        <v>69.62</v>
      </c>
      <c r="N2610">
        <v>46.45</v>
      </c>
    </row>
    <row r="2611" spans="1:14" x14ac:dyDescent="0.45">
      <c r="A2611">
        <v>1992</v>
      </c>
      <c r="B2611" t="s">
        <v>265</v>
      </c>
      <c r="C2611">
        <v>0</v>
      </c>
      <c r="D2611">
        <v>0</v>
      </c>
      <c r="E2611">
        <v>0</v>
      </c>
      <c r="F2611">
        <v>1</v>
      </c>
      <c r="G2611">
        <v>0</v>
      </c>
      <c r="H2611">
        <v>0</v>
      </c>
      <c r="I2611">
        <v>0</v>
      </c>
      <c r="J2611">
        <v>3122.8893339776801</v>
      </c>
      <c r="K2611">
        <v>2824.9698946509002</v>
      </c>
      <c r="L2611">
        <v>80.715000000000003</v>
      </c>
      <c r="M2611">
        <v>67.433000000000007</v>
      </c>
      <c r="N2611">
        <v>34.585999999999999</v>
      </c>
    </row>
    <row r="2612" spans="1:14" x14ac:dyDescent="0.45">
      <c r="A2612">
        <v>1992</v>
      </c>
      <c r="B2612" t="s">
        <v>266</v>
      </c>
      <c r="C2612">
        <v>0</v>
      </c>
      <c r="D2612">
        <v>0</v>
      </c>
      <c r="E2612">
        <v>0</v>
      </c>
      <c r="F2612">
        <v>1</v>
      </c>
      <c r="G2612">
        <v>0</v>
      </c>
      <c r="H2612">
        <v>0</v>
      </c>
      <c r="I2612">
        <v>0</v>
      </c>
      <c r="J2612">
        <v>3861.8889814238701</v>
      </c>
      <c r="K2612">
        <v>3493.4699703593201</v>
      </c>
      <c r="L2612">
        <v>78.742000000000004</v>
      </c>
      <c r="M2612">
        <v>68.531999999999996</v>
      </c>
      <c r="N2612">
        <v>27.914000000000001</v>
      </c>
    </row>
    <row r="2613" spans="1:14" x14ac:dyDescent="0.45">
      <c r="A2613">
        <v>1992</v>
      </c>
      <c r="B2613" t="s">
        <v>267</v>
      </c>
      <c r="C2613">
        <v>1</v>
      </c>
      <c r="D2613">
        <v>0</v>
      </c>
      <c r="E2613">
        <v>0</v>
      </c>
      <c r="F2613">
        <v>1</v>
      </c>
      <c r="G2613">
        <v>0</v>
      </c>
      <c r="H2613">
        <v>0</v>
      </c>
      <c r="I2613">
        <v>0</v>
      </c>
      <c r="L2613">
        <v>49.018999999999998</v>
      </c>
      <c r="M2613">
        <v>67.381</v>
      </c>
      <c r="N2613">
        <v>90.350999999999999</v>
      </c>
    </row>
    <row r="2614" spans="1:14" x14ac:dyDescent="0.45">
      <c r="A2614">
        <v>1992</v>
      </c>
      <c r="B2614" t="s">
        <v>268</v>
      </c>
      <c r="C2614">
        <v>0</v>
      </c>
      <c r="D2614">
        <v>0</v>
      </c>
      <c r="E2614">
        <v>0</v>
      </c>
      <c r="F2614">
        <v>0</v>
      </c>
      <c r="G2614">
        <v>0</v>
      </c>
      <c r="H2614">
        <v>0</v>
      </c>
      <c r="I2614">
        <v>0</v>
      </c>
      <c r="L2614">
        <v>77.941999999999993</v>
      </c>
      <c r="M2614">
        <v>59.26</v>
      </c>
      <c r="N2614">
        <v>119.6</v>
      </c>
    </row>
    <row r="2615" spans="1:14" x14ac:dyDescent="0.45">
      <c r="A2615">
        <v>1992</v>
      </c>
      <c r="B2615" t="s">
        <v>269</v>
      </c>
      <c r="C2615">
        <v>0</v>
      </c>
      <c r="D2615">
        <v>0</v>
      </c>
      <c r="E2615">
        <v>1</v>
      </c>
      <c r="F2615">
        <v>0</v>
      </c>
      <c r="G2615">
        <v>1</v>
      </c>
      <c r="H2615">
        <v>0</v>
      </c>
      <c r="I2615">
        <v>0</v>
      </c>
      <c r="J2615">
        <v>10065.9160903267</v>
      </c>
      <c r="K2615">
        <v>9477.4740424479096</v>
      </c>
      <c r="L2615">
        <v>46.962000000000003</v>
      </c>
      <c r="M2615">
        <v>62.838999999999999</v>
      </c>
      <c r="N2615">
        <v>61.249000000000002</v>
      </c>
    </row>
    <row r="2616" spans="1:14" x14ac:dyDescent="0.45">
      <c r="A2616">
        <v>1992</v>
      </c>
      <c r="B2616" t="s">
        <v>270</v>
      </c>
      <c r="C2616">
        <v>0</v>
      </c>
      <c r="D2616">
        <v>0</v>
      </c>
      <c r="E2616">
        <v>1</v>
      </c>
      <c r="F2616">
        <v>0</v>
      </c>
      <c r="G2616">
        <v>0</v>
      </c>
      <c r="H2616">
        <v>0</v>
      </c>
      <c r="I2616">
        <v>0</v>
      </c>
      <c r="J2616">
        <v>2268.4981219537799</v>
      </c>
      <c r="K2616">
        <v>2129.7959469562202</v>
      </c>
      <c r="L2616">
        <v>61.485999999999997</v>
      </c>
      <c r="M2616">
        <v>46.968000000000004</v>
      </c>
      <c r="N2616">
        <v>182.001</v>
      </c>
    </row>
    <row r="2617" spans="1:14" x14ac:dyDescent="0.45">
      <c r="A2617">
        <v>1992</v>
      </c>
      <c r="B2617" t="s">
        <v>271</v>
      </c>
      <c r="C2617">
        <v>0</v>
      </c>
      <c r="D2617">
        <v>0</v>
      </c>
      <c r="E2617">
        <v>1</v>
      </c>
      <c r="F2617">
        <v>0</v>
      </c>
      <c r="G2617">
        <v>0</v>
      </c>
      <c r="H2617">
        <v>0</v>
      </c>
      <c r="I2617">
        <v>0</v>
      </c>
      <c r="J2617">
        <v>3649.8890722311198</v>
      </c>
      <c r="K2617">
        <v>2430.2271290226699</v>
      </c>
      <c r="L2617">
        <v>69.501000000000005</v>
      </c>
      <c r="M2617">
        <v>55.601999999999997</v>
      </c>
      <c r="N2617">
        <v>87.703000000000003</v>
      </c>
    </row>
    <row r="2618" spans="1:14" x14ac:dyDescent="0.45">
      <c r="A2618">
        <v>1993</v>
      </c>
      <c r="B2618" t="s">
        <v>54</v>
      </c>
      <c r="C2618">
        <v>0</v>
      </c>
      <c r="D2618">
        <v>1</v>
      </c>
      <c r="E2618">
        <v>0</v>
      </c>
      <c r="F2618">
        <v>0</v>
      </c>
      <c r="G2618">
        <v>1</v>
      </c>
      <c r="H2618">
        <v>0</v>
      </c>
      <c r="I2618">
        <v>0</v>
      </c>
      <c r="J2618">
        <v>36124.303349269903</v>
      </c>
      <c r="K2618">
        <v>35156.435687077399</v>
      </c>
      <c r="L2618">
        <v>50.411999999999999</v>
      </c>
      <c r="M2618">
        <v>72.777000000000001</v>
      </c>
      <c r="N2618">
        <v>22.023</v>
      </c>
    </row>
    <row r="2619" spans="1:14" x14ac:dyDescent="0.45">
      <c r="A2619">
        <v>1993</v>
      </c>
      <c r="B2619" t="s">
        <v>55</v>
      </c>
      <c r="C2619">
        <v>0</v>
      </c>
      <c r="D2619">
        <v>0</v>
      </c>
      <c r="E2619">
        <v>0</v>
      </c>
      <c r="F2619">
        <v>0</v>
      </c>
      <c r="G2619">
        <v>0</v>
      </c>
      <c r="H2619">
        <v>0</v>
      </c>
      <c r="I2619">
        <v>0</v>
      </c>
      <c r="L2619">
        <v>78.555999999999997</v>
      </c>
      <c r="M2619">
        <v>51.021000000000001</v>
      </c>
      <c r="N2619">
        <v>165.17599999999999</v>
      </c>
    </row>
    <row r="2620" spans="1:14" x14ac:dyDescent="0.45">
      <c r="A2620">
        <v>1993</v>
      </c>
      <c r="B2620" t="s">
        <v>56</v>
      </c>
      <c r="C2620">
        <v>0</v>
      </c>
      <c r="D2620">
        <v>0</v>
      </c>
      <c r="E2620">
        <v>1</v>
      </c>
      <c r="F2620">
        <v>1</v>
      </c>
      <c r="G2620">
        <v>0</v>
      </c>
      <c r="H2620">
        <v>0</v>
      </c>
      <c r="I2620">
        <v>0</v>
      </c>
      <c r="J2620">
        <v>4843.1558838155197</v>
      </c>
      <c r="K2620">
        <v>3745.4584552950701</v>
      </c>
      <c r="L2620">
        <v>58.488999999999997</v>
      </c>
      <c r="M2620">
        <v>42.19</v>
      </c>
      <c r="N2620">
        <v>227.16300000000001</v>
      </c>
    </row>
    <row r="2621" spans="1:14" x14ac:dyDescent="0.45">
      <c r="A2621">
        <v>1993</v>
      </c>
      <c r="B2621" t="s">
        <v>57</v>
      </c>
      <c r="C2621">
        <v>1</v>
      </c>
      <c r="D2621">
        <v>0</v>
      </c>
      <c r="E2621">
        <v>0</v>
      </c>
      <c r="F2621">
        <v>0</v>
      </c>
      <c r="G2621">
        <v>0</v>
      </c>
      <c r="H2621">
        <v>0</v>
      </c>
      <c r="I2621">
        <v>0</v>
      </c>
      <c r="J2621">
        <v>4145.6819566104195</v>
      </c>
      <c r="K2621">
        <v>3755.7976998854401</v>
      </c>
      <c r="L2621">
        <v>62.201000000000001</v>
      </c>
      <c r="M2621">
        <v>73.638000000000005</v>
      </c>
      <c r="N2621">
        <v>36.401000000000003</v>
      </c>
    </row>
    <row r="2622" spans="1:14" x14ac:dyDescent="0.45">
      <c r="A2622">
        <v>1993</v>
      </c>
      <c r="B2622" t="s">
        <v>58</v>
      </c>
      <c r="C2622">
        <v>1</v>
      </c>
      <c r="D2622">
        <v>0</v>
      </c>
      <c r="E2622">
        <v>0</v>
      </c>
      <c r="F2622">
        <v>0</v>
      </c>
      <c r="G2622">
        <v>0</v>
      </c>
      <c r="H2622">
        <v>1</v>
      </c>
      <c r="I2622">
        <v>1</v>
      </c>
      <c r="J2622">
        <v>42605.659583245098</v>
      </c>
      <c r="K2622">
        <v>35764.197577004001</v>
      </c>
      <c r="L2622">
        <v>5.8890000000000002</v>
      </c>
      <c r="M2622">
        <v>80.186000000000007</v>
      </c>
      <c r="N2622">
        <v>9.0790000000000006</v>
      </c>
    </row>
    <row r="2623" spans="1:14" x14ac:dyDescent="0.45">
      <c r="A2623">
        <v>1993</v>
      </c>
      <c r="B2623" t="s">
        <v>59</v>
      </c>
      <c r="C2623">
        <v>0</v>
      </c>
      <c r="D2623">
        <v>0</v>
      </c>
      <c r="E2623">
        <v>0</v>
      </c>
      <c r="F2623">
        <v>0</v>
      </c>
      <c r="G2623">
        <v>0</v>
      </c>
      <c r="H2623">
        <v>1</v>
      </c>
      <c r="I2623">
        <v>1</v>
      </c>
      <c r="J2623">
        <v>97429.163920560793</v>
      </c>
      <c r="K2623">
        <v>96256.963466926099</v>
      </c>
      <c r="L2623">
        <v>21.385999999999999</v>
      </c>
      <c r="M2623">
        <v>71.159000000000006</v>
      </c>
      <c r="N2623">
        <v>14.349</v>
      </c>
    </row>
    <row r="2624" spans="1:14" x14ac:dyDescent="0.45">
      <c r="A2624">
        <v>1993</v>
      </c>
      <c r="B2624" t="s">
        <v>60</v>
      </c>
      <c r="C2624">
        <v>0</v>
      </c>
      <c r="D2624">
        <v>1</v>
      </c>
      <c r="E2624">
        <v>0</v>
      </c>
      <c r="F2624">
        <v>0</v>
      </c>
      <c r="G2624">
        <v>1</v>
      </c>
      <c r="H2624">
        <v>0</v>
      </c>
      <c r="I2624">
        <v>0</v>
      </c>
      <c r="J2624">
        <v>20791.3451479504</v>
      </c>
      <c r="K2624">
        <v>17159.3007176131</v>
      </c>
      <c r="L2624">
        <v>12.247999999999999</v>
      </c>
      <c r="M2624">
        <v>72.302999999999997</v>
      </c>
      <c r="N2624">
        <v>27.370999999999999</v>
      </c>
    </row>
    <row r="2625" spans="1:14" x14ac:dyDescent="0.45">
      <c r="A2625">
        <v>1993</v>
      </c>
      <c r="B2625" t="s">
        <v>61</v>
      </c>
      <c r="C2625">
        <v>1</v>
      </c>
      <c r="D2625">
        <v>0</v>
      </c>
      <c r="E2625">
        <v>0</v>
      </c>
      <c r="F2625">
        <v>0</v>
      </c>
      <c r="G2625">
        <v>0</v>
      </c>
      <c r="H2625">
        <v>0</v>
      </c>
      <c r="I2625">
        <v>0</v>
      </c>
      <c r="J2625">
        <v>2958.88037185647</v>
      </c>
      <c r="K2625">
        <v>2506.47120644184</v>
      </c>
      <c r="L2625">
        <v>33.393999999999998</v>
      </c>
      <c r="M2625">
        <v>68.143000000000001</v>
      </c>
      <c r="N2625">
        <v>42.75</v>
      </c>
    </row>
    <row r="2626" spans="1:14" x14ac:dyDescent="0.45">
      <c r="A2626">
        <v>1993</v>
      </c>
      <c r="B2626" t="s">
        <v>62</v>
      </c>
      <c r="C2626">
        <v>0</v>
      </c>
      <c r="D2626">
        <v>0</v>
      </c>
      <c r="E2626">
        <v>0</v>
      </c>
      <c r="F2626">
        <v>0</v>
      </c>
      <c r="G2626">
        <v>1</v>
      </c>
      <c r="H2626">
        <v>0</v>
      </c>
      <c r="I2626">
        <v>0</v>
      </c>
      <c r="L2626">
        <v>16.346</v>
      </c>
      <c r="M2626">
        <v>71.540000000000006</v>
      </c>
      <c r="N2626">
        <v>15.343</v>
      </c>
    </row>
    <row r="2627" spans="1:14" x14ac:dyDescent="0.45">
      <c r="A2627">
        <v>1993</v>
      </c>
      <c r="B2627" t="s">
        <v>63</v>
      </c>
      <c r="C2627">
        <v>0</v>
      </c>
      <c r="D2627">
        <v>1</v>
      </c>
      <c r="E2627">
        <v>0</v>
      </c>
      <c r="F2627">
        <v>0</v>
      </c>
      <c r="G2627">
        <v>1</v>
      </c>
      <c r="H2627">
        <v>0</v>
      </c>
      <c r="I2627">
        <v>0</v>
      </c>
      <c r="J2627">
        <v>22051.437320426099</v>
      </c>
      <c r="K2627">
        <v>17367.642154785401</v>
      </c>
      <c r="L2627">
        <v>65.290999999999997</v>
      </c>
      <c r="M2627">
        <v>73.39</v>
      </c>
      <c r="N2627">
        <v>14.577999999999999</v>
      </c>
    </row>
    <row r="2628" spans="1:14" x14ac:dyDescent="0.45">
      <c r="A2628">
        <v>1993</v>
      </c>
      <c r="B2628" t="s">
        <v>64</v>
      </c>
      <c r="C2628">
        <v>0</v>
      </c>
      <c r="D2628">
        <v>0</v>
      </c>
      <c r="E2628">
        <v>0</v>
      </c>
      <c r="F2628">
        <v>0</v>
      </c>
      <c r="G2628">
        <v>0</v>
      </c>
      <c r="H2628">
        <v>1</v>
      </c>
      <c r="I2628">
        <v>1</v>
      </c>
      <c r="J2628">
        <v>36469.670583956096</v>
      </c>
      <c r="K2628">
        <v>31588.2631974453</v>
      </c>
      <c r="L2628">
        <v>14.843</v>
      </c>
      <c r="M2628">
        <v>78.006</v>
      </c>
      <c r="N2628">
        <v>7.569</v>
      </c>
    </row>
    <row r="2629" spans="1:14" x14ac:dyDescent="0.45">
      <c r="A2629">
        <v>1993</v>
      </c>
      <c r="B2629" t="s">
        <v>65</v>
      </c>
      <c r="C2629">
        <v>1</v>
      </c>
      <c r="D2629">
        <v>0</v>
      </c>
      <c r="E2629">
        <v>0</v>
      </c>
      <c r="F2629">
        <v>0</v>
      </c>
      <c r="G2629">
        <v>0</v>
      </c>
      <c r="H2629">
        <v>1</v>
      </c>
      <c r="I2629">
        <v>1</v>
      </c>
      <c r="J2629">
        <v>44655.5830662843</v>
      </c>
      <c r="K2629">
        <v>38053.502239945803</v>
      </c>
      <c r="L2629">
        <v>37.856000000000002</v>
      </c>
      <c r="M2629">
        <v>76.224999999999994</v>
      </c>
      <c r="N2629">
        <v>7.6980000000000004</v>
      </c>
    </row>
    <row r="2630" spans="1:14" x14ac:dyDescent="0.45">
      <c r="A2630">
        <v>1993</v>
      </c>
      <c r="B2630" t="s">
        <v>66</v>
      </c>
      <c r="C2630">
        <v>1</v>
      </c>
      <c r="D2630">
        <v>0</v>
      </c>
      <c r="E2630">
        <v>0</v>
      </c>
      <c r="F2630">
        <v>1</v>
      </c>
      <c r="G2630">
        <v>0</v>
      </c>
      <c r="H2630">
        <v>0</v>
      </c>
      <c r="I2630">
        <v>0</v>
      </c>
      <c r="J2630">
        <v>6097.4862221882404</v>
      </c>
      <c r="K2630">
        <v>4440.2648027938503</v>
      </c>
      <c r="L2630">
        <v>47.176000000000002</v>
      </c>
      <c r="M2630">
        <v>61.426000000000002</v>
      </c>
      <c r="N2630">
        <v>94.686000000000007</v>
      </c>
    </row>
    <row r="2631" spans="1:14" x14ac:dyDescent="0.45">
      <c r="A2631">
        <v>1993</v>
      </c>
      <c r="B2631" t="s">
        <v>67</v>
      </c>
      <c r="C2631">
        <v>0</v>
      </c>
      <c r="D2631">
        <v>0</v>
      </c>
      <c r="E2631">
        <v>1</v>
      </c>
      <c r="F2631">
        <v>0</v>
      </c>
      <c r="G2631">
        <v>0</v>
      </c>
      <c r="H2631">
        <v>0</v>
      </c>
      <c r="I2631">
        <v>0</v>
      </c>
      <c r="J2631">
        <v>1366.29215293218</v>
      </c>
      <c r="K2631">
        <v>1180.61748046706</v>
      </c>
      <c r="L2631">
        <v>93.177000000000007</v>
      </c>
      <c r="M2631">
        <v>37.220999999999997</v>
      </c>
      <c r="N2631">
        <v>189.45099999999999</v>
      </c>
    </row>
    <row r="2632" spans="1:14" x14ac:dyDescent="0.45">
      <c r="A2632">
        <v>1993</v>
      </c>
      <c r="B2632" t="s">
        <v>68</v>
      </c>
      <c r="C2632">
        <v>1</v>
      </c>
      <c r="D2632">
        <v>0</v>
      </c>
      <c r="E2632">
        <v>0</v>
      </c>
      <c r="F2632">
        <v>0</v>
      </c>
      <c r="G2632">
        <v>0</v>
      </c>
      <c r="H2632">
        <v>1</v>
      </c>
      <c r="I2632">
        <v>1</v>
      </c>
      <c r="J2632">
        <v>42161.788948432099</v>
      </c>
      <c r="K2632">
        <v>35479.846401957497</v>
      </c>
      <c r="L2632">
        <v>3.3780000000000001</v>
      </c>
      <c r="M2632">
        <v>76.363</v>
      </c>
      <c r="N2632">
        <v>9.1809999999999992</v>
      </c>
    </row>
    <row r="2633" spans="1:14" x14ac:dyDescent="0.45">
      <c r="A2633">
        <v>1993</v>
      </c>
      <c r="B2633" t="s">
        <v>69</v>
      </c>
      <c r="C2633">
        <v>0</v>
      </c>
      <c r="D2633">
        <v>0</v>
      </c>
      <c r="E2633">
        <v>1</v>
      </c>
      <c r="F2633">
        <v>0</v>
      </c>
      <c r="G2633">
        <v>0</v>
      </c>
      <c r="H2633">
        <v>0</v>
      </c>
      <c r="I2633">
        <v>0</v>
      </c>
      <c r="J2633">
        <v>2254.2456542889299</v>
      </c>
      <c r="K2633">
        <v>2138.7198126988001</v>
      </c>
      <c r="L2633">
        <v>63.863999999999997</v>
      </c>
      <c r="M2633">
        <v>54.612000000000002</v>
      </c>
      <c r="N2633">
        <v>160.696</v>
      </c>
    </row>
    <row r="2634" spans="1:14" x14ac:dyDescent="0.45">
      <c r="A2634">
        <v>1993</v>
      </c>
      <c r="B2634" t="s">
        <v>70</v>
      </c>
      <c r="C2634">
        <v>0</v>
      </c>
      <c r="D2634">
        <v>0</v>
      </c>
      <c r="E2634">
        <v>1</v>
      </c>
      <c r="F2634">
        <v>0</v>
      </c>
      <c r="G2634">
        <v>0</v>
      </c>
      <c r="H2634">
        <v>0</v>
      </c>
      <c r="I2634">
        <v>0</v>
      </c>
      <c r="J2634">
        <v>1162.64923453351</v>
      </c>
      <c r="K2634">
        <v>1063.7509036368499</v>
      </c>
      <c r="L2634">
        <v>85.406999999999996</v>
      </c>
      <c r="M2634">
        <v>49.411999999999999</v>
      </c>
      <c r="N2634">
        <v>197.02199999999999</v>
      </c>
    </row>
    <row r="2635" spans="1:14" x14ac:dyDescent="0.45">
      <c r="A2635">
        <v>1993</v>
      </c>
      <c r="B2635" t="s">
        <v>71</v>
      </c>
      <c r="C2635">
        <v>0</v>
      </c>
      <c r="D2635">
        <v>0</v>
      </c>
      <c r="E2635">
        <v>0</v>
      </c>
      <c r="F2635">
        <v>0</v>
      </c>
      <c r="G2635">
        <v>0</v>
      </c>
      <c r="H2635">
        <v>0</v>
      </c>
      <c r="I2635">
        <v>0</v>
      </c>
      <c r="J2635">
        <v>2234.8101219225</v>
      </c>
      <c r="K2635">
        <v>1816.8884827566201</v>
      </c>
      <c r="L2635">
        <v>79.034000000000006</v>
      </c>
      <c r="M2635">
        <v>57.073</v>
      </c>
      <c r="N2635">
        <v>126.12</v>
      </c>
    </row>
    <row r="2636" spans="1:14" x14ac:dyDescent="0.45">
      <c r="A2636">
        <v>1993</v>
      </c>
      <c r="B2636" t="s">
        <v>72</v>
      </c>
      <c r="C2636">
        <v>1</v>
      </c>
      <c r="D2636">
        <v>0</v>
      </c>
      <c r="E2636">
        <v>0</v>
      </c>
      <c r="F2636">
        <v>1</v>
      </c>
      <c r="G2636">
        <v>0</v>
      </c>
      <c r="H2636">
        <v>0</v>
      </c>
      <c r="I2636">
        <v>0</v>
      </c>
      <c r="J2636">
        <v>12870.8088937018</v>
      </c>
      <c r="K2636">
        <v>10680.1904337008</v>
      </c>
      <c r="L2636">
        <v>32.67</v>
      </c>
      <c r="M2636">
        <v>71.185000000000002</v>
      </c>
      <c r="N2636">
        <v>18.632000000000001</v>
      </c>
    </row>
    <row r="2637" spans="1:14" x14ac:dyDescent="0.45">
      <c r="A2637">
        <v>1993</v>
      </c>
      <c r="B2637" t="s">
        <v>73</v>
      </c>
      <c r="C2637">
        <v>0</v>
      </c>
      <c r="D2637">
        <v>0</v>
      </c>
      <c r="E2637">
        <v>0</v>
      </c>
      <c r="F2637">
        <v>0</v>
      </c>
      <c r="G2637">
        <v>1</v>
      </c>
      <c r="H2637">
        <v>0</v>
      </c>
      <c r="I2637">
        <v>0</v>
      </c>
      <c r="J2637">
        <v>54433.1375084971</v>
      </c>
      <c r="K2637">
        <v>50718.742577446399</v>
      </c>
      <c r="L2637">
        <v>11.605</v>
      </c>
      <c r="M2637">
        <v>72.938999999999993</v>
      </c>
      <c r="N2637">
        <v>20.379000000000001</v>
      </c>
    </row>
    <row r="2638" spans="1:14" x14ac:dyDescent="0.45">
      <c r="A2638">
        <v>1993</v>
      </c>
      <c r="B2638" t="s">
        <v>74</v>
      </c>
      <c r="C2638">
        <v>0</v>
      </c>
      <c r="D2638">
        <v>1</v>
      </c>
      <c r="E2638">
        <v>0</v>
      </c>
      <c r="F2638">
        <v>0</v>
      </c>
      <c r="G2638">
        <v>0</v>
      </c>
      <c r="H2638">
        <v>1</v>
      </c>
      <c r="I2638">
        <v>1</v>
      </c>
      <c r="J2638">
        <v>28955.278333746399</v>
      </c>
      <c r="K2638">
        <v>30034.904403019402</v>
      </c>
      <c r="L2638">
        <v>19.481999999999999</v>
      </c>
      <c r="M2638">
        <v>71.42</v>
      </c>
      <c r="N2638">
        <v>20.411000000000001</v>
      </c>
    </row>
    <row r="2639" spans="1:14" x14ac:dyDescent="0.45">
      <c r="A2639">
        <v>1993</v>
      </c>
      <c r="B2639" t="s">
        <v>75</v>
      </c>
      <c r="C2639">
        <v>1</v>
      </c>
      <c r="D2639">
        <v>0</v>
      </c>
      <c r="E2639">
        <v>0</v>
      </c>
      <c r="F2639">
        <v>0</v>
      </c>
      <c r="G2639">
        <v>0</v>
      </c>
      <c r="H2639">
        <v>0</v>
      </c>
      <c r="I2639">
        <v>0</v>
      </c>
      <c r="J2639">
        <v>2281.1321935246501</v>
      </c>
      <c r="K2639">
        <v>1970.5818023588299</v>
      </c>
      <c r="L2639">
        <v>59.804000000000002</v>
      </c>
      <c r="M2639">
        <v>50.893999999999998</v>
      </c>
      <c r="N2639">
        <v>61.823999999999998</v>
      </c>
    </row>
    <row r="2640" spans="1:14" x14ac:dyDescent="0.45">
      <c r="A2640">
        <v>1993</v>
      </c>
      <c r="B2640" t="s">
        <v>76</v>
      </c>
      <c r="C2640">
        <v>1</v>
      </c>
      <c r="D2640">
        <v>0</v>
      </c>
      <c r="E2640">
        <v>0</v>
      </c>
      <c r="F2640">
        <v>0</v>
      </c>
      <c r="G2640">
        <v>1</v>
      </c>
      <c r="H2640">
        <v>0</v>
      </c>
      <c r="I2640">
        <v>0</v>
      </c>
      <c r="J2640">
        <v>10143.984006695</v>
      </c>
      <c r="K2640">
        <v>7323.9064254826299</v>
      </c>
      <c r="L2640">
        <v>32.844999999999999</v>
      </c>
      <c r="M2640">
        <v>69.522000000000006</v>
      </c>
      <c r="N2640">
        <v>15.393000000000001</v>
      </c>
    </row>
    <row r="2641" spans="1:14" x14ac:dyDescent="0.45">
      <c r="A2641">
        <v>1993</v>
      </c>
      <c r="B2641" t="s">
        <v>77</v>
      </c>
      <c r="C2641">
        <v>0</v>
      </c>
      <c r="D2641">
        <v>1</v>
      </c>
      <c r="E2641">
        <v>0</v>
      </c>
      <c r="F2641">
        <v>1</v>
      </c>
      <c r="G2641">
        <v>0</v>
      </c>
      <c r="H2641">
        <v>0</v>
      </c>
      <c r="I2641">
        <v>0</v>
      </c>
      <c r="J2641">
        <v>10356.670907674399</v>
      </c>
      <c r="K2641">
        <v>8162.0216816532302</v>
      </c>
      <c r="L2641">
        <v>53.152000000000001</v>
      </c>
      <c r="M2641">
        <v>69.594999999999999</v>
      </c>
      <c r="N2641">
        <v>33.307000000000002</v>
      </c>
    </row>
    <row r="2642" spans="1:14" x14ac:dyDescent="0.45">
      <c r="A2642">
        <v>1993</v>
      </c>
      <c r="B2642" t="s">
        <v>78</v>
      </c>
      <c r="C2642">
        <v>0</v>
      </c>
      <c r="D2642">
        <v>0</v>
      </c>
      <c r="E2642">
        <v>0</v>
      </c>
      <c r="F2642">
        <v>0</v>
      </c>
      <c r="G2642">
        <v>0</v>
      </c>
      <c r="H2642">
        <v>1</v>
      </c>
      <c r="I2642">
        <v>1</v>
      </c>
      <c r="J2642">
        <v>77503.464423179597</v>
      </c>
      <c r="K2642">
        <v>68859.031679259395</v>
      </c>
      <c r="L2642">
        <v>0</v>
      </c>
      <c r="M2642">
        <v>74.766000000000005</v>
      </c>
      <c r="N2642">
        <v>8.4920000000000009</v>
      </c>
    </row>
    <row r="2643" spans="1:14" x14ac:dyDescent="0.45">
      <c r="A2643">
        <v>1993</v>
      </c>
      <c r="B2643" t="s">
        <v>79</v>
      </c>
      <c r="C2643">
        <v>0</v>
      </c>
      <c r="D2643">
        <v>1</v>
      </c>
      <c r="E2643">
        <v>0</v>
      </c>
      <c r="F2643">
        <v>1</v>
      </c>
      <c r="G2643">
        <v>0</v>
      </c>
      <c r="H2643">
        <v>0</v>
      </c>
      <c r="I2643">
        <v>0</v>
      </c>
      <c r="J2643">
        <v>5378.5440973202003</v>
      </c>
      <c r="K2643">
        <v>4746.8352371595502</v>
      </c>
      <c r="L2643">
        <v>41.920999999999999</v>
      </c>
      <c r="M2643">
        <v>58.66</v>
      </c>
      <c r="N2643">
        <v>136.76900000000001</v>
      </c>
    </row>
    <row r="2644" spans="1:14" x14ac:dyDescent="0.45">
      <c r="A2644">
        <v>1993</v>
      </c>
      <c r="B2644" t="s">
        <v>80</v>
      </c>
      <c r="C2644">
        <v>0</v>
      </c>
      <c r="D2644">
        <v>1</v>
      </c>
      <c r="E2644">
        <v>0</v>
      </c>
      <c r="F2644">
        <v>0</v>
      </c>
      <c r="G2644">
        <v>1</v>
      </c>
      <c r="H2644">
        <v>0</v>
      </c>
      <c r="I2644">
        <v>0</v>
      </c>
      <c r="J2644">
        <v>12669.4287209749</v>
      </c>
      <c r="K2644">
        <v>10406.7845674989</v>
      </c>
      <c r="L2644">
        <v>23.818999999999999</v>
      </c>
      <c r="M2644">
        <v>66.891999999999996</v>
      </c>
      <c r="N2644">
        <v>53.74</v>
      </c>
    </row>
    <row r="2645" spans="1:14" x14ac:dyDescent="0.45">
      <c r="A2645">
        <v>1993</v>
      </c>
      <c r="B2645" t="s">
        <v>81</v>
      </c>
      <c r="C2645">
        <v>0</v>
      </c>
      <c r="D2645">
        <v>1</v>
      </c>
      <c r="E2645">
        <v>0</v>
      </c>
      <c r="F2645">
        <v>0</v>
      </c>
      <c r="G2645">
        <v>1</v>
      </c>
      <c r="H2645">
        <v>0</v>
      </c>
      <c r="I2645">
        <v>0</v>
      </c>
      <c r="J2645">
        <v>15362.7272188262</v>
      </c>
      <c r="K2645">
        <v>14672.9341519401</v>
      </c>
      <c r="L2645">
        <v>63.716999999999999</v>
      </c>
      <c r="M2645">
        <v>73.739000000000004</v>
      </c>
      <c r="N2645">
        <v>16.059999999999999</v>
      </c>
    </row>
    <row r="2646" spans="1:14" x14ac:dyDescent="0.45">
      <c r="A2646">
        <v>1993</v>
      </c>
      <c r="B2646" t="s">
        <v>82</v>
      </c>
      <c r="C2646">
        <v>0</v>
      </c>
      <c r="D2646">
        <v>0</v>
      </c>
      <c r="E2646">
        <v>0</v>
      </c>
      <c r="F2646">
        <v>0</v>
      </c>
      <c r="G2646">
        <v>0</v>
      </c>
      <c r="H2646">
        <v>1</v>
      </c>
      <c r="I2646">
        <v>1</v>
      </c>
      <c r="J2646">
        <v>107899.136176771</v>
      </c>
      <c r="K2646">
        <v>84248.128241241706</v>
      </c>
      <c r="L2646">
        <v>32.396000000000001</v>
      </c>
      <c r="M2646">
        <v>72.332999999999998</v>
      </c>
      <c r="N2646">
        <v>12.67</v>
      </c>
    </row>
    <row r="2647" spans="1:14" x14ac:dyDescent="0.45">
      <c r="A2647">
        <v>1993</v>
      </c>
      <c r="B2647" t="s">
        <v>83</v>
      </c>
      <c r="C2647">
        <v>0</v>
      </c>
      <c r="D2647">
        <v>0</v>
      </c>
      <c r="E2647">
        <v>0</v>
      </c>
      <c r="F2647">
        <v>0</v>
      </c>
      <c r="G2647">
        <v>0</v>
      </c>
      <c r="H2647">
        <v>0</v>
      </c>
      <c r="I2647">
        <v>0</v>
      </c>
      <c r="J2647">
        <v>3850.5512874209999</v>
      </c>
      <c r="K2647">
        <v>3335.06435944225</v>
      </c>
      <c r="L2647">
        <v>81.209000000000003</v>
      </c>
      <c r="M2647">
        <v>57.905999999999999</v>
      </c>
      <c r="N2647">
        <v>112.18600000000001</v>
      </c>
    </row>
    <row r="2648" spans="1:14" x14ac:dyDescent="0.45">
      <c r="A2648">
        <v>1993</v>
      </c>
      <c r="B2648" t="s">
        <v>84</v>
      </c>
      <c r="C2648">
        <v>0</v>
      </c>
      <c r="D2648">
        <v>0</v>
      </c>
      <c r="E2648">
        <v>1</v>
      </c>
      <c r="F2648">
        <v>1</v>
      </c>
      <c r="G2648">
        <v>0</v>
      </c>
      <c r="H2648">
        <v>0</v>
      </c>
      <c r="I2648">
        <v>0</v>
      </c>
      <c r="J2648">
        <v>10902.9512765124</v>
      </c>
      <c r="K2648">
        <v>9864.8424161096991</v>
      </c>
      <c r="L2648">
        <v>52.713999999999999</v>
      </c>
      <c r="M2648">
        <v>57.316000000000003</v>
      </c>
      <c r="N2648">
        <v>60.066000000000003</v>
      </c>
    </row>
    <row r="2649" spans="1:14" x14ac:dyDescent="0.45">
      <c r="A2649">
        <v>1993</v>
      </c>
      <c r="B2649" t="s">
        <v>85</v>
      </c>
      <c r="C2649">
        <v>0</v>
      </c>
      <c r="D2649">
        <v>0</v>
      </c>
      <c r="E2649">
        <v>1</v>
      </c>
      <c r="F2649">
        <v>0</v>
      </c>
      <c r="G2649">
        <v>0</v>
      </c>
      <c r="H2649">
        <v>0</v>
      </c>
      <c r="I2649">
        <v>0</v>
      </c>
      <c r="J2649">
        <v>1257.8284033824</v>
      </c>
      <c r="K2649">
        <v>1007.08071839518</v>
      </c>
      <c r="L2649">
        <v>62.932000000000002</v>
      </c>
      <c r="M2649">
        <v>48.899000000000001</v>
      </c>
      <c r="N2649">
        <v>174.61600000000001</v>
      </c>
    </row>
    <row r="2650" spans="1:14" x14ac:dyDescent="0.45">
      <c r="A2650">
        <v>1993</v>
      </c>
      <c r="B2650" t="s">
        <v>86</v>
      </c>
      <c r="C2650">
        <v>0</v>
      </c>
      <c r="D2650">
        <v>0</v>
      </c>
      <c r="E2650">
        <v>0</v>
      </c>
      <c r="F2650">
        <v>0</v>
      </c>
      <c r="G2650">
        <v>0</v>
      </c>
      <c r="H2650">
        <v>1</v>
      </c>
      <c r="I2650">
        <v>1</v>
      </c>
      <c r="J2650">
        <v>39622.479061750899</v>
      </c>
      <c r="K2650">
        <v>34297.8746399058</v>
      </c>
      <c r="L2650">
        <v>22.847999999999999</v>
      </c>
      <c r="M2650">
        <v>77.724999999999994</v>
      </c>
      <c r="N2650">
        <v>7.4459999999999997</v>
      </c>
    </row>
    <row r="2651" spans="1:14" x14ac:dyDescent="0.45">
      <c r="A2651">
        <v>1993</v>
      </c>
      <c r="B2651" t="s">
        <v>87</v>
      </c>
      <c r="C2651">
        <v>1</v>
      </c>
      <c r="D2651">
        <v>0</v>
      </c>
      <c r="E2651">
        <v>0</v>
      </c>
      <c r="F2651">
        <v>0</v>
      </c>
      <c r="G2651">
        <v>0</v>
      </c>
      <c r="H2651">
        <v>1</v>
      </c>
      <c r="I2651">
        <v>1</v>
      </c>
      <c r="J2651">
        <v>61284.204258775797</v>
      </c>
      <c r="K2651">
        <v>53315.229292860997</v>
      </c>
      <c r="L2651">
        <v>26.238</v>
      </c>
      <c r="M2651">
        <v>78.233999999999995</v>
      </c>
      <c r="N2651">
        <v>6.8959999999999999</v>
      </c>
    </row>
    <row r="2652" spans="1:14" x14ac:dyDescent="0.45">
      <c r="A2652">
        <v>1993</v>
      </c>
      <c r="B2652" t="s">
        <v>88</v>
      </c>
      <c r="C2652">
        <v>1</v>
      </c>
      <c r="D2652">
        <v>0</v>
      </c>
      <c r="E2652">
        <v>0</v>
      </c>
      <c r="F2652">
        <v>0</v>
      </c>
      <c r="G2652">
        <v>0</v>
      </c>
      <c r="H2652">
        <v>1</v>
      </c>
      <c r="I2652">
        <v>1</v>
      </c>
      <c r="L2652">
        <v>69.108999999999995</v>
      </c>
      <c r="M2652">
        <v>76.779954670860207</v>
      </c>
      <c r="N2652">
        <v>14.5381384566573</v>
      </c>
    </row>
    <row r="2653" spans="1:14" x14ac:dyDescent="0.45">
      <c r="A2653">
        <v>1993</v>
      </c>
      <c r="B2653" t="s">
        <v>89</v>
      </c>
      <c r="C2653">
        <v>0</v>
      </c>
      <c r="D2653">
        <v>1</v>
      </c>
      <c r="E2653">
        <v>0</v>
      </c>
      <c r="F2653">
        <v>0</v>
      </c>
      <c r="G2653">
        <v>1</v>
      </c>
      <c r="H2653">
        <v>0</v>
      </c>
      <c r="I2653">
        <v>0</v>
      </c>
      <c r="J2653">
        <v>13377.305321353801</v>
      </c>
      <c r="K2653">
        <v>11652.729164982</v>
      </c>
      <c r="L2653">
        <v>16.103999999999999</v>
      </c>
      <c r="M2653">
        <v>74.679000000000002</v>
      </c>
      <c r="N2653">
        <v>16.047000000000001</v>
      </c>
    </row>
    <row r="2654" spans="1:14" x14ac:dyDescent="0.45">
      <c r="A2654">
        <v>1993</v>
      </c>
      <c r="B2654" t="s">
        <v>90</v>
      </c>
      <c r="C2654">
        <v>0</v>
      </c>
      <c r="D2654">
        <v>0</v>
      </c>
      <c r="E2654">
        <v>0</v>
      </c>
      <c r="F2654">
        <v>0</v>
      </c>
      <c r="G2654">
        <v>0</v>
      </c>
      <c r="H2654">
        <v>0</v>
      </c>
      <c r="I2654">
        <v>0</v>
      </c>
      <c r="J2654">
        <v>2286.7597444418202</v>
      </c>
      <c r="K2654">
        <v>2049.9320440942602</v>
      </c>
      <c r="L2654">
        <v>70.897000000000006</v>
      </c>
      <c r="M2654">
        <v>69.492000000000004</v>
      </c>
      <c r="N2654">
        <v>49.773000000000003</v>
      </c>
    </row>
    <row r="2655" spans="1:14" x14ac:dyDescent="0.45">
      <c r="A2655">
        <v>1993</v>
      </c>
      <c r="B2655" t="s">
        <v>91</v>
      </c>
      <c r="C2655">
        <v>0</v>
      </c>
      <c r="D2655">
        <v>0</v>
      </c>
      <c r="E2655">
        <v>1</v>
      </c>
      <c r="F2655">
        <v>0</v>
      </c>
      <c r="G2655">
        <v>0</v>
      </c>
      <c r="H2655">
        <v>0</v>
      </c>
      <c r="I2655">
        <v>0</v>
      </c>
      <c r="J2655">
        <v>4645.4675087180503</v>
      </c>
      <c r="K2655">
        <v>3921.4587260088601</v>
      </c>
      <c r="L2655">
        <v>59.539000000000001</v>
      </c>
      <c r="M2655">
        <v>52.247</v>
      </c>
      <c r="N2655">
        <v>152.643</v>
      </c>
    </row>
    <row r="2656" spans="1:14" x14ac:dyDescent="0.45">
      <c r="A2656">
        <v>1993</v>
      </c>
      <c r="B2656" t="s">
        <v>92</v>
      </c>
      <c r="C2656">
        <v>0</v>
      </c>
      <c r="D2656">
        <v>0</v>
      </c>
      <c r="E2656">
        <v>1</v>
      </c>
      <c r="F2656">
        <v>1</v>
      </c>
      <c r="G2656">
        <v>0</v>
      </c>
      <c r="H2656">
        <v>0</v>
      </c>
      <c r="I2656">
        <v>0</v>
      </c>
      <c r="J2656">
        <v>3556.3185442459198</v>
      </c>
      <c r="K2656">
        <v>2792.4660056815801</v>
      </c>
      <c r="L2656">
        <v>58.600999999999999</v>
      </c>
      <c r="M2656">
        <v>53.872</v>
      </c>
      <c r="N2656">
        <v>142.56899999999999</v>
      </c>
    </row>
    <row r="2657" spans="1:14" x14ac:dyDescent="0.45">
      <c r="A2657">
        <v>1993</v>
      </c>
      <c r="B2657" t="s">
        <v>93</v>
      </c>
      <c r="C2657">
        <v>0</v>
      </c>
      <c r="D2657">
        <v>0</v>
      </c>
      <c r="E2657">
        <v>1</v>
      </c>
      <c r="F2657">
        <v>0</v>
      </c>
      <c r="G2657">
        <v>0</v>
      </c>
      <c r="H2657">
        <v>0</v>
      </c>
      <c r="I2657">
        <v>0</v>
      </c>
      <c r="J2657">
        <v>1389.95086948413</v>
      </c>
      <c r="K2657">
        <v>1112.7453443944901</v>
      </c>
      <c r="L2657">
        <v>68.054000000000002</v>
      </c>
      <c r="M2657">
        <v>49.621000000000002</v>
      </c>
      <c r="N2657">
        <v>179.20500000000001</v>
      </c>
    </row>
    <row r="2658" spans="1:14" x14ac:dyDescent="0.45">
      <c r="A2658">
        <v>1993</v>
      </c>
      <c r="B2658" t="s">
        <v>94</v>
      </c>
      <c r="C2658">
        <v>0</v>
      </c>
      <c r="D2658">
        <v>0</v>
      </c>
      <c r="E2658">
        <v>1</v>
      </c>
      <c r="F2658">
        <v>1</v>
      </c>
      <c r="G2658">
        <v>0</v>
      </c>
      <c r="H2658">
        <v>0</v>
      </c>
      <c r="I2658">
        <v>0</v>
      </c>
      <c r="J2658">
        <v>8302.6972683494096</v>
      </c>
      <c r="K2658">
        <v>5005.24129213782</v>
      </c>
      <c r="L2658">
        <v>44.42</v>
      </c>
      <c r="M2658">
        <v>56.040999999999997</v>
      </c>
      <c r="N2658">
        <v>98.364000000000004</v>
      </c>
    </row>
    <row r="2659" spans="1:14" x14ac:dyDescent="0.45">
      <c r="A2659">
        <v>1993</v>
      </c>
      <c r="B2659" t="s">
        <v>95</v>
      </c>
      <c r="C2659">
        <v>0</v>
      </c>
      <c r="D2659">
        <v>1</v>
      </c>
      <c r="E2659">
        <v>0</v>
      </c>
      <c r="F2659">
        <v>1</v>
      </c>
      <c r="G2659">
        <v>0</v>
      </c>
      <c r="H2659">
        <v>0</v>
      </c>
      <c r="I2659">
        <v>0</v>
      </c>
      <c r="J2659">
        <v>10533.1149561734</v>
      </c>
      <c r="K2659">
        <v>8769.9714162373293</v>
      </c>
      <c r="L2659">
        <v>29.126000000000001</v>
      </c>
      <c r="M2659">
        <v>69.082999999999998</v>
      </c>
      <c r="N2659">
        <v>32.180999999999997</v>
      </c>
    </row>
    <row r="2660" spans="1:14" x14ac:dyDescent="0.45">
      <c r="A2660">
        <v>1993</v>
      </c>
      <c r="B2660" t="s">
        <v>96</v>
      </c>
      <c r="C2660">
        <v>0</v>
      </c>
      <c r="D2660">
        <v>0</v>
      </c>
      <c r="E2660">
        <v>1</v>
      </c>
      <c r="F2660">
        <v>0</v>
      </c>
      <c r="G2660">
        <v>0</v>
      </c>
      <c r="H2660">
        <v>0</v>
      </c>
      <c r="I2660">
        <v>0</v>
      </c>
      <c r="J2660">
        <v>2363.5369127392701</v>
      </c>
      <c r="K2660">
        <v>2444.1988054398598</v>
      </c>
      <c r="L2660">
        <v>71.61</v>
      </c>
      <c r="M2660">
        <v>57.026000000000003</v>
      </c>
      <c r="N2660">
        <v>115.24299999999999</v>
      </c>
    </row>
    <row r="2661" spans="1:14" x14ac:dyDescent="0.45">
      <c r="A2661">
        <v>1993</v>
      </c>
      <c r="B2661" t="s">
        <v>97</v>
      </c>
      <c r="C2661">
        <v>0</v>
      </c>
      <c r="D2661">
        <v>0</v>
      </c>
      <c r="E2661">
        <v>1</v>
      </c>
      <c r="F2661">
        <v>1</v>
      </c>
      <c r="G2661">
        <v>0</v>
      </c>
      <c r="H2661">
        <v>0</v>
      </c>
      <c r="I2661">
        <v>0</v>
      </c>
      <c r="J2661">
        <v>2111.62140814748</v>
      </c>
      <c r="K2661">
        <v>2034.99933854084</v>
      </c>
      <c r="L2661">
        <v>53.097999999999999</v>
      </c>
      <c r="M2661">
        <v>64.457999999999998</v>
      </c>
      <c r="N2661">
        <v>54.787999999999997</v>
      </c>
    </row>
    <row r="2662" spans="1:14" x14ac:dyDescent="0.45">
      <c r="A2662">
        <v>1993</v>
      </c>
      <c r="B2662" t="s">
        <v>98</v>
      </c>
      <c r="C2662">
        <v>0</v>
      </c>
      <c r="D2662">
        <v>1</v>
      </c>
      <c r="E2662">
        <v>0</v>
      </c>
      <c r="F2662">
        <v>1</v>
      </c>
      <c r="G2662">
        <v>0</v>
      </c>
      <c r="H2662">
        <v>0</v>
      </c>
      <c r="I2662">
        <v>0</v>
      </c>
      <c r="J2662">
        <v>12144.4487480807</v>
      </c>
      <c r="K2662">
        <v>10873.586132419599</v>
      </c>
      <c r="L2662">
        <v>47.256999999999998</v>
      </c>
      <c r="M2662">
        <v>76.314999999999998</v>
      </c>
      <c r="N2662">
        <v>15.6</v>
      </c>
    </row>
    <row r="2663" spans="1:14" x14ac:dyDescent="0.45">
      <c r="A2663">
        <v>1993</v>
      </c>
      <c r="B2663" t="s">
        <v>99</v>
      </c>
      <c r="C2663">
        <v>0</v>
      </c>
      <c r="D2663">
        <v>1</v>
      </c>
      <c r="E2663">
        <v>0</v>
      </c>
      <c r="F2663">
        <v>1</v>
      </c>
      <c r="G2663">
        <v>0</v>
      </c>
      <c r="H2663">
        <v>0</v>
      </c>
      <c r="I2663">
        <v>0</v>
      </c>
      <c r="L2663">
        <v>26.023</v>
      </c>
      <c r="M2663">
        <v>73.873999999999995</v>
      </c>
      <c r="N2663">
        <v>11.718</v>
      </c>
    </row>
    <row r="2664" spans="1:14" x14ac:dyDescent="0.45">
      <c r="A2664">
        <v>1993</v>
      </c>
      <c r="B2664" t="s">
        <v>100</v>
      </c>
      <c r="C2664">
        <v>0</v>
      </c>
      <c r="D2664">
        <v>1</v>
      </c>
      <c r="E2664">
        <v>0</v>
      </c>
      <c r="F2664">
        <v>0</v>
      </c>
      <c r="G2664">
        <v>0</v>
      </c>
      <c r="H2664">
        <v>1</v>
      </c>
      <c r="I2664">
        <v>1</v>
      </c>
      <c r="L2664">
        <v>13.776</v>
      </c>
      <c r="M2664">
        <v>72.703000000000003</v>
      </c>
      <c r="N2664">
        <v>18.074999999999999</v>
      </c>
    </row>
    <row r="2665" spans="1:14" x14ac:dyDescent="0.45">
      <c r="A2665">
        <v>1993</v>
      </c>
      <c r="B2665" t="s">
        <v>101</v>
      </c>
      <c r="C2665">
        <v>0</v>
      </c>
      <c r="D2665">
        <v>1</v>
      </c>
      <c r="E2665">
        <v>0</v>
      </c>
      <c r="F2665">
        <v>0</v>
      </c>
      <c r="G2665">
        <v>0</v>
      </c>
      <c r="H2665">
        <v>1</v>
      </c>
      <c r="I2665">
        <v>1</v>
      </c>
      <c r="L2665">
        <v>0</v>
      </c>
      <c r="M2665">
        <v>73.25</v>
      </c>
      <c r="N2665">
        <v>8.4860000000000007</v>
      </c>
    </row>
    <row r="2666" spans="1:14" x14ac:dyDescent="0.45">
      <c r="A2666">
        <v>1993</v>
      </c>
      <c r="B2666" t="s">
        <v>102</v>
      </c>
      <c r="C2666">
        <v>1</v>
      </c>
      <c r="D2666">
        <v>0</v>
      </c>
      <c r="E2666">
        <v>0</v>
      </c>
      <c r="F2666">
        <v>0</v>
      </c>
      <c r="G2666">
        <v>0</v>
      </c>
      <c r="H2666">
        <v>1</v>
      </c>
      <c r="I2666">
        <v>1</v>
      </c>
      <c r="J2666">
        <v>28440.03125</v>
      </c>
      <c r="K2666">
        <v>25335.578649034102</v>
      </c>
      <c r="L2666">
        <v>32.207999999999998</v>
      </c>
      <c r="M2666">
        <v>76.293999999999997</v>
      </c>
      <c r="N2666">
        <v>9.8260000000000005</v>
      </c>
    </row>
    <row r="2667" spans="1:14" x14ac:dyDescent="0.45">
      <c r="A2667">
        <v>1993</v>
      </c>
      <c r="B2667" t="s">
        <v>103</v>
      </c>
      <c r="C2667">
        <v>1</v>
      </c>
      <c r="D2667">
        <v>0</v>
      </c>
      <c r="E2667">
        <v>0</v>
      </c>
      <c r="F2667">
        <v>1</v>
      </c>
      <c r="G2667">
        <v>0</v>
      </c>
      <c r="H2667">
        <v>0</v>
      </c>
      <c r="I2667">
        <v>0</v>
      </c>
      <c r="J2667">
        <v>24573.991487752901</v>
      </c>
      <c r="K2667">
        <v>20460.367804010701</v>
      </c>
      <c r="L2667">
        <v>25.099</v>
      </c>
      <c r="M2667">
        <v>72.852999999999994</v>
      </c>
      <c r="N2667">
        <v>10.007</v>
      </c>
    </row>
    <row r="2668" spans="1:14" x14ac:dyDescent="0.45">
      <c r="A2668">
        <v>1993</v>
      </c>
      <c r="B2668" t="s">
        <v>104</v>
      </c>
      <c r="C2668">
        <v>1</v>
      </c>
      <c r="D2668">
        <v>0</v>
      </c>
      <c r="E2668">
        <v>0</v>
      </c>
      <c r="F2668">
        <v>0</v>
      </c>
      <c r="G2668">
        <v>0</v>
      </c>
      <c r="H2668">
        <v>1</v>
      </c>
      <c r="I2668">
        <v>1</v>
      </c>
      <c r="J2668">
        <v>44037.523918578503</v>
      </c>
      <c r="K2668">
        <v>38182.8290480254</v>
      </c>
      <c r="L2668">
        <v>26.503</v>
      </c>
      <c r="M2668">
        <v>76.08</v>
      </c>
      <c r="N2668">
        <v>7.1150000000000002</v>
      </c>
    </row>
    <row r="2669" spans="1:14" x14ac:dyDescent="0.45">
      <c r="A2669">
        <v>1993</v>
      </c>
      <c r="B2669" t="s">
        <v>105</v>
      </c>
      <c r="C2669">
        <v>0</v>
      </c>
      <c r="D2669">
        <v>0</v>
      </c>
      <c r="E2669">
        <v>0</v>
      </c>
      <c r="F2669">
        <v>1</v>
      </c>
      <c r="G2669">
        <v>0</v>
      </c>
      <c r="H2669">
        <v>0</v>
      </c>
      <c r="I2669">
        <v>0</v>
      </c>
      <c r="J2669">
        <v>4987.0851935597502</v>
      </c>
      <c r="K2669">
        <v>4301.6145488842403</v>
      </c>
      <c r="L2669">
        <v>23.792999999999999</v>
      </c>
      <c r="M2669">
        <v>55.734000000000002</v>
      </c>
      <c r="N2669">
        <v>112.94499999999999</v>
      </c>
    </row>
    <row r="2670" spans="1:14" x14ac:dyDescent="0.45">
      <c r="A2670">
        <v>1993</v>
      </c>
      <c r="B2670" t="s">
        <v>106</v>
      </c>
      <c r="C2670">
        <v>0</v>
      </c>
      <c r="D2670">
        <v>1</v>
      </c>
      <c r="E2670">
        <v>0</v>
      </c>
      <c r="F2670">
        <v>1</v>
      </c>
      <c r="G2670">
        <v>0</v>
      </c>
      <c r="H2670">
        <v>0</v>
      </c>
      <c r="I2670">
        <v>0</v>
      </c>
      <c r="J2670">
        <v>11982.858783134699</v>
      </c>
      <c r="K2670">
        <v>9325.4001839181692</v>
      </c>
      <c r="L2670">
        <v>35.344000000000001</v>
      </c>
      <c r="M2670">
        <v>70.611999999999995</v>
      </c>
      <c r="N2670">
        <v>16.757999999999999</v>
      </c>
    </row>
    <row r="2671" spans="1:14" x14ac:dyDescent="0.45">
      <c r="A2671">
        <v>1993</v>
      </c>
      <c r="B2671" t="s">
        <v>107</v>
      </c>
      <c r="C2671">
        <v>1</v>
      </c>
      <c r="D2671">
        <v>0</v>
      </c>
      <c r="E2671">
        <v>0</v>
      </c>
      <c r="F2671">
        <v>0</v>
      </c>
      <c r="G2671">
        <v>0</v>
      </c>
      <c r="H2671">
        <v>1</v>
      </c>
      <c r="I2671">
        <v>1</v>
      </c>
      <c r="J2671">
        <v>46956.617150051999</v>
      </c>
      <c r="K2671">
        <v>39685.248272965502</v>
      </c>
      <c r="L2671">
        <v>15.074999999999999</v>
      </c>
      <c r="M2671">
        <v>75.188999999999993</v>
      </c>
      <c r="N2671">
        <v>6.625</v>
      </c>
    </row>
    <row r="2672" spans="1:14" x14ac:dyDescent="0.45">
      <c r="A2672">
        <v>1993</v>
      </c>
      <c r="B2672" t="s">
        <v>108</v>
      </c>
      <c r="C2672">
        <v>0</v>
      </c>
      <c r="D2672">
        <v>1</v>
      </c>
      <c r="E2672">
        <v>0</v>
      </c>
      <c r="F2672">
        <v>1</v>
      </c>
      <c r="G2672">
        <v>0</v>
      </c>
      <c r="H2672">
        <v>0</v>
      </c>
      <c r="I2672">
        <v>0</v>
      </c>
      <c r="J2672">
        <v>8318.49178576126</v>
      </c>
      <c r="K2672">
        <v>7185.7211408801004</v>
      </c>
      <c r="L2672">
        <v>43.963000000000001</v>
      </c>
      <c r="M2672">
        <v>68.86</v>
      </c>
      <c r="N2672">
        <v>54</v>
      </c>
    </row>
    <row r="2673" spans="1:14" x14ac:dyDescent="0.45">
      <c r="A2673">
        <v>1993</v>
      </c>
      <c r="B2673" t="s">
        <v>109</v>
      </c>
      <c r="C2673">
        <v>0</v>
      </c>
      <c r="D2673">
        <v>0</v>
      </c>
      <c r="E2673">
        <v>0</v>
      </c>
      <c r="F2673">
        <v>1</v>
      </c>
      <c r="G2673">
        <v>0</v>
      </c>
      <c r="H2673">
        <v>0</v>
      </c>
      <c r="I2673">
        <v>0</v>
      </c>
      <c r="J2673">
        <v>10743.7063534104</v>
      </c>
      <c r="K2673">
        <v>9396.8121819600601</v>
      </c>
      <c r="L2673">
        <v>45.561</v>
      </c>
      <c r="M2673">
        <v>67.796999999999997</v>
      </c>
      <c r="N2673">
        <v>49.238999999999997</v>
      </c>
    </row>
    <row r="2674" spans="1:14" x14ac:dyDescent="0.45">
      <c r="A2674">
        <v>1993</v>
      </c>
      <c r="B2674" t="s">
        <v>110</v>
      </c>
      <c r="C2674">
        <v>0</v>
      </c>
      <c r="D2674">
        <v>1</v>
      </c>
      <c r="E2674">
        <v>0</v>
      </c>
      <c r="F2674">
        <v>1</v>
      </c>
      <c r="G2674">
        <v>0</v>
      </c>
      <c r="H2674">
        <v>0</v>
      </c>
      <c r="I2674">
        <v>0</v>
      </c>
      <c r="J2674">
        <v>9284.3150343123507</v>
      </c>
      <c r="K2674">
        <v>7722.2083832624603</v>
      </c>
      <c r="L2674">
        <v>43.26</v>
      </c>
      <c r="M2674">
        <v>70.069999999999993</v>
      </c>
      <c r="N2674">
        <v>45.972000000000001</v>
      </c>
    </row>
    <row r="2675" spans="1:14" x14ac:dyDescent="0.45">
      <c r="A2675">
        <v>1993</v>
      </c>
      <c r="B2675" t="s">
        <v>111</v>
      </c>
      <c r="C2675">
        <v>0</v>
      </c>
      <c r="D2675">
        <v>0</v>
      </c>
      <c r="E2675">
        <v>0</v>
      </c>
      <c r="F2675">
        <v>0</v>
      </c>
      <c r="G2675">
        <v>0</v>
      </c>
      <c r="H2675">
        <v>0</v>
      </c>
      <c r="I2675">
        <v>0</v>
      </c>
      <c r="J2675">
        <v>8079.0548068047201</v>
      </c>
      <c r="K2675">
        <v>6411.4017737020204</v>
      </c>
      <c r="L2675">
        <v>56.920999999999999</v>
      </c>
      <c r="M2675">
        <v>64.147000000000006</v>
      </c>
      <c r="N2675">
        <v>72.558999999999997</v>
      </c>
    </row>
    <row r="2676" spans="1:14" x14ac:dyDescent="0.45">
      <c r="A2676">
        <v>1993</v>
      </c>
      <c r="B2676" t="s">
        <v>112</v>
      </c>
      <c r="C2676">
        <v>0</v>
      </c>
      <c r="D2676">
        <v>0</v>
      </c>
      <c r="E2676">
        <v>1</v>
      </c>
      <c r="F2676">
        <v>0</v>
      </c>
      <c r="G2676">
        <v>0</v>
      </c>
      <c r="H2676">
        <v>0</v>
      </c>
      <c r="I2676">
        <v>0</v>
      </c>
      <c r="L2676">
        <v>78.984999999999999</v>
      </c>
      <c r="M2676">
        <v>53.189</v>
      </c>
      <c r="N2676">
        <v>129.88300000000001</v>
      </c>
    </row>
    <row r="2677" spans="1:14" x14ac:dyDescent="0.45">
      <c r="A2677">
        <v>1993</v>
      </c>
      <c r="B2677" t="s">
        <v>113</v>
      </c>
      <c r="C2677">
        <v>1</v>
      </c>
      <c r="D2677">
        <v>0</v>
      </c>
      <c r="E2677">
        <v>0</v>
      </c>
      <c r="F2677">
        <v>0</v>
      </c>
      <c r="G2677">
        <v>0</v>
      </c>
      <c r="H2677">
        <v>1</v>
      </c>
      <c r="I2677">
        <v>1</v>
      </c>
      <c r="J2677">
        <v>32137.313843772699</v>
      </c>
      <c r="K2677">
        <v>28281.6909100599</v>
      </c>
      <c r="L2677">
        <v>24.308</v>
      </c>
      <c r="M2677">
        <v>77.727999999999994</v>
      </c>
      <c r="N2677">
        <v>8.0570000000000004</v>
      </c>
    </row>
    <row r="2678" spans="1:14" x14ac:dyDescent="0.45">
      <c r="A2678">
        <v>1993</v>
      </c>
      <c r="B2678" t="s">
        <v>114</v>
      </c>
      <c r="C2678">
        <v>1</v>
      </c>
      <c r="D2678">
        <v>0</v>
      </c>
      <c r="E2678">
        <v>0</v>
      </c>
      <c r="F2678">
        <v>0</v>
      </c>
      <c r="G2678">
        <v>1</v>
      </c>
      <c r="H2678">
        <v>0</v>
      </c>
      <c r="I2678">
        <v>0</v>
      </c>
      <c r="J2678">
        <v>13899.587578111499</v>
      </c>
      <c r="K2678">
        <v>11792.491763276599</v>
      </c>
      <c r="L2678">
        <v>29.326000000000001</v>
      </c>
      <c r="M2678">
        <v>68.221999999999994</v>
      </c>
      <c r="N2678">
        <v>17.524999999999999</v>
      </c>
    </row>
    <row r="2679" spans="1:14" x14ac:dyDescent="0.45">
      <c r="A2679">
        <v>1993</v>
      </c>
      <c r="B2679" t="s">
        <v>115</v>
      </c>
      <c r="C2679">
        <v>0</v>
      </c>
      <c r="D2679">
        <v>0</v>
      </c>
      <c r="E2679">
        <v>1</v>
      </c>
      <c r="F2679">
        <v>0</v>
      </c>
      <c r="G2679">
        <v>0</v>
      </c>
      <c r="H2679">
        <v>0</v>
      </c>
      <c r="I2679">
        <v>0</v>
      </c>
      <c r="J2679">
        <v>743.70848591710103</v>
      </c>
      <c r="K2679">
        <v>670.74354599281696</v>
      </c>
      <c r="L2679">
        <v>86.63</v>
      </c>
      <c r="M2679">
        <v>47.676000000000002</v>
      </c>
      <c r="N2679">
        <v>184.95400000000001</v>
      </c>
    </row>
    <row r="2680" spans="1:14" x14ac:dyDescent="0.45">
      <c r="A2680">
        <v>1993</v>
      </c>
      <c r="B2680" t="s">
        <v>116</v>
      </c>
      <c r="C2680">
        <v>1</v>
      </c>
      <c r="D2680">
        <v>0</v>
      </c>
      <c r="E2680">
        <v>0</v>
      </c>
      <c r="F2680">
        <v>0</v>
      </c>
      <c r="G2680">
        <v>0</v>
      </c>
      <c r="H2680">
        <v>1</v>
      </c>
      <c r="I2680">
        <v>1</v>
      </c>
      <c r="J2680">
        <v>34486.752255535197</v>
      </c>
      <c r="K2680">
        <v>28992.4198580384</v>
      </c>
      <c r="L2680">
        <v>19.591000000000001</v>
      </c>
      <c r="M2680">
        <v>75.885000000000005</v>
      </c>
      <c r="N2680">
        <v>5.31</v>
      </c>
    </row>
    <row r="2681" spans="1:14" x14ac:dyDescent="0.45">
      <c r="A2681">
        <v>1993</v>
      </c>
      <c r="B2681" t="s">
        <v>117</v>
      </c>
      <c r="C2681">
        <v>0</v>
      </c>
      <c r="D2681">
        <v>0</v>
      </c>
      <c r="E2681">
        <v>0</v>
      </c>
      <c r="F2681">
        <v>1</v>
      </c>
      <c r="G2681">
        <v>0</v>
      </c>
      <c r="H2681">
        <v>0</v>
      </c>
      <c r="I2681">
        <v>0</v>
      </c>
      <c r="J2681">
        <v>8383.6512503306094</v>
      </c>
      <c r="K2681">
        <v>8210.1322870761596</v>
      </c>
      <c r="L2681">
        <v>56.067</v>
      </c>
      <c r="M2681">
        <v>65.510000000000005</v>
      </c>
      <c r="N2681">
        <v>26.518000000000001</v>
      </c>
    </row>
    <row r="2682" spans="1:14" x14ac:dyDescent="0.45">
      <c r="A2682">
        <v>1993</v>
      </c>
      <c r="B2682" t="s">
        <v>118</v>
      </c>
      <c r="C2682">
        <v>1</v>
      </c>
      <c r="D2682">
        <v>0</v>
      </c>
      <c r="E2682">
        <v>0</v>
      </c>
      <c r="F2682">
        <v>0</v>
      </c>
      <c r="G2682">
        <v>0</v>
      </c>
      <c r="H2682">
        <v>1</v>
      </c>
      <c r="I2682">
        <v>1</v>
      </c>
      <c r="J2682">
        <v>39020.614158428398</v>
      </c>
      <c r="K2682">
        <v>32578.2634601803</v>
      </c>
      <c r="L2682">
        <v>25.428000000000001</v>
      </c>
      <c r="M2682">
        <v>77.349000000000004</v>
      </c>
      <c r="N2682">
        <v>7.7649999999999997</v>
      </c>
    </row>
    <row r="2683" spans="1:14" x14ac:dyDescent="0.45">
      <c r="A2683">
        <v>1993</v>
      </c>
      <c r="B2683" t="s">
        <v>119</v>
      </c>
      <c r="C2683">
        <v>1</v>
      </c>
      <c r="D2683">
        <v>0</v>
      </c>
      <c r="E2683">
        <v>0</v>
      </c>
      <c r="F2683">
        <v>0</v>
      </c>
      <c r="G2683">
        <v>0</v>
      </c>
      <c r="H2683">
        <v>1</v>
      </c>
      <c r="I2683">
        <v>1</v>
      </c>
      <c r="L2683">
        <v>67.403999999999996</v>
      </c>
      <c r="M2683">
        <v>77.406000000000006</v>
      </c>
      <c r="N2683">
        <v>10.795999999999999</v>
      </c>
    </row>
    <row r="2684" spans="1:14" x14ac:dyDescent="0.45">
      <c r="A2684">
        <v>1993</v>
      </c>
      <c r="B2684" t="s">
        <v>120</v>
      </c>
      <c r="C2684">
        <v>0</v>
      </c>
      <c r="D2684">
        <v>0</v>
      </c>
      <c r="E2684">
        <v>0</v>
      </c>
      <c r="F2684">
        <v>1</v>
      </c>
      <c r="G2684">
        <v>0</v>
      </c>
      <c r="H2684">
        <v>0</v>
      </c>
      <c r="I2684">
        <v>0</v>
      </c>
      <c r="J2684">
        <v>3571.6292060661299</v>
      </c>
      <c r="K2684">
        <v>3232.8172828514098</v>
      </c>
      <c r="L2684">
        <v>74.38</v>
      </c>
      <c r="M2684">
        <v>64.040999999999997</v>
      </c>
      <c r="N2684">
        <v>45.252000000000002</v>
      </c>
    </row>
    <row r="2685" spans="1:14" x14ac:dyDescent="0.45">
      <c r="A2685">
        <v>1993</v>
      </c>
      <c r="B2685" t="s">
        <v>121</v>
      </c>
      <c r="C2685">
        <v>0</v>
      </c>
      <c r="D2685">
        <v>0</v>
      </c>
      <c r="E2685">
        <v>1</v>
      </c>
      <c r="F2685">
        <v>0</v>
      </c>
      <c r="G2685">
        <v>1</v>
      </c>
      <c r="H2685">
        <v>0</v>
      </c>
      <c r="I2685">
        <v>0</v>
      </c>
      <c r="J2685">
        <v>23551.681253301002</v>
      </c>
      <c r="K2685">
        <v>17820.14217223</v>
      </c>
      <c r="L2685">
        <v>27.001000000000001</v>
      </c>
      <c r="M2685">
        <v>61.125</v>
      </c>
      <c r="N2685">
        <v>89.697000000000003</v>
      </c>
    </row>
    <row r="2686" spans="1:14" x14ac:dyDescent="0.45">
      <c r="A2686">
        <v>1993</v>
      </c>
      <c r="B2686" t="s">
        <v>122</v>
      </c>
      <c r="C2686">
        <v>1</v>
      </c>
      <c r="D2686">
        <v>0</v>
      </c>
      <c r="E2686">
        <v>0</v>
      </c>
      <c r="F2686">
        <v>0</v>
      </c>
      <c r="G2686">
        <v>0</v>
      </c>
      <c r="H2686">
        <v>1</v>
      </c>
      <c r="I2686">
        <v>1</v>
      </c>
      <c r="J2686">
        <v>34628.817866381498</v>
      </c>
      <c r="K2686">
        <v>29833.770888457999</v>
      </c>
      <c r="L2686">
        <v>21.768000000000001</v>
      </c>
      <c r="M2686">
        <v>76.16</v>
      </c>
      <c r="N2686">
        <v>7.6269999999999998</v>
      </c>
    </row>
    <row r="2687" spans="1:14" x14ac:dyDescent="0.45">
      <c r="A2687">
        <v>1993</v>
      </c>
      <c r="B2687" t="s">
        <v>123</v>
      </c>
      <c r="C2687">
        <v>1</v>
      </c>
      <c r="D2687">
        <v>0</v>
      </c>
      <c r="E2687">
        <v>0</v>
      </c>
      <c r="F2687">
        <v>0</v>
      </c>
      <c r="G2687">
        <v>0</v>
      </c>
      <c r="H2687">
        <v>0</v>
      </c>
      <c r="I2687">
        <v>0</v>
      </c>
      <c r="J2687">
        <v>3882.0202974764802</v>
      </c>
      <c r="K2687">
        <v>3279.86335796299</v>
      </c>
      <c r="L2687">
        <v>45.68</v>
      </c>
      <c r="M2687">
        <v>67.405000000000001</v>
      </c>
      <c r="N2687">
        <v>46.094000000000001</v>
      </c>
    </row>
    <row r="2688" spans="1:14" x14ac:dyDescent="0.45">
      <c r="A2688">
        <v>1993</v>
      </c>
      <c r="B2688" t="s">
        <v>124</v>
      </c>
      <c r="C2688">
        <v>0</v>
      </c>
      <c r="D2688">
        <v>0</v>
      </c>
      <c r="E2688">
        <v>1</v>
      </c>
      <c r="F2688">
        <v>0</v>
      </c>
      <c r="G2688">
        <v>0</v>
      </c>
      <c r="H2688">
        <v>0</v>
      </c>
      <c r="I2688">
        <v>0</v>
      </c>
      <c r="J2688">
        <v>2964.2660094365801</v>
      </c>
      <c r="K2688">
        <v>2557.3989390810598</v>
      </c>
      <c r="L2688">
        <v>61.356000000000002</v>
      </c>
      <c r="M2688">
        <v>56.286000000000001</v>
      </c>
      <c r="N2688">
        <v>118.88200000000001</v>
      </c>
    </row>
    <row r="2689" spans="1:14" x14ac:dyDescent="0.45">
      <c r="A2689">
        <v>1993</v>
      </c>
      <c r="B2689" t="s">
        <v>125</v>
      </c>
      <c r="C2689">
        <v>1</v>
      </c>
      <c r="D2689">
        <v>0</v>
      </c>
      <c r="E2689">
        <v>0</v>
      </c>
      <c r="F2689">
        <v>0</v>
      </c>
      <c r="G2689">
        <v>1</v>
      </c>
      <c r="H2689">
        <v>0</v>
      </c>
      <c r="I2689">
        <v>0</v>
      </c>
      <c r="L2689">
        <v>0</v>
      </c>
      <c r="M2689">
        <v>77.721999999999994</v>
      </c>
      <c r="N2689">
        <v>18.736999999999998</v>
      </c>
    </row>
    <row r="2690" spans="1:14" x14ac:dyDescent="0.45">
      <c r="A2690">
        <v>1993</v>
      </c>
      <c r="B2690" t="s">
        <v>126</v>
      </c>
      <c r="C2690">
        <v>0</v>
      </c>
      <c r="D2690">
        <v>0</v>
      </c>
      <c r="E2690">
        <v>1</v>
      </c>
      <c r="F2690">
        <v>0</v>
      </c>
      <c r="G2690">
        <v>0</v>
      </c>
      <c r="H2690">
        <v>0</v>
      </c>
      <c r="I2690">
        <v>0</v>
      </c>
      <c r="J2690">
        <v>2115.8664959394</v>
      </c>
      <c r="K2690">
        <v>1705.9508171950899</v>
      </c>
      <c r="L2690">
        <v>71.11</v>
      </c>
      <c r="M2690">
        <v>48.819000000000003</v>
      </c>
      <c r="N2690">
        <v>213.678</v>
      </c>
    </row>
    <row r="2691" spans="1:14" x14ac:dyDescent="0.45">
      <c r="A2691">
        <v>1993</v>
      </c>
      <c r="B2691" t="s">
        <v>127</v>
      </c>
      <c r="C2691">
        <v>0</v>
      </c>
      <c r="D2691">
        <v>0</v>
      </c>
      <c r="E2691">
        <v>1</v>
      </c>
      <c r="F2691">
        <v>0</v>
      </c>
      <c r="G2691">
        <v>0</v>
      </c>
      <c r="H2691">
        <v>0</v>
      </c>
      <c r="I2691">
        <v>0</v>
      </c>
      <c r="J2691">
        <v>2586.1304164570302</v>
      </c>
      <c r="K2691">
        <v>2081.5685238373699</v>
      </c>
      <c r="L2691">
        <v>58.414000000000001</v>
      </c>
      <c r="M2691">
        <v>53.15</v>
      </c>
      <c r="N2691">
        <v>149.15700000000001</v>
      </c>
    </row>
    <row r="2692" spans="1:14" x14ac:dyDescent="0.45">
      <c r="A2692">
        <v>1993</v>
      </c>
      <c r="B2692" t="s">
        <v>128</v>
      </c>
      <c r="C2692">
        <v>0</v>
      </c>
      <c r="D2692">
        <v>0</v>
      </c>
      <c r="E2692">
        <v>1</v>
      </c>
      <c r="F2692">
        <v>0</v>
      </c>
      <c r="G2692">
        <v>0</v>
      </c>
      <c r="H2692">
        <v>0</v>
      </c>
      <c r="I2692">
        <v>0</v>
      </c>
      <c r="J2692">
        <v>1939.75439795188</v>
      </c>
      <c r="K2692">
        <v>1745.0000472602801</v>
      </c>
      <c r="L2692">
        <v>66.364999999999995</v>
      </c>
      <c r="M2692">
        <v>47.84</v>
      </c>
      <c r="N2692">
        <v>207.791</v>
      </c>
    </row>
    <row r="2693" spans="1:14" x14ac:dyDescent="0.45">
      <c r="A2693">
        <v>1993</v>
      </c>
      <c r="B2693" t="s">
        <v>129</v>
      </c>
      <c r="C2693">
        <v>0</v>
      </c>
      <c r="D2693">
        <v>0</v>
      </c>
      <c r="E2693">
        <v>1</v>
      </c>
      <c r="F2693">
        <v>0</v>
      </c>
      <c r="G2693">
        <v>0</v>
      </c>
      <c r="H2693">
        <v>0</v>
      </c>
      <c r="I2693">
        <v>0</v>
      </c>
      <c r="J2693">
        <v>1487.8120252858801</v>
      </c>
      <c r="K2693">
        <v>1232.67124519557</v>
      </c>
      <c r="L2693">
        <v>62.207999999999998</v>
      </c>
      <c r="M2693">
        <v>51.670999999999999</v>
      </c>
      <c r="N2693">
        <v>173.27699999999999</v>
      </c>
    </row>
    <row r="2694" spans="1:14" x14ac:dyDescent="0.45">
      <c r="A2694">
        <v>1993</v>
      </c>
      <c r="B2694" t="s">
        <v>130</v>
      </c>
      <c r="C2694">
        <v>1</v>
      </c>
      <c r="D2694">
        <v>0</v>
      </c>
      <c r="E2694">
        <v>0</v>
      </c>
      <c r="F2694">
        <v>0</v>
      </c>
      <c r="G2694">
        <v>1</v>
      </c>
      <c r="H2694">
        <v>0</v>
      </c>
      <c r="I2694">
        <v>0</v>
      </c>
      <c r="J2694">
        <v>26804.853761614799</v>
      </c>
      <c r="K2694">
        <v>23995.547266036701</v>
      </c>
      <c r="L2694">
        <v>28.122</v>
      </c>
      <c r="M2694">
        <v>77.691000000000003</v>
      </c>
      <c r="N2694">
        <v>9.2140000000000004</v>
      </c>
    </row>
    <row r="2695" spans="1:14" x14ac:dyDescent="0.45">
      <c r="A2695">
        <v>1993</v>
      </c>
      <c r="B2695" t="s">
        <v>131</v>
      </c>
      <c r="C2695">
        <v>0</v>
      </c>
      <c r="D2695">
        <v>1</v>
      </c>
      <c r="E2695">
        <v>0</v>
      </c>
      <c r="F2695">
        <v>1</v>
      </c>
      <c r="G2695">
        <v>0</v>
      </c>
      <c r="H2695">
        <v>0</v>
      </c>
      <c r="I2695">
        <v>0</v>
      </c>
      <c r="J2695">
        <v>8553.2766020121508</v>
      </c>
      <c r="K2695">
        <v>7892.1517048899696</v>
      </c>
      <c r="L2695">
        <v>66.015000000000001</v>
      </c>
      <c r="M2695">
        <v>71.45</v>
      </c>
      <c r="N2695">
        <v>19.382999999999999</v>
      </c>
    </row>
    <row r="2696" spans="1:14" x14ac:dyDescent="0.45">
      <c r="A2696">
        <v>1993</v>
      </c>
      <c r="B2696" t="s">
        <v>132</v>
      </c>
      <c r="C2696">
        <v>1</v>
      </c>
      <c r="D2696">
        <v>0</v>
      </c>
      <c r="E2696">
        <v>0</v>
      </c>
      <c r="F2696">
        <v>0</v>
      </c>
      <c r="G2696">
        <v>0</v>
      </c>
      <c r="H2696">
        <v>1</v>
      </c>
      <c r="I2696">
        <v>1</v>
      </c>
      <c r="J2696">
        <v>34578.346499885403</v>
      </c>
      <c r="K2696">
        <v>31299.218628852799</v>
      </c>
      <c r="L2696">
        <v>19.497</v>
      </c>
      <c r="M2696">
        <v>64.078999999999994</v>
      </c>
      <c r="N2696">
        <v>31.998999999999999</v>
      </c>
    </row>
    <row r="2697" spans="1:14" x14ac:dyDescent="0.45">
      <c r="A2697">
        <v>1993</v>
      </c>
      <c r="B2697" t="s">
        <v>133</v>
      </c>
      <c r="C2697">
        <v>0</v>
      </c>
      <c r="D2697">
        <v>1</v>
      </c>
      <c r="E2697">
        <v>0</v>
      </c>
      <c r="F2697">
        <v>1</v>
      </c>
      <c r="G2697">
        <v>0</v>
      </c>
      <c r="H2697">
        <v>0</v>
      </c>
      <c r="I2697">
        <v>0</v>
      </c>
      <c r="J2697">
        <v>7915.4067036939996</v>
      </c>
      <c r="K2697">
        <v>6875.9211403494101</v>
      </c>
      <c r="L2697">
        <v>57.012999999999998</v>
      </c>
      <c r="M2697">
        <v>62.442</v>
      </c>
      <c r="N2697">
        <v>70.453000000000003</v>
      </c>
    </row>
    <row r="2698" spans="1:14" x14ac:dyDescent="0.45">
      <c r="A2698">
        <v>1993</v>
      </c>
      <c r="B2698" t="s">
        <v>134</v>
      </c>
      <c r="C2698">
        <v>0</v>
      </c>
      <c r="D2698">
        <v>0</v>
      </c>
      <c r="E2698">
        <v>0</v>
      </c>
      <c r="F2698">
        <v>0</v>
      </c>
      <c r="G2698">
        <v>1</v>
      </c>
      <c r="H2698">
        <v>0</v>
      </c>
      <c r="I2698">
        <v>0</v>
      </c>
      <c r="L2698">
        <v>8.4290000000000003</v>
      </c>
      <c r="M2698">
        <v>74.004000000000005</v>
      </c>
      <c r="N2698">
        <v>12.493</v>
      </c>
    </row>
    <row r="2699" spans="1:14" x14ac:dyDescent="0.45">
      <c r="A2699">
        <v>1993</v>
      </c>
      <c r="B2699" t="s">
        <v>135</v>
      </c>
      <c r="C2699">
        <v>0</v>
      </c>
      <c r="D2699">
        <v>1</v>
      </c>
      <c r="E2699">
        <v>0</v>
      </c>
      <c r="F2699">
        <v>0</v>
      </c>
      <c r="G2699">
        <v>0</v>
      </c>
      <c r="H2699">
        <v>0</v>
      </c>
      <c r="I2699">
        <v>0</v>
      </c>
      <c r="J2699">
        <v>6247.8662486659396</v>
      </c>
      <c r="K2699">
        <v>5975.3289391675098</v>
      </c>
      <c r="L2699">
        <v>70.685000000000002</v>
      </c>
      <c r="M2699">
        <v>63.015999999999998</v>
      </c>
      <c r="N2699">
        <v>55.991999999999997</v>
      </c>
    </row>
    <row r="2700" spans="1:14" x14ac:dyDescent="0.45">
      <c r="A2700">
        <v>1993</v>
      </c>
      <c r="B2700" t="s">
        <v>136</v>
      </c>
      <c r="C2700">
        <v>0</v>
      </c>
      <c r="D2700">
        <v>0</v>
      </c>
      <c r="E2700">
        <v>0</v>
      </c>
      <c r="F2700">
        <v>0</v>
      </c>
      <c r="G2700">
        <v>0</v>
      </c>
      <c r="H2700">
        <v>1</v>
      </c>
      <c r="I2700">
        <v>1</v>
      </c>
      <c r="J2700">
        <v>36428.647094195898</v>
      </c>
      <c r="K2700">
        <v>32876.979604400003</v>
      </c>
      <c r="L2700">
        <v>0</v>
      </c>
      <c r="M2700">
        <v>78.326999999999998</v>
      </c>
      <c r="N2700">
        <v>6.1029999999999998</v>
      </c>
    </row>
    <row r="2701" spans="1:14" x14ac:dyDescent="0.45">
      <c r="A2701">
        <v>1993</v>
      </c>
      <c r="B2701" t="s">
        <v>137</v>
      </c>
      <c r="C2701">
        <v>0</v>
      </c>
      <c r="D2701">
        <v>1</v>
      </c>
      <c r="E2701">
        <v>0</v>
      </c>
      <c r="F2701">
        <v>0</v>
      </c>
      <c r="G2701">
        <v>0</v>
      </c>
      <c r="H2701">
        <v>0</v>
      </c>
      <c r="I2701">
        <v>0</v>
      </c>
      <c r="J2701">
        <v>4440.2291565456499</v>
      </c>
      <c r="K2701">
        <v>4091.57362655098</v>
      </c>
      <c r="L2701">
        <v>58.057000000000002</v>
      </c>
      <c r="M2701">
        <v>66.073999999999998</v>
      </c>
      <c r="N2701">
        <v>52.264000000000003</v>
      </c>
    </row>
    <row r="2702" spans="1:14" x14ac:dyDescent="0.45">
      <c r="A2702">
        <v>1993</v>
      </c>
      <c r="B2702" t="s">
        <v>138</v>
      </c>
      <c r="C2702">
        <v>1</v>
      </c>
      <c r="D2702">
        <v>0</v>
      </c>
      <c r="E2702">
        <v>0</v>
      </c>
      <c r="F2702">
        <v>1</v>
      </c>
      <c r="G2702">
        <v>0</v>
      </c>
      <c r="H2702">
        <v>0</v>
      </c>
      <c r="I2702">
        <v>0</v>
      </c>
      <c r="J2702">
        <v>15569.480623790299</v>
      </c>
      <c r="K2702">
        <v>13427.262399658601</v>
      </c>
      <c r="L2702">
        <v>48.182000000000002</v>
      </c>
      <c r="M2702">
        <v>72.305000000000007</v>
      </c>
      <c r="N2702">
        <v>12.291</v>
      </c>
    </row>
    <row r="2703" spans="1:14" x14ac:dyDescent="0.45">
      <c r="A2703">
        <v>1993</v>
      </c>
      <c r="B2703" t="s">
        <v>139</v>
      </c>
      <c r="C2703">
        <v>0</v>
      </c>
      <c r="D2703">
        <v>1</v>
      </c>
      <c r="E2703">
        <v>0</v>
      </c>
      <c r="F2703">
        <v>0</v>
      </c>
      <c r="G2703">
        <v>0</v>
      </c>
      <c r="H2703">
        <v>0</v>
      </c>
      <c r="I2703">
        <v>0</v>
      </c>
      <c r="J2703">
        <v>3390.8813507055802</v>
      </c>
      <c r="K2703">
        <v>3259.1651413087202</v>
      </c>
      <c r="L2703">
        <v>68.61</v>
      </c>
      <c r="M2703">
        <v>54.478000000000002</v>
      </c>
      <c r="N2703">
        <v>131.95699999999999</v>
      </c>
    </row>
    <row r="2704" spans="1:14" x14ac:dyDescent="0.45">
      <c r="A2704">
        <v>1993</v>
      </c>
      <c r="B2704" t="s">
        <v>140</v>
      </c>
      <c r="C2704">
        <v>1</v>
      </c>
      <c r="D2704">
        <v>0</v>
      </c>
      <c r="E2704">
        <v>0</v>
      </c>
      <c r="F2704">
        <v>0</v>
      </c>
      <c r="G2704">
        <v>1</v>
      </c>
      <c r="H2704">
        <v>0</v>
      </c>
      <c r="I2704">
        <v>0</v>
      </c>
      <c r="J2704">
        <v>18113.336906965498</v>
      </c>
      <c r="K2704">
        <v>15784.2784000391</v>
      </c>
      <c r="L2704">
        <v>34.539000000000001</v>
      </c>
      <c r="M2704">
        <v>69.180000000000007</v>
      </c>
      <c r="N2704">
        <v>14.295999999999999</v>
      </c>
    </row>
    <row r="2705" spans="1:14" x14ac:dyDescent="0.45">
      <c r="A2705">
        <v>1993</v>
      </c>
      <c r="B2705" t="s">
        <v>141</v>
      </c>
      <c r="C2705">
        <v>0</v>
      </c>
      <c r="D2705">
        <v>0</v>
      </c>
      <c r="E2705">
        <v>0</v>
      </c>
      <c r="F2705">
        <v>1</v>
      </c>
      <c r="G2705">
        <v>0</v>
      </c>
      <c r="H2705">
        <v>0</v>
      </c>
      <c r="I2705">
        <v>0</v>
      </c>
      <c r="J2705">
        <v>5609.1517881426898</v>
      </c>
      <c r="K2705">
        <v>5092.2257466812098</v>
      </c>
      <c r="L2705">
        <v>66.191999999999993</v>
      </c>
      <c r="M2705">
        <v>64.850999999999999</v>
      </c>
      <c r="N2705">
        <v>72.747</v>
      </c>
    </row>
    <row r="2706" spans="1:14" x14ac:dyDescent="0.45">
      <c r="A2706">
        <v>1993</v>
      </c>
      <c r="B2706" t="s">
        <v>142</v>
      </c>
      <c r="C2706">
        <v>1</v>
      </c>
      <c r="D2706">
        <v>0</v>
      </c>
      <c r="E2706">
        <v>0</v>
      </c>
      <c r="F2706">
        <v>0</v>
      </c>
      <c r="G2706">
        <v>1</v>
      </c>
      <c r="H2706">
        <v>0</v>
      </c>
      <c r="I2706">
        <v>0</v>
      </c>
      <c r="L2706">
        <v>48.235999999999997</v>
      </c>
      <c r="M2706">
        <v>72.822000000000003</v>
      </c>
      <c r="N2706">
        <v>32.127000000000002</v>
      </c>
    </row>
    <row r="2707" spans="1:14" x14ac:dyDescent="0.45">
      <c r="A2707">
        <v>1993</v>
      </c>
      <c r="B2707" t="s">
        <v>143</v>
      </c>
      <c r="C2707">
        <v>0</v>
      </c>
      <c r="D2707">
        <v>0</v>
      </c>
      <c r="E2707">
        <v>0</v>
      </c>
      <c r="F2707">
        <v>0</v>
      </c>
      <c r="G2707">
        <v>0</v>
      </c>
      <c r="H2707">
        <v>0</v>
      </c>
      <c r="I2707">
        <v>0</v>
      </c>
      <c r="J2707">
        <v>2307.6071418110801</v>
      </c>
      <c r="K2707">
        <v>1935.3562965281201</v>
      </c>
      <c r="L2707">
        <v>73.808999999999997</v>
      </c>
      <c r="M2707">
        <v>59.823</v>
      </c>
      <c r="N2707">
        <v>115.869</v>
      </c>
    </row>
    <row r="2708" spans="1:14" x14ac:dyDescent="0.45">
      <c r="A2708">
        <v>1993</v>
      </c>
      <c r="B2708" t="s">
        <v>144</v>
      </c>
      <c r="C2708">
        <v>1</v>
      </c>
      <c r="D2708">
        <v>0</v>
      </c>
      <c r="E2708">
        <v>0</v>
      </c>
      <c r="F2708">
        <v>0</v>
      </c>
      <c r="G2708">
        <v>0</v>
      </c>
      <c r="H2708">
        <v>1</v>
      </c>
      <c r="I2708">
        <v>1</v>
      </c>
      <c r="J2708">
        <v>31455.295405831101</v>
      </c>
      <c r="K2708">
        <v>28921.503028621999</v>
      </c>
      <c r="L2708">
        <v>42.488</v>
      </c>
      <c r="M2708">
        <v>75.289000000000001</v>
      </c>
      <c r="N2708">
        <v>7.27</v>
      </c>
    </row>
    <row r="2709" spans="1:14" x14ac:dyDescent="0.45">
      <c r="A2709">
        <v>1993</v>
      </c>
      <c r="B2709" t="s">
        <v>145</v>
      </c>
      <c r="C2709">
        <v>0</v>
      </c>
      <c r="D2709">
        <v>0</v>
      </c>
      <c r="E2709">
        <v>0</v>
      </c>
      <c r="F2709">
        <v>1</v>
      </c>
      <c r="G2709">
        <v>0</v>
      </c>
      <c r="H2709">
        <v>0</v>
      </c>
      <c r="I2709">
        <v>0</v>
      </c>
      <c r="J2709">
        <v>9867.2925983181703</v>
      </c>
      <c r="K2709">
        <v>9842.5717930180399</v>
      </c>
      <c r="L2709">
        <v>41.481000000000002</v>
      </c>
      <c r="M2709">
        <v>67.037000000000006</v>
      </c>
      <c r="N2709">
        <v>50.475000000000001</v>
      </c>
    </row>
    <row r="2710" spans="1:14" x14ac:dyDescent="0.45">
      <c r="A2710">
        <v>1993</v>
      </c>
      <c r="B2710" t="s">
        <v>146</v>
      </c>
      <c r="C2710">
        <v>0</v>
      </c>
      <c r="D2710">
        <v>0</v>
      </c>
      <c r="E2710">
        <v>0</v>
      </c>
      <c r="F2710">
        <v>1</v>
      </c>
      <c r="G2710">
        <v>0</v>
      </c>
      <c r="H2710">
        <v>0</v>
      </c>
      <c r="I2710">
        <v>0</v>
      </c>
      <c r="J2710">
        <v>6105.0416628459197</v>
      </c>
      <c r="K2710">
        <v>4315.5853743350699</v>
      </c>
      <c r="L2710">
        <v>30.847999999999999</v>
      </c>
      <c r="M2710">
        <v>65.31</v>
      </c>
      <c r="N2710">
        <v>50.984000000000002</v>
      </c>
    </row>
    <row r="2711" spans="1:14" x14ac:dyDescent="0.45">
      <c r="A2711">
        <v>1993</v>
      </c>
      <c r="B2711" t="s">
        <v>147</v>
      </c>
      <c r="C2711">
        <v>1</v>
      </c>
      <c r="D2711">
        <v>0</v>
      </c>
      <c r="E2711">
        <v>0</v>
      </c>
      <c r="F2711">
        <v>0</v>
      </c>
      <c r="G2711">
        <v>0</v>
      </c>
      <c r="H2711">
        <v>1</v>
      </c>
      <c r="I2711">
        <v>1</v>
      </c>
      <c r="J2711">
        <v>37862.385579551999</v>
      </c>
      <c r="K2711">
        <v>32761.9014316475</v>
      </c>
      <c r="L2711">
        <v>8.7129999999999903</v>
      </c>
      <c r="M2711">
        <v>78.808999999999997</v>
      </c>
      <c r="N2711">
        <v>5.6159999999999997</v>
      </c>
    </row>
    <row r="2712" spans="1:14" x14ac:dyDescent="0.45">
      <c r="A2712">
        <v>1993</v>
      </c>
      <c r="B2712" t="s">
        <v>148</v>
      </c>
      <c r="C2712">
        <v>0</v>
      </c>
      <c r="D2712">
        <v>0</v>
      </c>
      <c r="E2712">
        <v>0</v>
      </c>
      <c r="F2712">
        <v>0</v>
      </c>
      <c r="G2712">
        <v>0</v>
      </c>
      <c r="H2712">
        <v>1</v>
      </c>
      <c r="I2712">
        <v>1</v>
      </c>
      <c r="J2712">
        <v>27123.107385006599</v>
      </c>
      <c r="K2712">
        <v>24879.407307234898</v>
      </c>
      <c r="L2712">
        <v>9.3339999999999996</v>
      </c>
      <c r="M2712">
        <v>77.861999999999995</v>
      </c>
      <c r="N2712">
        <v>9.9440000000000008</v>
      </c>
    </row>
    <row r="2713" spans="1:14" x14ac:dyDescent="0.45">
      <c r="A2713">
        <v>1993</v>
      </c>
      <c r="B2713" t="s">
        <v>149</v>
      </c>
      <c r="C2713">
        <v>1</v>
      </c>
      <c r="D2713">
        <v>0</v>
      </c>
      <c r="E2713">
        <v>0</v>
      </c>
      <c r="F2713">
        <v>0</v>
      </c>
      <c r="G2713">
        <v>0</v>
      </c>
      <c r="H2713">
        <v>1</v>
      </c>
      <c r="I2713">
        <v>1</v>
      </c>
      <c r="J2713">
        <v>43216.109644475102</v>
      </c>
      <c r="K2713">
        <v>36810.061078741601</v>
      </c>
      <c r="L2713">
        <v>33.198</v>
      </c>
      <c r="M2713">
        <v>77.653000000000006</v>
      </c>
      <c r="N2713">
        <v>8.4250000000000007</v>
      </c>
    </row>
    <row r="2714" spans="1:14" x14ac:dyDescent="0.45">
      <c r="A2714">
        <v>1993</v>
      </c>
      <c r="B2714" t="s">
        <v>150</v>
      </c>
      <c r="C2714">
        <v>0</v>
      </c>
      <c r="D2714">
        <v>1</v>
      </c>
      <c r="E2714">
        <v>0</v>
      </c>
      <c r="F2714">
        <v>1</v>
      </c>
      <c r="G2714">
        <v>0</v>
      </c>
      <c r="H2714">
        <v>0</v>
      </c>
      <c r="I2714">
        <v>0</v>
      </c>
      <c r="J2714">
        <v>9932.0315572200707</v>
      </c>
      <c r="K2714">
        <v>9788.3166251573402</v>
      </c>
      <c r="L2714">
        <v>49.863999999999997</v>
      </c>
      <c r="M2714">
        <v>71.757999999999996</v>
      </c>
      <c r="N2714">
        <v>25.74</v>
      </c>
    </row>
    <row r="2715" spans="1:14" x14ac:dyDescent="0.45">
      <c r="A2715">
        <v>1993</v>
      </c>
      <c r="B2715" t="s">
        <v>151</v>
      </c>
      <c r="C2715">
        <v>0</v>
      </c>
      <c r="D2715">
        <v>0</v>
      </c>
      <c r="E2715">
        <v>0</v>
      </c>
      <c r="F2715">
        <v>1</v>
      </c>
      <c r="G2715">
        <v>0</v>
      </c>
      <c r="H2715">
        <v>0</v>
      </c>
      <c r="I2715">
        <v>0</v>
      </c>
      <c r="J2715">
        <v>7675.4716375611697</v>
      </c>
      <c r="K2715">
        <v>7614.4154952462304</v>
      </c>
      <c r="L2715">
        <v>23.32</v>
      </c>
      <c r="M2715">
        <v>70.567999999999998</v>
      </c>
      <c r="N2715">
        <v>32.737000000000002</v>
      </c>
    </row>
    <row r="2716" spans="1:14" x14ac:dyDescent="0.45">
      <c r="A2716">
        <v>1993</v>
      </c>
      <c r="B2716" t="s">
        <v>152</v>
      </c>
      <c r="C2716">
        <v>0</v>
      </c>
      <c r="D2716">
        <v>0</v>
      </c>
      <c r="E2716">
        <v>0</v>
      </c>
      <c r="F2716">
        <v>0</v>
      </c>
      <c r="G2716">
        <v>0</v>
      </c>
      <c r="H2716">
        <v>1</v>
      </c>
      <c r="I2716">
        <v>1</v>
      </c>
      <c r="J2716">
        <v>36277.9231838837</v>
      </c>
      <c r="K2716">
        <v>33605.412869753804</v>
      </c>
      <c r="L2716">
        <v>22.254000000000001</v>
      </c>
      <c r="M2716">
        <v>79.445999999999998</v>
      </c>
      <c r="N2716">
        <v>6.0069999999999997</v>
      </c>
    </row>
    <row r="2717" spans="1:14" x14ac:dyDescent="0.45">
      <c r="A2717">
        <v>1993</v>
      </c>
      <c r="B2717" t="s">
        <v>153</v>
      </c>
      <c r="C2717">
        <v>1</v>
      </c>
      <c r="D2717">
        <v>0</v>
      </c>
      <c r="E2717">
        <v>0</v>
      </c>
      <c r="F2717">
        <v>1</v>
      </c>
      <c r="G2717">
        <v>0</v>
      </c>
      <c r="H2717">
        <v>0</v>
      </c>
      <c r="I2717">
        <v>0</v>
      </c>
      <c r="J2717">
        <v>12795.874642537199</v>
      </c>
      <c r="K2717">
        <v>9730.7433045698999</v>
      </c>
      <c r="L2717">
        <v>44.008000000000003</v>
      </c>
      <c r="M2717">
        <v>64.537999999999997</v>
      </c>
      <c r="N2717">
        <v>52.02</v>
      </c>
    </row>
    <row r="2718" spans="1:14" x14ac:dyDescent="0.45">
      <c r="A2718">
        <v>1993</v>
      </c>
      <c r="B2718" t="s">
        <v>154</v>
      </c>
      <c r="C2718">
        <v>0</v>
      </c>
      <c r="D2718">
        <v>0</v>
      </c>
      <c r="E2718">
        <v>1</v>
      </c>
      <c r="F2718">
        <v>0</v>
      </c>
      <c r="G2718">
        <v>0</v>
      </c>
      <c r="H2718">
        <v>0</v>
      </c>
      <c r="I2718">
        <v>0</v>
      </c>
      <c r="J2718">
        <v>3844.9202978359899</v>
      </c>
      <c r="K2718">
        <v>3313.73009871157</v>
      </c>
      <c r="L2718">
        <v>82.355000000000004</v>
      </c>
      <c r="M2718">
        <v>56.667999999999999</v>
      </c>
      <c r="N2718">
        <v>106.617</v>
      </c>
    </row>
    <row r="2719" spans="1:14" x14ac:dyDescent="0.45">
      <c r="A2719">
        <v>1993</v>
      </c>
      <c r="B2719" t="s">
        <v>155</v>
      </c>
      <c r="C2719">
        <v>1</v>
      </c>
      <c r="D2719">
        <v>0</v>
      </c>
      <c r="E2719">
        <v>0</v>
      </c>
      <c r="F2719">
        <v>1</v>
      </c>
      <c r="G2719">
        <v>0</v>
      </c>
      <c r="H2719">
        <v>0</v>
      </c>
      <c r="I2719">
        <v>0</v>
      </c>
      <c r="J2719">
        <v>3973.8832393103298</v>
      </c>
      <c r="K2719">
        <v>3358.5990906683901</v>
      </c>
      <c r="L2719">
        <v>63.082000000000001</v>
      </c>
      <c r="M2719">
        <v>63.646000000000001</v>
      </c>
      <c r="N2719">
        <v>63.536000000000001</v>
      </c>
    </row>
    <row r="2720" spans="1:14" x14ac:dyDescent="0.45">
      <c r="A2720">
        <v>1993</v>
      </c>
      <c r="B2720" t="s">
        <v>156</v>
      </c>
      <c r="C2720">
        <v>0</v>
      </c>
      <c r="D2720">
        <v>0</v>
      </c>
      <c r="E2720">
        <v>0</v>
      </c>
      <c r="F2720">
        <v>0</v>
      </c>
      <c r="G2720">
        <v>0</v>
      </c>
      <c r="H2720">
        <v>0</v>
      </c>
      <c r="I2720">
        <v>0</v>
      </c>
      <c r="J2720">
        <v>2714.59150059796</v>
      </c>
      <c r="K2720">
        <v>2434.0881111181002</v>
      </c>
      <c r="L2720">
        <v>83.412999999999997</v>
      </c>
      <c r="M2720">
        <v>56.036000000000001</v>
      </c>
      <c r="N2720">
        <v>117.855</v>
      </c>
    </row>
    <row r="2721" spans="1:14" x14ac:dyDescent="0.45">
      <c r="A2721">
        <v>1993</v>
      </c>
      <c r="B2721" t="s">
        <v>157</v>
      </c>
      <c r="C2721">
        <v>0</v>
      </c>
      <c r="D2721">
        <v>0</v>
      </c>
      <c r="E2721">
        <v>0</v>
      </c>
      <c r="F2721">
        <v>1</v>
      </c>
      <c r="G2721">
        <v>0</v>
      </c>
      <c r="H2721">
        <v>0</v>
      </c>
      <c r="I2721">
        <v>0</v>
      </c>
      <c r="J2721">
        <v>2455.4498755704399</v>
      </c>
      <c r="K2721">
        <v>2221.1982321918199</v>
      </c>
      <c r="L2721">
        <v>64.161000000000001</v>
      </c>
      <c r="M2721">
        <v>62.405999999999999</v>
      </c>
      <c r="N2721">
        <v>81.227999999999994</v>
      </c>
    </row>
    <row r="2722" spans="1:14" x14ac:dyDescent="0.45">
      <c r="A2722">
        <v>1993</v>
      </c>
      <c r="B2722" t="s">
        <v>158</v>
      </c>
      <c r="C2722">
        <v>0</v>
      </c>
      <c r="D2722">
        <v>1</v>
      </c>
      <c r="E2722">
        <v>0</v>
      </c>
      <c r="F2722">
        <v>0</v>
      </c>
      <c r="G2722">
        <v>1</v>
      </c>
      <c r="H2722">
        <v>0</v>
      </c>
      <c r="I2722">
        <v>0</v>
      </c>
      <c r="J2722">
        <v>15348.688779984701</v>
      </c>
      <c r="K2722">
        <v>15158.9178715949</v>
      </c>
      <c r="L2722">
        <v>65.906999999999996</v>
      </c>
      <c r="M2722">
        <v>66.707999999999998</v>
      </c>
      <c r="N2722">
        <v>28.826000000000001</v>
      </c>
    </row>
    <row r="2723" spans="1:14" x14ac:dyDescent="0.45">
      <c r="A2723">
        <v>1993</v>
      </c>
      <c r="B2723" t="s">
        <v>159</v>
      </c>
      <c r="C2723">
        <v>0</v>
      </c>
      <c r="D2723">
        <v>0</v>
      </c>
      <c r="E2723">
        <v>0</v>
      </c>
      <c r="F2723">
        <v>0</v>
      </c>
      <c r="G2723">
        <v>1</v>
      </c>
      <c r="H2723">
        <v>0</v>
      </c>
      <c r="I2723">
        <v>0</v>
      </c>
      <c r="J2723">
        <v>16879.958314300999</v>
      </c>
      <c r="K2723">
        <v>15388.1497398795</v>
      </c>
      <c r="L2723">
        <v>23.355</v>
      </c>
      <c r="M2723">
        <v>72.745000000000005</v>
      </c>
      <c r="N2723">
        <v>12.34</v>
      </c>
    </row>
    <row r="2724" spans="1:14" x14ac:dyDescent="0.45">
      <c r="A2724">
        <v>1993</v>
      </c>
      <c r="B2724" t="s">
        <v>160</v>
      </c>
      <c r="C2724">
        <v>0</v>
      </c>
      <c r="D2724">
        <v>0</v>
      </c>
      <c r="E2724">
        <v>0</v>
      </c>
      <c r="F2724">
        <v>0</v>
      </c>
      <c r="G2724">
        <v>0</v>
      </c>
      <c r="H2724">
        <v>1</v>
      </c>
      <c r="I2724">
        <v>1</v>
      </c>
      <c r="J2724">
        <v>56684.186360413303</v>
      </c>
      <c r="K2724">
        <v>50482.943470255501</v>
      </c>
      <c r="L2724">
        <v>1.98399999999999</v>
      </c>
      <c r="M2724">
        <v>75.772000000000006</v>
      </c>
      <c r="N2724">
        <v>15.78</v>
      </c>
    </row>
    <row r="2725" spans="1:14" x14ac:dyDescent="0.45">
      <c r="A2725">
        <v>1993</v>
      </c>
      <c r="B2725" t="s">
        <v>161</v>
      </c>
      <c r="C2725">
        <v>0</v>
      </c>
      <c r="D2725">
        <v>0</v>
      </c>
      <c r="E2725">
        <v>0</v>
      </c>
      <c r="F2725">
        <v>0</v>
      </c>
      <c r="G2725">
        <v>0</v>
      </c>
      <c r="H2725">
        <v>0</v>
      </c>
      <c r="I2725">
        <v>0</v>
      </c>
      <c r="J2725">
        <v>2152.2765966407001</v>
      </c>
      <c r="K2725">
        <v>2068.13892937737</v>
      </c>
      <c r="L2725">
        <v>83.51</v>
      </c>
      <c r="M2725">
        <v>55.582999999999998</v>
      </c>
      <c r="N2725">
        <v>138.64099999999999</v>
      </c>
    </row>
    <row r="2726" spans="1:14" x14ac:dyDescent="0.45">
      <c r="A2726">
        <v>1993</v>
      </c>
      <c r="B2726" t="s">
        <v>162</v>
      </c>
      <c r="C2726">
        <v>0</v>
      </c>
      <c r="D2726">
        <v>0</v>
      </c>
      <c r="E2726">
        <v>0</v>
      </c>
      <c r="F2726">
        <v>1</v>
      </c>
      <c r="G2726">
        <v>0</v>
      </c>
      <c r="H2726">
        <v>0</v>
      </c>
      <c r="I2726">
        <v>0</v>
      </c>
      <c r="J2726">
        <v>9695.3154918275195</v>
      </c>
      <c r="K2726">
        <v>12601.907170250301</v>
      </c>
      <c r="L2726">
        <v>15.843</v>
      </c>
      <c r="M2726">
        <v>71.558999999999997</v>
      </c>
      <c r="N2726">
        <v>27.925999999999998</v>
      </c>
    </row>
    <row r="2727" spans="1:14" x14ac:dyDescent="0.45">
      <c r="A2727">
        <v>1993</v>
      </c>
      <c r="B2727" t="s">
        <v>163</v>
      </c>
      <c r="C2727">
        <v>0</v>
      </c>
      <c r="D2727">
        <v>0</v>
      </c>
      <c r="E2727">
        <v>1</v>
      </c>
      <c r="F2727">
        <v>0</v>
      </c>
      <c r="G2727">
        <v>0</v>
      </c>
      <c r="H2727">
        <v>0</v>
      </c>
      <c r="I2727">
        <v>0</v>
      </c>
      <c r="J2727">
        <v>718.68323881476397</v>
      </c>
      <c r="K2727">
        <v>1061.8152797942801</v>
      </c>
      <c r="L2727">
        <v>47.991</v>
      </c>
      <c r="M2727">
        <v>43.021999999999998</v>
      </c>
      <c r="N2727">
        <v>259.04500000000002</v>
      </c>
    </row>
    <row r="2728" spans="1:14" x14ac:dyDescent="0.45">
      <c r="A2728">
        <v>1993</v>
      </c>
      <c r="B2728" t="s">
        <v>164</v>
      </c>
      <c r="C2728">
        <v>0</v>
      </c>
      <c r="D2728">
        <v>0</v>
      </c>
      <c r="E2728">
        <v>0</v>
      </c>
      <c r="F2728">
        <v>0</v>
      </c>
      <c r="G2728">
        <v>1</v>
      </c>
      <c r="H2728">
        <v>0</v>
      </c>
      <c r="I2728">
        <v>0</v>
      </c>
      <c r="J2728">
        <v>18429.788735605802</v>
      </c>
      <c r="K2728">
        <v>21538.804606232799</v>
      </c>
      <c r="L2728">
        <v>24.114000000000001</v>
      </c>
      <c r="M2728">
        <v>70.247</v>
      </c>
      <c r="N2728">
        <v>36.402000000000001</v>
      </c>
    </row>
    <row r="2729" spans="1:14" x14ac:dyDescent="0.45">
      <c r="A2729">
        <v>1993</v>
      </c>
      <c r="B2729" t="s">
        <v>165</v>
      </c>
      <c r="C2729">
        <v>0</v>
      </c>
      <c r="D2729">
        <v>1</v>
      </c>
      <c r="E2729">
        <v>0</v>
      </c>
      <c r="F2729">
        <v>0</v>
      </c>
      <c r="G2729">
        <v>1</v>
      </c>
      <c r="H2729">
        <v>0</v>
      </c>
      <c r="I2729">
        <v>0</v>
      </c>
      <c r="J2729">
        <v>18004.0320073031</v>
      </c>
      <c r="K2729">
        <v>12952.2267865453</v>
      </c>
      <c r="L2729">
        <v>70.832999999999998</v>
      </c>
      <c r="M2729">
        <v>71.05</v>
      </c>
      <c r="N2729">
        <v>19.498000000000001</v>
      </c>
    </row>
    <row r="2730" spans="1:14" x14ac:dyDescent="0.45">
      <c r="A2730">
        <v>1993</v>
      </c>
      <c r="B2730" t="s">
        <v>166</v>
      </c>
      <c r="C2730">
        <v>1</v>
      </c>
      <c r="D2730">
        <v>0</v>
      </c>
      <c r="E2730">
        <v>0</v>
      </c>
      <c r="F2730">
        <v>0</v>
      </c>
      <c r="G2730">
        <v>0</v>
      </c>
      <c r="H2730">
        <v>1</v>
      </c>
      <c r="I2730">
        <v>1</v>
      </c>
      <c r="L2730">
        <v>83.349000000000004</v>
      </c>
      <c r="M2730">
        <v>78.451999999999998</v>
      </c>
      <c r="N2730">
        <v>12.035</v>
      </c>
    </row>
    <row r="2731" spans="1:14" x14ac:dyDescent="0.45">
      <c r="A2731">
        <v>1993</v>
      </c>
      <c r="B2731" t="s">
        <v>167</v>
      </c>
      <c r="C2731">
        <v>0</v>
      </c>
      <c r="D2731">
        <v>0</v>
      </c>
      <c r="E2731">
        <v>0</v>
      </c>
      <c r="F2731">
        <v>0</v>
      </c>
      <c r="G2731">
        <v>0</v>
      </c>
      <c r="H2731">
        <v>0</v>
      </c>
      <c r="I2731">
        <v>0</v>
      </c>
      <c r="J2731">
        <v>5114.4363039695099</v>
      </c>
      <c r="K2731">
        <v>4776.8026737277896</v>
      </c>
      <c r="L2731">
        <v>81.510999999999996</v>
      </c>
      <c r="M2731">
        <v>70.049000000000007</v>
      </c>
      <c r="N2731">
        <v>21.253</v>
      </c>
    </row>
    <row r="2732" spans="1:14" x14ac:dyDescent="0.45">
      <c r="A2732">
        <v>1993</v>
      </c>
      <c r="B2732" t="s">
        <v>168</v>
      </c>
      <c r="C2732">
        <v>0</v>
      </c>
      <c r="D2732">
        <v>0</v>
      </c>
      <c r="E2732">
        <v>1</v>
      </c>
      <c r="F2732">
        <v>0</v>
      </c>
      <c r="G2732">
        <v>0</v>
      </c>
      <c r="H2732">
        <v>0</v>
      </c>
      <c r="I2732">
        <v>0</v>
      </c>
      <c r="J2732">
        <v>1602.59633239095</v>
      </c>
      <c r="K2732">
        <v>1434.9971216553199</v>
      </c>
      <c r="L2732">
        <v>84.296999999999997</v>
      </c>
      <c r="M2732">
        <v>58.06</v>
      </c>
      <c r="N2732">
        <v>89.034000000000006</v>
      </c>
    </row>
    <row r="2733" spans="1:14" x14ac:dyDescent="0.45">
      <c r="A2733">
        <v>1993</v>
      </c>
      <c r="B2733" t="s">
        <v>169</v>
      </c>
      <c r="C2733">
        <v>1</v>
      </c>
      <c r="D2733">
        <v>0</v>
      </c>
      <c r="E2733">
        <v>0</v>
      </c>
      <c r="F2733">
        <v>1</v>
      </c>
      <c r="G2733">
        <v>0</v>
      </c>
      <c r="H2733">
        <v>0</v>
      </c>
      <c r="I2733">
        <v>0</v>
      </c>
      <c r="J2733">
        <v>12861.694914109799</v>
      </c>
      <c r="K2733">
        <v>11004.0376240572</v>
      </c>
      <c r="L2733">
        <v>32.595999999999997</v>
      </c>
      <c r="M2733">
        <v>68.933999999999997</v>
      </c>
      <c r="N2733">
        <v>17.483000000000001</v>
      </c>
    </row>
    <row r="2734" spans="1:14" x14ac:dyDescent="0.45">
      <c r="A2734">
        <v>1993</v>
      </c>
      <c r="B2734" t="s">
        <v>170</v>
      </c>
      <c r="C2734">
        <v>1</v>
      </c>
      <c r="D2734">
        <v>0</v>
      </c>
      <c r="E2734">
        <v>0</v>
      </c>
      <c r="F2734">
        <v>0</v>
      </c>
      <c r="G2734">
        <v>0</v>
      </c>
      <c r="H2734">
        <v>1</v>
      </c>
      <c r="I2734">
        <v>1</v>
      </c>
      <c r="J2734">
        <v>90195.662900999698</v>
      </c>
      <c r="K2734">
        <v>77077.724132051502</v>
      </c>
      <c r="L2734">
        <v>18.143000000000001</v>
      </c>
      <c r="M2734">
        <v>75.426000000000002</v>
      </c>
      <c r="N2734">
        <v>7.9450000000000003</v>
      </c>
    </row>
    <row r="2735" spans="1:14" x14ac:dyDescent="0.45">
      <c r="A2735">
        <v>1993</v>
      </c>
      <c r="B2735" t="s">
        <v>171</v>
      </c>
      <c r="C2735">
        <v>1</v>
      </c>
      <c r="D2735">
        <v>0</v>
      </c>
      <c r="E2735">
        <v>0</v>
      </c>
      <c r="F2735">
        <v>1</v>
      </c>
      <c r="G2735">
        <v>0</v>
      </c>
      <c r="H2735">
        <v>0</v>
      </c>
      <c r="I2735">
        <v>0</v>
      </c>
      <c r="J2735">
        <v>10255.1413776101</v>
      </c>
      <c r="K2735">
        <v>8897.2507647068505</v>
      </c>
      <c r="L2735">
        <v>31.201000000000001</v>
      </c>
      <c r="M2735">
        <v>66.629000000000005</v>
      </c>
      <c r="N2735">
        <v>19.603000000000002</v>
      </c>
    </row>
    <row r="2736" spans="1:14" x14ac:dyDescent="0.45">
      <c r="A2736">
        <v>1993</v>
      </c>
      <c r="B2736" t="s">
        <v>172</v>
      </c>
      <c r="C2736">
        <v>0</v>
      </c>
      <c r="D2736">
        <v>0</v>
      </c>
      <c r="E2736">
        <v>0</v>
      </c>
      <c r="F2736">
        <v>0</v>
      </c>
      <c r="G2736">
        <v>1</v>
      </c>
      <c r="H2736">
        <v>0</v>
      </c>
      <c r="I2736">
        <v>0</v>
      </c>
      <c r="J2736">
        <v>59527.709518079399</v>
      </c>
      <c r="K2736">
        <v>53946.479913755204</v>
      </c>
      <c r="L2736">
        <v>0.13299999999999601</v>
      </c>
      <c r="M2736">
        <v>77.471000000000004</v>
      </c>
      <c r="N2736">
        <v>11.321999999999999</v>
      </c>
    </row>
    <row r="2737" spans="1:14" x14ac:dyDescent="0.45">
      <c r="A2737">
        <v>1993</v>
      </c>
      <c r="B2737" t="s">
        <v>173</v>
      </c>
      <c r="C2737">
        <v>0</v>
      </c>
      <c r="D2737">
        <v>1</v>
      </c>
      <c r="E2737">
        <v>0</v>
      </c>
      <c r="F2737">
        <v>0</v>
      </c>
      <c r="G2737">
        <v>0</v>
      </c>
      <c r="H2737">
        <v>1</v>
      </c>
      <c r="I2737">
        <v>1</v>
      </c>
      <c r="L2737">
        <v>0</v>
      </c>
      <c r="M2737">
        <v>75.349000000000004</v>
      </c>
      <c r="N2737">
        <v>17.873999999999999</v>
      </c>
    </row>
    <row r="2738" spans="1:14" x14ac:dyDescent="0.45">
      <c r="A2738">
        <v>1993</v>
      </c>
      <c r="B2738" t="s">
        <v>174</v>
      </c>
      <c r="C2738">
        <v>0</v>
      </c>
      <c r="D2738">
        <v>0</v>
      </c>
      <c r="E2738">
        <v>0</v>
      </c>
      <c r="F2738">
        <v>1</v>
      </c>
      <c r="G2738">
        <v>0</v>
      </c>
      <c r="H2738">
        <v>0</v>
      </c>
      <c r="I2738">
        <v>0</v>
      </c>
      <c r="J2738">
        <v>4379.76416015625</v>
      </c>
      <c r="K2738">
        <v>4206.1872726975098</v>
      </c>
      <c r="L2738">
        <v>49.430999999999997</v>
      </c>
      <c r="M2738">
        <v>63.868000000000002</v>
      </c>
      <c r="N2738">
        <v>70.625</v>
      </c>
    </row>
    <row r="2739" spans="1:14" x14ac:dyDescent="0.45">
      <c r="A2739">
        <v>1993</v>
      </c>
      <c r="B2739" t="s">
        <v>175</v>
      </c>
      <c r="C2739">
        <v>1</v>
      </c>
      <c r="D2739">
        <v>0</v>
      </c>
      <c r="E2739">
        <v>0</v>
      </c>
      <c r="F2739">
        <v>0</v>
      </c>
      <c r="G2739">
        <v>0</v>
      </c>
      <c r="H2739">
        <v>1</v>
      </c>
      <c r="I2739">
        <v>1</v>
      </c>
      <c r="L2739">
        <v>0</v>
      </c>
      <c r="M2739">
        <v>80.364999999999995</v>
      </c>
      <c r="N2739">
        <v>9.6430000000000007</v>
      </c>
    </row>
    <row r="2740" spans="1:14" x14ac:dyDescent="0.45">
      <c r="A2740">
        <v>1993</v>
      </c>
      <c r="B2740" t="s">
        <v>176</v>
      </c>
      <c r="C2740">
        <v>1</v>
      </c>
      <c r="D2740">
        <v>0</v>
      </c>
      <c r="E2740">
        <v>0</v>
      </c>
      <c r="F2740">
        <v>1</v>
      </c>
      <c r="G2740">
        <v>0</v>
      </c>
      <c r="H2740">
        <v>0</v>
      </c>
      <c r="I2740">
        <v>0</v>
      </c>
      <c r="J2740">
        <v>9363.5930993511793</v>
      </c>
      <c r="K2740">
        <v>8031.22532793969</v>
      </c>
      <c r="L2740">
        <v>53.518999999999998</v>
      </c>
      <c r="M2740">
        <v>66.66</v>
      </c>
      <c r="N2740">
        <v>35.92</v>
      </c>
    </row>
    <row r="2741" spans="1:14" x14ac:dyDescent="0.45">
      <c r="A2741">
        <v>1993</v>
      </c>
      <c r="B2741" t="s">
        <v>177</v>
      </c>
      <c r="C2741">
        <v>0</v>
      </c>
      <c r="D2741">
        <v>0</v>
      </c>
      <c r="E2741">
        <v>1</v>
      </c>
      <c r="F2741">
        <v>0</v>
      </c>
      <c r="G2741">
        <v>0</v>
      </c>
      <c r="H2741">
        <v>0</v>
      </c>
      <c r="I2741">
        <v>0</v>
      </c>
      <c r="J2741">
        <v>1740.2951359393901</v>
      </c>
      <c r="K2741">
        <v>1612.2556088976701</v>
      </c>
      <c r="L2741">
        <v>74.748999999999995</v>
      </c>
      <c r="M2741">
        <v>53.732999999999997</v>
      </c>
      <c r="N2741">
        <v>139.92099999999999</v>
      </c>
    </row>
    <row r="2742" spans="1:14" x14ac:dyDescent="0.45">
      <c r="A2742">
        <v>1993</v>
      </c>
      <c r="B2742" t="s">
        <v>178</v>
      </c>
      <c r="C2742">
        <v>0</v>
      </c>
      <c r="D2742">
        <v>0</v>
      </c>
      <c r="E2742">
        <v>0</v>
      </c>
      <c r="F2742">
        <v>1</v>
      </c>
      <c r="G2742">
        <v>0</v>
      </c>
      <c r="H2742">
        <v>0</v>
      </c>
      <c r="I2742">
        <v>0</v>
      </c>
      <c r="J2742">
        <v>9378.5224186884097</v>
      </c>
      <c r="K2742">
        <v>9252.6935828970909</v>
      </c>
      <c r="L2742">
        <v>74.350999999999999</v>
      </c>
      <c r="M2742">
        <v>65.433999999999997</v>
      </c>
      <c r="N2742">
        <v>71.204999999999998</v>
      </c>
    </row>
    <row r="2743" spans="1:14" x14ac:dyDescent="0.45">
      <c r="A2743">
        <v>1993</v>
      </c>
      <c r="B2743" t="s">
        <v>179</v>
      </c>
      <c r="C2743">
        <v>0</v>
      </c>
      <c r="D2743">
        <v>1</v>
      </c>
      <c r="E2743">
        <v>0</v>
      </c>
      <c r="F2743">
        <v>0</v>
      </c>
      <c r="G2743">
        <v>1</v>
      </c>
      <c r="H2743">
        <v>0</v>
      </c>
      <c r="I2743">
        <v>0</v>
      </c>
      <c r="J2743">
        <v>17970.587184854801</v>
      </c>
      <c r="K2743">
        <v>16706.809080584899</v>
      </c>
      <c r="L2743">
        <v>27.402000000000001</v>
      </c>
      <c r="M2743">
        <v>69.960999999999999</v>
      </c>
      <c r="N2743">
        <v>39.176000000000002</v>
      </c>
    </row>
    <row r="2744" spans="1:14" x14ac:dyDescent="0.45">
      <c r="A2744">
        <v>1993</v>
      </c>
      <c r="B2744" t="s">
        <v>180</v>
      </c>
      <c r="C2744">
        <v>0</v>
      </c>
      <c r="D2744">
        <v>0</v>
      </c>
      <c r="E2744">
        <v>0</v>
      </c>
      <c r="F2744">
        <v>1</v>
      </c>
      <c r="G2744">
        <v>0</v>
      </c>
      <c r="H2744">
        <v>0</v>
      </c>
      <c r="I2744">
        <v>0</v>
      </c>
      <c r="J2744">
        <v>4207.4097745689096</v>
      </c>
      <c r="K2744">
        <v>3805.5385542409499</v>
      </c>
      <c r="L2744">
        <v>33.936999999999998</v>
      </c>
      <c r="M2744">
        <v>62.085000000000001</v>
      </c>
      <c r="N2744">
        <v>44.054000000000002</v>
      </c>
    </row>
    <row r="2745" spans="1:14" x14ac:dyDescent="0.45">
      <c r="A2745">
        <v>1993</v>
      </c>
      <c r="B2745" t="s">
        <v>181</v>
      </c>
      <c r="C2745">
        <v>1</v>
      </c>
      <c r="D2745">
        <v>0</v>
      </c>
      <c r="E2745">
        <v>0</v>
      </c>
      <c r="F2745">
        <v>1</v>
      </c>
      <c r="G2745">
        <v>0</v>
      </c>
      <c r="H2745">
        <v>0</v>
      </c>
      <c r="I2745">
        <v>0</v>
      </c>
      <c r="J2745">
        <v>10764.1093884698</v>
      </c>
      <c r="K2745">
        <v>9086.9306715157509</v>
      </c>
      <c r="L2745">
        <v>40.709000000000003</v>
      </c>
      <c r="M2745">
        <v>71.730999999999995</v>
      </c>
      <c r="N2745">
        <v>28.177</v>
      </c>
    </row>
    <row r="2746" spans="1:14" x14ac:dyDescent="0.45">
      <c r="A2746">
        <v>1993</v>
      </c>
      <c r="B2746" t="s">
        <v>182</v>
      </c>
      <c r="C2746">
        <v>0</v>
      </c>
      <c r="D2746">
        <v>0</v>
      </c>
      <c r="E2746">
        <v>1</v>
      </c>
      <c r="F2746">
        <v>0</v>
      </c>
      <c r="G2746">
        <v>0</v>
      </c>
      <c r="H2746">
        <v>0</v>
      </c>
      <c r="I2746">
        <v>0</v>
      </c>
      <c r="J2746">
        <v>1696.57193391176</v>
      </c>
      <c r="K2746">
        <v>1570.3635775543801</v>
      </c>
      <c r="L2746">
        <v>75.376000000000005</v>
      </c>
      <c r="M2746">
        <v>47.585999999999999</v>
      </c>
      <c r="N2746">
        <v>220.22399999999999</v>
      </c>
    </row>
    <row r="2747" spans="1:14" x14ac:dyDescent="0.45">
      <c r="A2747">
        <v>1993</v>
      </c>
      <c r="B2747" t="s">
        <v>183</v>
      </c>
      <c r="C2747">
        <v>0</v>
      </c>
      <c r="D2747">
        <v>0</v>
      </c>
      <c r="E2747">
        <v>0</v>
      </c>
      <c r="F2747">
        <v>0</v>
      </c>
      <c r="G2747">
        <v>1</v>
      </c>
      <c r="H2747">
        <v>0</v>
      </c>
      <c r="I2747">
        <v>0</v>
      </c>
      <c r="J2747">
        <v>20166.203066343201</v>
      </c>
      <c r="K2747">
        <v>17444.752702612899</v>
      </c>
      <c r="L2747">
        <v>9.2769999999999992</v>
      </c>
      <c r="M2747">
        <v>76.834000000000003</v>
      </c>
      <c r="N2747">
        <v>10.627000000000001</v>
      </c>
    </row>
    <row r="2748" spans="1:14" x14ac:dyDescent="0.45">
      <c r="A2748">
        <v>1993</v>
      </c>
      <c r="B2748" t="s">
        <v>184</v>
      </c>
      <c r="C2748">
        <v>0</v>
      </c>
      <c r="D2748">
        <v>0</v>
      </c>
      <c r="E2748">
        <v>0</v>
      </c>
      <c r="F2748">
        <v>0</v>
      </c>
      <c r="G2748">
        <v>0</v>
      </c>
      <c r="H2748">
        <v>0</v>
      </c>
      <c r="I2748">
        <v>0</v>
      </c>
      <c r="J2748">
        <v>859.34552673359599</v>
      </c>
      <c r="K2748">
        <v>688.08065481101596</v>
      </c>
      <c r="L2748">
        <v>74.230999999999995</v>
      </c>
      <c r="M2748">
        <v>58.031999999999996</v>
      </c>
      <c r="N2748">
        <v>107.026</v>
      </c>
    </row>
    <row r="2749" spans="1:14" x14ac:dyDescent="0.45">
      <c r="A2749">
        <v>1993</v>
      </c>
      <c r="B2749" t="s">
        <v>185</v>
      </c>
      <c r="C2749">
        <v>1</v>
      </c>
      <c r="D2749">
        <v>0</v>
      </c>
      <c r="E2749">
        <v>0</v>
      </c>
      <c r="F2749">
        <v>1</v>
      </c>
      <c r="G2749">
        <v>0</v>
      </c>
      <c r="H2749">
        <v>0</v>
      </c>
      <c r="I2749">
        <v>0</v>
      </c>
      <c r="L2749">
        <v>48.732999999999997</v>
      </c>
      <c r="M2749">
        <v>73.869</v>
      </c>
      <c r="N2749">
        <v>14.566000000000001</v>
      </c>
    </row>
    <row r="2750" spans="1:14" x14ac:dyDescent="0.45">
      <c r="A2750">
        <v>1993</v>
      </c>
      <c r="B2750" t="s">
        <v>186</v>
      </c>
      <c r="C2750">
        <v>0</v>
      </c>
      <c r="D2750">
        <v>0</v>
      </c>
      <c r="E2750">
        <v>0</v>
      </c>
      <c r="F2750">
        <v>0</v>
      </c>
      <c r="G2750">
        <v>0</v>
      </c>
      <c r="H2750">
        <v>0</v>
      </c>
      <c r="I2750">
        <v>0</v>
      </c>
      <c r="J2750">
        <v>5162.0998701037997</v>
      </c>
      <c r="K2750">
        <v>3977.2735513041298</v>
      </c>
      <c r="L2750">
        <v>43.103999999999999</v>
      </c>
      <c r="M2750">
        <v>60.829000000000001</v>
      </c>
      <c r="N2750">
        <v>93.632000000000005</v>
      </c>
    </row>
    <row r="2751" spans="1:14" x14ac:dyDescent="0.45">
      <c r="A2751">
        <v>1993</v>
      </c>
      <c r="B2751" t="s">
        <v>187</v>
      </c>
      <c r="C2751">
        <v>0</v>
      </c>
      <c r="D2751">
        <v>0</v>
      </c>
      <c r="E2751">
        <v>0</v>
      </c>
      <c r="F2751">
        <v>1</v>
      </c>
      <c r="G2751">
        <v>0</v>
      </c>
      <c r="H2751">
        <v>0</v>
      </c>
      <c r="I2751">
        <v>0</v>
      </c>
      <c r="L2751">
        <v>10.372999999999999</v>
      </c>
      <c r="M2751">
        <v>71.156000000000006</v>
      </c>
      <c r="N2751">
        <v>8.3620000000000001</v>
      </c>
    </row>
    <row r="2752" spans="1:14" x14ac:dyDescent="0.45">
      <c r="A2752">
        <v>1993</v>
      </c>
      <c r="B2752" t="s">
        <v>188</v>
      </c>
      <c r="C2752">
        <v>0</v>
      </c>
      <c r="D2752">
        <v>0</v>
      </c>
      <c r="E2752">
        <v>1</v>
      </c>
      <c r="F2752">
        <v>0</v>
      </c>
      <c r="G2752">
        <v>0</v>
      </c>
      <c r="H2752">
        <v>0</v>
      </c>
      <c r="I2752">
        <v>0</v>
      </c>
      <c r="J2752">
        <v>549.04875977095503</v>
      </c>
      <c r="K2752">
        <v>459.71847467997299</v>
      </c>
      <c r="L2752">
        <v>73.521000000000001</v>
      </c>
      <c r="M2752">
        <v>45.674999999999997</v>
      </c>
      <c r="N2752">
        <v>228.084</v>
      </c>
    </row>
    <row r="2753" spans="1:14" x14ac:dyDescent="0.45">
      <c r="A2753">
        <v>1993</v>
      </c>
      <c r="B2753" t="s">
        <v>189</v>
      </c>
      <c r="C2753">
        <v>0</v>
      </c>
      <c r="D2753">
        <v>0</v>
      </c>
      <c r="E2753">
        <v>1</v>
      </c>
      <c r="F2753">
        <v>0</v>
      </c>
      <c r="G2753">
        <v>0</v>
      </c>
      <c r="H2753">
        <v>0</v>
      </c>
      <c r="I2753">
        <v>0</v>
      </c>
      <c r="J2753">
        <v>5439.82229260651</v>
      </c>
      <c r="K2753">
        <v>4812.6835164509403</v>
      </c>
      <c r="L2753">
        <v>61.048000000000002</v>
      </c>
      <c r="M2753">
        <v>58.732999999999997</v>
      </c>
      <c r="N2753">
        <v>112.88200000000001</v>
      </c>
    </row>
    <row r="2754" spans="1:14" x14ac:dyDescent="0.45">
      <c r="A2754">
        <v>1993</v>
      </c>
      <c r="B2754" t="s">
        <v>190</v>
      </c>
      <c r="C2754">
        <v>0</v>
      </c>
      <c r="D2754">
        <v>0</v>
      </c>
      <c r="E2754">
        <v>1</v>
      </c>
      <c r="F2754">
        <v>0</v>
      </c>
      <c r="G2754">
        <v>1</v>
      </c>
      <c r="H2754">
        <v>0</v>
      </c>
      <c r="I2754">
        <v>0</v>
      </c>
      <c r="J2754">
        <v>10095.1987562615</v>
      </c>
      <c r="K2754">
        <v>9475.6027354613307</v>
      </c>
      <c r="L2754">
        <v>56.47</v>
      </c>
      <c r="M2754">
        <v>70.364999999999995</v>
      </c>
      <c r="N2754">
        <v>21.013999999999999</v>
      </c>
    </row>
    <row r="2755" spans="1:14" x14ac:dyDescent="0.45">
      <c r="A2755">
        <v>1993</v>
      </c>
      <c r="B2755" t="s">
        <v>191</v>
      </c>
      <c r="C2755">
        <v>0</v>
      </c>
      <c r="D2755">
        <v>0</v>
      </c>
      <c r="E2755">
        <v>1</v>
      </c>
      <c r="F2755">
        <v>0</v>
      </c>
      <c r="G2755">
        <v>0</v>
      </c>
      <c r="H2755">
        <v>0</v>
      </c>
      <c r="I2755">
        <v>0</v>
      </c>
      <c r="J2755">
        <v>1074.58485213269</v>
      </c>
      <c r="K2755">
        <v>919.48074537097102</v>
      </c>
      <c r="L2755">
        <v>87.441999999999993</v>
      </c>
      <c r="M2755">
        <v>43.648000000000003</v>
      </c>
      <c r="N2755">
        <v>221.458</v>
      </c>
    </row>
    <row r="2756" spans="1:14" x14ac:dyDescent="0.45">
      <c r="A2756">
        <v>1993</v>
      </c>
      <c r="B2756" t="s">
        <v>192</v>
      </c>
      <c r="C2756">
        <v>0</v>
      </c>
      <c r="D2756">
        <v>0</v>
      </c>
      <c r="E2756">
        <v>0</v>
      </c>
      <c r="F2756">
        <v>0</v>
      </c>
      <c r="G2756">
        <v>1</v>
      </c>
      <c r="H2756">
        <v>0</v>
      </c>
      <c r="I2756">
        <v>0</v>
      </c>
      <c r="J2756">
        <v>14533.790397007</v>
      </c>
      <c r="K2756">
        <v>12991.4937536323</v>
      </c>
      <c r="L2756">
        <v>46.890999999999998</v>
      </c>
      <c r="M2756">
        <v>71.721000000000004</v>
      </c>
      <c r="N2756">
        <v>14.597</v>
      </c>
    </row>
    <row r="2757" spans="1:14" x14ac:dyDescent="0.45">
      <c r="A2757">
        <v>1993</v>
      </c>
      <c r="B2757" t="s">
        <v>193</v>
      </c>
      <c r="C2757">
        <v>0</v>
      </c>
      <c r="D2757">
        <v>0</v>
      </c>
      <c r="E2757">
        <v>1</v>
      </c>
      <c r="F2757">
        <v>1</v>
      </c>
      <c r="G2757">
        <v>0</v>
      </c>
      <c r="H2757">
        <v>0</v>
      </c>
      <c r="I2757">
        <v>0</v>
      </c>
      <c r="J2757">
        <v>7541.5608179184501</v>
      </c>
      <c r="K2757">
        <v>6536.2692858166602</v>
      </c>
      <c r="L2757">
        <v>71.177000000000007</v>
      </c>
      <c r="M2757">
        <v>59.26</v>
      </c>
      <c r="N2757">
        <v>71.84</v>
      </c>
    </row>
    <row r="2758" spans="1:14" x14ac:dyDescent="0.45">
      <c r="A2758">
        <v>1993</v>
      </c>
      <c r="B2758" t="s">
        <v>194</v>
      </c>
      <c r="C2758">
        <v>0</v>
      </c>
      <c r="D2758">
        <v>0</v>
      </c>
      <c r="E2758">
        <v>0</v>
      </c>
      <c r="F2758">
        <v>0</v>
      </c>
      <c r="G2758">
        <v>1</v>
      </c>
      <c r="H2758">
        <v>0</v>
      </c>
      <c r="I2758">
        <v>0</v>
      </c>
      <c r="L2758">
        <v>39.996000000000002</v>
      </c>
      <c r="M2758">
        <v>70.504000000000005</v>
      </c>
      <c r="N2758">
        <v>28.597000000000001</v>
      </c>
    </row>
    <row r="2759" spans="1:14" x14ac:dyDescent="0.45">
      <c r="A2759">
        <v>1993</v>
      </c>
      <c r="B2759" t="s">
        <v>195</v>
      </c>
      <c r="C2759">
        <v>0</v>
      </c>
      <c r="D2759">
        <v>0</v>
      </c>
      <c r="E2759">
        <v>1</v>
      </c>
      <c r="F2759">
        <v>0</v>
      </c>
      <c r="G2759">
        <v>0</v>
      </c>
      <c r="H2759">
        <v>0</v>
      </c>
      <c r="I2759">
        <v>0</v>
      </c>
      <c r="J2759">
        <v>1309.6112110994</v>
      </c>
      <c r="K2759">
        <v>1040.9211390251101</v>
      </c>
      <c r="L2759">
        <v>84.39</v>
      </c>
      <c r="M2759">
        <v>43.838000000000001</v>
      </c>
      <c r="N2759">
        <v>306.77600000000001</v>
      </c>
    </row>
    <row r="2760" spans="1:14" x14ac:dyDescent="0.45">
      <c r="A2760">
        <v>1993</v>
      </c>
      <c r="B2760" t="s">
        <v>196</v>
      </c>
      <c r="C2760">
        <v>0</v>
      </c>
      <c r="D2760">
        <v>0</v>
      </c>
      <c r="E2760">
        <v>1</v>
      </c>
      <c r="F2760">
        <v>0</v>
      </c>
      <c r="G2760">
        <v>0</v>
      </c>
      <c r="H2760">
        <v>0</v>
      </c>
      <c r="I2760">
        <v>0</v>
      </c>
      <c r="J2760">
        <v>3469.5804413913002</v>
      </c>
      <c r="K2760">
        <v>3067.5767332679902</v>
      </c>
      <c r="L2760">
        <v>68.817999999999998</v>
      </c>
      <c r="M2760">
        <v>45.783000000000001</v>
      </c>
      <c r="N2760">
        <v>207.02799999999999</v>
      </c>
    </row>
    <row r="2761" spans="1:14" x14ac:dyDescent="0.45">
      <c r="A2761">
        <v>1993</v>
      </c>
      <c r="B2761" t="s">
        <v>197</v>
      </c>
      <c r="C2761">
        <v>0</v>
      </c>
      <c r="D2761">
        <v>1</v>
      </c>
      <c r="E2761">
        <v>0</v>
      </c>
      <c r="F2761">
        <v>0</v>
      </c>
      <c r="G2761">
        <v>0</v>
      </c>
      <c r="H2761">
        <v>0</v>
      </c>
      <c r="I2761">
        <v>0</v>
      </c>
      <c r="J2761">
        <v>3934.0927571674902</v>
      </c>
      <c r="K2761">
        <v>3313.5492321933302</v>
      </c>
      <c r="L2761">
        <v>46.093000000000004</v>
      </c>
      <c r="M2761">
        <v>64.093000000000004</v>
      </c>
      <c r="N2761">
        <v>60.600999999999999</v>
      </c>
    </row>
    <row r="2762" spans="1:14" x14ac:dyDescent="0.45">
      <c r="A2762">
        <v>1993</v>
      </c>
      <c r="B2762" t="s">
        <v>198</v>
      </c>
      <c r="C2762">
        <v>1</v>
      </c>
      <c r="D2762">
        <v>0</v>
      </c>
      <c r="E2762">
        <v>0</v>
      </c>
      <c r="F2762">
        <v>0</v>
      </c>
      <c r="G2762">
        <v>0</v>
      </c>
      <c r="H2762">
        <v>1</v>
      </c>
      <c r="I2762">
        <v>1</v>
      </c>
      <c r="J2762">
        <v>44490.7561855682</v>
      </c>
      <c r="K2762">
        <v>37556.561510079999</v>
      </c>
      <c r="L2762">
        <v>28.9</v>
      </c>
      <c r="M2762">
        <v>77.040999999999997</v>
      </c>
      <c r="N2762">
        <v>7.5750000000000002</v>
      </c>
    </row>
    <row r="2763" spans="1:14" x14ac:dyDescent="0.45">
      <c r="A2763">
        <v>1993</v>
      </c>
      <c r="B2763" t="s">
        <v>199</v>
      </c>
      <c r="C2763">
        <v>1</v>
      </c>
      <c r="D2763">
        <v>0</v>
      </c>
      <c r="E2763">
        <v>0</v>
      </c>
      <c r="F2763">
        <v>0</v>
      </c>
      <c r="G2763">
        <v>0</v>
      </c>
      <c r="H2763">
        <v>1</v>
      </c>
      <c r="I2763">
        <v>1</v>
      </c>
      <c r="J2763">
        <v>61681.803283077497</v>
      </c>
      <c r="K2763">
        <v>45575.920041283302</v>
      </c>
      <c r="L2763">
        <v>26.939</v>
      </c>
      <c r="M2763">
        <v>77.221000000000004</v>
      </c>
      <c r="N2763">
        <v>6.4939999999999998</v>
      </c>
    </row>
    <row r="2764" spans="1:14" x14ac:dyDescent="0.45">
      <c r="A2764">
        <v>1993</v>
      </c>
      <c r="B2764" t="s">
        <v>200</v>
      </c>
      <c r="C2764">
        <v>0</v>
      </c>
      <c r="D2764">
        <v>0</v>
      </c>
      <c r="E2764">
        <v>0</v>
      </c>
      <c r="F2764">
        <v>0</v>
      </c>
      <c r="G2764">
        <v>0</v>
      </c>
      <c r="H2764">
        <v>0</v>
      </c>
      <c r="I2764">
        <v>0</v>
      </c>
      <c r="J2764">
        <v>1916.9435266615601</v>
      </c>
      <c r="K2764">
        <v>1697.08337453329</v>
      </c>
      <c r="L2764">
        <v>90.001000000000005</v>
      </c>
      <c r="M2764">
        <v>57.597000000000001</v>
      </c>
      <c r="N2764">
        <v>118.71</v>
      </c>
    </row>
    <row r="2765" spans="1:14" x14ac:dyDescent="0.45">
      <c r="A2765">
        <v>1993</v>
      </c>
      <c r="B2765" t="s">
        <v>201</v>
      </c>
      <c r="C2765">
        <v>0</v>
      </c>
      <c r="D2765">
        <v>0</v>
      </c>
      <c r="E2765">
        <v>0</v>
      </c>
      <c r="F2765">
        <v>0</v>
      </c>
      <c r="G2765">
        <v>0</v>
      </c>
      <c r="H2765">
        <v>1</v>
      </c>
      <c r="I2765">
        <v>1</v>
      </c>
      <c r="J2765">
        <v>16555.348572342999</v>
      </c>
      <c r="K2765">
        <v>14977.962731490999</v>
      </c>
      <c r="L2765">
        <v>0</v>
      </c>
      <c r="M2765">
        <v>59.761000000000003</v>
      </c>
      <c r="N2765">
        <v>56.829000000000001</v>
      </c>
    </row>
    <row r="2766" spans="1:14" x14ac:dyDescent="0.45">
      <c r="A2766">
        <v>1993</v>
      </c>
      <c r="B2766" t="s">
        <v>202</v>
      </c>
      <c r="C2766">
        <v>0</v>
      </c>
      <c r="D2766">
        <v>0</v>
      </c>
      <c r="E2766">
        <v>0</v>
      </c>
      <c r="F2766">
        <v>0</v>
      </c>
      <c r="G2766">
        <v>0</v>
      </c>
      <c r="H2766">
        <v>1</v>
      </c>
      <c r="I2766">
        <v>1</v>
      </c>
      <c r="J2766">
        <v>30438.627856666099</v>
      </c>
      <c r="K2766">
        <v>27685.5148455009</v>
      </c>
      <c r="L2766">
        <v>14.746</v>
      </c>
      <c r="M2766">
        <v>76.498999999999995</v>
      </c>
      <c r="N2766">
        <v>8.98</v>
      </c>
    </row>
    <row r="2767" spans="1:14" x14ac:dyDescent="0.45">
      <c r="A2767">
        <v>1993</v>
      </c>
      <c r="B2767" t="s">
        <v>203</v>
      </c>
      <c r="C2767">
        <v>0</v>
      </c>
      <c r="D2767">
        <v>0</v>
      </c>
      <c r="E2767">
        <v>0</v>
      </c>
      <c r="F2767">
        <v>0</v>
      </c>
      <c r="G2767">
        <v>1</v>
      </c>
      <c r="H2767">
        <v>0</v>
      </c>
      <c r="I2767">
        <v>0</v>
      </c>
      <c r="J2767">
        <v>37455.340258395001</v>
      </c>
      <c r="K2767">
        <v>32545.7162185815</v>
      </c>
      <c r="L2767">
        <v>28.956</v>
      </c>
      <c r="M2767">
        <v>70.608000000000004</v>
      </c>
      <c r="N2767">
        <v>29.463999999999999</v>
      </c>
    </row>
    <row r="2768" spans="1:14" x14ac:dyDescent="0.45">
      <c r="A2768">
        <v>1993</v>
      </c>
      <c r="B2768" t="s">
        <v>204</v>
      </c>
      <c r="C2768">
        <v>0</v>
      </c>
      <c r="D2768">
        <v>0</v>
      </c>
      <c r="E2768">
        <v>0</v>
      </c>
      <c r="F2768">
        <v>0</v>
      </c>
      <c r="G2768">
        <v>0</v>
      </c>
      <c r="H2768">
        <v>0</v>
      </c>
      <c r="I2768">
        <v>0</v>
      </c>
      <c r="J2768">
        <v>3369.23795906028</v>
      </c>
      <c r="K2768">
        <v>3207.1735032370798</v>
      </c>
      <c r="L2768">
        <v>68.671000000000006</v>
      </c>
      <c r="M2768">
        <v>60.082999999999998</v>
      </c>
      <c r="N2768">
        <v>130.91900000000001</v>
      </c>
    </row>
    <row r="2769" spans="1:14" x14ac:dyDescent="0.45">
      <c r="A2769">
        <v>1993</v>
      </c>
      <c r="B2769" t="s">
        <v>205</v>
      </c>
      <c r="C2769">
        <v>0</v>
      </c>
      <c r="D2769">
        <v>1</v>
      </c>
      <c r="E2769">
        <v>0</v>
      </c>
      <c r="F2769">
        <v>1</v>
      </c>
      <c r="G2769">
        <v>0</v>
      </c>
      <c r="H2769">
        <v>0</v>
      </c>
      <c r="I2769">
        <v>0</v>
      </c>
      <c r="J2769">
        <v>13289.873737681401</v>
      </c>
      <c r="K2769">
        <v>13935.469644335401</v>
      </c>
      <c r="L2769">
        <v>43.543999999999997</v>
      </c>
      <c r="M2769">
        <v>71.805000000000007</v>
      </c>
      <c r="N2769">
        <v>28.779</v>
      </c>
    </row>
    <row r="2770" spans="1:14" x14ac:dyDescent="0.45">
      <c r="A2770">
        <v>1993</v>
      </c>
      <c r="B2770" t="s">
        <v>206</v>
      </c>
      <c r="C2770">
        <v>0</v>
      </c>
      <c r="D2770">
        <v>1</v>
      </c>
      <c r="E2770">
        <v>0</v>
      </c>
      <c r="F2770">
        <v>1</v>
      </c>
      <c r="G2770">
        <v>0</v>
      </c>
      <c r="H2770">
        <v>0</v>
      </c>
      <c r="I2770">
        <v>0</v>
      </c>
      <c r="J2770">
        <v>6355.2619659399697</v>
      </c>
      <c r="K2770">
        <v>5310.3566354832601</v>
      </c>
      <c r="L2770">
        <v>29.911000000000001</v>
      </c>
      <c r="M2770">
        <v>65.731999999999999</v>
      </c>
      <c r="N2770">
        <v>66.391999999999996</v>
      </c>
    </row>
    <row r="2771" spans="1:14" x14ac:dyDescent="0.45">
      <c r="A2771">
        <v>1993</v>
      </c>
      <c r="B2771" t="s">
        <v>207</v>
      </c>
      <c r="C2771">
        <v>0</v>
      </c>
      <c r="D2771">
        <v>0</v>
      </c>
      <c r="E2771">
        <v>0</v>
      </c>
      <c r="F2771">
        <v>1</v>
      </c>
      <c r="G2771">
        <v>0</v>
      </c>
      <c r="H2771">
        <v>0</v>
      </c>
      <c r="I2771">
        <v>0</v>
      </c>
      <c r="J2771">
        <v>4283.1596778662897</v>
      </c>
      <c r="K2771">
        <v>3878.8318619858701</v>
      </c>
      <c r="L2771">
        <v>53.27</v>
      </c>
      <c r="M2771">
        <v>65.661000000000001</v>
      </c>
      <c r="N2771">
        <v>48.390999999999998</v>
      </c>
    </row>
    <row r="2772" spans="1:14" x14ac:dyDescent="0.45">
      <c r="A2772">
        <v>1993</v>
      </c>
      <c r="B2772" t="s">
        <v>208</v>
      </c>
      <c r="C2772">
        <v>0</v>
      </c>
      <c r="D2772">
        <v>0</v>
      </c>
      <c r="E2772">
        <v>0</v>
      </c>
      <c r="F2772">
        <v>0</v>
      </c>
      <c r="G2772">
        <v>1</v>
      </c>
      <c r="H2772">
        <v>0</v>
      </c>
      <c r="I2772">
        <v>0</v>
      </c>
      <c r="J2772">
        <v>14319.968874673999</v>
      </c>
      <c r="K2772">
        <v>12955.5689621233</v>
      </c>
      <c r="L2772">
        <v>29.295999999999999</v>
      </c>
      <c r="M2772">
        <v>62.98</v>
      </c>
      <c r="N2772">
        <v>33.082999999999998</v>
      </c>
    </row>
    <row r="2773" spans="1:14" x14ac:dyDescent="0.45">
      <c r="A2773">
        <v>1993</v>
      </c>
      <c r="B2773" t="s">
        <v>209</v>
      </c>
      <c r="C2773">
        <v>0</v>
      </c>
      <c r="D2773">
        <v>0</v>
      </c>
      <c r="E2773">
        <v>0</v>
      </c>
      <c r="F2773">
        <v>1</v>
      </c>
      <c r="G2773">
        <v>0</v>
      </c>
      <c r="H2773">
        <v>0</v>
      </c>
      <c r="I2773">
        <v>0</v>
      </c>
      <c r="J2773">
        <v>4206.4291173035299</v>
      </c>
      <c r="K2773">
        <v>3805.1414409968202</v>
      </c>
      <c r="L2773">
        <v>85.555000000000007</v>
      </c>
      <c r="M2773">
        <v>60.466000000000001</v>
      </c>
      <c r="N2773">
        <v>80.539000000000001</v>
      </c>
    </row>
    <row r="2774" spans="1:14" x14ac:dyDescent="0.45">
      <c r="A2774">
        <v>1993</v>
      </c>
      <c r="B2774" t="s">
        <v>210</v>
      </c>
      <c r="C2774">
        <v>1</v>
      </c>
      <c r="D2774">
        <v>0</v>
      </c>
      <c r="E2774">
        <v>0</v>
      </c>
      <c r="F2774">
        <v>1</v>
      </c>
      <c r="G2774">
        <v>0</v>
      </c>
      <c r="H2774">
        <v>0</v>
      </c>
      <c r="I2774">
        <v>0</v>
      </c>
      <c r="J2774">
        <v>12563.104536312399</v>
      </c>
      <c r="K2774">
        <v>10844.108303668299</v>
      </c>
      <c r="L2774">
        <v>38.595999999999997</v>
      </c>
      <c r="M2774">
        <v>71.343999999999994</v>
      </c>
      <c r="N2774">
        <v>17.876000000000001</v>
      </c>
    </row>
    <row r="2775" spans="1:14" x14ac:dyDescent="0.45">
      <c r="A2775">
        <v>1993</v>
      </c>
      <c r="B2775" t="s">
        <v>211</v>
      </c>
      <c r="C2775">
        <v>0</v>
      </c>
      <c r="D2775">
        <v>1</v>
      </c>
      <c r="E2775">
        <v>0</v>
      </c>
      <c r="F2775">
        <v>0</v>
      </c>
      <c r="G2775">
        <v>1</v>
      </c>
      <c r="H2775">
        <v>0</v>
      </c>
      <c r="I2775">
        <v>0</v>
      </c>
      <c r="J2775">
        <v>29282.1121792431</v>
      </c>
      <c r="K2775">
        <v>22495.7112858451</v>
      </c>
      <c r="L2775">
        <v>6.5759999999999899</v>
      </c>
      <c r="M2775">
        <v>73.308999999999997</v>
      </c>
      <c r="N2775">
        <v>19.952999999999999</v>
      </c>
    </row>
    <row r="2776" spans="1:14" x14ac:dyDescent="0.45">
      <c r="A2776">
        <v>1993</v>
      </c>
      <c r="B2776" t="s">
        <v>212</v>
      </c>
      <c r="C2776">
        <v>0</v>
      </c>
      <c r="D2776">
        <v>0</v>
      </c>
      <c r="E2776">
        <v>0</v>
      </c>
      <c r="F2776">
        <v>1</v>
      </c>
      <c r="G2776">
        <v>0</v>
      </c>
      <c r="H2776">
        <v>0</v>
      </c>
      <c r="I2776">
        <v>0</v>
      </c>
      <c r="L2776">
        <v>41.173999999999999</v>
      </c>
      <c r="M2776">
        <v>70.793999999999997</v>
      </c>
      <c r="N2776">
        <v>42.828000000000003</v>
      </c>
    </row>
    <row r="2777" spans="1:14" x14ac:dyDescent="0.45">
      <c r="A2777">
        <v>1993</v>
      </c>
      <c r="B2777" t="s">
        <v>213</v>
      </c>
      <c r="C2777">
        <v>1</v>
      </c>
      <c r="D2777">
        <v>0</v>
      </c>
      <c r="E2777">
        <v>0</v>
      </c>
      <c r="F2777">
        <v>0</v>
      </c>
      <c r="G2777">
        <v>1</v>
      </c>
      <c r="H2777">
        <v>0</v>
      </c>
      <c r="I2777">
        <v>0</v>
      </c>
      <c r="J2777">
        <v>28153.615441811002</v>
      </c>
      <c r="K2777">
        <v>24335.509218913099</v>
      </c>
      <c r="L2777">
        <v>50.210999999999999</v>
      </c>
      <c r="M2777">
        <v>74.760999999999996</v>
      </c>
      <c r="N2777">
        <v>11.41</v>
      </c>
    </row>
    <row r="2778" spans="1:14" x14ac:dyDescent="0.45">
      <c r="A2778">
        <v>1993</v>
      </c>
      <c r="B2778" t="s">
        <v>214</v>
      </c>
      <c r="C2778">
        <v>0</v>
      </c>
      <c r="D2778">
        <v>1</v>
      </c>
      <c r="E2778">
        <v>0</v>
      </c>
      <c r="F2778">
        <v>1</v>
      </c>
      <c r="G2778">
        <v>0</v>
      </c>
      <c r="H2778">
        <v>0</v>
      </c>
      <c r="I2778">
        <v>0</v>
      </c>
      <c r="J2778">
        <v>10178.4547948453</v>
      </c>
      <c r="K2778">
        <v>9286.2016242414102</v>
      </c>
      <c r="L2778">
        <v>49.155999999999999</v>
      </c>
      <c r="M2778">
        <v>68.233999999999995</v>
      </c>
      <c r="N2778">
        <v>41.198999999999998</v>
      </c>
    </row>
    <row r="2779" spans="1:14" x14ac:dyDescent="0.45">
      <c r="A2779">
        <v>1993</v>
      </c>
      <c r="B2779" t="s">
        <v>215</v>
      </c>
      <c r="C2779">
        <v>0</v>
      </c>
      <c r="D2779">
        <v>0</v>
      </c>
      <c r="E2779">
        <v>0</v>
      </c>
      <c r="F2779">
        <v>1</v>
      </c>
      <c r="G2779">
        <v>0</v>
      </c>
      <c r="H2779">
        <v>0</v>
      </c>
      <c r="I2779">
        <v>0</v>
      </c>
      <c r="L2779">
        <v>30.773</v>
      </c>
      <c r="M2779">
        <v>68.759</v>
      </c>
      <c r="N2779">
        <v>39.381999999999998</v>
      </c>
    </row>
    <row r="2780" spans="1:14" x14ac:dyDescent="0.45">
      <c r="A2780">
        <v>1993</v>
      </c>
      <c r="B2780" t="s">
        <v>216</v>
      </c>
      <c r="C2780">
        <v>0</v>
      </c>
      <c r="D2780">
        <v>0</v>
      </c>
      <c r="E2780">
        <v>0</v>
      </c>
      <c r="F2780">
        <v>0</v>
      </c>
      <c r="G2780">
        <v>0</v>
      </c>
      <c r="H2780">
        <v>1</v>
      </c>
      <c r="I2780">
        <v>1</v>
      </c>
      <c r="L2780">
        <v>42.875999999999998</v>
      </c>
      <c r="M2780">
        <v>75.191000000000003</v>
      </c>
      <c r="N2780">
        <v>16.914000000000001</v>
      </c>
    </row>
    <row r="2781" spans="1:14" x14ac:dyDescent="0.45">
      <c r="A2781">
        <v>1993</v>
      </c>
      <c r="B2781" t="s">
        <v>217</v>
      </c>
      <c r="C2781">
        <v>0</v>
      </c>
      <c r="D2781">
        <v>0</v>
      </c>
      <c r="E2781">
        <v>0</v>
      </c>
      <c r="F2781">
        <v>0</v>
      </c>
      <c r="G2781">
        <v>0</v>
      </c>
      <c r="H2781">
        <v>1</v>
      </c>
      <c r="I2781">
        <v>1</v>
      </c>
      <c r="J2781">
        <v>70250.768037268994</v>
      </c>
      <c r="K2781">
        <v>60661.388000368002</v>
      </c>
      <c r="L2781">
        <v>5.7969999999999997</v>
      </c>
      <c r="M2781">
        <v>74.070999999999998</v>
      </c>
      <c r="N2781">
        <v>17.221</v>
      </c>
    </row>
    <row r="2782" spans="1:14" x14ac:dyDescent="0.45">
      <c r="A2782">
        <v>1993</v>
      </c>
      <c r="B2782" t="s">
        <v>218</v>
      </c>
      <c r="C2782">
        <v>1</v>
      </c>
      <c r="D2782">
        <v>0</v>
      </c>
      <c r="E2782">
        <v>0</v>
      </c>
      <c r="F2782">
        <v>1</v>
      </c>
      <c r="G2782">
        <v>0</v>
      </c>
      <c r="H2782">
        <v>0</v>
      </c>
      <c r="I2782">
        <v>0</v>
      </c>
      <c r="J2782">
        <v>13413.5782508259</v>
      </c>
      <c r="K2782">
        <v>10903.0401647864</v>
      </c>
      <c r="L2782">
        <v>45.926000000000002</v>
      </c>
      <c r="M2782">
        <v>69.512</v>
      </c>
      <c r="N2782">
        <v>28.611000000000001</v>
      </c>
    </row>
    <row r="2783" spans="1:14" x14ac:dyDescent="0.45">
      <c r="A2783">
        <v>1993</v>
      </c>
      <c r="B2783" t="s">
        <v>219</v>
      </c>
      <c r="C2783">
        <v>1</v>
      </c>
      <c r="D2783">
        <v>0</v>
      </c>
      <c r="E2783">
        <v>0</v>
      </c>
      <c r="F2783">
        <v>1</v>
      </c>
      <c r="G2783">
        <v>0</v>
      </c>
      <c r="H2783">
        <v>0</v>
      </c>
      <c r="I2783">
        <v>0</v>
      </c>
      <c r="J2783">
        <v>21899.517578125</v>
      </c>
      <c r="K2783">
        <v>15870.6058437539</v>
      </c>
      <c r="L2783">
        <v>26.619</v>
      </c>
      <c r="M2783">
        <v>65.039000000000001</v>
      </c>
      <c r="N2783">
        <v>23.571000000000002</v>
      </c>
    </row>
    <row r="2784" spans="1:14" x14ac:dyDescent="0.45">
      <c r="A2784">
        <v>1993</v>
      </c>
      <c r="B2784" t="s">
        <v>220</v>
      </c>
      <c r="C2784">
        <v>0</v>
      </c>
      <c r="D2784">
        <v>0</v>
      </c>
      <c r="E2784">
        <v>1</v>
      </c>
      <c r="F2784">
        <v>0</v>
      </c>
      <c r="G2784">
        <v>0</v>
      </c>
      <c r="H2784">
        <v>0</v>
      </c>
      <c r="I2784">
        <v>0</v>
      </c>
      <c r="J2784">
        <v>984.21752992195195</v>
      </c>
      <c r="K2784">
        <v>823.64623612088701</v>
      </c>
      <c r="L2784">
        <v>92.686999999999998</v>
      </c>
      <c r="M2784">
        <v>42.936999999999998</v>
      </c>
      <c r="N2784">
        <v>188.03100000000001</v>
      </c>
    </row>
    <row r="2785" spans="1:14" x14ac:dyDescent="0.45">
      <c r="A2785">
        <v>1993</v>
      </c>
      <c r="B2785" t="s">
        <v>221</v>
      </c>
      <c r="C2785">
        <v>0</v>
      </c>
      <c r="D2785">
        <v>0</v>
      </c>
      <c r="E2785">
        <v>0</v>
      </c>
      <c r="F2785">
        <v>0</v>
      </c>
      <c r="G2785">
        <v>1</v>
      </c>
      <c r="H2785">
        <v>0</v>
      </c>
      <c r="I2785">
        <v>0</v>
      </c>
      <c r="J2785">
        <v>64517.6652891052</v>
      </c>
      <c r="K2785">
        <v>59148.378775165998</v>
      </c>
      <c r="L2785">
        <v>21.814</v>
      </c>
      <c r="M2785">
        <v>70.207999999999998</v>
      </c>
      <c r="N2785">
        <v>35.465000000000003</v>
      </c>
    </row>
    <row r="2786" spans="1:14" x14ac:dyDescent="0.45">
      <c r="A2786">
        <v>1993</v>
      </c>
      <c r="B2786" t="s">
        <v>222</v>
      </c>
      <c r="C2786">
        <v>0</v>
      </c>
      <c r="D2786">
        <v>0</v>
      </c>
      <c r="E2786">
        <v>1</v>
      </c>
      <c r="F2786">
        <v>0</v>
      </c>
      <c r="G2786">
        <v>0</v>
      </c>
      <c r="H2786">
        <v>0</v>
      </c>
      <c r="I2786">
        <v>0</v>
      </c>
      <c r="J2786">
        <v>2777.27490234375</v>
      </c>
      <c r="K2786">
        <v>2908.1730738095798</v>
      </c>
      <c r="L2786">
        <v>67.873000000000005</v>
      </c>
      <c r="M2786">
        <v>56.101999999999997</v>
      </c>
      <c r="N2786">
        <v>125.68899999999999</v>
      </c>
    </row>
    <row r="2787" spans="1:14" x14ac:dyDescent="0.45">
      <c r="A2787">
        <v>1993</v>
      </c>
      <c r="B2787" t="s">
        <v>223</v>
      </c>
      <c r="C2787">
        <v>0</v>
      </c>
      <c r="D2787">
        <v>0</v>
      </c>
      <c r="E2787">
        <v>1</v>
      </c>
      <c r="F2787">
        <v>1</v>
      </c>
      <c r="G2787">
        <v>0</v>
      </c>
      <c r="H2787">
        <v>0</v>
      </c>
      <c r="I2787">
        <v>0</v>
      </c>
      <c r="J2787">
        <v>2834.02797281318</v>
      </c>
      <c r="K2787">
        <v>2367.65752082266</v>
      </c>
      <c r="L2787">
        <v>60.679000000000002</v>
      </c>
      <c r="M2787">
        <v>57.347999999999999</v>
      </c>
      <c r="N2787">
        <v>137.95500000000001</v>
      </c>
    </row>
    <row r="2788" spans="1:14" x14ac:dyDescent="0.45">
      <c r="A2788">
        <v>1993</v>
      </c>
      <c r="B2788" t="s">
        <v>224</v>
      </c>
      <c r="C2788">
        <v>0</v>
      </c>
      <c r="D2788">
        <v>0</v>
      </c>
      <c r="E2788">
        <v>0</v>
      </c>
      <c r="F2788">
        <v>0</v>
      </c>
      <c r="G2788">
        <v>0</v>
      </c>
      <c r="H2788">
        <v>1</v>
      </c>
      <c r="I2788">
        <v>1</v>
      </c>
      <c r="J2788">
        <v>53139.844472381999</v>
      </c>
      <c r="K2788">
        <v>43682.9349720147</v>
      </c>
      <c r="L2788">
        <v>0</v>
      </c>
      <c r="M2788">
        <v>75.533000000000001</v>
      </c>
      <c r="N2788">
        <v>5.859</v>
      </c>
    </row>
    <row r="2789" spans="1:14" x14ac:dyDescent="0.45">
      <c r="A2789">
        <v>1993</v>
      </c>
      <c r="B2789" t="s">
        <v>225</v>
      </c>
      <c r="C2789">
        <v>0</v>
      </c>
      <c r="D2789">
        <v>0</v>
      </c>
      <c r="E2789">
        <v>0</v>
      </c>
      <c r="F2789">
        <v>1</v>
      </c>
      <c r="G2789">
        <v>0</v>
      </c>
      <c r="H2789">
        <v>0</v>
      </c>
      <c r="I2789">
        <v>0</v>
      </c>
      <c r="J2789">
        <v>2669.6992670394302</v>
      </c>
      <c r="K2789">
        <v>2414.9377681097799</v>
      </c>
      <c r="L2789">
        <v>85.738</v>
      </c>
      <c r="M2789">
        <v>66.558000000000007</v>
      </c>
      <c r="N2789">
        <v>35.47</v>
      </c>
    </row>
    <row r="2790" spans="1:14" x14ac:dyDescent="0.45">
      <c r="A2790">
        <v>1993</v>
      </c>
      <c r="B2790" t="s">
        <v>226</v>
      </c>
      <c r="C2790">
        <v>0</v>
      </c>
      <c r="D2790">
        <v>0</v>
      </c>
      <c r="E2790">
        <v>1</v>
      </c>
      <c r="F2790">
        <v>0</v>
      </c>
      <c r="G2790">
        <v>0</v>
      </c>
      <c r="H2790">
        <v>0</v>
      </c>
      <c r="I2790">
        <v>0</v>
      </c>
      <c r="J2790">
        <v>2295.6269214554</v>
      </c>
      <c r="K2790">
        <v>2083.6730205858098</v>
      </c>
      <c r="L2790">
        <v>66.045000000000002</v>
      </c>
      <c r="M2790">
        <v>43.427999999999997</v>
      </c>
      <c r="N2790">
        <v>252.767</v>
      </c>
    </row>
    <row r="2791" spans="1:14" x14ac:dyDescent="0.45">
      <c r="A2791">
        <v>1993</v>
      </c>
      <c r="B2791" t="s">
        <v>227</v>
      </c>
      <c r="C2791">
        <v>0</v>
      </c>
      <c r="D2791">
        <v>1</v>
      </c>
      <c r="E2791">
        <v>0</v>
      </c>
      <c r="F2791">
        <v>1</v>
      </c>
      <c r="G2791">
        <v>0</v>
      </c>
      <c r="H2791">
        <v>0</v>
      </c>
      <c r="I2791">
        <v>0</v>
      </c>
      <c r="J2791">
        <v>6553.0723407384103</v>
      </c>
      <c r="K2791">
        <v>5837.1517784830903</v>
      </c>
      <c r="L2791">
        <v>48.582999999999998</v>
      </c>
      <c r="M2791">
        <v>63.997999999999998</v>
      </c>
      <c r="N2791">
        <v>52.463999999999999</v>
      </c>
    </row>
    <row r="2792" spans="1:14" x14ac:dyDescent="0.45">
      <c r="A2792">
        <v>1993</v>
      </c>
      <c r="B2792" t="s">
        <v>228</v>
      </c>
      <c r="C2792">
        <v>1</v>
      </c>
      <c r="D2792">
        <v>0</v>
      </c>
      <c r="E2792">
        <v>0</v>
      </c>
      <c r="F2792">
        <v>0</v>
      </c>
      <c r="G2792">
        <v>0</v>
      </c>
      <c r="H2792">
        <v>1</v>
      </c>
      <c r="I2792">
        <v>1</v>
      </c>
      <c r="L2792">
        <v>9.1609999999999996</v>
      </c>
      <c r="M2792">
        <v>78.373000000000005</v>
      </c>
      <c r="N2792">
        <v>9.6050000000000004</v>
      </c>
    </row>
    <row r="2793" spans="1:14" x14ac:dyDescent="0.45">
      <c r="A2793">
        <v>1993</v>
      </c>
      <c r="B2793" t="s">
        <v>229</v>
      </c>
      <c r="C2793">
        <v>0</v>
      </c>
      <c r="D2793">
        <v>0</v>
      </c>
      <c r="E2793">
        <v>1</v>
      </c>
      <c r="F2793">
        <v>0</v>
      </c>
      <c r="G2793">
        <v>0</v>
      </c>
      <c r="H2793">
        <v>0</v>
      </c>
      <c r="I2793">
        <v>0</v>
      </c>
      <c r="J2793">
        <v>812.26574112832498</v>
      </c>
      <c r="K2793">
        <v>753.40432202688896</v>
      </c>
      <c r="L2793">
        <v>69.289000000000001</v>
      </c>
      <c r="M2793">
        <v>50.551000000000002</v>
      </c>
      <c r="N2793">
        <v>173.71199999999999</v>
      </c>
    </row>
    <row r="2794" spans="1:14" x14ac:dyDescent="0.45">
      <c r="A2794">
        <v>1993</v>
      </c>
      <c r="B2794" t="s">
        <v>230</v>
      </c>
      <c r="C2794">
        <v>1</v>
      </c>
      <c r="D2794">
        <v>0</v>
      </c>
      <c r="E2794">
        <v>0</v>
      </c>
      <c r="F2794">
        <v>1</v>
      </c>
      <c r="G2794">
        <v>0</v>
      </c>
      <c r="H2794">
        <v>0</v>
      </c>
      <c r="I2794">
        <v>0</v>
      </c>
      <c r="L2794">
        <v>48.795999999999999</v>
      </c>
      <c r="M2794">
        <v>71.876000000000005</v>
      </c>
      <c r="N2794">
        <v>17.300999999999998</v>
      </c>
    </row>
    <row r="2795" spans="1:14" x14ac:dyDescent="0.45">
      <c r="A2795">
        <v>1993</v>
      </c>
      <c r="B2795" t="s">
        <v>231</v>
      </c>
      <c r="C2795">
        <v>0</v>
      </c>
      <c r="D2795">
        <v>0</v>
      </c>
      <c r="E2795">
        <v>1</v>
      </c>
      <c r="F2795">
        <v>1</v>
      </c>
      <c r="G2795">
        <v>0</v>
      </c>
      <c r="H2795">
        <v>0</v>
      </c>
      <c r="I2795">
        <v>0</v>
      </c>
      <c r="L2795">
        <v>84.373999999999995</v>
      </c>
      <c r="M2795">
        <v>22.263000000000002</v>
      </c>
      <c r="N2795">
        <v>307.185</v>
      </c>
    </row>
    <row r="2796" spans="1:14" x14ac:dyDescent="0.45">
      <c r="A2796">
        <v>1993</v>
      </c>
      <c r="B2796" t="s">
        <v>232</v>
      </c>
      <c r="C2796">
        <v>0</v>
      </c>
      <c r="D2796">
        <v>0</v>
      </c>
      <c r="E2796">
        <v>1</v>
      </c>
      <c r="F2796">
        <v>0</v>
      </c>
      <c r="G2796">
        <v>0</v>
      </c>
      <c r="H2796">
        <v>0</v>
      </c>
      <c r="I2796">
        <v>0</v>
      </c>
      <c r="J2796">
        <v>3771.2861241606201</v>
      </c>
      <c r="K2796">
        <v>2347.1892053848201</v>
      </c>
      <c r="L2796">
        <v>53.283000000000001</v>
      </c>
      <c r="M2796">
        <v>60.618000000000002</v>
      </c>
      <c r="N2796">
        <v>105.351</v>
      </c>
    </row>
    <row r="2797" spans="1:14" x14ac:dyDescent="0.45">
      <c r="A2797">
        <v>1993</v>
      </c>
      <c r="B2797" t="s">
        <v>233</v>
      </c>
      <c r="C2797">
        <v>0</v>
      </c>
      <c r="D2797">
        <v>1</v>
      </c>
      <c r="E2797">
        <v>0</v>
      </c>
      <c r="F2797">
        <v>1</v>
      </c>
      <c r="G2797">
        <v>0</v>
      </c>
      <c r="H2797">
        <v>0</v>
      </c>
      <c r="I2797">
        <v>0</v>
      </c>
      <c r="J2797">
        <v>16217.166034710301</v>
      </c>
      <c r="K2797">
        <v>12908.533761123899</v>
      </c>
      <c r="L2797">
        <v>34.072000000000003</v>
      </c>
      <c r="M2797">
        <v>62.381999999999998</v>
      </c>
      <c r="N2797">
        <v>40.305999999999997</v>
      </c>
    </row>
    <row r="2798" spans="1:14" x14ac:dyDescent="0.45">
      <c r="A2798">
        <v>1993</v>
      </c>
      <c r="B2798" t="s">
        <v>234</v>
      </c>
      <c r="C2798">
        <v>1</v>
      </c>
      <c r="D2798">
        <v>0</v>
      </c>
      <c r="E2798">
        <v>0</v>
      </c>
      <c r="F2798">
        <v>1</v>
      </c>
      <c r="G2798">
        <v>0</v>
      </c>
      <c r="H2798">
        <v>0</v>
      </c>
      <c r="I2798">
        <v>0</v>
      </c>
      <c r="J2798">
        <v>14157.153703989599</v>
      </c>
      <c r="K2798">
        <v>12193.313469394499</v>
      </c>
      <c r="L2798">
        <v>43.341000000000001</v>
      </c>
      <c r="M2798">
        <v>71.88</v>
      </c>
      <c r="N2798">
        <v>12.427</v>
      </c>
    </row>
    <row r="2799" spans="1:14" x14ac:dyDescent="0.45">
      <c r="A2799">
        <v>1993</v>
      </c>
      <c r="B2799" t="s">
        <v>235</v>
      </c>
      <c r="C2799">
        <v>1</v>
      </c>
      <c r="D2799">
        <v>0</v>
      </c>
      <c r="E2799">
        <v>0</v>
      </c>
      <c r="F2799">
        <v>0</v>
      </c>
      <c r="G2799">
        <v>1</v>
      </c>
      <c r="H2799">
        <v>0</v>
      </c>
      <c r="I2799">
        <v>0</v>
      </c>
      <c r="J2799">
        <v>22526.3925130809</v>
      </c>
      <c r="K2799">
        <v>19390.824356377099</v>
      </c>
      <c r="L2799">
        <v>49.430999999999997</v>
      </c>
      <c r="M2799">
        <v>73.584000000000003</v>
      </c>
      <c r="N2799">
        <v>8.7780000000000005</v>
      </c>
    </row>
    <row r="2800" spans="1:14" x14ac:dyDescent="0.45">
      <c r="A2800">
        <v>1993</v>
      </c>
      <c r="B2800" t="s">
        <v>236</v>
      </c>
      <c r="C2800">
        <v>1</v>
      </c>
      <c r="D2800">
        <v>0</v>
      </c>
      <c r="E2800">
        <v>0</v>
      </c>
      <c r="F2800">
        <v>0</v>
      </c>
      <c r="G2800">
        <v>0</v>
      </c>
      <c r="H2800">
        <v>1</v>
      </c>
      <c r="I2800">
        <v>1</v>
      </c>
      <c r="J2800">
        <v>37767.882697294299</v>
      </c>
      <c r="K2800">
        <v>32262.022287659402</v>
      </c>
      <c r="L2800">
        <v>16.484000000000002</v>
      </c>
      <c r="M2800">
        <v>78.135999999999996</v>
      </c>
      <c r="N2800">
        <v>5.7039999999999997</v>
      </c>
    </row>
    <row r="2801" spans="1:14" x14ac:dyDescent="0.45">
      <c r="A2801">
        <v>1993</v>
      </c>
      <c r="B2801" t="s">
        <v>237</v>
      </c>
      <c r="C2801">
        <v>0</v>
      </c>
      <c r="D2801">
        <v>0</v>
      </c>
      <c r="E2801">
        <v>1</v>
      </c>
      <c r="F2801">
        <v>1</v>
      </c>
      <c r="G2801">
        <v>0</v>
      </c>
      <c r="H2801">
        <v>0</v>
      </c>
      <c r="I2801">
        <v>0</v>
      </c>
      <c r="J2801">
        <v>5372.0637729299797</v>
      </c>
      <c r="K2801">
        <v>4756.9634550868304</v>
      </c>
      <c r="L2801">
        <v>78.566000000000003</v>
      </c>
      <c r="M2801">
        <v>58.091999999999999</v>
      </c>
      <c r="N2801">
        <v>75.837999999999994</v>
      </c>
    </row>
    <row r="2802" spans="1:14" x14ac:dyDescent="0.45">
      <c r="A2802">
        <v>1993</v>
      </c>
      <c r="B2802" t="s">
        <v>238</v>
      </c>
      <c r="C2802">
        <v>0</v>
      </c>
      <c r="D2802">
        <v>1</v>
      </c>
      <c r="E2802">
        <v>0</v>
      </c>
      <c r="F2802">
        <v>0</v>
      </c>
      <c r="G2802">
        <v>0</v>
      </c>
      <c r="H2802">
        <v>1</v>
      </c>
      <c r="I2802">
        <v>1</v>
      </c>
      <c r="L2802">
        <v>0</v>
      </c>
      <c r="M2802">
        <v>72.462000000000003</v>
      </c>
      <c r="N2802">
        <v>25.077999999999999</v>
      </c>
    </row>
    <row r="2803" spans="1:14" x14ac:dyDescent="0.45">
      <c r="A2803">
        <v>1993</v>
      </c>
      <c r="B2803" t="s">
        <v>239</v>
      </c>
      <c r="C2803">
        <v>0</v>
      </c>
      <c r="D2803">
        <v>0</v>
      </c>
      <c r="E2803">
        <v>1</v>
      </c>
      <c r="F2803">
        <v>0</v>
      </c>
      <c r="G2803">
        <v>1</v>
      </c>
      <c r="H2803">
        <v>0</v>
      </c>
      <c r="I2803">
        <v>0</v>
      </c>
      <c r="J2803">
        <v>17596.8977617171</v>
      </c>
      <c r="K2803">
        <v>17083.946079739599</v>
      </c>
      <c r="L2803">
        <v>50.564999999999998</v>
      </c>
      <c r="M2803">
        <v>70.415000000000006</v>
      </c>
      <c r="N2803">
        <v>15.044</v>
      </c>
    </row>
    <row r="2804" spans="1:14" x14ac:dyDescent="0.45">
      <c r="A2804">
        <v>1993</v>
      </c>
      <c r="B2804" t="s">
        <v>240</v>
      </c>
      <c r="C2804">
        <v>0</v>
      </c>
      <c r="D2804">
        <v>0</v>
      </c>
      <c r="E2804">
        <v>0</v>
      </c>
      <c r="F2804">
        <v>1</v>
      </c>
      <c r="G2804">
        <v>0</v>
      </c>
      <c r="H2804">
        <v>0</v>
      </c>
      <c r="I2804">
        <v>0</v>
      </c>
      <c r="J2804">
        <v>6861.7950469760199</v>
      </c>
      <c r="K2804">
        <v>4500.83957985087</v>
      </c>
      <c r="L2804">
        <v>50.445</v>
      </c>
      <c r="M2804">
        <v>70.308999999999997</v>
      </c>
      <c r="N2804">
        <v>32.137999999999998</v>
      </c>
    </row>
    <row r="2805" spans="1:14" x14ac:dyDescent="0.45">
      <c r="A2805">
        <v>1993</v>
      </c>
      <c r="B2805" t="s">
        <v>241</v>
      </c>
      <c r="C2805">
        <v>0</v>
      </c>
      <c r="D2805">
        <v>1</v>
      </c>
      <c r="E2805">
        <v>0</v>
      </c>
      <c r="F2805">
        <v>0</v>
      </c>
      <c r="G2805">
        <v>0</v>
      </c>
      <c r="H2805">
        <v>1</v>
      </c>
      <c r="I2805">
        <v>1</v>
      </c>
      <c r="L2805">
        <v>22.19</v>
      </c>
      <c r="M2805">
        <v>71.194000000000003</v>
      </c>
      <c r="N2805">
        <v>15.612</v>
      </c>
    </row>
    <row r="2806" spans="1:14" x14ac:dyDescent="0.45">
      <c r="A2806">
        <v>1993</v>
      </c>
      <c r="B2806" t="s">
        <v>242</v>
      </c>
      <c r="C2806">
        <v>0</v>
      </c>
      <c r="D2806">
        <v>0</v>
      </c>
      <c r="E2806">
        <v>1</v>
      </c>
      <c r="F2806">
        <v>0</v>
      </c>
      <c r="G2806">
        <v>0</v>
      </c>
      <c r="H2806">
        <v>0</v>
      </c>
      <c r="I2806">
        <v>0</v>
      </c>
      <c r="J2806">
        <v>1520.41189143981</v>
      </c>
      <c r="K2806">
        <v>1277.20099521522</v>
      </c>
      <c r="L2806">
        <v>78.591999999999999</v>
      </c>
      <c r="M2806">
        <v>47.002000000000002</v>
      </c>
      <c r="N2806">
        <v>204.25</v>
      </c>
    </row>
    <row r="2807" spans="1:14" x14ac:dyDescent="0.45">
      <c r="A2807">
        <v>1993</v>
      </c>
      <c r="B2807" t="s">
        <v>243</v>
      </c>
      <c r="C2807">
        <v>0</v>
      </c>
      <c r="D2807">
        <v>0</v>
      </c>
      <c r="E2807">
        <v>1</v>
      </c>
      <c r="F2807">
        <v>0</v>
      </c>
      <c r="G2807">
        <v>0</v>
      </c>
      <c r="H2807">
        <v>0</v>
      </c>
      <c r="I2807">
        <v>0</v>
      </c>
      <c r="J2807">
        <v>1670.4836739759201</v>
      </c>
      <c r="K2807">
        <v>1388.2349823089201</v>
      </c>
      <c r="L2807">
        <v>70.152000000000001</v>
      </c>
      <c r="M2807">
        <v>53.851999999999997</v>
      </c>
      <c r="N2807">
        <v>141.36699999999999</v>
      </c>
    </row>
    <row r="2808" spans="1:14" x14ac:dyDescent="0.45">
      <c r="A2808">
        <v>1993</v>
      </c>
      <c r="B2808" t="s">
        <v>244</v>
      </c>
      <c r="C2808">
        <v>0</v>
      </c>
      <c r="D2808">
        <v>0</v>
      </c>
      <c r="E2808">
        <v>0</v>
      </c>
      <c r="F2808">
        <v>1</v>
      </c>
      <c r="G2808">
        <v>0</v>
      </c>
      <c r="H2808">
        <v>0</v>
      </c>
      <c r="I2808">
        <v>0</v>
      </c>
      <c r="J2808">
        <v>10538.8163895497</v>
      </c>
      <c r="K2808">
        <v>9216.4802707113304</v>
      </c>
      <c r="L2808">
        <v>70.066000000000003</v>
      </c>
      <c r="M2808">
        <v>69.567999999999998</v>
      </c>
      <c r="N2808">
        <v>31.358000000000001</v>
      </c>
    </row>
    <row r="2809" spans="1:14" x14ac:dyDescent="0.45">
      <c r="A2809">
        <v>1993</v>
      </c>
      <c r="B2809" t="s">
        <v>245</v>
      </c>
      <c r="C2809">
        <v>1</v>
      </c>
      <c r="D2809">
        <v>0</v>
      </c>
      <c r="E2809">
        <v>0</v>
      </c>
      <c r="F2809">
        <v>0</v>
      </c>
      <c r="G2809">
        <v>0</v>
      </c>
      <c r="H2809">
        <v>0</v>
      </c>
      <c r="I2809">
        <v>0</v>
      </c>
      <c r="J2809">
        <v>2169.96747353928</v>
      </c>
      <c r="K2809">
        <v>1976.2657664784299</v>
      </c>
      <c r="L2809">
        <v>70.028000000000006</v>
      </c>
      <c r="M2809">
        <v>55.512</v>
      </c>
      <c r="N2809">
        <v>103.248</v>
      </c>
    </row>
    <row r="2810" spans="1:14" x14ac:dyDescent="0.45">
      <c r="A2810">
        <v>1993</v>
      </c>
      <c r="B2810" t="s">
        <v>246</v>
      </c>
      <c r="C2810">
        <v>1</v>
      </c>
      <c r="D2810">
        <v>0</v>
      </c>
      <c r="E2810">
        <v>0</v>
      </c>
      <c r="F2810">
        <v>1</v>
      </c>
      <c r="G2810">
        <v>0</v>
      </c>
      <c r="H2810">
        <v>0</v>
      </c>
      <c r="I2810">
        <v>0</v>
      </c>
      <c r="J2810">
        <v>6085.5255499596997</v>
      </c>
      <c r="K2810">
        <v>5727.8118013427402</v>
      </c>
      <c r="L2810">
        <v>55.180999999999997</v>
      </c>
      <c r="M2810">
        <v>63.585999999999999</v>
      </c>
      <c r="N2810">
        <v>78.587000000000003</v>
      </c>
    </row>
    <row r="2811" spans="1:14" x14ac:dyDescent="0.45">
      <c r="A2811">
        <v>1993</v>
      </c>
      <c r="B2811" t="s">
        <v>247</v>
      </c>
      <c r="C2811">
        <v>0</v>
      </c>
      <c r="D2811">
        <v>0</v>
      </c>
      <c r="E2811">
        <v>0</v>
      </c>
      <c r="F2811">
        <v>0</v>
      </c>
      <c r="G2811">
        <v>0</v>
      </c>
      <c r="H2811">
        <v>0</v>
      </c>
      <c r="I2811">
        <v>0</v>
      </c>
      <c r="J2811">
        <v>2675.6778216757798</v>
      </c>
      <c r="K2811">
        <v>2158.90448347961</v>
      </c>
      <c r="L2811">
        <v>78.132999999999996</v>
      </c>
      <c r="M2811">
        <v>47.008000000000003</v>
      </c>
      <c r="N2811">
        <v>202.47300000000001</v>
      </c>
    </row>
    <row r="2812" spans="1:14" x14ac:dyDescent="0.45">
      <c r="A2812">
        <v>1993</v>
      </c>
      <c r="B2812" t="s">
        <v>248</v>
      </c>
      <c r="C2812">
        <v>0</v>
      </c>
      <c r="D2812">
        <v>0</v>
      </c>
      <c r="E2812">
        <v>0</v>
      </c>
      <c r="F2812">
        <v>1</v>
      </c>
      <c r="G2812">
        <v>0</v>
      </c>
      <c r="H2812">
        <v>0</v>
      </c>
      <c r="I2812">
        <v>0</v>
      </c>
      <c r="J2812">
        <v>4946.7176624643398</v>
      </c>
      <c r="K2812">
        <v>4477.9235142667903</v>
      </c>
      <c r="L2812">
        <v>77.2</v>
      </c>
      <c r="M2812">
        <v>68.156999999999996</v>
      </c>
      <c r="N2812">
        <v>20.177</v>
      </c>
    </row>
    <row r="2813" spans="1:14" x14ac:dyDescent="0.45">
      <c r="A2813">
        <v>1993</v>
      </c>
      <c r="B2813" t="s">
        <v>249</v>
      </c>
      <c r="C2813">
        <v>0</v>
      </c>
      <c r="D2813">
        <v>1</v>
      </c>
      <c r="E2813">
        <v>0</v>
      </c>
      <c r="F2813">
        <v>0</v>
      </c>
      <c r="G2813">
        <v>1</v>
      </c>
      <c r="H2813">
        <v>0</v>
      </c>
      <c r="I2813">
        <v>0</v>
      </c>
      <c r="J2813">
        <v>13105.5002361712</v>
      </c>
      <c r="K2813">
        <v>10937.759087644199</v>
      </c>
      <c r="L2813">
        <v>45.326000000000001</v>
      </c>
      <c r="M2813">
        <v>67.825000000000003</v>
      </c>
      <c r="N2813">
        <v>29.071000000000002</v>
      </c>
    </row>
    <row r="2814" spans="1:14" x14ac:dyDescent="0.45">
      <c r="A2814">
        <v>1993</v>
      </c>
      <c r="B2814" t="s">
        <v>250</v>
      </c>
      <c r="C2814">
        <v>0</v>
      </c>
      <c r="D2814">
        <v>0</v>
      </c>
      <c r="E2814">
        <v>0</v>
      </c>
      <c r="F2814">
        <v>1</v>
      </c>
      <c r="G2814">
        <v>0</v>
      </c>
      <c r="H2814">
        <v>0</v>
      </c>
      <c r="I2814">
        <v>0</v>
      </c>
      <c r="J2814">
        <v>7253.3281796885603</v>
      </c>
      <c r="K2814">
        <v>6321.1543464739498</v>
      </c>
      <c r="L2814">
        <v>39.637999999999998</v>
      </c>
      <c r="M2814">
        <v>69.992000000000004</v>
      </c>
      <c r="N2814">
        <v>47.177999999999997</v>
      </c>
    </row>
    <row r="2815" spans="1:14" x14ac:dyDescent="0.45">
      <c r="A2815">
        <v>1993</v>
      </c>
      <c r="B2815" t="s">
        <v>251</v>
      </c>
      <c r="C2815">
        <v>1</v>
      </c>
      <c r="D2815">
        <v>0</v>
      </c>
      <c r="E2815">
        <v>0</v>
      </c>
      <c r="F2815">
        <v>1</v>
      </c>
      <c r="G2815">
        <v>0</v>
      </c>
      <c r="H2815">
        <v>0</v>
      </c>
      <c r="I2815">
        <v>0</v>
      </c>
      <c r="J2815">
        <v>12986.378173163601</v>
      </c>
      <c r="K2815">
        <v>13021.1188190836</v>
      </c>
      <c r="L2815">
        <v>38.945</v>
      </c>
      <c r="M2815">
        <v>69.018000000000001</v>
      </c>
      <c r="N2815">
        <v>61.162999999999997</v>
      </c>
    </row>
    <row r="2816" spans="1:14" x14ac:dyDescent="0.45">
      <c r="A2816">
        <v>1993</v>
      </c>
      <c r="B2816" t="s">
        <v>252</v>
      </c>
      <c r="C2816">
        <v>0</v>
      </c>
      <c r="D2816">
        <v>0</v>
      </c>
      <c r="E2816">
        <v>0</v>
      </c>
      <c r="F2816">
        <v>1</v>
      </c>
      <c r="G2816">
        <v>0</v>
      </c>
      <c r="H2816">
        <v>0</v>
      </c>
      <c r="I2816">
        <v>0</v>
      </c>
      <c r="J2816">
        <v>3189.94908833217</v>
      </c>
      <c r="K2816">
        <v>2885.8015292356999</v>
      </c>
      <c r="L2816">
        <v>56.844000000000001</v>
      </c>
      <c r="M2816">
        <v>62.11</v>
      </c>
      <c r="N2816">
        <v>51.094999999999999</v>
      </c>
    </row>
    <row r="2817" spans="1:14" x14ac:dyDescent="0.45">
      <c r="A2817">
        <v>1993</v>
      </c>
      <c r="B2817" t="s">
        <v>253</v>
      </c>
      <c r="C2817">
        <v>0</v>
      </c>
      <c r="D2817">
        <v>0</v>
      </c>
      <c r="E2817">
        <v>0</v>
      </c>
      <c r="F2817">
        <v>0</v>
      </c>
      <c r="G2817">
        <v>0</v>
      </c>
      <c r="H2817">
        <v>1</v>
      </c>
      <c r="I2817">
        <v>1</v>
      </c>
      <c r="L2817">
        <v>70.897000000000006</v>
      </c>
      <c r="M2817">
        <v>74.563999999999993</v>
      </c>
      <c r="N2817">
        <v>8.7080000000000002</v>
      </c>
    </row>
    <row r="2818" spans="1:14" x14ac:dyDescent="0.45">
      <c r="A2818">
        <v>1993</v>
      </c>
      <c r="B2818" t="s">
        <v>254</v>
      </c>
      <c r="C2818">
        <v>0</v>
      </c>
      <c r="D2818">
        <v>0</v>
      </c>
      <c r="E2818">
        <v>1</v>
      </c>
      <c r="F2818">
        <v>0</v>
      </c>
      <c r="G2818">
        <v>0</v>
      </c>
      <c r="H2818">
        <v>0</v>
      </c>
      <c r="I2818">
        <v>0</v>
      </c>
      <c r="J2818">
        <v>1718.39306640625</v>
      </c>
      <c r="K2818">
        <v>1279.9738360103099</v>
      </c>
      <c r="L2818">
        <v>80.132999999999996</v>
      </c>
      <c r="M2818">
        <v>51.215000000000003</v>
      </c>
      <c r="N2818">
        <v>160.239</v>
      </c>
    </row>
    <row r="2819" spans="1:14" x14ac:dyDescent="0.45">
      <c r="A2819">
        <v>1993</v>
      </c>
      <c r="B2819" t="s">
        <v>255</v>
      </c>
      <c r="C2819">
        <v>0</v>
      </c>
      <c r="D2819">
        <v>0</v>
      </c>
      <c r="E2819">
        <v>1</v>
      </c>
      <c r="F2819">
        <v>0</v>
      </c>
      <c r="G2819">
        <v>0</v>
      </c>
      <c r="H2819">
        <v>0</v>
      </c>
      <c r="I2819">
        <v>0</v>
      </c>
      <c r="J2819">
        <v>1153.9936907031799</v>
      </c>
      <c r="K2819">
        <v>978.93809896494895</v>
      </c>
      <c r="L2819">
        <v>87.867000000000004</v>
      </c>
      <c r="M2819">
        <v>47.680999999999997</v>
      </c>
      <c r="N2819">
        <v>171.00800000000001</v>
      </c>
    </row>
    <row r="2820" spans="1:14" x14ac:dyDescent="0.45">
      <c r="A2820">
        <v>1993</v>
      </c>
      <c r="B2820" t="s">
        <v>256</v>
      </c>
      <c r="C2820">
        <v>1</v>
      </c>
      <c r="D2820">
        <v>0</v>
      </c>
      <c r="E2820">
        <v>0</v>
      </c>
      <c r="F2820">
        <v>1</v>
      </c>
      <c r="G2820">
        <v>0</v>
      </c>
      <c r="H2820">
        <v>0</v>
      </c>
      <c r="I2820">
        <v>0</v>
      </c>
      <c r="J2820">
        <v>16012.3720703125</v>
      </c>
      <c r="K2820">
        <v>11325.3191173737</v>
      </c>
      <c r="L2820">
        <v>33.125999999999998</v>
      </c>
      <c r="M2820">
        <v>68.287000000000006</v>
      </c>
      <c r="N2820">
        <v>18.138000000000002</v>
      </c>
    </row>
    <row r="2821" spans="1:14" x14ac:dyDescent="0.45">
      <c r="A2821">
        <v>1993</v>
      </c>
      <c r="B2821" t="s">
        <v>257</v>
      </c>
      <c r="C2821">
        <v>0</v>
      </c>
      <c r="D2821">
        <v>1</v>
      </c>
      <c r="E2821">
        <v>0</v>
      </c>
      <c r="F2821">
        <v>0</v>
      </c>
      <c r="G2821">
        <v>1</v>
      </c>
      <c r="H2821">
        <v>0</v>
      </c>
      <c r="I2821">
        <v>0</v>
      </c>
      <c r="J2821">
        <v>15865.2775154336</v>
      </c>
      <c r="K2821">
        <v>12583.8396228946</v>
      </c>
      <c r="L2821">
        <v>10.06</v>
      </c>
      <c r="M2821">
        <v>73.147000000000006</v>
      </c>
      <c r="N2821">
        <v>22.317</v>
      </c>
    </row>
    <row r="2822" spans="1:14" x14ac:dyDescent="0.45">
      <c r="A2822">
        <v>1993</v>
      </c>
      <c r="B2822" t="s">
        <v>258</v>
      </c>
      <c r="C2822">
        <v>0</v>
      </c>
      <c r="D2822">
        <v>0</v>
      </c>
      <c r="E2822">
        <v>0</v>
      </c>
      <c r="F2822">
        <v>0</v>
      </c>
      <c r="G2822">
        <v>0</v>
      </c>
      <c r="H2822">
        <v>1</v>
      </c>
      <c r="I2822">
        <v>1</v>
      </c>
      <c r="J2822">
        <v>45286.9355090553</v>
      </c>
      <c r="K2822">
        <v>41105.801404277401</v>
      </c>
      <c r="L2822">
        <v>23.512</v>
      </c>
      <c r="M2822">
        <v>75.567999999999998</v>
      </c>
      <c r="N2822">
        <v>10.301</v>
      </c>
    </row>
    <row r="2823" spans="1:14" x14ac:dyDescent="0.45">
      <c r="A2823">
        <v>1993</v>
      </c>
      <c r="B2823" t="s">
        <v>259</v>
      </c>
      <c r="C2823">
        <v>1</v>
      </c>
      <c r="D2823">
        <v>0</v>
      </c>
      <c r="E2823">
        <v>0</v>
      </c>
      <c r="F2823">
        <v>1</v>
      </c>
      <c r="G2823">
        <v>0</v>
      </c>
      <c r="H2823">
        <v>0</v>
      </c>
      <c r="I2823">
        <v>0</v>
      </c>
      <c r="J2823">
        <v>3386.4620769559101</v>
      </c>
      <c r="K2823">
        <v>3290.07321328544</v>
      </c>
      <c r="L2823">
        <v>57.22</v>
      </c>
      <c r="M2823">
        <v>64.924000000000007</v>
      </c>
      <c r="N2823">
        <v>69.69</v>
      </c>
    </row>
    <row r="2824" spans="1:14" x14ac:dyDescent="0.45">
      <c r="A2824">
        <v>1993</v>
      </c>
      <c r="B2824" t="s">
        <v>260</v>
      </c>
      <c r="C2824">
        <v>0</v>
      </c>
      <c r="D2824">
        <v>1</v>
      </c>
      <c r="E2824">
        <v>0</v>
      </c>
      <c r="F2824">
        <v>1</v>
      </c>
      <c r="G2824">
        <v>0</v>
      </c>
      <c r="H2824">
        <v>0</v>
      </c>
      <c r="I2824">
        <v>0</v>
      </c>
      <c r="J2824">
        <v>8306.7752713918799</v>
      </c>
      <c r="K2824">
        <v>7259.7991051611298</v>
      </c>
      <c r="L2824">
        <v>57.337000000000003</v>
      </c>
      <c r="M2824">
        <v>70.620999999999995</v>
      </c>
      <c r="N2824">
        <v>23.266999999999999</v>
      </c>
    </row>
    <row r="2825" spans="1:14" x14ac:dyDescent="0.45">
      <c r="A2825">
        <v>1993</v>
      </c>
      <c r="B2825" t="s">
        <v>261</v>
      </c>
      <c r="C2825">
        <v>0</v>
      </c>
      <c r="D2825">
        <v>1</v>
      </c>
      <c r="E2825">
        <v>0</v>
      </c>
      <c r="F2825">
        <v>0</v>
      </c>
      <c r="G2825">
        <v>1</v>
      </c>
      <c r="H2825">
        <v>0</v>
      </c>
      <c r="I2825">
        <v>0</v>
      </c>
      <c r="L2825">
        <v>14.648</v>
      </c>
      <c r="M2825">
        <v>71.385000000000005</v>
      </c>
      <c r="N2825">
        <v>27.486999999999998</v>
      </c>
    </row>
    <row r="2826" spans="1:14" x14ac:dyDescent="0.45">
      <c r="A2826">
        <v>1993</v>
      </c>
      <c r="B2826" t="s">
        <v>262</v>
      </c>
      <c r="C2826">
        <v>0</v>
      </c>
      <c r="D2826">
        <v>1</v>
      </c>
      <c r="E2826">
        <v>0</v>
      </c>
      <c r="F2826">
        <v>0</v>
      </c>
      <c r="G2826">
        <v>0</v>
      </c>
      <c r="H2826">
        <v>1</v>
      </c>
      <c r="I2826">
        <v>1</v>
      </c>
      <c r="L2826">
        <v>60.128</v>
      </c>
      <c r="M2826">
        <v>73.430999999999997</v>
      </c>
      <c r="N2826">
        <v>20.428000000000001</v>
      </c>
    </row>
    <row r="2827" spans="1:14" x14ac:dyDescent="0.45">
      <c r="A2827">
        <v>1993</v>
      </c>
      <c r="B2827" t="s">
        <v>263</v>
      </c>
      <c r="C2827">
        <v>0</v>
      </c>
      <c r="D2827">
        <v>1</v>
      </c>
      <c r="E2827">
        <v>0</v>
      </c>
      <c r="F2827">
        <v>0</v>
      </c>
      <c r="G2827">
        <v>0</v>
      </c>
      <c r="H2827">
        <v>1</v>
      </c>
      <c r="I2827">
        <v>1</v>
      </c>
      <c r="L2827">
        <v>10.590999999999999</v>
      </c>
      <c r="M2827">
        <v>71.09</v>
      </c>
      <c r="N2827">
        <v>15.833</v>
      </c>
    </row>
    <row r="2828" spans="1:14" x14ac:dyDescent="0.45">
      <c r="A2828">
        <v>1993</v>
      </c>
      <c r="B2828" t="s">
        <v>264</v>
      </c>
      <c r="C2828">
        <v>0</v>
      </c>
      <c r="D2828">
        <v>0</v>
      </c>
      <c r="E2828">
        <v>0</v>
      </c>
      <c r="F2828">
        <v>0</v>
      </c>
      <c r="G2828">
        <v>0</v>
      </c>
      <c r="H2828">
        <v>0</v>
      </c>
      <c r="I2828">
        <v>0</v>
      </c>
      <c r="J2828">
        <v>2890.4243173776099</v>
      </c>
      <c r="K2828">
        <v>2575.6076570795099</v>
      </c>
      <c r="L2828">
        <v>78.613</v>
      </c>
      <c r="M2828">
        <v>69.956999999999994</v>
      </c>
      <c r="N2828">
        <v>43.98</v>
      </c>
    </row>
    <row r="2829" spans="1:14" x14ac:dyDescent="0.45">
      <c r="A2829">
        <v>1993</v>
      </c>
      <c r="B2829" t="s">
        <v>265</v>
      </c>
      <c r="C2829">
        <v>0</v>
      </c>
      <c r="D2829">
        <v>0</v>
      </c>
      <c r="E2829">
        <v>0</v>
      </c>
      <c r="F2829">
        <v>1</v>
      </c>
      <c r="G2829">
        <v>0</v>
      </c>
      <c r="H2829">
        <v>0</v>
      </c>
      <c r="I2829">
        <v>0</v>
      </c>
      <c r="J2829">
        <v>3069.8058342167801</v>
      </c>
      <c r="K2829">
        <v>2776.9504893214598</v>
      </c>
      <c r="L2829">
        <v>80.426000000000002</v>
      </c>
      <c r="M2829">
        <v>67.724000000000004</v>
      </c>
      <c r="N2829">
        <v>33.624000000000002</v>
      </c>
    </row>
    <row r="2830" spans="1:14" x14ac:dyDescent="0.45">
      <c r="A2830">
        <v>1993</v>
      </c>
      <c r="B2830" t="s">
        <v>266</v>
      </c>
      <c r="C2830">
        <v>0</v>
      </c>
      <c r="D2830">
        <v>0</v>
      </c>
      <c r="E2830">
        <v>0</v>
      </c>
      <c r="F2830">
        <v>1</v>
      </c>
      <c r="G2830">
        <v>0</v>
      </c>
      <c r="H2830">
        <v>0</v>
      </c>
      <c r="I2830">
        <v>0</v>
      </c>
      <c r="J2830">
        <v>3986.45388042164</v>
      </c>
      <c r="K2830">
        <v>3606.1515456461102</v>
      </c>
      <c r="L2830">
        <v>78.653000000000006</v>
      </c>
      <c r="M2830">
        <v>68.817999999999998</v>
      </c>
      <c r="N2830">
        <v>27.02</v>
      </c>
    </row>
    <row r="2831" spans="1:14" x14ac:dyDescent="0.45">
      <c r="A2831">
        <v>1993</v>
      </c>
      <c r="B2831" t="s">
        <v>267</v>
      </c>
      <c r="C2831">
        <v>1</v>
      </c>
      <c r="D2831">
        <v>0</v>
      </c>
      <c r="E2831">
        <v>0</v>
      </c>
      <c r="F2831">
        <v>1</v>
      </c>
      <c r="G2831">
        <v>0</v>
      </c>
      <c r="H2831">
        <v>0</v>
      </c>
      <c r="I2831">
        <v>0</v>
      </c>
      <c r="L2831">
        <v>48.795999999999999</v>
      </c>
      <c r="M2831">
        <v>67.944999999999993</v>
      </c>
      <c r="N2831">
        <v>84.094999999999999</v>
      </c>
    </row>
    <row r="2832" spans="1:14" x14ac:dyDescent="0.45">
      <c r="A2832">
        <v>1993</v>
      </c>
      <c r="B2832" t="s">
        <v>268</v>
      </c>
      <c r="C2832">
        <v>0</v>
      </c>
      <c r="D2832">
        <v>0</v>
      </c>
      <c r="E2832">
        <v>0</v>
      </c>
      <c r="F2832">
        <v>0</v>
      </c>
      <c r="G2832">
        <v>0</v>
      </c>
      <c r="H2832">
        <v>0</v>
      </c>
      <c r="I2832">
        <v>0</v>
      </c>
      <c r="L2832">
        <v>77.364000000000004</v>
      </c>
      <c r="M2832">
        <v>59.655000000000001</v>
      </c>
      <c r="N2832">
        <v>116.32899999999999</v>
      </c>
    </row>
    <row r="2833" spans="1:14" x14ac:dyDescent="0.45">
      <c r="A2833">
        <v>1993</v>
      </c>
      <c r="B2833" t="s">
        <v>269</v>
      </c>
      <c r="C2833">
        <v>0</v>
      </c>
      <c r="D2833">
        <v>0</v>
      </c>
      <c r="E2833">
        <v>1</v>
      </c>
      <c r="F2833">
        <v>0</v>
      </c>
      <c r="G2833">
        <v>1</v>
      </c>
      <c r="H2833">
        <v>0</v>
      </c>
      <c r="I2833">
        <v>0</v>
      </c>
      <c r="J2833">
        <v>9989.1772174612306</v>
      </c>
      <c r="K2833">
        <v>9405.2212371291698</v>
      </c>
      <c r="L2833">
        <v>46.478999999999999</v>
      </c>
      <c r="M2833">
        <v>62.618000000000002</v>
      </c>
      <c r="N2833">
        <v>61.078000000000003</v>
      </c>
    </row>
    <row r="2834" spans="1:14" x14ac:dyDescent="0.45">
      <c r="A2834">
        <v>1993</v>
      </c>
      <c r="B2834" t="s">
        <v>270</v>
      </c>
      <c r="C2834">
        <v>0</v>
      </c>
      <c r="D2834">
        <v>0</v>
      </c>
      <c r="E2834">
        <v>1</v>
      </c>
      <c r="F2834">
        <v>0</v>
      </c>
      <c r="G2834">
        <v>0</v>
      </c>
      <c r="H2834">
        <v>0</v>
      </c>
      <c r="I2834">
        <v>0</v>
      </c>
      <c r="J2834">
        <v>2365.6295363077802</v>
      </c>
      <c r="K2834">
        <v>2220.9884811757802</v>
      </c>
      <c r="L2834">
        <v>61.957999999999998</v>
      </c>
      <c r="M2834">
        <v>46.677999999999997</v>
      </c>
      <c r="N2834">
        <v>180.34299999999999</v>
      </c>
    </row>
    <row r="2835" spans="1:14" x14ac:dyDescent="0.45">
      <c r="A2835">
        <v>1993</v>
      </c>
      <c r="B2835" t="s">
        <v>271</v>
      </c>
      <c r="C2835">
        <v>0</v>
      </c>
      <c r="D2835">
        <v>0</v>
      </c>
      <c r="E2835">
        <v>1</v>
      </c>
      <c r="F2835">
        <v>0</v>
      </c>
      <c r="G2835">
        <v>0</v>
      </c>
      <c r="H2835">
        <v>0</v>
      </c>
      <c r="I2835">
        <v>0</v>
      </c>
      <c r="J2835">
        <v>3634.7476315631502</v>
      </c>
      <c r="K2835">
        <v>2420.1454144402301</v>
      </c>
      <c r="L2835">
        <v>69.06</v>
      </c>
      <c r="M2835">
        <v>53.975999999999999</v>
      </c>
      <c r="N2835">
        <v>91.11</v>
      </c>
    </row>
    <row r="2836" spans="1:14" x14ac:dyDescent="0.45">
      <c r="A2836">
        <v>1994</v>
      </c>
      <c r="B2836" t="s">
        <v>54</v>
      </c>
      <c r="C2836">
        <v>0</v>
      </c>
      <c r="D2836">
        <v>1</v>
      </c>
      <c r="E2836">
        <v>0</v>
      </c>
      <c r="F2836">
        <v>0</v>
      </c>
      <c r="G2836">
        <v>0</v>
      </c>
      <c r="H2836">
        <v>1</v>
      </c>
      <c r="I2836">
        <v>1</v>
      </c>
      <c r="J2836">
        <v>37118.272048865903</v>
      </c>
      <c r="K2836">
        <v>36123.773280399299</v>
      </c>
      <c r="L2836">
        <v>50.823</v>
      </c>
      <c r="M2836">
        <v>72.796000000000006</v>
      </c>
      <c r="N2836">
        <v>21.92</v>
      </c>
    </row>
    <row r="2837" spans="1:14" x14ac:dyDescent="0.45">
      <c r="A2837">
        <v>1994</v>
      </c>
      <c r="B2837" t="s">
        <v>55</v>
      </c>
      <c r="C2837">
        <v>0</v>
      </c>
      <c r="D2837">
        <v>0</v>
      </c>
      <c r="E2837">
        <v>0</v>
      </c>
      <c r="F2837">
        <v>0</v>
      </c>
      <c r="G2837">
        <v>0</v>
      </c>
      <c r="H2837">
        <v>0</v>
      </c>
      <c r="I2837">
        <v>0</v>
      </c>
      <c r="L2837">
        <v>78.465999999999994</v>
      </c>
      <c r="M2837">
        <v>50.969000000000001</v>
      </c>
      <c r="N2837">
        <v>158.322</v>
      </c>
    </row>
    <row r="2838" spans="1:14" x14ac:dyDescent="0.45">
      <c r="A2838">
        <v>1994</v>
      </c>
      <c r="B2838" t="s">
        <v>56</v>
      </c>
      <c r="C2838">
        <v>0</v>
      </c>
      <c r="D2838">
        <v>0</v>
      </c>
      <c r="E2838">
        <v>1</v>
      </c>
      <c r="F2838">
        <v>1</v>
      </c>
      <c r="G2838">
        <v>0</v>
      </c>
      <c r="H2838">
        <v>0</v>
      </c>
      <c r="I2838">
        <v>0</v>
      </c>
      <c r="J2838">
        <v>4751.4716490396604</v>
      </c>
      <c r="K2838">
        <v>3674.5543793998299</v>
      </c>
      <c r="L2838">
        <v>57</v>
      </c>
      <c r="M2838">
        <v>43.567</v>
      </c>
      <c r="N2838">
        <v>220.559</v>
      </c>
    </row>
    <row r="2839" spans="1:14" x14ac:dyDescent="0.45">
      <c r="A2839">
        <v>1994</v>
      </c>
      <c r="B2839" t="s">
        <v>57</v>
      </c>
      <c r="C2839">
        <v>1</v>
      </c>
      <c r="D2839">
        <v>0</v>
      </c>
      <c r="E2839">
        <v>0</v>
      </c>
      <c r="F2839">
        <v>0</v>
      </c>
      <c r="G2839">
        <v>0</v>
      </c>
      <c r="H2839">
        <v>0</v>
      </c>
      <c r="I2839">
        <v>0</v>
      </c>
      <c r="J2839">
        <v>4517.5397472396799</v>
      </c>
      <c r="K2839">
        <v>4092.6838019422798</v>
      </c>
      <c r="L2839">
        <v>61.646000000000001</v>
      </c>
      <c r="M2839">
        <v>73.837000000000003</v>
      </c>
      <c r="N2839">
        <v>35.036999999999999</v>
      </c>
    </row>
    <row r="2840" spans="1:14" x14ac:dyDescent="0.45">
      <c r="A2840">
        <v>1994</v>
      </c>
      <c r="B2840" t="s">
        <v>58</v>
      </c>
      <c r="C2840">
        <v>1</v>
      </c>
      <c r="D2840">
        <v>0</v>
      </c>
      <c r="E2840">
        <v>0</v>
      </c>
      <c r="F2840">
        <v>0</v>
      </c>
      <c r="G2840">
        <v>0</v>
      </c>
      <c r="H2840">
        <v>1</v>
      </c>
      <c r="I2840">
        <v>1</v>
      </c>
      <c r="J2840">
        <v>42716.365635399998</v>
      </c>
      <c r="K2840">
        <v>35857.126853559501</v>
      </c>
      <c r="L2840">
        <v>6.11</v>
      </c>
      <c r="M2840">
        <v>80.587000000000003</v>
      </c>
      <c r="N2840">
        <v>8.6760000000000002</v>
      </c>
    </row>
    <row r="2841" spans="1:14" x14ac:dyDescent="0.45">
      <c r="A2841">
        <v>1994</v>
      </c>
      <c r="B2841" t="s">
        <v>59</v>
      </c>
      <c r="C2841">
        <v>0</v>
      </c>
      <c r="D2841">
        <v>0</v>
      </c>
      <c r="E2841">
        <v>0</v>
      </c>
      <c r="F2841">
        <v>0</v>
      </c>
      <c r="G2841">
        <v>0</v>
      </c>
      <c r="H2841">
        <v>1</v>
      </c>
      <c r="I2841">
        <v>1</v>
      </c>
      <c r="J2841">
        <v>99402.021936097095</v>
      </c>
      <c r="K2841">
        <v>98206.085416507296</v>
      </c>
      <c r="L2841">
        <v>21.533000000000001</v>
      </c>
      <c r="M2841">
        <v>71.203999999999994</v>
      </c>
      <c r="N2841">
        <v>13.74</v>
      </c>
    </row>
    <row r="2842" spans="1:14" x14ac:dyDescent="0.45">
      <c r="A2842">
        <v>1994</v>
      </c>
      <c r="B2842" t="s">
        <v>60</v>
      </c>
      <c r="C2842">
        <v>0</v>
      </c>
      <c r="D2842">
        <v>1</v>
      </c>
      <c r="E2842">
        <v>0</v>
      </c>
      <c r="F2842">
        <v>0</v>
      </c>
      <c r="G2842">
        <v>1</v>
      </c>
      <c r="H2842">
        <v>0</v>
      </c>
      <c r="I2842">
        <v>0</v>
      </c>
      <c r="J2842">
        <v>21711.842788090999</v>
      </c>
      <c r="K2842">
        <v>17918.996432567001</v>
      </c>
      <c r="L2842">
        <v>12.04</v>
      </c>
      <c r="M2842">
        <v>72.731999999999999</v>
      </c>
      <c r="N2842">
        <v>26.521999999999998</v>
      </c>
    </row>
    <row r="2843" spans="1:14" x14ac:dyDescent="0.45">
      <c r="A2843">
        <v>1994</v>
      </c>
      <c r="B2843" t="s">
        <v>61</v>
      </c>
      <c r="C2843">
        <v>1</v>
      </c>
      <c r="D2843">
        <v>0</v>
      </c>
      <c r="E2843">
        <v>0</v>
      </c>
      <c r="F2843">
        <v>0</v>
      </c>
      <c r="G2843">
        <v>0</v>
      </c>
      <c r="H2843">
        <v>0</v>
      </c>
      <c r="I2843">
        <v>0</v>
      </c>
      <c r="J2843">
        <v>3200.89649468569</v>
      </c>
      <c r="K2843">
        <v>2711.4833620990598</v>
      </c>
      <c r="L2843">
        <v>33.667999999999999</v>
      </c>
      <c r="M2843">
        <v>68.447999999999993</v>
      </c>
      <c r="N2843">
        <v>40.838999999999999</v>
      </c>
    </row>
    <row r="2844" spans="1:14" x14ac:dyDescent="0.45">
      <c r="A2844">
        <v>1994</v>
      </c>
      <c r="B2844" t="s">
        <v>62</v>
      </c>
      <c r="C2844">
        <v>0</v>
      </c>
      <c r="D2844">
        <v>0</v>
      </c>
      <c r="E2844">
        <v>0</v>
      </c>
      <c r="F2844">
        <v>0</v>
      </c>
      <c r="G2844">
        <v>1</v>
      </c>
      <c r="H2844">
        <v>0</v>
      </c>
      <c r="I2844">
        <v>0</v>
      </c>
      <c r="L2844">
        <v>15.515000000000001</v>
      </c>
      <c r="M2844">
        <v>71.569000000000003</v>
      </c>
      <c r="N2844">
        <v>15.205</v>
      </c>
    </row>
    <row r="2845" spans="1:14" x14ac:dyDescent="0.45">
      <c r="A2845">
        <v>1994</v>
      </c>
      <c r="B2845" t="s">
        <v>63</v>
      </c>
      <c r="C2845">
        <v>0</v>
      </c>
      <c r="D2845">
        <v>1</v>
      </c>
      <c r="E2845">
        <v>0</v>
      </c>
      <c r="F2845">
        <v>0</v>
      </c>
      <c r="G2845">
        <v>1</v>
      </c>
      <c r="H2845">
        <v>0</v>
      </c>
      <c r="I2845">
        <v>0</v>
      </c>
      <c r="J2845">
        <v>23081.663912352898</v>
      </c>
      <c r="K2845">
        <v>18179.045353902799</v>
      </c>
      <c r="L2845">
        <v>65.665999999999997</v>
      </c>
      <c r="M2845">
        <v>73.492999999999995</v>
      </c>
      <c r="N2845">
        <v>14.872</v>
      </c>
    </row>
    <row r="2846" spans="1:14" x14ac:dyDescent="0.45">
      <c r="A2846">
        <v>1994</v>
      </c>
      <c r="B2846" t="s">
        <v>64</v>
      </c>
      <c r="C2846">
        <v>0</v>
      </c>
      <c r="D2846">
        <v>0</v>
      </c>
      <c r="E2846">
        <v>0</v>
      </c>
      <c r="F2846">
        <v>0</v>
      </c>
      <c r="G2846">
        <v>0</v>
      </c>
      <c r="H2846">
        <v>1</v>
      </c>
      <c r="I2846">
        <v>1</v>
      </c>
      <c r="J2846">
        <v>37557.840930836799</v>
      </c>
      <c r="K2846">
        <v>32530.783674612601</v>
      </c>
      <c r="L2846">
        <v>14.972</v>
      </c>
      <c r="M2846">
        <v>77.852000000000004</v>
      </c>
      <c r="N2846">
        <v>7.3540000000000001</v>
      </c>
    </row>
    <row r="2847" spans="1:14" x14ac:dyDescent="0.45">
      <c r="A2847">
        <v>1994</v>
      </c>
      <c r="B2847" t="s">
        <v>65</v>
      </c>
      <c r="C2847">
        <v>1</v>
      </c>
      <c r="D2847">
        <v>0</v>
      </c>
      <c r="E2847">
        <v>0</v>
      </c>
      <c r="F2847">
        <v>0</v>
      </c>
      <c r="G2847">
        <v>0</v>
      </c>
      <c r="H2847">
        <v>1</v>
      </c>
      <c r="I2847">
        <v>1</v>
      </c>
      <c r="J2847">
        <v>45552.607139457803</v>
      </c>
      <c r="K2847">
        <v>38817.906268152597</v>
      </c>
      <c r="L2847">
        <v>38.130000000000003</v>
      </c>
      <c r="M2847">
        <v>76.540999999999997</v>
      </c>
      <c r="N2847">
        <v>7.5970000000000004</v>
      </c>
    </row>
    <row r="2848" spans="1:14" x14ac:dyDescent="0.45">
      <c r="A2848">
        <v>1994</v>
      </c>
      <c r="B2848" t="s">
        <v>66</v>
      </c>
      <c r="C2848">
        <v>1</v>
      </c>
      <c r="D2848">
        <v>0</v>
      </c>
      <c r="E2848">
        <v>0</v>
      </c>
      <c r="F2848">
        <v>0</v>
      </c>
      <c r="G2848">
        <v>0</v>
      </c>
      <c r="H2848">
        <v>0</v>
      </c>
      <c r="I2848">
        <v>0</v>
      </c>
      <c r="J2848">
        <v>4830.6994020997799</v>
      </c>
      <c r="K2848">
        <v>3517.7749889729498</v>
      </c>
      <c r="L2848">
        <v>47.484999999999999</v>
      </c>
      <c r="M2848">
        <v>60.277000000000001</v>
      </c>
      <c r="N2848">
        <v>94.037000000000006</v>
      </c>
    </row>
    <row r="2849" spans="1:14" x14ac:dyDescent="0.45">
      <c r="A2849">
        <v>1994</v>
      </c>
      <c r="B2849" t="s">
        <v>67</v>
      </c>
      <c r="C2849">
        <v>0</v>
      </c>
      <c r="D2849">
        <v>0</v>
      </c>
      <c r="E2849">
        <v>1</v>
      </c>
      <c r="F2849">
        <v>0</v>
      </c>
      <c r="G2849">
        <v>0</v>
      </c>
      <c r="H2849">
        <v>0</v>
      </c>
      <c r="I2849">
        <v>0</v>
      </c>
      <c r="J2849">
        <v>1305.4520796515001</v>
      </c>
      <c r="K2849">
        <v>1128.04537583049</v>
      </c>
      <c r="L2849">
        <v>92.986000000000004</v>
      </c>
      <c r="M2849">
        <v>44.515000000000001</v>
      </c>
      <c r="N2849">
        <v>170.22499999999999</v>
      </c>
    </row>
    <row r="2850" spans="1:14" x14ac:dyDescent="0.45">
      <c r="A2850">
        <v>1994</v>
      </c>
      <c r="B2850" t="s">
        <v>68</v>
      </c>
      <c r="C2850">
        <v>1</v>
      </c>
      <c r="D2850">
        <v>0</v>
      </c>
      <c r="E2850">
        <v>0</v>
      </c>
      <c r="F2850">
        <v>0</v>
      </c>
      <c r="G2850">
        <v>0</v>
      </c>
      <c r="H2850">
        <v>1</v>
      </c>
      <c r="I2850">
        <v>1</v>
      </c>
      <c r="J2850">
        <v>43388.409758002701</v>
      </c>
      <c r="K2850">
        <v>36512.068207589102</v>
      </c>
      <c r="L2850">
        <v>3.3</v>
      </c>
      <c r="M2850">
        <v>76.715999999999994</v>
      </c>
      <c r="N2850">
        <v>8.7100000000000009</v>
      </c>
    </row>
    <row r="2851" spans="1:14" x14ac:dyDescent="0.45">
      <c r="A2851">
        <v>1994</v>
      </c>
      <c r="B2851" t="s">
        <v>69</v>
      </c>
      <c r="C2851">
        <v>0</v>
      </c>
      <c r="D2851">
        <v>0</v>
      </c>
      <c r="E2851">
        <v>1</v>
      </c>
      <c r="F2851">
        <v>0</v>
      </c>
      <c r="G2851">
        <v>0</v>
      </c>
      <c r="H2851">
        <v>0</v>
      </c>
      <c r="I2851">
        <v>0</v>
      </c>
      <c r="J2851">
        <v>2215.3661682193801</v>
      </c>
      <c r="K2851">
        <v>2101.8328270207799</v>
      </c>
      <c r="L2851">
        <v>63.552999999999997</v>
      </c>
      <c r="M2851">
        <v>54.988</v>
      </c>
      <c r="N2851">
        <v>157</v>
      </c>
    </row>
    <row r="2852" spans="1:14" x14ac:dyDescent="0.45">
      <c r="A2852">
        <v>1994</v>
      </c>
      <c r="B2852" t="s">
        <v>70</v>
      </c>
      <c r="C2852">
        <v>0</v>
      </c>
      <c r="D2852">
        <v>0</v>
      </c>
      <c r="E2852">
        <v>1</v>
      </c>
      <c r="F2852">
        <v>0</v>
      </c>
      <c r="G2852">
        <v>0</v>
      </c>
      <c r="H2852">
        <v>0</v>
      </c>
      <c r="I2852">
        <v>0</v>
      </c>
      <c r="J2852">
        <v>1148.60721370395</v>
      </c>
      <c r="K2852">
        <v>1050.90333800599</v>
      </c>
      <c r="L2852">
        <v>85.14</v>
      </c>
      <c r="M2852">
        <v>49.469000000000001</v>
      </c>
      <c r="N2852">
        <v>195.607</v>
      </c>
    </row>
    <row r="2853" spans="1:14" x14ac:dyDescent="0.45">
      <c r="A2853">
        <v>1994</v>
      </c>
      <c r="B2853" t="s">
        <v>71</v>
      </c>
      <c r="C2853">
        <v>0</v>
      </c>
      <c r="D2853">
        <v>0</v>
      </c>
      <c r="E2853">
        <v>0</v>
      </c>
      <c r="F2853">
        <v>0</v>
      </c>
      <c r="G2853">
        <v>0</v>
      </c>
      <c r="H2853">
        <v>0</v>
      </c>
      <c r="I2853">
        <v>0</v>
      </c>
      <c r="J2853">
        <v>2279.0943530294398</v>
      </c>
      <c r="K2853">
        <v>1852.8913219583301</v>
      </c>
      <c r="L2853">
        <v>78.671999999999997</v>
      </c>
      <c r="M2853">
        <v>57.64</v>
      </c>
      <c r="N2853">
        <v>119.851</v>
      </c>
    </row>
    <row r="2854" spans="1:14" x14ac:dyDescent="0.45">
      <c r="A2854">
        <v>1994</v>
      </c>
      <c r="B2854" t="s">
        <v>72</v>
      </c>
      <c r="C2854">
        <v>1</v>
      </c>
      <c r="D2854">
        <v>0</v>
      </c>
      <c r="E2854">
        <v>0</v>
      </c>
      <c r="F2854">
        <v>1</v>
      </c>
      <c r="G2854">
        <v>0</v>
      </c>
      <c r="H2854">
        <v>0</v>
      </c>
      <c r="I2854">
        <v>0</v>
      </c>
      <c r="J2854">
        <v>13149.3793853278</v>
      </c>
      <c r="K2854">
        <v>10911.348080772401</v>
      </c>
      <c r="L2854">
        <v>32.442999999999998</v>
      </c>
      <c r="M2854">
        <v>70.861000000000004</v>
      </c>
      <c r="N2854">
        <v>19.805</v>
      </c>
    </row>
    <row r="2855" spans="1:14" x14ac:dyDescent="0.45">
      <c r="A2855">
        <v>1994</v>
      </c>
      <c r="B2855" t="s">
        <v>73</v>
      </c>
      <c r="C2855">
        <v>0</v>
      </c>
      <c r="D2855">
        <v>0</v>
      </c>
      <c r="E2855">
        <v>0</v>
      </c>
      <c r="F2855">
        <v>0</v>
      </c>
      <c r="G2855">
        <v>1</v>
      </c>
      <c r="H2855">
        <v>0</v>
      </c>
      <c r="I2855">
        <v>0</v>
      </c>
      <c r="J2855">
        <v>52886.578902732901</v>
      </c>
      <c r="K2855">
        <v>49277.7176540816</v>
      </c>
      <c r="L2855">
        <v>11.608000000000001</v>
      </c>
      <c r="M2855">
        <v>73.134</v>
      </c>
      <c r="N2855">
        <v>19.199000000000002</v>
      </c>
    </row>
    <row r="2856" spans="1:14" x14ac:dyDescent="0.45">
      <c r="A2856">
        <v>1994</v>
      </c>
      <c r="B2856" t="s">
        <v>74</v>
      </c>
      <c r="C2856">
        <v>0</v>
      </c>
      <c r="D2856">
        <v>1</v>
      </c>
      <c r="E2856">
        <v>0</v>
      </c>
      <c r="F2856">
        <v>0</v>
      </c>
      <c r="G2856">
        <v>0</v>
      </c>
      <c r="H2856">
        <v>1</v>
      </c>
      <c r="I2856">
        <v>1</v>
      </c>
      <c r="J2856">
        <v>29346.2867764808</v>
      </c>
      <c r="K2856">
        <v>30440.4919806258</v>
      </c>
      <c r="L2856">
        <v>19.260000000000002</v>
      </c>
      <c r="M2856">
        <v>71.429000000000002</v>
      </c>
      <c r="N2856">
        <v>19.484000000000002</v>
      </c>
    </row>
    <row r="2857" spans="1:14" x14ac:dyDescent="0.45">
      <c r="A2857">
        <v>1994</v>
      </c>
      <c r="B2857" t="s">
        <v>75</v>
      </c>
      <c r="C2857">
        <v>1</v>
      </c>
      <c r="D2857">
        <v>0</v>
      </c>
      <c r="E2857">
        <v>0</v>
      </c>
      <c r="F2857">
        <v>0</v>
      </c>
      <c r="G2857">
        <v>0</v>
      </c>
      <c r="H2857">
        <v>0</v>
      </c>
      <c r="I2857">
        <v>0</v>
      </c>
      <c r="J2857">
        <v>2656.92053234997</v>
      </c>
      <c r="K2857">
        <v>2295.2108019976499</v>
      </c>
      <c r="L2857">
        <v>59.494</v>
      </c>
      <c r="M2857">
        <v>66.602999999999994</v>
      </c>
      <c r="N2857">
        <v>14.103</v>
      </c>
    </row>
    <row r="2858" spans="1:14" x14ac:dyDescent="0.45">
      <c r="A2858">
        <v>1994</v>
      </c>
      <c r="B2858" t="s">
        <v>76</v>
      </c>
      <c r="C2858">
        <v>1</v>
      </c>
      <c r="D2858">
        <v>0</v>
      </c>
      <c r="E2858">
        <v>0</v>
      </c>
      <c r="F2858">
        <v>1</v>
      </c>
      <c r="G2858">
        <v>0</v>
      </c>
      <c r="H2858">
        <v>0</v>
      </c>
      <c r="I2858">
        <v>0</v>
      </c>
      <c r="J2858">
        <v>8967.7307255397009</v>
      </c>
      <c r="K2858">
        <v>6474.6573574475597</v>
      </c>
      <c r="L2858">
        <v>32.459000000000003</v>
      </c>
      <c r="M2858">
        <v>68.965999999999994</v>
      </c>
      <c r="N2858">
        <v>15.273</v>
      </c>
    </row>
    <row r="2859" spans="1:14" x14ac:dyDescent="0.45">
      <c r="A2859">
        <v>1994</v>
      </c>
      <c r="B2859" t="s">
        <v>77</v>
      </c>
      <c r="C2859">
        <v>0</v>
      </c>
      <c r="D2859">
        <v>1</v>
      </c>
      <c r="E2859">
        <v>0</v>
      </c>
      <c r="F2859">
        <v>1</v>
      </c>
      <c r="G2859">
        <v>0</v>
      </c>
      <c r="H2859">
        <v>0</v>
      </c>
      <c r="I2859">
        <v>0</v>
      </c>
      <c r="J2859">
        <v>10136.446575297199</v>
      </c>
      <c r="K2859">
        <v>7988.4643878361203</v>
      </c>
      <c r="L2859">
        <v>53.363</v>
      </c>
      <c r="M2859">
        <v>69.584999999999994</v>
      </c>
      <c r="N2859">
        <v>31.573</v>
      </c>
    </row>
    <row r="2860" spans="1:14" x14ac:dyDescent="0.45">
      <c r="A2860">
        <v>1994</v>
      </c>
      <c r="B2860" t="s">
        <v>78</v>
      </c>
      <c r="C2860">
        <v>0</v>
      </c>
      <c r="D2860">
        <v>0</v>
      </c>
      <c r="E2860">
        <v>0</v>
      </c>
      <c r="F2860">
        <v>0</v>
      </c>
      <c r="G2860">
        <v>0</v>
      </c>
      <c r="H2860">
        <v>1</v>
      </c>
      <c r="I2860">
        <v>1</v>
      </c>
      <c r="J2860">
        <v>77470.297692894703</v>
      </c>
      <c r="K2860">
        <v>68829.564236114995</v>
      </c>
      <c r="L2860">
        <v>0</v>
      </c>
      <c r="M2860">
        <v>75.275999999999996</v>
      </c>
      <c r="N2860">
        <v>7.8019999999999996</v>
      </c>
    </row>
    <row r="2861" spans="1:14" x14ac:dyDescent="0.45">
      <c r="A2861">
        <v>1994</v>
      </c>
      <c r="B2861" t="s">
        <v>79</v>
      </c>
      <c r="C2861">
        <v>0</v>
      </c>
      <c r="D2861">
        <v>1</v>
      </c>
      <c r="E2861">
        <v>0</v>
      </c>
      <c r="F2861">
        <v>1</v>
      </c>
      <c r="G2861">
        <v>0</v>
      </c>
      <c r="H2861">
        <v>0</v>
      </c>
      <c r="I2861">
        <v>0</v>
      </c>
      <c r="J2861">
        <v>5521.6602544042398</v>
      </c>
      <c r="K2861">
        <v>4873.1424320363003</v>
      </c>
      <c r="L2861">
        <v>41.384999999999998</v>
      </c>
      <c r="M2861">
        <v>59.281999999999996</v>
      </c>
      <c r="N2861">
        <v>130.75899999999999</v>
      </c>
    </row>
    <row r="2862" spans="1:14" x14ac:dyDescent="0.45">
      <c r="A2862">
        <v>1994</v>
      </c>
      <c r="B2862" t="s">
        <v>80</v>
      </c>
      <c r="C2862">
        <v>0</v>
      </c>
      <c r="D2862">
        <v>1</v>
      </c>
      <c r="E2862">
        <v>0</v>
      </c>
      <c r="F2862">
        <v>0</v>
      </c>
      <c r="G2862">
        <v>1</v>
      </c>
      <c r="H2862">
        <v>0</v>
      </c>
      <c r="I2862">
        <v>0</v>
      </c>
      <c r="J2862">
        <v>13202.9308011881</v>
      </c>
      <c r="K2862">
        <v>10845.0080531324</v>
      </c>
      <c r="L2862">
        <v>23.097000000000001</v>
      </c>
      <c r="M2862">
        <v>67.293000000000006</v>
      </c>
      <c r="N2862">
        <v>50.720999999999997</v>
      </c>
    </row>
    <row r="2863" spans="1:14" x14ac:dyDescent="0.45">
      <c r="A2863">
        <v>1994</v>
      </c>
      <c r="B2863" t="s">
        <v>81</v>
      </c>
      <c r="C2863">
        <v>0</v>
      </c>
      <c r="D2863">
        <v>1</v>
      </c>
      <c r="E2863">
        <v>0</v>
      </c>
      <c r="F2863">
        <v>0</v>
      </c>
      <c r="G2863">
        <v>1</v>
      </c>
      <c r="H2863">
        <v>0</v>
      </c>
      <c r="I2863">
        <v>0</v>
      </c>
      <c r="J2863">
        <v>15636.1161964492</v>
      </c>
      <c r="K2863">
        <v>14934.0478467542</v>
      </c>
      <c r="L2863">
        <v>64.075999999999993</v>
      </c>
      <c r="M2863">
        <v>73.754999999999995</v>
      </c>
      <c r="N2863">
        <v>15.553000000000001</v>
      </c>
    </row>
    <row r="2864" spans="1:14" x14ac:dyDescent="0.45">
      <c r="A2864">
        <v>1994</v>
      </c>
      <c r="B2864" t="s">
        <v>82</v>
      </c>
      <c r="C2864">
        <v>0</v>
      </c>
      <c r="D2864">
        <v>0</v>
      </c>
      <c r="E2864">
        <v>0</v>
      </c>
      <c r="F2864">
        <v>0</v>
      </c>
      <c r="G2864">
        <v>0</v>
      </c>
      <c r="H2864">
        <v>1</v>
      </c>
      <c r="I2864">
        <v>1</v>
      </c>
      <c r="J2864">
        <v>106239.232213533</v>
      </c>
      <c r="K2864">
        <v>82952.067800739998</v>
      </c>
      <c r="L2864">
        <v>31.873999999999999</v>
      </c>
      <c r="M2864">
        <v>72.570999999999998</v>
      </c>
      <c r="N2864">
        <v>12.423999999999999</v>
      </c>
    </row>
    <row r="2865" spans="1:14" x14ac:dyDescent="0.45">
      <c r="A2865">
        <v>1994</v>
      </c>
      <c r="B2865" t="s">
        <v>83</v>
      </c>
      <c r="C2865">
        <v>0</v>
      </c>
      <c r="D2865">
        <v>0</v>
      </c>
      <c r="E2865">
        <v>0</v>
      </c>
      <c r="F2865">
        <v>0</v>
      </c>
      <c r="G2865">
        <v>0</v>
      </c>
      <c r="H2865">
        <v>0</v>
      </c>
      <c r="I2865">
        <v>0</v>
      </c>
      <c r="J2865">
        <v>4042.4941776924902</v>
      </c>
      <c r="K2865">
        <v>3501.3111757056799</v>
      </c>
      <c r="L2865">
        <v>80.350999999999999</v>
      </c>
      <c r="M2865">
        <v>58.395000000000003</v>
      </c>
      <c r="N2865">
        <v>108.44</v>
      </c>
    </row>
    <row r="2866" spans="1:14" x14ac:dyDescent="0.45">
      <c r="A2866">
        <v>1994</v>
      </c>
      <c r="B2866" t="s">
        <v>84</v>
      </c>
      <c r="C2866">
        <v>0</v>
      </c>
      <c r="D2866">
        <v>0</v>
      </c>
      <c r="E2866">
        <v>1</v>
      </c>
      <c r="F2866">
        <v>1</v>
      </c>
      <c r="G2866">
        <v>0</v>
      </c>
      <c r="H2866">
        <v>0</v>
      </c>
      <c r="I2866">
        <v>0</v>
      </c>
      <c r="J2866">
        <v>10989.670054115601</v>
      </c>
      <c r="K2866">
        <v>9943.3043897421103</v>
      </c>
      <c r="L2866">
        <v>51.866999999999997</v>
      </c>
      <c r="M2866">
        <v>55.97</v>
      </c>
      <c r="N2866">
        <v>63.725999999999999</v>
      </c>
    </row>
    <row r="2867" spans="1:14" x14ac:dyDescent="0.45">
      <c r="A2867">
        <v>1994</v>
      </c>
      <c r="B2867" t="s">
        <v>85</v>
      </c>
      <c r="C2867">
        <v>0</v>
      </c>
      <c r="D2867">
        <v>0</v>
      </c>
      <c r="E2867">
        <v>1</v>
      </c>
      <c r="F2867">
        <v>0</v>
      </c>
      <c r="G2867">
        <v>0</v>
      </c>
      <c r="H2867">
        <v>0</v>
      </c>
      <c r="I2867">
        <v>0</v>
      </c>
      <c r="J2867">
        <v>1278.9150914506299</v>
      </c>
      <c r="K2867">
        <v>1023.96378202391</v>
      </c>
      <c r="L2867">
        <v>62.850999999999999</v>
      </c>
      <c r="M2867">
        <v>48.509</v>
      </c>
      <c r="N2867">
        <v>173.77500000000001</v>
      </c>
    </row>
    <row r="2868" spans="1:14" x14ac:dyDescent="0.45">
      <c r="A2868">
        <v>1994</v>
      </c>
      <c r="B2868" t="s">
        <v>86</v>
      </c>
      <c r="C2868">
        <v>0</v>
      </c>
      <c r="D2868">
        <v>0</v>
      </c>
      <c r="E2868">
        <v>0</v>
      </c>
      <c r="F2868">
        <v>0</v>
      </c>
      <c r="G2868">
        <v>0</v>
      </c>
      <c r="H2868">
        <v>1</v>
      </c>
      <c r="I2868">
        <v>1</v>
      </c>
      <c r="J2868">
        <v>40952.135932529702</v>
      </c>
      <c r="K2868">
        <v>35448.847667034803</v>
      </c>
      <c r="L2868">
        <v>22.585999999999999</v>
      </c>
      <c r="M2868">
        <v>77.900999999999996</v>
      </c>
      <c r="N2868">
        <v>7.5049999999999999</v>
      </c>
    </row>
    <row r="2869" spans="1:14" x14ac:dyDescent="0.45">
      <c r="A2869">
        <v>1994</v>
      </c>
      <c r="B2869" t="s">
        <v>87</v>
      </c>
      <c r="C2869">
        <v>1</v>
      </c>
      <c r="D2869">
        <v>0</v>
      </c>
      <c r="E2869">
        <v>0</v>
      </c>
      <c r="F2869">
        <v>0</v>
      </c>
      <c r="G2869">
        <v>0</v>
      </c>
      <c r="H2869">
        <v>1</v>
      </c>
      <c r="I2869">
        <v>1</v>
      </c>
      <c r="J2869">
        <v>61569.596540561302</v>
      </c>
      <c r="K2869">
        <v>53563.511131971703</v>
      </c>
      <c r="L2869">
        <v>26.292000000000002</v>
      </c>
      <c r="M2869">
        <v>78.495000000000005</v>
      </c>
      <c r="N2869">
        <v>6.5759999999999996</v>
      </c>
    </row>
    <row r="2870" spans="1:14" x14ac:dyDescent="0.45">
      <c r="A2870">
        <v>1994</v>
      </c>
      <c r="B2870" t="s">
        <v>88</v>
      </c>
      <c r="C2870">
        <v>1</v>
      </c>
      <c r="D2870">
        <v>0</v>
      </c>
      <c r="E2870">
        <v>0</v>
      </c>
      <c r="F2870">
        <v>0</v>
      </c>
      <c r="G2870">
        <v>0</v>
      </c>
      <c r="H2870">
        <v>1</v>
      </c>
      <c r="I2870">
        <v>1</v>
      </c>
      <c r="L2870">
        <v>69.293999999999997</v>
      </c>
      <c r="M2870">
        <v>77.043157691698298</v>
      </c>
      <c r="N2870">
        <v>13.8688326915261</v>
      </c>
    </row>
    <row r="2871" spans="1:14" x14ac:dyDescent="0.45">
      <c r="A2871">
        <v>1994</v>
      </c>
      <c r="B2871" t="s">
        <v>89</v>
      </c>
      <c r="C2871">
        <v>0</v>
      </c>
      <c r="D2871">
        <v>1</v>
      </c>
      <c r="E2871">
        <v>0</v>
      </c>
      <c r="F2871">
        <v>0</v>
      </c>
      <c r="G2871">
        <v>1</v>
      </c>
      <c r="H2871">
        <v>0</v>
      </c>
      <c r="I2871">
        <v>0</v>
      </c>
      <c r="J2871">
        <v>13846.3481640718</v>
      </c>
      <c r="K2871">
        <v>12061.3039176447</v>
      </c>
      <c r="L2871">
        <v>15.776999999999999</v>
      </c>
      <c r="M2871">
        <v>74.972999999999999</v>
      </c>
      <c r="N2871">
        <v>15.345000000000001</v>
      </c>
    </row>
    <row r="2872" spans="1:14" x14ac:dyDescent="0.45">
      <c r="A2872">
        <v>1994</v>
      </c>
      <c r="B2872" t="s">
        <v>90</v>
      </c>
      <c r="C2872">
        <v>0</v>
      </c>
      <c r="D2872">
        <v>0</v>
      </c>
      <c r="E2872">
        <v>0</v>
      </c>
      <c r="F2872">
        <v>0</v>
      </c>
      <c r="G2872">
        <v>0</v>
      </c>
      <c r="H2872">
        <v>0</v>
      </c>
      <c r="I2872">
        <v>0</v>
      </c>
      <c r="J2872">
        <v>2556.6405721809701</v>
      </c>
      <c r="K2872">
        <v>2291.8627314845098</v>
      </c>
      <c r="L2872">
        <v>69.975999999999999</v>
      </c>
      <c r="M2872">
        <v>69.834999999999994</v>
      </c>
      <c r="N2872">
        <v>48.335000000000001</v>
      </c>
    </row>
    <row r="2873" spans="1:14" x14ac:dyDescent="0.45">
      <c r="A2873">
        <v>1994</v>
      </c>
      <c r="B2873" t="s">
        <v>91</v>
      </c>
      <c r="C2873">
        <v>0</v>
      </c>
      <c r="D2873">
        <v>0</v>
      </c>
      <c r="E2873">
        <v>1</v>
      </c>
      <c r="F2873">
        <v>0</v>
      </c>
      <c r="G2873">
        <v>0</v>
      </c>
      <c r="H2873">
        <v>0</v>
      </c>
      <c r="I2873">
        <v>0</v>
      </c>
      <c r="J2873">
        <v>4502.4595340441501</v>
      </c>
      <c r="K2873">
        <v>3800.7389342717802</v>
      </c>
      <c r="L2873">
        <v>59.164999999999999</v>
      </c>
      <c r="M2873">
        <v>52.005000000000003</v>
      </c>
      <c r="N2873">
        <v>152.16200000000001</v>
      </c>
    </row>
    <row r="2874" spans="1:14" x14ac:dyDescent="0.45">
      <c r="A2874">
        <v>1994</v>
      </c>
      <c r="B2874" t="s">
        <v>92</v>
      </c>
      <c r="C2874">
        <v>0</v>
      </c>
      <c r="D2874">
        <v>0</v>
      </c>
      <c r="E2874">
        <v>1</v>
      </c>
      <c r="F2874">
        <v>0</v>
      </c>
      <c r="G2874">
        <v>0</v>
      </c>
      <c r="H2874">
        <v>0</v>
      </c>
      <c r="I2874">
        <v>0</v>
      </c>
      <c r="J2874">
        <v>3522.74885285749</v>
      </c>
      <c r="K2874">
        <v>2766.1066622040198</v>
      </c>
      <c r="L2874">
        <v>58.015000000000001</v>
      </c>
      <c r="M2874">
        <v>53.536999999999999</v>
      </c>
      <c r="N2874">
        <v>144.43199999999999</v>
      </c>
    </row>
    <row r="2875" spans="1:14" x14ac:dyDescent="0.45">
      <c r="A2875">
        <v>1994</v>
      </c>
      <c r="B2875" t="s">
        <v>93</v>
      </c>
      <c r="C2875">
        <v>0</v>
      </c>
      <c r="D2875">
        <v>0</v>
      </c>
      <c r="E2875">
        <v>1</v>
      </c>
      <c r="F2875">
        <v>0</v>
      </c>
      <c r="G2875">
        <v>0</v>
      </c>
      <c r="H2875">
        <v>0</v>
      </c>
      <c r="I2875">
        <v>0</v>
      </c>
      <c r="J2875">
        <v>1273.9945875097101</v>
      </c>
      <c r="K2875">
        <v>1019.9148596967</v>
      </c>
      <c r="L2875">
        <v>67.61</v>
      </c>
      <c r="M2875">
        <v>49.88</v>
      </c>
      <c r="N2875">
        <v>177.45599999999999</v>
      </c>
    </row>
    <row r="2876" spans="1:14" x14ac:dyDescent="0.45">
      <c r="A2876">
        <v>1994</v>
      </c>
      <c r="B2876" t="s">
        <v>94</v>
      </c>
      <c r="C2876">
        <v>0</v>
      </c>
      <c r="D2876">
        <v>0</v>
      </c>
      <c r="E2876">
        <v>1</v>
      </c>
      <c r="F2876">
        <v>0</v>
      </c>
      <c r="G2876">
        <v>0</v>
      </c>
      <c r="H2876">
        <v>0</v>
      </c>
      <c r="I2876">
        <v>0</v>
      </c>
      <c r="J2876">
        <v>7617.6075027481102</v>
      </c>
      <c r="K2876">
        <v>4592.2382073836197</v>
      </c>
      <c r="L2876">
        <v>44.003999999999998</v>
      </c>
      <c r="M2876">
        <v>55.640999999999998</v>
      </c>
      <c r="N2876">
        <v>101.107</v>
      </c>
    </row>
    <row r="2877" spans="1:14" x14ac:dyDescent="0.45">
      <c r="A2877">
        <v>1994</v>
      </c>
      <c r="B2877" t="s">
        <v>95</v>
      </c>
      <c r="C2877">
        <v>0</v>
      </c>
      <c r="D2877">
        <v>1</v>
      </c>
      <c r="E2877">
        <v>0</v>
      </c>
      <c r="F2877">
        <v>1</v>
      </c>
      <c r="G2877">
        <v>0</v>
      </c>
      <c r="H2877">
        <v>0</v>
      </c>
      <c r="I2877">
        <v>0</v>
      </c>
      <c r="J2877">
        <v>10927.9389491607</v>
      </c>
      <c r="K2877">
        <v>9098.70561759663</v>
      </c>
      <c r="L2877">
        <v>28.672000000000001</v>
      </c>
      <c r="M2877">
        <v>69.421999999999997</v>
      </c>
      <c r="N2877">
        <v>31.114999999999998</v>
      </c>
    </row>
    <row r="2878" spans="1:14" x14ac:dyDescent="0.45">
      <c r="A2878">
        <v>1994</v>
      </c>
      <c r="B2878" t="s">
        <v>96</v>
      </c>
      <c r="C2878">
        <v>0</v>
      </c>
      <c r="D2878">
        <v>0</v>
      </c>
      <c r="E2878">
        <v>1</v>
      </c>
      <c r="F2878">
        <v>0</v>
      </c>
      <c r="G2878">
        <v>0</v>
      </c>
      <c r="H2878">
        <v>0</v>
      </c>
      <c r="I2878">
        <v>0</v>
      </c>
      <c r="J2878">
        <v>2199.5343322900098</v>
      </c>
      <c r="K2878">
        <v>2274.5992070318298</v>
      </c>
      <c r="L2878">
        <v>71.653999999999996</v>
      </c>
      <c r="M2878">
        <v>57.457999999999998</v>
      </c>
      <c r="N2878">
        <v>111.88800000000001</v>
      </c>
    </row>
    <row r="2879" spans="1:14" x14ac:dyDescent="0.45">
      <c r="A2879">
        <v>1994</v>
      </c>
      <c r="B2879" t="s">
        <v>97</v>
      </c>
      <c r="C2879">
        <v>0</v>
      </c>
      <c r="D2879">
        <v>0</v>
      </c>
      <c r="E2879">
        <v>1</v>
      </c>
      <c r="F2879">
        <v>1</v>
      </c>
      <c r="G2879">
        <v>0</v>
      </c>
      <c r="H2879">
        <v>0</v>
      </c>
      <c r="I2879">
        <v>0</v>
      </c>
      <c r="J2879">
        <v>2465.9939315017</v>
      </c>
      <c r="K2879">
        <v>2376.5131382401701</v>
      </c>
      <c r="L2879">
        <v>52.165999999999997</v>
      </c>
      <c r="M2879">
        <v>64.647999999999996</v>
      </c>
      <c r="N2879">
        <v>53.383000000000003</v>
      </c>
    </row>
    <row r="2880" spans="1:14" x14ac:dyDescent="0.45">
      <c r="A2880">
        <v>1994</v>
      </c>
      <c r="B2880" t="s">
        <v>98</v>
      </c>
      <c r="C2880">
        <v>0</v>
      </c>
      <c r="D2880">
        <v>1</v>
      </c>
      <c r="E2880">
        <v>0</v>
      </c>
      <c r="F2880">
        <v>1</v>
      </c>
      <c r="G2880">
        <v>0</v>
      </c>
      <c r="H2880">
        <v>0</v>
      </c>
      <c r="I2880">
        <v>0</v>
      </c>
      <c r="J2880">
        <v>12385.4545660857</v>
      </c>
      <c r="K2880">
        <v>11089.3717621218</v>
      </c>
      <c r="L2880">
        <v>46.347000000000001</v>
      </c>
      <c r="M2880">
        <v>76.328999999999994</v>
      </c>
      <c r="N2880">
        <v>15.21</v>
      </c>
    </row>
    <row r="2881" spans="1:14" x14ac:dyDescent="0.45">
      <c r="A2881">
        <v>1994</v>
      </c>
      <c r="B2881" t="s">
        <v>99</v>
      </c>
      <c r="C2881">
        <v>0</v>
      </c>
      <c r="D2881">
        <v>1</v>
      </c>
      <c r="E2881">
        <v>0</v>
      </c>
      <c r="F2881">
        <v>1</v>
      </c>
      <c r="G2881">
        <v>0</v>
      </c>
      <c r="H2881">
        <v>0</v>
      </c>
      <c r="I2881">
        <v>0</v>
      </c>
      <c r="L2881">
        <v>25.873000000000001</v>
      </c>
      <c r="M2881">
        <v>74.091999999999999</v>
      </c>
      <c r="N2881">
        <v>11.192</v>
      </c>
    </row>
    <row r="2882" spans="1:14" x14ac:dyDescent="0.45">
      <c r="A2882">
        <v>1994</v>
      </c>
      <c r="B2882" t="s">
        <v>100</v>
      </c>
      <c r="C2882">
        <v>0</v>
      </c>
      <c r="D2882">
        <v>1</v>
      </c>
      <c r="E2882">
        <v>0</v>
      </c>
      <c r="F2882">
        <v>0</v>
      </c>
      <c r="G2882">
        <v>0</v>
      </c>
      <c r="H2882">
        <v>1</v>
      </c>
      <c r="I2882">
        <v>1</v>
      </c>
      <c r="L2882">
        <v>13.031000000000001</v>
      </c>
      <c r="M2882">
        <v>72.790999999999997</v>
      </c>
      <c r="N2882">
        <v>17.960999999999999</v>
      </c>
    </row>
    <row r="2883" spans="1:14" x14ac:dyDescent="0.45">
      <c r="A2883">
        <v>1994</v>
      </c>
      <c r="B2883" t="s">
        <v>101</v>
      </c>
      <c r="C2883">
        <v>0</v>
      </c>
      <c r="D2883">
        <v>1</v>
      </c>
      <c r="E2883">
        <v>0</v>
      </c>
      <c r="F2883">
        <v>0</v>
      </c>
      <c r="G2883">
        <v>0</v>
      </c>
      <c r="H2883">
        <v>1</v>
      </c>
      <c r="I2883">
        <v>1</v>
      </c>
      <c r="L2883">
        <v>0</v>
      </c>
      <c r="M2883">
        <v>73.42</v>
      </c>
      <c r="N2883">
        <v>8.08</v>
      </c>
    </row>
    <row r="2884" spans="1:14" x14ac:dyDescent="0.45">
      <c r="A2884">
        <v>1994</v>
      </c>
      <c r="B2884" t="s">
        <v>102</v>
      </c>
      <c r="C2884">
        <v>1</v>
      </c>
      <c r="D2884">
        <v>0</v>
      </c>
      <c r="E2884">
        <v>0</v>
      </c>
      <c r="F2884">
        <v>0</v>
      </c>
      <c r="G2884">
        <v>0</v>
      </c>
      <c r="H2884">
        <v>1</v>
      </c>
      <c r="I2884">
        <v>1</v>
      </c>
      <c r="J2884">
        <v>29501.470703125</v>
      </c>
      <c r="K2884">
        <v>26281.153655947499</v>
      </c>
      <c r="L2884">
        <v>32.085000000000001</v>
      </c>
      <c r="M2884">
        <v>76.382999999999996</v>
      </c>
      <c r="N2884">
        <v>9.3789999999999996</v>
      </c>
    </row>
    <row r="2885" spans="1:14" x14ac:dyDescent="0.45">
      <c r="A2885">
        <v>1994</v>
      </c>
      <c r="B2885" t="s">
        <v>103</v>
      </c>
      <c r="C2885">
        <v>1</v>
      </c>
      <c r="D2885">
        <v>0</v>
      </c>
      <c r="E2885">
        <v>0</v>
      </c>
      <c r="F2885">
        <v>0</v>
      </c>
      <c r="G2885">
        <v>1</v>
      </c>
      <c r="H2885">
        <v>0</v>
      </c>
      <c r="I2885">
        <v>0</v>
      </c>
      <c r="J2885">
        <v>25279.7917961729</v>
      </c>
      <c r="K2885">
        <v>21048.018935641299</v>
      </c>
      <c r="L2885">
        <v>25.228000000000002</v>
      </c>
      <c r="M2885">
        <v>73.081999999999994</v>
      </c>
      <c r="N2885">
        <v>9.2609999999999992</v>
      </c>
    </row>
    <row r="2886" spans="1:14" x14ac:dyDescent="0.45">
      <c r="A2886">
        <v>1994</v>
      </c>
      <c r="B2886" t="s">
        <v>104</v>
      </c>
      <c r="C2886">
        <v>1</v>
      </c>
      <c r="D2886">
        <v>0</v>
      </c>
      <c r="E2886">
        <v>0</v>
      </c>
      <c r="F2886">
        <v>0</v>
      </c>
      <c r="G2886">
        <v>0</v>
      </c>
      <c r="H2886">
        <v>1</v>
      </c>
      <c r="I2886">
        <v>1</v>
      </c>
      <c r="J2886">
        <v>45024.9926723959</v>
      </c>
      <c r="K2886">
        <v>39039.015937347103</v>
      </c>
      <c r="L2886">
        <v>26.29</v>
      </c>
      <c r="M2886">
        <v>76.38</v>
      </c>
      <c r="N2886">
        <v>6.835</v>
      </c>
    </row>
    <row r="2887" spans="1:14" x14ac:dyDescent="0.45">
      <c r="A2887">
        <v>1994</v>
      </c>
      <c r="B2887" t="s">
        <v>105</v>
      </c>
      <c r="C2887">
        <v>0</v>
      </c>
      <c r="D2887">
        <v>0</v>
      </c>
      <c r="E2887">
        <v>0</v>
      </c>
      <c r="F2887">
        <v>1</v>
      </c>
      <c r="G2887">
        <v>0</v>
      </c>
      <c r="H2887">
        <v>0</v>
      </c>
      <c r="I2887">
        <v>0</v>
      </c>
      <c r="J2887">
        <v>4739.4887018774198</v>
      </c>
      <c r="K2887">
        <v>4088.04998571039</v>
      </c>
      <c r="L2887">
        <v>23.745999999999999</v>
      </c>
      <c r="M2887">
        <v>55.591999999999999</v>
      </c>
      <c r="N2887">
        <v>114.34</v>
      </c>
    </row>
    <row r="2888" spans="1:14" x14ac:dyDescent="0.45">
      <c r="A2888">
        <v>1994</v>
      </c>
      <c r="B2888" t="s">
        <v>106</v>
      </c>
      <c r="C2888">
        <v>0</v>
      </c>
      <c r="D2888">
        <v>1</v>
      </c>
      <c r="E2888">
        <v>0</v>
      </c>
      <c r="F2888">
        <v>1</v>
      </c>
      <c r="G2888">
        <v>0</v>
      </c>
      <c r="H2888">
        <v>0</v>
      </c>
      <c r="I2888">
        <v>0</v>
      </c>
      <c r="J2888">
        <v>11979.3992523208</v>
      </c>
      <c r="K2888">
        <v>9322.7078790289906</v>
      </c>
      <c r="L2888">
        <v>35.256</v>
      </c>
      <c r="M2888">
        <v>70.777000000000001</v>
      </c>
      <c r="N2888">
        <v>16.719000000000001</v>
      </c>
    </row>
    <row r="2889" spans="1:14" x14ac:dyDescent="0.45">
      <c r="A2889">
        <v>1994</v>
      </c>
      <c r="B2889" t="s">
        <v>107</v>
      </c>
      <c r="C2889">
        <v>1</v>
      </c>
      <c r="D2889">
        <v>0</v>
      </c>
      <c r="E2889">
        <v>0</v>
      </c>
      <c r="F2889">
        <v>0</v>
      </c>
      <c r="G2889">
        <v>0</v>
      </c>
      <c r="H2889">
        <v>1</v>
      </c>
      <c r="I2889">
        <v>1</v>
      </c>
      <c r="J2889">
        <v>49276.136897611199</v>
      </c>
      <c r="K2889">
        <v>41645.583634471201</v>
      </c>
      <c r="L2889">
        <v>15.048</v>
      </c>
      <c r="M2889">
        <v>75.441000000000003</v>
      </c>
      <c r="N2889">
        <v>6.93</v>
      </c>
    </row>
    <row r="2890" spans="1:14" x14ac:dyDescent="0.45">
      <c r="A2890">
        <v>1994</v>
      </c>
      <c r="B2890" t="s">
        <v>108</v>
      </c>
      <c r="C2890">
        <v>0</v>
      </c>
      <c r="D2890">
        <v>1</v>
      </c>
      <c r="E2890">
        <v>0</v>
      </c>
      <c r="F2890">
        <v>1</v>
      </c>
      <c r="G2890">
        <v>0</v>
      </c>
      <c r="H2890">
        <v>0</v>
      </c>
      <c r="I2890">
        <v>0</v>
      </c>
      <c r="J2890">
        <v>8372.0716973927902</v>
      </c>
      <c r="K2890">
        <v>7232.0048078780301</v>
      </c>
      <c r="L2890">
        <v>43.247999999999998</v>
      </c>
      <c r="M2890">
        <v>69.16</v>
      </c>
      <c r="N2890">
        <v>51.706000000000003</v>
      </c>
    </row>
    <row r="2891" spans="1:14" x14ac:dyDescent="0.45">
      <c r="A2891">
        <v>1994</v>
      </c>
      <c r="B2891" t="s">
        <v>109</v>
      </c>
      <c r="C2891">
        <v>0</v>
      </c>
      <c r="D2891">
        <v>0</v>
      </c>
      <c r="E2891">
        <v>0</v>
      </c>
      <c r="F2891">
        <v>1</v>
      </c>
      <c r="G2891">
        <v>0</v>
      </c>
      <c r="H2891">
        <v>0</v>
      </c>
      <c r="I2891">
        <v>0</v>
      </c>
      <c r="J2891">
        <v>10414.034824140699</v>
      </c>
      <c r="K2891">
        <v>9108.4702131474496</v>
      </c>
      <c r="L2891">
        <v>44.780999999999999</v>
      </c>
      <c r="M2891">
        <v>67.284000000000006</v>
      </c>
      <c r="N2891">
        <v>48.536999999999999</v>
      </c>
    </row>
    <row r="2892" spans="1:14" x14ac:dyDescent="0.45">
      <c r="A2892">
        <v>1994</v>
      </c>
      <c r="B2892" t="s">
        <v>110</v>
      </c>
      <c r="C2892">
        <v>0</v>
      </c>
      <c r="D2892">
        <v>1</v>
      </c>
      <c r="E2892">
        <v>0</v>
      </c>
      <c r="F2892">
        <v>1</v>
      </c>
      <c r="G2892">
        <v>0</v>
      </c>
      <c r="H2892">
        <v>0</v>
      </c>
      <c r="I2892">
        <v>0</v>
      </c>
      <c r="J2892">
        <v>9494.1750619469603</v>
      </c>
      <c r="K2892">
        <v>7896.7589945593099</v>
      </c>
      <c r="L2892">
        <v>42.746000000000002</v>
      </c>
      <c r="M2892">
        <v>70.876000000000005</v>
      </c>
      <c r="N2892">
        <v>43.014000000000003</v>
      </c>
    </row>
    <row r="2893" spans="1:14" x14ac:dyDescent="0.45">
      <c r="A2893">
        <v>1994</v>
      </c>
      <c r="B2893" t="s">
        <v>111</v>
      </c>
      <c r="C2893">
        <v>0</v>
      </c>
      <c r="D2893">
        <v>0</v>
      </c>
      <c r="E2893">
        <v>0</v>
      </c>
      <c r="F2893">
        <v>0</v>
      </c>
      <c r="G2893">
        <v>0</v>
      </c>
      <c r="H2893">
        <v>0</v>
      </c>
      <c r="I2893">
        <v>0</v>
      </c>
      <c r="J2893">
        <v>8221.0468477566101</v>
      </c>
      <c r="K2893">
        <v>6524.0842650305503</v>
      </c>
      <c r="L2893">
        <v>57.054000000000002</v>
      </c>
      <c r="M2893">
        <v>64.662999999999997</v>
      </c>
      <c r="N2893">
        <v>68.543999999999997</v>
      </c>
    </row>
    <row r="2894" spans="1:14" x14ac:dyDescent="0.45">
      <c r="A2894">
        <v>1994</v>
      </c>
      <c r="B2894" t="s">
        <v>112</v>
      </c>
      <c r="C2894">
        <v>0</v>
      </c>
      <c r="D2894">
        <v>0</v>
      </c>
      <c r="E2894">
        <v>1</v>
      </c>
      <c r="F2894">
        <v>0</v>
      </c>
      <c r="G2894">
        <v>0</v>
      </c>
      <c r="H2894">
        <v>0</v>
      </c>
      <c r="I2894">
        <v>0</v>
      </c>
      <c r="L2894">
        <v>78.245000000000005</v>
      </c>
      <c r="M2894">
        <v>54.027000000000001</v>
      </c>
      <c r="N2894">
        <v>122.28</v>
      </c>
    </row>
    <row r="2895" spans="1:14" x14ac:dyDescent="0.45">
      <c r="A2895">
        <v>1994</v>
      </c>
      <c r="B2895" t="s">
        <v>113</v>
      </c>
      <c r="C2895">
        <v>1</v>
      </c>
      <c r="D2895">
        <v>0</v>
      </c>
      <c r="E2895">
        <v>0</v>
      </c>
      <c r="F2895">
        <v>0</v>
      </c>
      <c r="G2895">
        <v>0</v>
      </c>
      <c r="H2895">
        <v>1</v>
      </c>
      <c r="I2895">
        <v>1</v>
      </c>
      <c r="J2895">
        <v>32746.928782659801</v>
      </c>
      <c r="K2895">
        <v>28818.168269666701</v>
      </c>
      <c r="L2895">
        <v>24.225999999999999</v>
      </c>
      <c r="M2895">
        <v>78.114000000000004</v>
      </c>
      <c r="N2895">
        <v>7.3070000000000004</v>
      </c>
    </row>
    <row r="2896" spans="1:14" x14ac:dyDescent="0.45">
      <c r="A2896">
        <v>1994</v>
      </c>
      <c r="B2896" t="s">
        <v>114</v>
      </c>
      <c r="C2896">
        <v>1</v>
      </c>
      <c r="D2896">
        <v>0</v>
      </c>
      <c r="E2896">
        <v>0</v>
      </c>
      <c r="F2896">
        <v>1</v>
      </c>
      <c r="G2896">
        <v>0</v>
      </c>
      <c r="H2896">
        <v>0</v>
      </c>
      <c r="I2896">
        <v>0</v>
      </c>
      <c r="J2896">
        <v>13966.818872186201</v>
      </c>
      <c r="K2896">
        <v>11849.5311881628</v>
      </c>
      <c r="L2896">
        <v>29.513000000000002</v>
      </c>
      <c r="M2896">
        <v>66.744</v>
      </c>
      <c r="N2896">
        <v>16.530999999999999</v>
      </c>
    </row>
    <row r="2897" spans="1:14" x14ac:dyDescent="0.45">
      <c r="A2897">
        <v>1994</v>
      </c>
      <c r="B2897" t="s">
        <v>115</v>
      </c>
      <c r="C2897">
        <v>0</v>
      </c>
      <c r="D2897">
        <v>0</v>
      </c>
      <c r="E2897">
        <v>1</v>
      </c>
      <c r="F2897">
        <v>0</v>
      </c>
      <c r="G2897">
        <v>0</v>
      </c>
      <c r="H2897">
        <v>0</v>
      </c>
      <c r="I2897">
        <v>0</v>
      </c>
      <c r="J2897">
        <v>741.17662371385904</v>
      </c>
      <c r="K2897">
        <v>668.460083770285</v>
      </c>
      <c r="L2897">
        <v>86.373000000000005</v>
      </c>
      <c r="M2897">
        <v>47.926000000000002</v>
      </c>
      <c r="N2897">
        <v>178.88300000000001</v>
      </c>
    </row>
    <row r="2898" spans="1:14" x14ac:dyDescent="0.45">
      <c r="A2898">
        <v>1994</v>
      </c>
      <c r="B2898" t="s">
        <v>116</v>
      </c>
      <c r="C2898">
        <v>1</v>
      </c>
      <c r="D2898">
        <v>0</v>
      </c>
      <c r="E2898">
        <v>0</v>
      </c>
      <c r="F2898">
        <v>0</v>
      </c>
      <c r="G2898">
        <v>0</v>
      </c>
      <c r="H2898">
        <v>1</v>
      </c>
      <c r="I2898">
        <v>1</v>
      </c>
      <c r="J2898">
        <v>35699.720308622498</v>
      </c>
      <c r="K2898">
        <v>30012.141251601901</v>
      </c>
      <c r="L2898">
        <v>19.312000000000001</v>
      </c>
      <c r="M2898">
        <v>76.575000000000003</v>
      </c>
      <c r="N2898">
        <v>5.6050000000000004</v>
      </c>
    </row>
    <row r="2899" spans="1:14" x14ac:dyDescent="0.45">
      <c r="A2899">
        <v>1994</v>
      </c>
      <c r="B2899" t="s">
        <v>117</v>
      </c>
      <c r="C2899">
        <v>0</v>
      </c>
      <c r="D2899">
        <v>0</v>
      </c>
      <c r="E2899">
        <v>0</v>
      </c>
      <c r="F2899">
        <v>1</v>
      </c>
      <c r="G2899">
        <v>0</v>
      </c>
      <c r="H2899">
        <v>0</v>
      </c>
      <c r="I2899">
        <v>0</v>
      </c>
      <c r="J2899">
        <v>8762.4147206443195</v>
      </c>
      <c r="K2899">
        <v>8581.0563753920906</v>
      </c>
      <c r="L2899">
        <v>55.286999999999999</v>
      </c>
      <c r="M2899">
        <v>65.796000000000006</v>
      </c>
      <c r="N2899">
        <v>25.42</v>
      </c>
    </row>
    <row r="2900" spans="1:14" x14ac:dyDescent="0.45">
      <c r="A2900">
        <v>1994</v>
      </c>
      <c r="B2900" t="s">
        <v>118</v>
      </c>
      <c r="C2900">
        <v>1</v>
      </c>
      <c r="D2900">
        <v>0</v>
      </c>
      <c r="E2900">
        <v>0</v>
      </c>
      <c r="F2900">
        <v>0</v>
      </c>
      <c r="G2900">
        <v>0</v>
      </c>
      <c r="H2900">
        <v>1</v>
      </c>
      <c r="I2900">
        <v>1</v>
      </c>
      <c r="J2900">
        <v>39801.388897981698</v>
      </c>
      <c r="K2900">
        <v>33230.1313437801</v>
      </c>
      <c r="L2900">
        <v>25.257000000000001</v>
      </c>
      <c r="M2900">
        <v>77.768000000000001</v>
      </c>
      <c r="N2900">
        <v>7.16</v>
      </c>
    </row>
    <row r="2901" spans="1:14" x14ac:dyDescent="0.45">
      <c r="A2901">
        <v>1994</v>
      </c>
      <c r="B2901" t="s">
        <v>119</v>
      </c>
      <c r="C2901">
        <v>1</v>
      </c>
      <c r="D2901">
        <v>0</v>
      </c>
      <c r="E2901">
        <v>0</v>
      </c>
      <c r="F2901">
        <v>0</v>
      </c>
      <c r="G2901">
        <v>0</v>
      </c>
      <c r="H2901">
        <v>1</v>
      </c>
      <c r="I2901">
        <v>1</v>
      </c>
      <c r="L2901">
        <v>66.67</v>
      </c>
      <c r="M2901">
        <v>77.542000000000002</v>
      </c>
      <c r="N2901">
        <v>10.629</v>
      </c>
    </row>
    <row r="2902" spans="1:14" x14ac:dyDescent="0.45">
      <c r="A2902">
        <v>1994</v>
      </c>
      <c r="B2902" t="s">
        <v>120</v>
      </c>
      <c r="C2902">
        <v>0</v>
      </c>
      <c r="D2902">
        <v>0</v>
      </c>
      <c r="E2902">
        <v>0</v>
      </c>
      <c r="F2902">
        <v>1</v>
      </c>
      <c r="G2902">
        <v>0</v>
      </c>
      <c r="H2902">
        <v>0</v>
      </c>
      <c r="I2902">
        <v>0</v>
      </c>
      <c r="J2902">
        <v>3487.1056006138601</v>
      </c>
      <c r="K2902">
        <v>3156.3117564516101</v>
      </c>
      <c r="L2902">
        <v>74.445999999999998</v>
      </c>
      <c r="M2902">
        <v>64.081999999999994</v>
      </c>
      <c r="N2902">
        <v>44.223999999999997</v>
      </c>
    </row>
    <row r="2903" spans="1:14" x14ac:dyDescent="0.45">
      <c r="A2903">
        <v>1994</v>
      </c>
      <c r="B2903" t="s">
        <v>121</v>
      </c>
      <c r="C2903">
        <v>0</v>
      </c>
      <c r="D2903">
        <v>0</v>
      </c>
      <c r="E2903">
        <v>1</v>
      </c>
      <c r="F2903">
        <v>0</v>
      </c>
      <c r="G2903">
        <v>1</v>
      </c>
      <c r="H2903">
        <v>0</v>
      </c>
      <c r="I2903">
        <v>0</v>
      </c>
      <c r="J2903">
        <v>23794.3149295166</v>
      </c>
      <c r="K2903">
        <v>18003.728497105501</v>
      </c>
      <c r="L2903">
        <v>26.079000000000001</v>
      </c>
      <c r="M2903">
        <v>61.183</v>
      </c>
      <c r="N2903">
        <v>89.012</v>
      </c>
    </row>
    <row r="2904" spans="1:14" x14ac:dyDescent="0.45">
      <c r="A2904">
        <v>1994</v>
      </c>
      <c r="B2904" t="s">
        <v>122</v>
      </c>
      <c r="C2904">
        <v>1</v>
      </c>
      <c r="D2904">
        <v>0</v>
      </c>
      <c r="E2904">
        <v>0</v>
      </c>
      <c r="F2904">
        <v>0</v>
      </c>
      <c r="G2904">
        <v>0</v>
      </c>
      <c r="H2904">
        <v>1</v>
      </c>
      <c r="I2904">
        <v>1</v>
      </c>
      <c r="J2904">
        <v>35869.210876081401</v>
      </c>
      <c r="K2904">
        <v>30902.406872678399</v>
      </c>
      <c r="L2904">
        <v>21.707000000000001</v>
      </c>
      <c r="M2904">
        <v>76.72</v>
      </c>
      <c r="N2904">
        <v>7.3049999999999997</v>
      </c>
    </row>
    <row r="2905" spans="1:14" x14ac:dyDescent="0.45">
      <c r="A2905">
        <v>1994</v>
      </c>
      <c r="B2905" t="s">
        <v>123</v>
      </c>
      <c r="C2905">
        <v>1</v>
      </c>
      <c r="D2905">
        <v>0</v>
      </c>
      <c r="E2905">
        <v>0</v>
      </c>
      <c r="F2905">
        <v>0</v>
      </c>
      <c r="G2905">
        <v>0</v>
      </c>
      <c r="H2905">
        <v>0</v>
      </c>
      <c r="I2905">
        <v>0</v>
      </c>
      <c r="J2905">
        <v>3532.3200811072002</v>
      </c>
      <c r="K2905">
        <v>2984.4066529357401</v>
      </c>
      <c r="L2905">
        <v>45.92</v>
      </c>
      <c r="M2905">
        <v>68.668999999999997</v>
      </c>
      <c r="N2905">
        <v>45.319000000000003</v>
      </c>
    </row>
    <row r="2906" spans="1:14" x14ac:dyDescent="0.45">
      <c r="A2906">
        <v>1994</v>
      </c>
      <c r="B2906" t="s">
        <v>124</v>
      </c>
      <c r="C2906">
        <v>0</v>
      </c>
      <c r="D2906">
        <v>0</v>
      </c>
      <c r="E2906">
        <v>1</v>
      </c>
      <c r="F2906">
        <v>0</v>
      </c>
      <c r="G2906">
        <v>0</v>
      </c>
      <c r="H2906">
        <v>0</v>
      </c>
      <c r="I2906">
        <v>0</v>
      </c>
      <c r="J2906">
        <v>2989.3473101213099</v>
      </c>
      <c r="K2906">
        <v>2579.0376488182101</v>
      </c>
      <c r="L2906">
        <v>60.61</v>
      </c>
      <c r="M2906">
        <v>56.234000000000002</v>
      </c>
      <c r="N2906">
        <v>117.355</v>
      </c>
    </row>
    <row r="2907" spans="1:14" x14ac:dyDescent="0.45">
      <c r="A2907">
        <v>1994</v>
      </c>
      <c r="B2907" t="s">
        <v>125</v>
      </c>
      <c r="C2907">
        <v>1</v>
      </c>
      <c r="D2907">
        <v>0</v>
      </c>
      <c r="E2907">
        <v>0</v>
      </c>
      <c r="F2907">
        <v>0</v>
      </c>
      <c r="G2907">
        <v>0</v>
      </c>
      <c r="H2907">
        <v>1</v>
      </c>
      <c r="I2907">
        <v>1</v>
      </c>
      <c r="L2907">
        <v>0</v>
      </c>
      <c r="M2907">
        <v>78.052000000000007</v>
      </c>
      <c r="N2907">
        <v>18.158999999999999</v>
      </c>
    </row>
    <row r="2908" spans="1:14" x14ac:dyDescent="0.45">
      <c r="A2908">
        <v>1994</v>
      </c>
      <c r="B2908" t="s">
        <v>126</v>
      </c>
      <c r="C2908">
        <v>0</v>
      </c>
      <c r="D2908">
        <v>0</v>
      </c>
      <c r="E2908">
        <v>1</v>
      </c>
      <c r="F2908">
        <v>0</v>
      </c>
      <c r="G2908">
        <v>0</v>
      </c>
      <c r="H2908">
        <v>0</v>
      </c>
      <c r="I2908">
        <v>0</v>
      </c>
      <c r="J2908">
        <v>2134.8976935578698</v>
      </c>
      <c r="K2908">
        <v>1721.2950211851601</v>
      </c>
      <c r="L2908">
        <v>70.817999999999998</v>
      </c>
      <c r="M2908">
        <v>49.188000000000002</v>
      </c>
      <c r="N2908">
        <v>207.91</v>
      </c>
    </row>
    <row r="2909" spans="1:14" x14ac:dyDescent="0.45">
      <c r="A2909">
        <v>1994</v>
      </c>
      <c r="B2909" t="s">
        <v>127</v>
      </c>
      <c r="C2909">
        <v>0</v>
      </c>
      <c r="D2909">
        <v>0</v>
      </c>
      <c r="E2909">
        <v>1</v>
      </c>
      <c r="F2909">
        <v>0</v>
      </c>
      <c r="G2909">
        <v>0</v>
      </c>
      <c r="H2909">
        <v>0</v>
      </c>
      <c r="I2909">
        <v>0</v>
      </c>
      <c r="J2909">
        <v>2508.1039153389002</v>
      </c>
      <c r="K2909">
        <v>2018.7652298816199</v>
      </c>
      <c r="L2909">
        <v>57.527999999999999</v>
      </c>
      <c r="M2909">
        <v>53.768000000000001</v>
      </c>
      <c r="N2909">
        <v>143.708</v>
      </c>
    </row>
    <row r="2910" spans="1:14" x14ac:dyDescent="0.45">
      <c r="A2910">
        <v>1994</v>
      </c>
      <c r="B2910" t="s">
        <v>128</v>
      </c>
      <c r="C2910">
        <v>0</v>
      </c>
      <c r="D2910">
        <v>0</v>
      </c>
      <c r="E2910">
        <v>1</v>
      </c>
      <c r="F2910">
        <v>0</v>
      </c>
      <c r="G2910">
        <v>0</v>
      </c>
      <c r="H2910">
        <v>0</v>
      </c>
      <c r="I2910">
        <v>0</v>
      </c>
      <c r="J2910">
        <v>1940.8092252823999</v>
      </c>
      <c r="K2910">
        <v>1745.94896829046</v>
      </c>
      <c r="L2910">
        <v>65.998000000000005</v>
      </c>
      <c r="M2910">
        <v>47.774999999999999</v>
      </c>
      <c r="N2910">
        <v>204.85400000000001</v>
      </c>
    </row>
    <row r="2911" spans="1:14" x14ac:dyDescent="0.45">
      <c r="A2911">
        <v>1994</v>
      </c>
      <c r="B2911" t="s">
        <v>129</v>
      </c>
      <c r="C2911">
        <v>0</v>
      </c>
      <c r="D2911">
        <v>0</v>
      </c>
      <c r="E2911">
        <v>1</v>
      </c>
      <c r="F2911">
        <v>0</v>
      </c>
      <c r="G2911">
        <v>0</v>
      </c>
      <c r="H2911">
        <v>0</v>
      </c>
      <c r="I2911">
        <v>0</v>
      </c>
      <c r="J2911">
        <v>1672.3454753589699</v>
      </c>
      <c r="K2911">
        <v>1385.55956295071</v>
      </c>
      <c r="L2911">
        <v>61.168999999999997</v>
      </c>
      <c r="M2911">
        <v>51.784999999999997</v>
      </c>
      <c r="N2911">
        <v>171.62299999999999</v>
      </c>
    </row>
    <row r="2912" spans="1:14" x14ac:dyDescent="0.45">
      <c r="A2912">
        <v>1994</v>
      </c>
      <c r="B2912" t="s">
        <v>130</v>
      </c>
      <c r="C2912">
        <v>1</v>
      </c>
      <c r="D2912">
        <v>0</v>
      </c>
      <c r="E2912">
        <v>0</v>
      </c>
      <c r="F2912">
        <v>0</v>
      </c>
      <c r="G2912">
        <v>1</v>
      </c>
      <c r="H2912">
        <v>0</v>
      </c>
      <c r="I2912">
        <v>0</v>
      </c>
      <c r="J2912">
        <v>27204.395868219799</v>
      </c>
      <c r="K2912">
        <v>24353.2150074493</v>
      </c>
      <c r="L2912">
        <v>28.001999999999999</v>
      </c>
      <c r="M2912">
        <v>77.858000000000004</v>
      </c>
      <c r="N2912">
        <v>8.8070000000000004</v>
      </c>
    </row>
    <row r="2913" spans="1:14" x14ac:dyDescent="0.45">
      <c r="A2913">
        <v>1994</v>
      </c>
      <c r="B2913" t="s">
        <v>131</v>
      </c>
      <c r="C2913">
        <v>0</v>
      </c>
      <c r="D2913">
        <v>1</v>
      </c>
      <c r="E2913">
        <v>0</v>
      </c>
      <c r="F2913">
        <v>1</v>
      </c>
      <c r="G2913">
        <v>0</v>
      </c>
      <c r="H2913">
        <v>0</v>
      </c>
      <c r="I2913">
        <v>0</v>
      </c>
      <c r="J2913">
        <v>8634.3739635388902</v>
      </c>
      <c r="K2913">
        <v>7966.9806517154202</v>
      </c>
      <c r="L2913">
        <v>65.772999999999996</v>
      </c>
      <c r="M2913">
        <v>71.78</v>
      </c>
      <c r="N2913">
        <v>18.555</v>
      </c>
    </row>
    <row r="2914" spans="1:14" x14ac:dyDescent="0.45">
      <c r="A2914">
        <v>1994</v>
      </c>
      <c r="B2914" t="s">
        <v>132</v>
      </c>
      <c r="C2914">
        <v>1</v>
      </c>
      <c r="D2914">
        <v>0</v>
      </c>
      <c r="E2914">
        <v>0</v>
      </c>
      <c r="F2914">
        <v>0</v>
      </c>
      <c r="G2914">
        <v>0</v>
      </c>
      <c r="H2914">
        <v>1</v>
      </c>
      <c r="I2914">
        <v>1</v>
      </c>
      <c r="J2914">
        <v>36428.912398224398</v>
      </c>
      <c r="K2914">
        <v>32974.291976833803</v>
      </c>
      <c r="L2914">
        <v>19.297000000000001</v>
      </c>
      <c r="M2914">
        <v>63.912999999999997</v>
      </c>
      <c r="N2914">
        <v>30.742000000000001</v>
      </c>
    </row>
    <row r="2915" spans="1:14" x14ac:dyDescent="0.45">
      <c r="A2915">
        <v>1994</v>
      </c>
      <c r="B2915" t="s">
        <v>133</v>
      </c>
      <c r="C2915">
        <v>0</v>
      </c>
      <c r="D2915">
        <v>1</v>
      </c>
      <c r="E2915">
        <v>0</v>
      </c>
      <c r="F2915">
        <v>1</v>
      </c>
      <c r="G2915">
        <v>0</v>
      </c>
      <c r="H2915">
        <v>0</v>
      </c>
      <c r="I2915">
        <v>0</v>
      </c>
      <c r="J2915">
        <v>8018.2793631432596</v>
      </c>
      <c r="K2915">
        <v>6965.28411566451</v>
      </c>
      <c r="L2915">
        <v>56.68</v>
      </c>
      <c r="M2915">
        <v>63.026000000000003</v>
      </c>
      <c r="N2915">
        <v>67.251000000000005</v>
      </c>
    </row>
    <row r="2916" spans="1:14" x14ac:dyDescent="0.45">
      <c r="A2916">
        <v>1994</v>
      </c>
      <c r="B2916" t="s">
        <v>134</v>
      </c>
      <c r="C2916">
        <v>0</v>
      </c>
      <c r="D2916">
        <v>0</v>
      </c>
      <c r="E2916">
        <v>0</v>
      </c>
      <c r="F2916">
        <v>0</v>
      </c>
      <c r="G2916">
        <v>1</v>
      </c>
      <c r="H2916">
        <v>0</v>
      </c>
      <c r="I2916">
        <v>0</v>
      </c>
      <c r="L2916">
        <v>8.1839999999999993</v>
      </c>
      <c r="M2916">
        <v>74.343999999999994</v>
      </c>
      <c r="N2916">
        <v>12.367000000000001</v>
      </c>
    </row>
    <row r="2917" spans="1:14" x14ac:dyDescent="0.45">
      <c r="A2917">
        <v>1994</v>
      </c>
      <c r="B2917" t="s">
        <v>135</v>
      </c>
      <c r="C2917">
        <v>0</v>
      </c>
      <c r="D2917">
        <v>1</v>
      </c>
      <c r="E2917">
        <v>0</v>
      </c>
      <c r="F2917">
        <v>0</v>
      </c>
      <c r="G2917">
        <v>0</v>
      </c>
      <c r="H2917">
        <v>0</v>
      </c>
      <c r="I2917">
        <v>0</v>
      </c>
      <c r="J2917">
        <v>6755.3286689230999</v>
      </c>
      <c r="K2917">
        <v>6460.6554113771299</v>
      </c>
      <c r="L2917">
        <v>70.774000000000001</v>
      </c>
      <c r="M2917">
        <v>63.006999999999998</v>
      </c>
      <c r="N2917">
        <v>54.484000000000002</v>
      </c>
    </row>
    <row r="2918" spans="1:14" x14ac:dyDescent="0.45">
      <c r="A2918">
        <v>1994</v>
      </c>
      <c r="B2918" t="s">
        <v>136</v>
      </c>
      <c r="C2918">
        <v>0</v>
      </c>
      <c r="D2918">
        <v>0</v>
      </c>
      <c r="E2918">
        <v>0</v>
      </c>
      <c r="F2918">
        <v>0</v>
      </c>
      <c r="G2918">
        <v>0</v>
      </c>
      <c r="H2918">
        <v>1</v>
      </c>
      <c r="I2918">
        <v>1</v>
      </c>
      <c r="J2918">
        <v>37767.295401805502</v>
      </c>
      <c r="K2918">
        <v>34085.114317526801</v>
      </c>
      <c r="L2918">
        <v>0</v>
      </c>
      <c r="M2918">
        <v>78.718000000000004</v>
      </c>
      <c r="N2918">
        <v>5.7060000000000004</v>
      </c>
    </row>
    <row r="2919" spans="1:14" x14ac:dyDescent="0.45">
      <c r="A2919">
        <v>1994</v>
      </c>
      <c r="B2919" t="s">
        <v>137</v>
      </c>
      <c r="C2919">
        <v>0</v>
      </c>
      <c r="D2919">
        <v>1</v>
      </c>
      <c r="E2919">
        <v>0</v>
      </c>
      <c r="F2919">
        <v>0</v>
      </c>
      <c r="G2919">
        <v>0</v>
      </c>
      <c r="H2919">
        <v>0</v>
      </c>
      <c r="I2919">
        <v>0</v>
      </c>
      <c r="J2919">
        <v>4325.2283532232896</v>
      </c>
      <c r="K2919">
        <v>3985.60291258179</v>
      </c>
      <c r="L2919">
        <v>57.558999999999997</v>
      </c>
      <c r="M2919">
        <v>66.522999999999996</v>
      </c>
      <c r="N2919">
        <v>49.15</v>
      </c>
    </row>
    <row r="2920" spans="1:14" x14ac:dyDescent="0.45">
      <c r="A2920">
        <v>1994</v>
      </c>
      <c r="B2920" t="s">
        <v>138</v>
      </c>
      <c r="C2920">
        <v>1</v>
      </c>
      <c r="D2920">
        <v>0</v>
      </c>
      <c r="E2920">
        <v>0</v>
      </c>
      <c r="F2920">
        <v>1</v>
      </c>
      <c r="G2920">
        <v>0</v>
      </c>
      <c r="H2920">
        <v>0</v>
      </c>
      <c r="I2920">
        <v>0</v>
      </c>
      <c r="J2920">
        <v>16300.787317869899</v>
      </c>
      <c r="K2920">
        <v>14057.947976994399</v>
      </c>
      <c r="L2920">
        <v>47.951999999999998</v>
      </c>
      <c r="M2920">
        <v>72.614000000000004</v>
      </c>
      <c r="N2920">
        <v>11.005000000000001</v>
      </c>
    </row>
    <row r="2921" spans="1:14" x14ac:dyDescent="0.45">
      <c r="A2921">
        <v>1994</v>
      </c>
      <c r="B2921" t="s">
        <v>139</v>
      </c>
      <c r="C2921">
        <v>0</v>
      </c>
      <c r="D2921">
        <v>1</v>
      </c>
      <c r="E2921">
        <v>0</v>
      </c>
      <c r="F2921">
        <v>0</v>
      </c>
      <c r="G2921">
        <v>0</v>
      </c>
      <c r="H2921">
        <v>0</v>
      </c>
      <c r="I2921">
        <v>0</v>
      </c>
      <c r="J2921">
        <v>2928.6751371974201</v>
      </c>
      <c r="K2921">
        <v>2814.9129769418801</v>
      </c>
      <c r="L2921">
        <v>68.013000000000005</v>
      </c>
      <c r="M2921">
        <v>54.731000000000002</v>
      </c>
      <c r="N2921">
        <v>129.13999999999999</v>
      </c>
    </row>
    <row r="2922" spans="1:14" x14ac:dyDescent="0.45">
      <c r="A2922">
        <v>1994</v>
      </c>
      <c r="B2922" t="s">
        <v>140</v>
      </c>
      <c r="C2922">
        <v>1</v>
      </c>
      <c r="D2922">
        <v>0</v>
      </c>
      <c r="E2922">
        <v>0</v>
      </c>
      <c r="F2922">
        <v>0</v>
      </c>
      <c r="G2922">
        <v>1</v>
      </c>
      <c r="H2922">
        <v>0</v>
      </c>
      <c r="I2922">
        <v>0</v>
      </c>
      <c r="J2922">
        <v>18672.707236547001</v>
      </c>
      <c r="K2922">
        <v>16271.723482973601</v>
      </c>
      <c r="L2922">
        <v>34.664999999999999</v>
      </c>
      <c r="M2922">
        <v>69.603999999999999</v>
      </c>
      <c r="N2922">
        <v>13.226000000000001</v>
      </c>
    </row>
    <row r="2923" spans="1:14" x14ac:dyDescent="0.45">
      <c r="A2923">
        <v>1994</v>
      </c>
      <c r="B2923" t="s">
        <v>141</v>
      </c>
      <c r="C2923">
        <v>0</v>
      </c>
      <c r="D2923">
        <v>0</v>
      </c>
      <c r="E2923">
        <v>0</v>
      </c>
      <c r="F2923">
        <v>1</v>
      </c>
      <c r="G2923">
        <v>0</v>
      </c>
      <c r="H2923">
        <v>0</v>
      </c>
      <c r="I2923">
        <v>0</v>
      </c>
      <c r="J2923">
        <v>5931.2347342676203</v>
      </c>
      <c r="K2923">
        <v>5384.6262972049799</v>
      </c>
      <c r="L2923">
        <v>65.066999999999993</v>
      </c>
      <c r="M2923">
        <v>65.040999999999997</v>
      </c>
      <c r="N2923">
        <v>69.372</v>
      </c>
    </row>
    <row r="2924" spans="1:14" x14ac:dyDescent="0.45">
      <c r="A2924">
        <v>1994</v>
      </c>
      <c r="B2924" t="s">
        <v>142</v>
      </c>
      <c r="C2924">
        <v>1</v>
      </c>
      <c r="D2924">
        <v>0</v>
      </c>
      <c r="E2924">
        <v>0</v>
      </c>
      <c r="F2924">
        <v>0</v>
      </c>
      <c r="G2924">
        <v>1</v>
      </c>
      <c r="H2924">
        <v>0</v>
      </c>
      <c r="I2924">
        <v>0</v>
      </c>
      <c r="L2924">
        <v>48.226999999999997</v>
      </c>
      <c r="M2924">
        <v>73.14</v>
      </c>
      <c r="N2924">
        <v>30.721</v>
      </c>
    </row>
    <row r="2925" spans="1:14" x14ac:dyDescent="0.45">
      <c r="A2925">
        <v>1994</v>
      </c>
      <c r="B2925" t="s">
        <v>143</v>
      </c>
      <c r="C2925">
        <v>0</v>
      </c>
      <c r="D2925">
        <v>0</v>
      </c>
      <c r="E2925">
        <v>0</v>
      </c>
      <c r="F2925">
        <v>0</v>
      </c>
      <c r="G2925">
        <v>0</v>
      </c>
      <c r="H2925">
        <v>0</v>
      </c>
      <c r="I2925">
        <v>0</v>
      </c>
      <c r="J2925">
        <v>2411.46273689083</v>
      </c>
      <c r="K2925">
        <v>2022.45846232811</v>
      </c>
      <c r="L2925">
        <v>73.600999999999999</v>
      </c>
      <c r="M2925">
        <v>60.237000000000002</v>
      </c>
      <c r="N2925">
        <v>112.328</v>
      </c>
    </row>
    <row r="2926" spans="1:14" x14ac:dyDescent="0.45">
      <c r="A2926">
        <v>1994</v>
      </c>
      <c r="B2926" t="s">
        <v>144</v>
      </c>
      <c r="C2926">
        <v>1</v>
      </c>
      <c r="D2926">
        <v>0</v>
      </c>
      <c r="E2926">
        <v>0</v>
      </c>
      <c r="F2926">
        <v>0</v>
      </c>
      <c r="G2926">
        <v>0</v>
      </c>
      <c r="H2926">
        <v>1</v>
      </c>
      <c r="I2926">
        <v>1</v>
      </c>
      <c r="J2926">
        <v>33134.935851490503</v>
      </c>
      <c r="K2926">
        <v>30465.8447875975</v>
      </c>
      <c r="L2926">
        <v>42.268999999999998</v>
      </c>
      <c r="M2926">
        <v>75.796000000000006</v>
      </c>
      <c r="N2926">
        <v>6.9539999999999997</v>
      </c>
    </row>
    <row r="2927" spans="1:14" x14ac:dyDescent="0.45">
      <c r="A2927">
        <v>1994</v>
      </c>
      <c r="B2927" t="s">
        <v>145</v>
      </c>
      <c r="C2927">
        <v>0</v>
      </c>
      <c r="D2927">
        <v>0</v>
      </c>
      <c r="E2927">
        <v>0</v>
      </c>
      <c r="F2927">
        <v>1</v>
      </c>
      <c r="G2927">
        <v>0</v>
      </c>
      <c r="H2927">
        <v>0</v>
      </c>
      <c r="I2927">
        <v>0</v>
      </c>
      <c r="J2927">
        <v>9681.2621229820197</v>
      </c>
      <c r="K2927">
        <v>9657.0073850570006</v>
      </c>
      <c r="L2927">
        <v>40.619999999999997</v>
      </c>
      <c r="M2927">
        <v>67.489999999999995</v>
      </c>
      <c r="N2927">
        <v>48.048999999999999</v>
      </c>
    </row>
    <row r="2928" spans="1:14" x14ac:dyDescent="0.45">
      <c r="A2928">
        <v>1994</v>
      </c>
      <c r="B2928" t="s">
        <v>146</v>
      </c>
      <c r="C2928">
        <v>0</v>
      </c>
      <c r="D2928">
        <v>0</v>
      </c>
      <c r="E2928">
        <v>0</v>
      </c>
      <c r="F2928">
        <v>1</v>
      </c>
      <c r="G2928">
        <v>0</v>
      </c>
      <c r="H2928">
        <v>0</v>
      </c>
      <c r="I2928">
        <v>0</v>
      </c>
      <c r="J2928">
        <v>6044.8710481053004</v>
      </c>
      <c r="K2928">
        <v>4273.05144266354</v>
      </c>
      <c r="L2928">
        <v>31.033999999999999</v>
      </c>
      <c r="M2928">
        <v>65.027000000000001</v>
      </c>
      <c r="N2928">
        <v>50.304000000000002</v>
      </c>
    </row>
    <row r="2929" spans="1:14" x14ac:dyDescent="0.45">
      <c r="A2929">
        <v>1994</v>
      </c>
      <c r="B2929" t="s">
        <v>147</v>
      </c>
      <c r="C2929">
        <v>1</v>
      </c>
      <c r="D2929">
        <v>0</v>
      </c>
      <c r="E2929">
        <v>0</v>
      </c>
      <c r="F2929">
        <v>0</v>
      </c>
      <c r="G2929">
        <v>0</v>
      </c>
      <c r="H2929">
        <v>1</v>
      </c>
      <c r="I2929">
        <v>1</v>
      </c>
      <c r="J2929">
        <v>38890.205661367203</v>
      </c>
      <c r="K2929">
        <v>33651.262725038498</v>
      </c>
      <c r="L2929">
        <v>8.5400000000000098</v>
      </c>
      <c r="M2929">
        <v>79.022000000000006</v>
      </c>
      <c r="N2929">
        <v>4.0949999999999998</v>
      </c>
    </row>
    <row r="2930" spans="1:14" x14ac:dyDescent="0.45">
      <c r="A2930">
        <v>1994</v>
      </c>
      <c r="B2930" t="s">
        <v>148</v>
      </c>
      <c r="C2930">
        <v>0</v>
      </c>
      <c r="D2930">
        <v>0</v>
      </c>
      <c r="E2930">
        <v>0</v>
      </c>
      <c r="F2930">
        <v>0</v>
      </c>
      <c r="G2930">
        <v>0</v>
      </c>
      <c r="H2930">
        <v>1</v>
      </c>
      <c r="I2930">
        <v>1</v>
      </c>
      <c r="J2930">
        <v>28393.000021287899</v>
      </c>
      <c r="K2930">
        <v>26044.250836629501</v>
      </c>
      <c r="L2930">
        <v>9.2330000000000005</v>
      </c>
      <c r="M2930">
        <v>78.045000000000002</v>
      </c>
      <c r="N2930">
        <v>9.1259999999999994</v>
      </c>
    </row>
    <row r="2931" spans="1:14" x14ac:dyDescent="0.45">
      <c r="A2931">
        <v>1994</v>
      </c>
      <c r="B2931" t="s">
        <v>149</v>
      </c>
      <c r="C2931">
        <v>1</v>
      </c>
      <c r="D2931">
        <v>0</v>
      </c>
      <c r="E2931">
        <v>0</v>
      </c>
      <c r="F2931">
        <v>0</v>
      </c>
      <c r="G2931">
        <v>0</v>
      </c>
      <c r="H2931">
        <v>1</v>
      </c>
      <c r="I2931">
        <v>1</v>
      </c>
      <c r="J2931">
        <v>44136.705914192302</v>
      </c>
      <c r="K2931">
        <v>37594.194708444302</v>
      </c>
      <c r="L2931">
        <v>33.137999999999998</v>
      </c>
      <c r="M2931">
        <v>77.873000000000005</v>
      </c>
      <c r="N2931">
        <v>7.7249999999999996</v>
      </c>
    </row>
    <row r="2932" spans="1:14" x14ac:dyDescent="0.45">
      <c r="A2932">
        <v>1994</v>
      </c>
      <c r="B2932" t="s">
        <v>150</v>
      </c>
      <c r="C2932">
        <v>0</v>
      </c>
      <c r="D2932">
        <v>1</v>
      </c>
      <c r="E2932">
        <v>0</v>
      </c>
      <c r="F2932">
        <v>1</v>
      </c>
      <c r="G2932">
        <v>0</v>
      </c>
      <c r="H2932">
        <v>0</v>
      </c>
      <c r="I2932">
        <v>0</v>
      </c>
      <c r="J2932">
        <v>9966.4911914399909</v>
      </c>
      <c r="K2932">
        <v>9822.2776338984495</v>
      </c>
      <c r="L2932">
        <v>49.625</v>
      </c>
      <c r="M2932">
        <v>71.623999999999995</v>
      </c>
      <c r="N2932">
        <v>24.956</v>
      </c>
    </row>
    <row r="2933" spans="1:14" x14ac:dyDescent="0.45">
      <c r="A2933">
        <v>1994</v>
      </c>
      <c r="B2933" t="s">
        <v>151</v>
      </c>
      <c r="C2933">
        <v>0</v>
      </c>
      <c r="D2933">
        <v>0</v>
      </c>
      <c r="E2933">
        <v>0</v>
      </c>
      <c r="F2933">
        <v>1</v>
      </c>
      <c r="G2933">
        <v>0</v>
      </c>
      <c r="H2933">
        <v>0</v>
      </c>
      <c r="I2933">
        <v>0</v>
      </c>
      <c r="J2933">
        <v>7680.1407917386096</v>
      </c>
      <c r="K2933">
        <v>7619.0475076615203</v>
      </c>
      <c r="L2933">
        <v>22.26</v>
      </c>
      <c r="M2933">
        <v>70.738</v>
      </c>
      <c r="N2933">
        <v>31.782</v>
      </c>
    </row>
    <row r="2934" spans="1:14" x14ac:dyDescent="0.45">
      <c r="A2934">
        <v>1994</v>
      </c>
      <c r="B2934" t="s">
        <v>152</v>
      </c>
      <c r="C2934">
        <v>0</v>
      </c>
      <c r="D2934">
        <v>0</v>
      </c>
      <c r="E2934">
        <v>0</v>
      </c>
      <c r="F2934">
        <v>0</v>
      </c>
      <c r="G2934">
        <v>0</v>
      </c>
      <c r="H2934">
        <v>1</v>
      </c>
      <c r="I2934">
        <v>1</v>
      </c>
      <c r="J2934">
        <v>36568.712390734101</v>
      </c>
      <c r="K2934">
        <v>33874.780311344701</v>
      </c>
      <c r="L2934">
        <v>22.119</v>
      </c>
      <c r="M2934">
        <v>79.837000000000003</v>
      </c>
      <c r="N2934">
        <v>5.9829999999999997</v>
      </c>
    </row>
    <row r="2935" spans="1:14" x14ac:dyDescent="0.45">
      <c r="A2935">
        <v>1994</v>
      </c>
      <c r="B2935" t="s">
        <v>153</v>
      </c>
      <c r="C2935">
        <v>1</v>
      </c>
      <c r="D2935">
        <v>0</v>
      </c>
      <c r="E2935">
        <v>0</v>
      </c>
      <c r="F2935">
        <v>1</v>
      </c>
      <c r="G2935">
        <v>0</v>
      </c>
      <c r="H2935">
        <v>0</v>
      </c>
      <c r="I2935">
        <v>0</v>
      </c>
      <c r="J2935">
        <v>11334.9831283773</v>
      </c>
      <c r="K2935">
        <v>8619.7946029580708</v>
      </c>
      <c r="L2935">
        <v>44.1</v>
      </c>
      <c r="M2935">
        <v>64.108000000000004</v>
      </c>
      <c r="N2935">
        <v>51.814999999999998</v>
      </c>
    </row>
    <row r="2936" spans="1:14" x14ac:dyDescent="0.45">
      <c r="A2936">
        <v>1994</v>
      </c>
      <c r="B2936" t="s">
        <v>154</v>
      </c>
      <c r="C2936">
        <v>0</v>
      </c>
      <c r="D2936">
        <v>0</v>
      </c>
      <c r="E2936">
        <v>1</v>
      </c>
      <c r="F2936">
        <v>0</v>
      </c>
      <c r="G2936">
        <v>0</v>
      </c>
      <c r="H2936">
        <v>0</v>
      </c>
      <c r="I2936">
        <v>0</v>
      </c>
      <c r="J2936">
        <v>3833.2235783858901</v>
      </c>
      <c r="K2936">
        <v>3303.6493250425301</v>
      </c>
      <c r="L2936">
        <v>82.048000000000002</v>
      </c>
      <c r="M2936">
        <v>56.100999999999999</v>
      </c>
      <c r="N2936">
        <v>107.34399999999999</v>
      </c>
    </row>
    <row r="2937" spans="1:14" x14ac:dyDescent="0.45">
      <c r="A2937">
        <v>1994</v>
      </c>
      <c r="B2937" t="s">
        <v>155</v>
      </c>
      <c r="C2937">
        <v>1</v>
      </c>
      <c r="D2937">
        <v>0</v>
      </c>
      <c r="E2937">
        <v>0</v>
      </c>
      <c r="F2937">
        <v>0</v>
      </c>
      <c r="G2937">
        <v>0</v>
      </c>
      <c r="H2937">
        <v>0</v>
      </c>
      <c r="I2937">
        <v>0</v>
      </c>
      <c r="J2937">
        <v>3176.9238188272602</v>
      </c>
      <c r="K2937">
        <v>2685.0344628866801</v>
      </c>
      <c r="L2937">
        <v>63.366999999999997</v>
      </c>
      <c r="M2937">
        <v>62.718000000000004</v>
      </c>
      <c r="N2937">
        <v>62.811999999999998</v>
      </c>
    </row>
    <row r="2938" spans="1:14" x14ac:dyDescent="0.45">
      <c r="A2938">
        <v>1994</v>
      </c>
      <c r="B2938" t="s">
        <v>156</v>
      </c>
      <c r="C2938">
        <v>0</v>
      </c>
      <c r="D2938">
        <v>0</v>
      </c>
      <c r="E2938">
        <v>0</v>
      </c>
      <c r="F2938">
        <v>0</v>
      </c>
      <c r="G2938">
        <v>0</v>
      </c>
      <c r="H2938">
        <v>0</v>
      </c>
      <c r="I2938">
        <v>0</v>
      </c>
      <c r="J2938">
        <v>1650.3910000176299</v>
      </c>
      <c r="K2938">
        <v>1479.85327109229</v>
      </c>
      <c r="L2938">
        <v>83.054000000000002</v>
      </c>
      <c r="M2938">
        <v>56.220999999999997</v>
      </c>
      <c r="N2938">
        <v>119.258</v>
      </c>
    </row>
    <row r="2939" spans="1:14" x14ac:dyDescent="0.45">
      <c r="A2939">
        <v>1994</v>
      </c>
      <c r="B2939" t="s">
        <v>157</v>
      </c>
      <c r="C2939">
        <v>0</v>
      </c>
      <c r="D2939">
        <v>0</v>
      </c>
      <c r="E2939">
        <v>0</v>
      </c>
      <c r="F2939">
        <v>1</v>
      </c>
      <c r="G2939">
        <v>0</v>
      </c>
      <c r="H2939">
        <v>0</v>
      </c>
      <c r="I2939">
        <v>0</v>
      </c>
      <c r="J2939">
        <v>2468.7211900276702</v>
      </c>
      <c r="K2939">
        <v>2233.2034539251399</v>
      </c>
      <c r="L2939">
        <v>63.877000000000002</v>
      </c>
      <c r="M2939">
        <v>62.796999999999997</v>
      </c>
      <c r="N2939">
        <v>78.540000000000006</v>
      </c>
    </row>
    <row r="2940" spans="1:14" x14ac:dyDescent="0.45">
      <c r="A2940">
        <v>1994</v>
      </c>
      <c r="B2940" t="s">
        <v>158</v>
      </c>
      <c r="C2940">
        <v>0</v>
      </c>
      <c r="D2940">
        <v>1</v>
      </c>
      <c r="E2940">
        <v>0</v>
      </c>
      <c r="F2940">
        <v>0</v>
      </c>
      <c r="G2940">
        <v>1</v>
      </c>
      <c r="H2940">
        <v>0</v>
      </c>
      <c r="I2940">
        <v>0</v>
      </c>
      <c r="J2940">
        <v>15955.837501002799</v>
      </c>
      <c r="K2940">
        <v>15758.5598168899</v>
      </c>
      <c r="L2940">
        <v>66.096000000000004</v>
      </c>
      <c r="M2940">
        <v>67.001999999999995</v>
      </c>
      <c r="N2940">
        <v>28.285</v>
      </c>
    </row>
    <row r="2941" spans="1:14" x14ac:dyDescent="0.45">
      <c r="A2941">
        <v>1994</v>
      </c>
      <c r="B2941" t="s">
        <v>159</v>
      </c>
      <c r="C2941">
        <v>0</v>
      </c>
      <c r="D2941">
        <v>0</v>
      </c>
      <c r="E2941">
        <v>0</v>
      </c>
      <c r="F2941">
        <v>0</v>
      </c>
      <c r="G2941">
        <v>1</v>
      </c>
      <c r="H2941">
        <v>0</v>
      </c>
      <c r="I2941">
        <v>0</v>
      </c>
      <c r="J2941">
        <v>18259.855095346698</v>
      </c>
      <c r="K2941">
        <v>16646.094688376201</v>
      </c>
      <c r="L2941">
        <v>22.547999999999998</v>
      </c>
      <c r="M2941">
        <v>72.888999999999996</v>
      </c>
      <c r="N2941">
        <v>11.414999999999999</v>
      </c>
    </row>
    <row r="2942" spans="1:14" x14ac:dyDescent="0.45">
      <c r="A2942">
        <v>1994</v>
      </c>
      <c r="B2942" t="s">
        <v>160</v>
      </c>
      <c r="C2942">
        <v>0</v>
      </c>
      <c r="D2942">
        <v>0</v>
      </c>
      <c r="E2942">
        <v>0</v>
      </c>
      <c r="F2942">
        <v>0</v>
      </c>
      <c r="G2942">
        <v>0</v>
      </c>
      <c r="H2942">
        <v>1</v>
      </c>
      <c r="I2942">
        <v>1</v>
      </c>
      <c r="J2942">
        <v>61753.849031116399</v>
      </c>
      <c r="K2942">
        <v>54997.985679578</v>
      </c>
      <c r="L2942">
        <v>1.9710000000000001</v>
      </c>
      <c r="M2942">
        <v>75.727999999999994</v>
      </c>
      <c r="N2942">
        <v>15.228</v>
      </c>
    </row>
    <row r="2943" spans="1:14" x14ac:dyDescent="0.45">
      <c r="A2943">
        <v>1994</v>
      </c>
      <c r="B2943" t="s">
        <v>161</v>
      </c>
      <c r="C2943">
        <v>0</v>
      </c>
      <c r="D2943">
        <v>0</v>
      </c>
      <c r="E2943">
        <v>0</v>
      </c>
      <c r="F2943">
        <v>0</v>
      </c>
      <c r="G2943">
        <v>0</v>
      </c>
      <c r="H2943">
        <v>0</v>
      </c>
      <c r="I2943">
        <v>0</v>
      </c>
      <c r="J2943">
        <v>2267.7821552139699</v>
      </c>
      <c r="K2943">
        <v>2179.1290979354999</v>
      </c>
      <c r="L2943">
        <v>83.146000000000001</v>
      </c>
      <c r="M2943">
        <v>55.81</v>
      </c>
      <c r="N2943">
        <v>134.28700000000001</v>
      </c>
    </row>
    <row r="2944" spans="1:14" x14ac:dyDescent="0.45">
      <c r="A2944">
        <v>1994</v>
      </c>
      <c r="B2944" t="s">
        <v>162</v>
      </c>
      <c r="C2944">
        <v>0</v>
      </c>
      <c r="D2944">
        <v>0</v>
      </c>
      <c r="E2944">
        <v>0</v>
      </c>
      <c r="F2944">
        <v>1</v>
      </c>
      <c r="G2944">
        <v>0</v>
      </c>
      <c r="H2944">
        <v>0</v>
      </c>
      <c r="I2944">
        <v>0</v>
      </c>
      <c r="J2944">
        <v>10294.812771264</v>
      </c>
      <c r="K2944">
        <v>13381.1297825154</v>
      </c>
      <c r="L2944">
        <v>15.509</v>
      </c>
      <c r="M2944">
        <v>72.03</v>
      </c>
      <c r="N2944">
        <v>26.57</v>
      </c>
    </row>
    <row r="2945" spans="1:14" x14ac:dyDescent="0.45">
      <c r="A2945">
        <v>1994</v>
      </c>
      <c r="B2945" t="s">
        <v>163</v>
      </c>
      <c r="C2945">
        <v>0</v>
      </c>
      <c r="D2945">
        <v>0</v>
      </c>
      <c r="E2945">
        <v>1</v>
      </c>
      <c r="F2945">
        <v>0</v>
      </c>
      <c r="G2945">
        <v>0</v>
      </c>
      <c r="H2945">
        <v>0</v>
      </c>
      <c r="I2945">
        <v>0</v>
      </c>
      <c r="J2945">
        <v>563.64036119664695</v>
      </c>
      <c r="K2945">
        <v>832.74788600102704</v>
      </c>
      <c r="L2945">
        <v>51.018999999999998</v>
      </c>
      <c r="M2945">
        <v>42.621000000000002</v>
      </c>
      <c r="N2945">
        <v>258</v>
      </c>
    </row>
    <row r="2946" spans="1:14" x14ac:dyDescent="0.45">
      <c r="A2946">
        <v>1994</v>
      </c>
      <c r="B2946" t="s">
        <v>164</v>
      </c>
      <c r="C2946">
        <v>0</v>
      </c>
      <c r="D2946">
        <v>0</v>
      </c>
      <c r="E2946">
        <v>0</v>
      </c>
      <c r="F2946">
        <v>0</v>
      </c>
      <c r="G2946">
        <v>1</v>
      </c>
      <c r="H2946">
        <v>0</v>
      </c>
      <c r="I2946">
        <v>0</v>
      </c>
      <c r="J2946">
        <v>18439.658370343201</v>
      </c>
      <c r="K2946">
        <v>21550.339200426599</v>
      </c>
      <c r="L2946">
        <v>24.06</v>
      </c>
      <c r="M2946">
        <v>70.471999999999994</v>
      </c>
      <c r="N2946">
        <v>34.878</v>
      </c>
    </row>
    <row r="2947" spans="1:14" x14ac:dyDescent="0.45">
      <c r="A2947">
        <v>1994</v>
      </c>
      <c r="B2947" t="s">
        <v>165</v>
      </c>
      <c r="C2947">
        <v>0</v>
      </c>
      <c r="D2947">
        <v>1</v>
      </c>
      <c r="E2947">
        <v>0</v>
      </c>
      <c r="F2947">
        <v>0</v>
      </c>
      <c r="G2947">
        <v>1</v>
      </c>
      <c r="H2947">
        <v>0</v>
      </c>
      <c r="I2947">
        <v>0</v>
      </c>
      <c r="J2947">
        <v>18020.512759063098</v>
      </c>
      <c r="K2947">
        <v>12964.0831548478</v>
      </c>
      <c r="L2947">
        <v>71.034999999999997</v>
      </c>
      <c r="M2947">
        <v>71.075999999999993</v>
      </c>
      <c r="N2947">
        <v>19.527999999999999</v>
      </c>
    </row>
    <row r="2948" spans="1:14" x14ac:dyDescent="0.45">
      <c r="A2948">
        <v>1994</v>
      </c>
      <c r="B2948" t="s">
        <v>166</v>
      </c>
      <c r="C2948">
        <v>1</v>
      </c>
      <c r="D2948">
        <v>0</v>
      </c>
      <c r="E2948">
        <v>0</v>
      </c>
      <c r="F2948">
        <v>0</v>
      </c>
      <c r="G2948">
        <v>0</v>
      </c>
      <c r="H2948">
        <v>1</v>
      </c>
      <c r="I2948">
        <v>1</v>
      </c>
      <c r="L2948">
        <v>83.433999999999997</v>
      </c>
      <c r="M2948">
        <v>78.180000000000007</v>
      </c>
      <c r="N2948">
        <v>12.468999999999999</v>
      </c>
    </row>
    <row r="2949" spans="1:14" x14ac:dyDescent="0.45">
      <c r="A2949">
        <v>1994</v>
      </c>
      <c r="B2949" t="s">
        <v>167</v>
      </c>
      <c r="C2949">
        <v>0</v>
      </c>
      <c r="D2949">
        <v>0</v>
      </c>
      <c r="E2949">
        <v>0</v>
      </c>
      <c r="F2949">
        <v>0</v>
      </c>
      <c r="G2949">
        <v>0</v>
      </c>
      <c r="H2949">
        <v>0</v>
      </c>
      <c r="I2949">
        <v>0</v>
      </c>
      <c r="J2949">
        <v>5322.7296312714798</v>
      </c>
      <c r="K2949">
        <v>4971.3453493308598</v>
      </c>
      <c r="L2949">
        <v>81.527000000000001</v>
      </c>
      <c r="M2949">
        <v>70.210999999999999</v>
      </c>
      <c r="N2949">
        <v>20.73</v>
      </c>
    </row>
    <row r="2950" spans="1:14" x14ac:dyDescent="0.45">
      <c r="A2950">
        <v>1994</v>
      </c>
      <c r="B2950" t="s">
        <v>168</v>
      </c>
      <c r="C2950">
        <v>0</v>
      </c>
      <c r="D2950">
        <v>0</v>
      </c>
      <c r="E2950">
        <v>1</v>
      </c>
      <c r="F2950">
        <v>0</v>
      </c>
      <c r="G2950">
        <v>0</v>
      </c>
      <c r="H2950">
        <v>0</v>
      </c>
      <c r="I2950">
        <v>0</v>
      </c>
      <c r="J2950">
        <v>1675.5977232421999</v>
      </c>
      <c r="K2950">
        <v>1500.36404134126</v>
      </c>
      <c r="L2950">
        <v>83.680999999999997</v>
      </c>
      <c r="M2950">
        <v>57.287999999999997</v>
      </c>
      <c r="N2950">
        <v>91.484999999999999</v>
      </c>
    </row>
    <row r="2951" spans="1:14" x14ac:dyDescent="0.45">
      <c r="A2951">
        <v>1994</v>
      </c>
      <c r="B2951" t="s">
        <v>169</v>
      </c>
      <c r="C2951">
        <v>1</v>
      </c>
      <c r="D2951">
        <v>0</v>
      </c>
      <c r="E2951">
        <v>0</v>
      </c>
      <c r="F2951">
        <v>1</v>
      </c>
      <c r="G2951">
        <v>0</v>
      </c>
      <c r="H2951">
        <v>0</v>
      </c>
      <c r="I2951">
        <v>0</v>
      </c>
      <c r="J2951">
        <v>11686.438659609399</v>
      </c>
      <c r="K2951">
        <v>9998.5275315853596</v>
      </c>
      <c r="L2951">
        <v>32.655000000000001</v>
      </c>
      <c r="M2951">
        <v>68.503</v>
      </c>
      <c r="N2951">
        <v>16.904</v>
      </c>
    </row>
    <row r="2952" spans="1:14" x14ac:dyDescent="0.45">
      <c r="A2952">
        <v>1994</v>
      </c>
      <c r="B2952" t="s">
        <v>170</v>
      </c>
      <c r="C2952">
        <v>1</v>
      </c>
      <c r="D2952">
        <v>0</v>
      </c>
      <c r="E2952">
        <v>0</v>
      </c>
      <c r="F2952">
        <v>0</v>
      </c>
      <c r="G2952">
        <v>0</v>
      </c>
      <c r="H2952">
        <v>1</v>
      </c>
      <c r="I2952">
        <v>1</v>
      </c>
      <c r="J2952">
        <v>92375.358807513898</v>
      </c>
      <c r="K2952">
        <v>78940.407928260902</v>
      </c>
      <c r="L2952">
        <v>17.518000000000001</v>
      </c>
      <c r="M2952">
        <v>75.930999999999997</v>
      </c>
      <c r="N2952">
        <v>8.5060000000000002</v>
      </c>
    </row>
    <row r="2953" spans="1:14" x14ac:dyDescent="0.45">
      <c r="A2953">
        <v>1994</v>
      </c>
      <c r="B2953" t="s">
        <v>171</v>
      </c>
      <c r="C2953">
        <v>1</v>
      </c>
      <c r="D2953">
        <v>0</v>
      </c>
      <c r="E2953">
        <v>0</v>
      </c>
      <c r="F2953">
        <v>1</v>
      </c>
      <c r="G2953">
        <v>0</v>
      </c>
      <c r="H2953">
        <v>0</v>
      </c>
      <c r="I2953">
        <v>0</v>
      </c>
      <c r="J2953">
        <v>10656.6087654394</v>
      </c>
      <c r="K2953">
        <v>9245.5595682468593</v>
      </c>
      <c r="L2953">
        <v>31.099</v>
      </c>
      <c r="M2953">
        <v>65.183000000000007</v>
      </c>
      <c r="N2953">
        <v>18.382999999999999</v>
      </c>
    </row>
    <row r="2954" spans="1:14" x14ac:dyDescent="0.45">
      <c r="A2954">
        <v>1994</v>
      </c>
      <c r="B2954" t="s">
        <v>172</v>
      </c>
      <c r="C2954">
        <v>0</v>
      </c>
      <c r="D2954">
        <v>0</v>
      </c>
      <c r="E2954">
        <v>0</v>
      </c>
      <c r="F2954">
        <v>0</v>
      </c>
      <c r="G2954">
        <v>0</v>
      </c>
      <c r="H2954">
        <v>1</v>
      </c>
      <c r="I2954">
        <v>1</v>
      </c>
      <c r="J2954">
        <v>60057.766351347898</v>
      </c>
      <c r="K2954">
        <v>54426.839405839899</v>
      </c>
      <c r="L2954">
        <v>0.108999999999995</v>
      </c>
      <c r="M2954">
        <v>77.427999999999997</v>
      </c>
      <c r="N2954">
        <v>10.702</v>
      </c>
    </row>
    <row r="2955" spans="1:14" x14ac:dyDescent="0.45">
      <c r="A2955">
        <v>1994</v>
      </c>
      <c r="B2955" t="s">
        <v>173</v>
      </c>
      <c r="C2955">
        <v>0</v>
      </c>
      <c r="D2955">
        <v>1</v>
      </c>
      <c r="E2955">
        <v>0</v>
      </c>
      <c r="F2955">
        <v>0</v>
      </c>
      <c r="G2955">
        <v>0</v>
      </c>
      <c r="H2955">
        <v>1</v>
      </c>
      <c r="I2955">
        <v>1</v>
      </c>
      <c r="L2955">
        <v>0</v>
      </c>
      <c r="M2955">
        <v>75.533000000000001</v>
      </c>
      <c r="N2955">
        <v>17.311</v>
      </c>
    </row>
    <row r="2956" spans="1:14" x14ac:dyDescent="0.45">
      <c r="A2956">
        <v>1994</v>
      </c>
      <c r="B2956" t="s">
        <v>174</v>
      </c>
      <c r="C2956">
        <v>0</v>
      </c>
      <c r="D2956">
        <v>0</v>
      </c>
      <c r="E2956">
        <v>0</v>
      </c>
      <c r="F2956">
        <v>1</v>
      </c>
      <c r="G2956">
        <v>0</v>
      </c>
      <c r="H2956">
        <v>0</v>
      </c>
      <c r="I2956">
        <v>0</v>
      </c>
      <c r="J2956">
        <v>4771.0927734375</v>
      </c>
      <c r="K2956">
        <v>4582.0069224402996</v>
      </c>
      <c r="L2956">
        <v>48.704999999999998</v>
      </c>
      <c r="M2956">
        <v>64.346000000000004</v>
      </c>
      <c r="N2956">
        <v>67.426000000000002</v>
      </c>
    </row>
    <row r="2957" spans="1:14" x14ac:dyDescent="0.45">
      <c r="A2957">
        <v>1994</v>
      </c>
      <c r="B2957" t="s">
        <v>175</v>
      </c>
      <c r="C2957">
        <v>1</v>
      </c>
      <c r="D2957">
        <v>0</v>
      </c>
      <c r="E2957">
        <v>0</v>
      </c>
      <c r="F2957">
        <v>0</v>
      </c>
      <c r="G2957">
        <v>0</v>
      </c>
      <c r="H2957">
        <v>1</v>
      </c>
      <c r="I2957">
        <v>1</v>
      </c>
      <c r="L2957">
        <v>0</v>
      </c>
      <c r="M2957">
        <v>80.653999999999996</v>
      </c>
      <c r="N2957">
        <v>9.3030000000000008</v>
      </c>
    </row>
    <row r="2958" spans="1:14" x14ac:dyDescent="0.45">
      <c r="A2958">
        <v>1994</v>
      </c>
      <c r="B2958" t="s">
        <v>176</v>
      </c>
      <c r="C2958">
        <v>1</v>
      </c>
      <c r="D2958">
        <v>0</v>
      </c>
      <c r="E2958">
        <v>0</v>
      </c>
      <c r="F2958">
        <v>1</v>
      </c>
      <c r="G2958">
        <v>0</v>
      </c>
      <c r="H2958">
        <v>0</v>
      </c>
      <c r="I2958">
        <v>0</v>
      </c>
      <c r="J2958">
        <v>6490.3531027176896</v>
      </c>
      <c r="K2958">
        <v>5566.82543471802</v>
      </c>
      <c r="L2958">
        <v>53.613</v>
      </c>
      <c r="M2958">
        <v>66.319000000000003</v>
      </c>
      <c r="N2958">
        <v>36.405999999999999</v>
      </c>
    </row>
    <row r="2959" spans="1:14" x14ac:dyDescent="0.45">
      <c r="A2959">
        <v>1994</v>
      </c>
      <c r="B2959" t="s">
        <v>177</v>
      </c>
      <c r="C2959">
        <v>0</v>
      </c>
      <c r="D2959">
        <v>0</v>
      </c>
      <c r="E2959">
        <v>1</v>
      </c>
      <c r="F2959">
        <v>0</v>
      </c>
      <c r="G2959">
        <v>0</v>
      </c>
      <c r="H2959">
        <v>0</v>
      </c>
      <c r="I2959">
        <v>0</v>
      </c>
      <c r="J2959">
        <v>1686.34190833096</v>
      </c>
      <c r="K2959">
        <v>1562.2719066891</v>
      </c>
      <c r="L2959">
        <v>74.463999999999999</v>
      </c>
      <c r="M2959">
        <v>54.247</v>
      </c>
      <c r="N2959">
        <v>135.11699999999999</v>
      </c>
    </row>
    <row r="2960" spans="1:14" x14ac:dyDescent="0.45">
      <c r="A2960">
        <v>1994</v>
      </c>
      <c r="B2960" t="s">
        <v>178</v>
      </c>
      <c r="C2960">
        <v>0</v>
      </c>
      <c r="D2960">
        <v>0</v>
      </c>
      <c r="E2960">
        <v>0</v>
      </c>
      <c r="F2960">
        <v>1</v>
      </c>
      <c r="G2960">
        <v>0</v>
      </c>
      <c r="H2960">
        <v>0</v>
      </c>
      <c r="I2960">
        <v>0</v>
      </c>
      <c r="J2960">
        <v>9866.0750107110307</v>
      </c>
      <c r="K2960">
        <v>9733.7048273275796</v>
      </c>
      <c r="L2960">
        <v>74.414000000000001</v>
      </c>
      <c r="M2960">
        <v>66.197000000000003</v>
      </c>
      <c r="N2960">
        <v>66.453000000000003</v>
      </c>
    </row>
    <row r="2961" spans="1:14" x14ac:dyDescent="0.45">
      <c r="A2961">
        <v>1994</v>
      </c>
      <c r="B2961" t="s">
        <v>179</v>
      </c>
      <c r="C2961">
        <v>0</v>
      </c>
      <c r="D2961">
        <v>1</v>
      </c>
      <c r="E2961">
        <v>0</v>
      </c>
      <c r="F2961">
        <v>0</v>
      </c>
      <c r="G2961">
        <v>1</v>
      </c>
      <c r="H2961">
        <v>0</v>
      </c>
      <c r="I2961">
        <v>0</v>
      </c>
      <c r="J2961">
        <v>18422.819927459001</v>
      </c>
      <c r="K2961">
        <v>17127.2386421212</v>
      </c>
      <c r="L2961">
        <v>27.015000000000001</v>
      </c>
      <c r="M2961">
        <v>70.302000000000007</v>
      </c>
      <c r="N2961">
        <v>37.360999999999997</v>
      </c>
    </row>
    <row r="2962" spans="1:14" x14ac:dyDescent="0.45">
      <c r="A2962">
        <v>1994</v>
      </c>
      <c r="B2962" t="s">
        <v>180</v>
      </c>
      <c r="C2962">
        <v>0</v>
      </c>
      <c r="D2962">
        <v>0</v>
      </c>
      <c r="E2962">
        <v>0</v>
      </c>
      <c r="F2962">
        <v>1</v>
      </c>
      <c r="G2962">
        <v>0</v>
      </c>
      <c r="H2962">
        <v>0</v>
      </c>
      <c r="I2962">
        <v>0</v>
      </c>
      <c r="J2962">
        <v>4396.91464876182</v>
      </c>
      <c r="K2962">
        <v>3976.9428489489901</v>
      </c>
      <c r="L2962">
        <v>33.603999999999999</v>
      </c>
      <c r="M2962">
        <v>62.308</v>
      </c>
      <c r="N2962">
        <v>43.223999999999997</v>
      </c>
    </row>
    <row r="2963" spans="1:14" x14ac:dyDescent="0.45">
      <c r="A2963">
        <v>1994</v>
      </c>
      <c r="B2963" t="s">
        <v>181</v>
      </c>
      <c r="C2963">
        <v>1</v>
      </c>
      <c r="D2963">
        <v>0</v>
      </c>
      <c r="E2963">
        <v>0</v>
      </c>
      <c r="F2963">
        <v>1</v>
      </c>
      <c r="G2963">
        <v>0</v>
      </c>
      <c r="H2963">
        <v>0</v>
      </c>
      <c r="I2963">
        <v>0</v>
      </c>
      <c r="J2963">
        <v>10650.152607030701</v>
      </c>
      <c r="K2963">
        <v>8990.7297379210595</v>
      </c>
      <c r="L2963">
        <v>40.206000000000003</v>
      </c>
      <c r="M2963">
        <v>71.486999999999995</v>
      </c>
      <c r="N2963">
        <v>28.702000000000002</v>
      </c>
    </row>
    <row r="2964" spans="1:14" x14ac:dyDescent="0.45">
      <c r="A2964">
        <v>1994</v>
      </c>
      <c r="B2964" t="s">
        <v>182</v>
      </c>
      <c r="C2964">
        <v>0</v>
      </c>
      <c r="D2964">
        <v>0</v>
      </c>
      <c r="E2964">
        <v>1</v>
      </c>
      <c r="F2964">
        <v>0</v>
      </c>
      <c r="G2964">
        <v>0</v>
      </c>
      <c r="H2964">
        <v>0</v>
      </c>
      <c r="I2964">
        <v>0</v>
      </c>
      <c r="J2964">
        <v>1723.2076180948</v>
      </c>
      <c r="K2964">
        <v>1595.01782737911</v>
      </c>
      <c r="L2964">
        <v>74.930999999999997</v>
      </c>
      <c r="M2964">
        <v>47.914000000000001</v>
      </c>
      <c r="N2964">
        <v>216.29499999999999</v>
      </c>
    </row>
    <row r="2965" spans="1:14" x14ac:dyDescent="0.45">
      <c r="A2965">
        <v>1994</v>
      </c>
      <c r="B2965" t="s">
        <v>183</v>
      </c>
      <c r="C2965">
        <v>0</v>
      </c>
      <c r="D2965">
        <v>0</v>
      </c>
      <c r="E2965">
        <v>0</v>
      </c>
      <c r="F2965">
        <v>0</v>
      </c>
      <c r="G2965">
        <v>1</v>
      </c>
      <c r="H2965">
        <v>0</v>
      </c>
      <c r="I2965">
        <v>0</v>
      </c>
      <c r="J2965">
        <v>21107.479512932699</v>
      </c>
      <c r="K2965">
        <v>18259.002900408101</v>
      </c>
      <c r="L2965">
        <v>9.1650000000000098</v>
      </c>
      <c r="M2965">
        <v>76.945999999999998</v>
      </c>
      <c r="N2965">
        <v>11.132999999999999</v>
      </c>
    </row>
    <row r="2966" spans="1:14" x14ac:dyDescent="0.45">
      <c r="A2966">
        <v>1994</v>
      </c>
      <c r="B2966" t="s">
        <v>184</v>
      </c>
      <c r="C2966">
        <v>0</v>
      </c>
      <c r="D2966">
        <v>0</v>
      </c>
      <c r="E2966">
        <v>0</v>
      </c>
      <c r="F2966">
        <v>0</v>
      </c>
      <c r="G2966">
        <v>0</v>
      </c>
      <c r="H2966">
        <v>0</v>
      </c>
      <c r="I2966">
        <v>0</v>
      </c>
      <c r="J2966">
        <v>911.468427954616</v>
      </c>
      <c r="K2966">
        <v>729.81562507278295</v>
      </c>
      <c r="L2966">
        <v>74.054000000000002</v>
      </c>
      <c r="M2966">
        <v>58.326000000000001</v>
      </c>
      <c r="N2966">
        <v>104.363</v>
      </c>
    </row>
    <row r="2967" spans="1:14" x14ac:dyDescent="0.45">
      <c r="A2967">
        <v>1994</v>
      </c>
      <c r="B2967" t="s">
        <v>185</v>
      </c>
      <c r="C2967">
        <v>1</v>
      </c>
      <c r="D2967">
        <v>0</v>
      </c>
      <c r="E2967">
        <v>0</v>
      </c>
      <c r="F2967">
        <v>1</v>
      </c>
      <c r="G2967">
        <v>0</v>
      </c>
      <c r="H2967">
        <v>0</v>
      </c>
      <c r="I2967">
        <v>0</v>
      </c>
      <c r="L2967">
        <v>47.683</v>
      </c>
      <c r="M2967">
        <v>73.763999999999996</v>
      </c>
      <c r="N2967">
        <v>15.173</v>
      </c>
    </row>
    <row r="2968" spans="1:14" x14ac:dyDescent="0.45">
      <c r="A2968">
        <v>1994</v>
      </c>
      <c r="B2968" t="s">
        <v>186</v>
      </c>
      <c r="C2968">
        <v>0</v>
      </c>
      <c r="D2968">
        <v>0</v>
      </c>
      <c r="E2968">
        <v>0</v>
      </c>
      <c r="F2968">
        <v>0</v>
      </c>
      <c r="G2968">
        <v>0</v>
      </c>
      <c r="H2968">
        <v>0</v>
      </c>
      <c r="I2968">
        <v>0</v>
      </c>
      <c r="J2968">
        <v>5213.8463260807603</v>
      </c>
      <c r="K2968">
        <v>4017.1429486249499</v>
      </c>
      <c r="L2968">
        <v>43.149000000000001</v>
      </c>
      <c r="M2968">
        <v>60.854999999999997</v>
      </c>
      <c r="N2968">
        <v>89.283000000000001</v>
      </c>
    </row>
    <row r="2969" spans="1:14" x14ac:dyDescent="0.45">
      <c r="A2969">
        <v>1994</v>
      </c>
      <c r="B2969" t="s">
        <v>187</v>
      </c>
      <c r="C2969">
        <v>0</v>
      </c>
      <c r="D2969">
        <v>0</v>
      </c>
      <c r="E2969">
        <v>0</v>
      </c>
      <c r="F2969">
        <v>1</v>
      </c>
      <c r="G2969">
        <v>0</v>
      </c>
      <c r="H2969">
        <v>0</v>
      </c>
      <c r="I2969">
        <v>0</v>
      </c>
      <c r="L2969">
        <v>10.407999999999999</v>
      </c>
      <c r="M2969">
        <v>71.533000000000001</v>
      </c>
      <c r="N2969">
        <v>8.1</v>
      </c>
    </row>
    <row r="2970" spans="1:14" x14ac:dyDescent="0.45">
      <c r="A2970">
        <v>1994</v>
      </c>
      <c r="B2970" t="s">
        <v>188</v>
      </c>
      <c r="C2970">
        <v>0</v>
      </c>
      <c r="D2970">
        <v>0</v>
      </c>
      <c r="E2970">
        <v>1</v>
      </c>
      <c r="F2970">
        <v>0</v>
      </c>
      <c r="G2970">
        <v>0</v>
      </c>
      <c r="H2970">
        <v>0</v>
      </c>
      <c r="I2970">
        <v>0</v>
      </c>
      <c r="J2970">
        <v>546.20968816426296</v>
      </c>
      <c r="K2970">
        <v>457.34132029193597</v>
      </c>
      <c r="L2970">
        <v>73.016000000000005</v>
      </c>
      <c r="M2970">
        <v>46.085999999999999</v>
      </c>
      <c r="N2970">
        <v>221.85599999999999</v>
      </c>
    </row>
    <row r="2971" spans="1:14" x14ac:dyDescent="0.45">
      <c r="A2971">
        <v>1994</v>
      </c>
      <c r="B2971" t="s">
        <v>189</v>
      </c>
      <c r="C2971">
        <v>0</v>
      </c>
      <c r="D2971">
        <v>0</v>
      </c>
      <c r="E2971">
        <v>1</v>
      </c>
      <c r="F2971">
        <v>0</v>
      </c>
      <c r="G2971">
        <v>0</v>
      </c>
      <c r="H2971">
        <v>0</v>
      </c>
      <c r="I2971">
        <v>0</v>
      </c>
      <c r="J2971">
        <v>5097.2083949483604</v>
      </c>
      <c r="K2971">
        <v>4509.5684202082803</v>
      </c>
      <c r="L2971">
        <v>61.170999999999999</v>
      </c>
      <c r="M2971">
        <v>58.762999999999998</v>
      </c>
      <c r="N2971">
        <v>111.791</v>
      </c>
    </row>
    <row r="2972" spans="1:14" x14ac:dyDescent="0.45">
      <c r="A2972">
        <v>1994</v>
      </c>
      <c r="B2972" t="s">
        <v>190</v>
      </c>
      <c r="C2972">
        <v>0</v>
      </c>
      <c r="D2972">
        <v>0</v>
      </c>
      <c r="E2972">
        <v>1</v>
      </c>
      <c r="F2972">
        <v>0</v>
      </c>
      <c r="G2972">
        <v>1</v>
      </c>
      <c r="H2972">
        <v>0</v>
      </c>
      <c r="I2972">
        <v>0</v>
      </c>
      <c r="J2972">
        <v>10366.5908632392</v>
      </c>
      <c r="K2972">
        <v>9730.3380659237901</v>
      </c>
      <c r="L2972">
        <v>56.593000000000004</v>
      </c>
      <c r="M2972">
        <v>70.42</v>
      </c>
      <c r="N2972">
        <v>20.949000000000002</v>
      </c>
    </row>
    <row r="2973" spans="1:14" x14ac:dyDescent="0.45">
      <c r="A2973">
        <v>1994</v>
      </c>
      <c r="B2973" t="s">
        <v>191</v>
      </c>
      <c r="C2973">
        <v>0</v>
      </c>
      <c r="D2973">
        <v>0</v>
      </c>
      <c r="E2973">
        <v>1</v>
      </c>
      <c r="F2973">
        <v>0</v>
      </c>
      <c r="G2973">
        <v>0</v>
      </c>
      <c r="H2973">
        <v>0</v>
      </c>
      <c r="I2973">
        <v>0</v>
      </c>
      <c r="J2973">
        <v>975.84964014339903</v>
      </c>
      <c r="K2973">
        <v>834.99683874033497</v>
      </c>
      <c r="L2973">
        <v>87.093000000000004</v>
      </c>
      <c r="M2973">
        <v>43.8</v>
      </c>
      <c r="N2973">
        <v>214.61199999999999</v>
      </c>
    </row>
    <row r="2974" spans="1:14" x14ac:dyDescent="0.45">
      <c r="A2974">
        <v>1994</v>
      </c>
      <c r="B2974" t="s">
        <v>192</v>
      </c>
      <c r="C2974">
        <v>0</v>
      </c>
      <c r="D2974">
        <v>0</v>
      </c>
      <c r="E2974">
        <v>0</v>
      </c>
      <c r="F2974">
        <v>0</v>
      </c>
      <c r="G2974">
        <v>1</v>
      </c>
      <c r="H2974">
        <v>0</v>
      </c>
      <c r="I2974">
        <v>0</v>
      </c>
      <c r="J2974">
        <v>15474.0144648307</v>
      </c>
      <c r="K2974">
        <v>13831.943131976301</v>
      </c>
      <c r="L2974">
        <v>45.597999999999999</v>
      </c>
      <c r="M2974">
        <v>71.864999999999995</v>
      </c>
      <c r="N2974">
        <v>13.93</v>
      </c>
    </row>
    <row r="2975" spans="1:14" x14ac:dyDescent="0.45">
      <c r="A2975">
        <v>1994</v>
      </c>
      <c r="B2975" t="s">
        <v>193</v>
      </c>
      <c r="C2975">
        <v>0</v>
      </c>
      <c r="D2975">
        <v>0</v>
      </c>
      <c r="E2975">
        <v>1</v>
      </c>
      <c r="F2975">
        <v>1</v>
      </c>
      <c r="G2975">
        <v>0</v>
      </c>
      <c r="H2975">
        <v>0</v>
      </c>
      <c r="I2975">
        <v>0</v>
      </c>
      <c r="J2975">
        <v>7437.3352903610903</v>
      </c>
      <c r="K2975">
        <v>6445.9370414684299</v>
      </c>
      <c r="L2975">
        <v>70.683999999999997</v>
      </c>
      <c r="M2975">
        <v>58.441000000000003</v>
      </c>
      <c r="N2975">
        <v>72.260999999999996</v>
      </c>
    </row>
    <row r="2976" spans="1:14" x14ac:dyDescent="0.45">
      <c r="A2976">
        <v>1994</v>
      </c>
      <c r="B2976" t="s">
        <v>194</v>
      </c>
      <c r="C2976">
        <v>0</v>
      </c>
      <c r="D2976">
        <v>0</v>
      </c>
      <c r="E2976">
        <v>0</v>
      </c>
      <c r="F2976">
        <v>0</v>
      </c>
      <c r="G2976">
        <v>1</v>
      </c>
      <c r="H2976">
        <v>0</v>
      </c>
      <c r="I2976">
        <v>0</v>
      </c>
      <c r="L2976">
        <v>39.853999999999999</v>
      </c>
      <c r="M2976">
        <v>70.897000000000006</v>
      </c>
      <c r="N2976">
        <v>27.53</v>
      </c>
    </row>
    <row r="2977" spans="1:14" x14ac:dyDescent="0.45">
      <c r="A2977">
        <v>1994</v>
      </c>
      <c r="B2977" t="s">
        <v>195</v>
      </c>
      <c r="C2977">
        <v>0</v>
      </c>
      <c r="D2977">
        <v>0</v>
      </c>
      <c r="E2977">
        <v>1</v>
      </c>
      <c r="F2977">
        <v>0</v>
      </c>
      <c r="G2977">
        <v>0</v>
      </c>
      <c r="H2977">
        <v>0</v>
      </c>
      <c r="I2977">
        <v>0</v>
      </c>
      <c r="J2977">
        <v>1291.68161029002</v>
      </c>
      <c r="K2977">
        <v>1026.67011525669</v>
      </c>
      <c r="L2977">
        <v>84.308999999999997</v>
      </c>
      <c r="M2977">
        <v>44.585999999999999</v>
      </c>
      <c r="N2977">
        <v>295.73700000000002</v>
      </c>
    </row>
    <row r="2978" spans="1:14" x14ac:dyDescent="0.45">
      <c r="A2978">
        <v>1994</v>
      </c>
      <c r="B2978" t="s">
        <v>196</v>
      </c>
      <c r="C2978">
        <v>0</v>
      </c>
      <c r="D2978">
        <v>0</v>
      </c>
      <c r="E2978">
        <v>1</v>
      </c>
      <c r="F2978">
        <v>0</v>
      </c>
      <c r="G2978">
        <v>0</v>
      </c>
      <c r="H2978">
        <v>0</v>
      </c>
      <c r="I2978">
        <v>0</v>
      </c>
      <c r="J2978">
        <v>3317.80739433689</v>
      </c>
      <c r="K2978">
        <v>2933.3889040056702</v>
      </c>
      <c r="L2978">
        <v>68.308999999999997</v>
      </c>
      <c r="M2978">
        <v>45.747999999999998</v>
      </c>
      <c r="N2978">
        <v>205.083</v>
      </c>
    </row>
    <row r="2979" spans="1:14" x14ac:dyDescent="0.45">
      <c r="A2979">
        <v>1994</v>
      </c>
      <c r="B2979" t="s">
        <v>197</v>
      </c>
      <c r="C2979">
        <v>0</v>
      </c>
      <c r="D2979">
        <v>1</v>
      </c>
      <c r="E2979">
        <v>0</v>
      </c>
      <c r="F2979">
        <v>0</v>
      </c>
      <c r="G2979">
        <v>0</v>
      </c>
      <c r="H2979">
        <v>0</v>
      </c>
      <c r="I2979">
        <v>0</v>
      </c>
      <c r="J2979">
        <v>3979.9853369726102</v>
      </c>
      <c r="K2979">
        <v>3352.2029528763401</v>
      </c>
      <c r="L2979">
        <v>45.817</v>
      </c>
      <c r="M2979">
        <v>64.549000000000007</v>
      </c>
      <c r="N2979">
        <v>56.226999999999997</v>
      </c>
    </row>
    <row r="2980" spans="1:14" x14ac:dyDescent="0.45">
      <c r="A2980">
        <v>1994</v>
      </c>
      <c r="B2980" t="s">
        <v>198</v>
      </c>
      <c r="C2980">
        <v>1</v>
      </c>
      <c r="D2980">
        <v>0</v>
      </c>
      <c r="E2980">
        <v>0</v>
      </c>
      <c r="F2980">
        <v>0</v>
      </c>
      <c r="G2980">
        <v>0</v>
      </c>
      <c r="H2980">
        <v>1</v>
      </c>
      <c r="I2980">
        <v>1</v>
      </c>
      <c r="J2980">
        <v>45532.804525384898</v>
      </c>
      <c r="K2980">
        <v>38436.199347827001</v>
      </c>
      <c r="L2980">
        <v>28.038</v>
      </c>
      <c r="M2980">
        <v>77.518000000000001</v>
      </c>
      <c r="N2980">
        <v>6.851</v>
      </c>
    </row>
    <row r="2981" spans="1:14" x14ac:dyDescent="0.45">
      <c r="A2981">
        <v>1994</v>
      </c>
      <c r="B2981" t="s">
        <v>199</v>
      </c>
      <c r="C2981">
        <v>1</v>
      </c>
      <c r="D2981">
        <v>0</v>
      </c>
      <c r="E2981">
        <v>0</v>
      </c>
      <c r="F2981">
        <v>0</v>
      </c>
      <c r="G2981">
        <v>0</v>
      </c>
      <c r="H2981">
        <v>1</v>
      </c>
      <c r="I2981">
        <v>1</v>
      </c>
      <c r="J2981">
        <v>64432.072371696901</v>
      </c>
      <c r="K2981">
        <v>47608.059787582199</v>
      </c>
      <c r="L2981">
        <v>26.547000000000001</v>
      </c>
      <c r="M2981">
        <v>77.772999999999996</v>
      </c>
      <c r="N2981">
        <v>6.3650000000000002</v>
      </c>
    </row>
    <row r="2982" spans="1:14" x14ac:dyDescent="0.45">
      <c r="A2982">
        <v>1994</v>
      </c>
      <c r="B2982" t="s">
        <v>200</v>
      </c>
      <c r="C2982">
        <v>0</v>
      </c>
      <c r="D2982">
        <v>0</v>
      </c>
      <c r="E2982">
        <v>0</v>
      </c>
      <c r="F2982">
        <v>0</v>
      </c>
      <c r="G2982">
        <v>0</v>
      </c>
      <c r="H2982">
        <v>0</v>
      </c>
      <c r="I2982">
        <v>0</v>
      </c>
      <c r="J2982">
        <v>2023.1151968215499</v>
      </c>
      <c r="K2982">
        <v>1791.0778891180501</v>
      </c>
      <c r="L2982">
        <v>89.566999999999993</v>
      </c>
      <c r="M2982">
        <v>58.631</v>
      </c>
      <c r="N2982">
        <v>111.55800000000001</v>
      </c>
    </row>
    <row r="2983" spans="1:14" x14ac:dyDescent="0.45">
      <c r="A2983">
        <v>1994</v>
      </c>
      <c r="B2983" t="s">
        <v>201</v>
      </c>
      <c r="C2983">
        <v>0</v>
      </c>
      <c r="D2983">
        <v>0</v>
      </c>
      <c r="E2983">
        <v>0</v>
      </c>
      <c r="F2983">
        <v>0</v>
      </c>
      <c r="G2983">
        <v>0</v>
      </c>
      <c r="H2983">
        <v>1</v>
      </c>
      <c r="I2983">
        <v>1</v>
      </c>
      <c r="J2983">
        <v>15860.346621345399</v>
      </c>
      <c r="K2983">
        <v>14349.1802401489</v>
      </c>
      <c r="L2983">
        <v>0</v>
      </c>
      <c r="M2983">
        <v>59.954000000000001</v>
      </c>
      <c r="N2983">
        <v>54.704999999999998</v>
      </c>
    </row>
    <row r="2984" spans="1:14" x14ac:dyDescent="0.45">
      <c r="A2984">
        <v>1994</v>
      </c>
      <c r="B2984" t="s">
        <v>202</v>
      </c>
      <c r="C2984">
        <v>0</v>
      </c>
      <c r="D2984">
        <v>0</v>
      </c>
      <c r="E2984">
        <v>0</v>
      </c>
      <c r="F2984">
        <v>0</v>
      </c>
      <c r="G2984">
        <v>0</v>
      </c>
      <c r="H2984">
        <v>1</v>
      </c>
      <c r="I2984">
        <v>1</v>
      </c>
      <c r="J2984">
        <v>31574.3568979925</v>
      </c>
      <c r="K2984">
        <v>28718.519466542701</v>
      </c>
      <c r="L2984">
        <v>14.596</v>
      </c>
      <c r="M2984">
        <v>76.918000000000006</v>
      </c>
      <c r="N2984">
        <v>8.57</v>
      </c>
    </row>
    <row r="2985" spans="1:14" x14ac:dyDescent="0.45">
      <c r="A2985">
        <v>1994</v>
      </c>
      <c r="B2985" t="s">
        <v>203</v>
      </c>
      <c r="C2985">
        <v>0</v>
      </c>
      <c r="D2985">
        <v>0</v>
      </c>
      <c r="E2985">
        <v>0</v>
      </c>
      <c r="F2985">
        <v>0</v>
      </c>
      <c r="G2985">
        <v>1</v>
      </c>
      <c r="H2985">
        <v>0</v>
      </c>
      <c r="I2985">
        <v>0</v>
      </c>
      <c r="J2985">
        <v>37782.723828978</v>
      </c>
      <c r="K2985">
        <v>32830.186542687901</v>
      </c>
      <c r="L2985">
        <v>28.312000000000001</v>
      </c>
      <c r="M2985">
        <v>71.072000000000003</v>
      </c>
      <c r="N2985">
        <v>26.888999999999999</v>
      </c>
    </row>
    <row r="2986" spans="1:14" x14ac:dyDescent="0.45">
      <c r="A2986">
        <v>1994</v>
      </c>
      <c r="B2986" t="s">
        <v>204</v>
      </c>
      <c r="C2986">
        <v>0</v>
      </c>
      <c r="D2986">
        <v>0</v>
      </c>
      <c r="E2986">
        <v>0</v>
      </c>
      <c r="F2986">
        <v>0</v>
      </c>
      <c r="G2986">
        <v>0</v>
      </c>
      <c r="H2986">
        <v>0</v>
      </c>
      <c r="I2986">
        <v>0</v>
      </c>
      <c r="J2986">
        <v>3395.5043206753899</v>
      </c>
      <c r="K2986">
        <v>3232.1764208172599</v>
      </c>
      <c r="L2986">
        <v>68.418000000000006</v>
      </c>
      <c r="M2986">
        <v>60.197000000000003</v>
      </c>
      <c r="N2986">
        <v>127.76</v>
      </c>
    </row>
    <row r="2987" spans="1:14" x14ac:dyDescent="0.45">
      <c r="A2987">
        <v>1994</v>
      </c>
      <c r="B2987" t="s">
        <v>205</v>
      </c>
      <c r="C2987">
        <v>0</v>
      </c>
      <c r="D2987">
        <v>1</v>
      </c>
      <c r="E2987">
        <v>0</v>
      </c>
      <c r="F2987">
        <v>1</v>
      </c>
      <c r="G2987">
        <v>0</v>
      </c>
      <c r="H2987">
        <v>0</v>
      </c>
      <c r="I2987">
        <v>0</v>
      </c>
      <c r="J2987">
        <v>13389.874236198701</v>
      </c>
      <c r="K2987">
        <v>14040.3279702317</v>
      </c>
      <c r="L2987">
        <v>42.698999999999998</v>
      </c>
      <c r="M2987">
        <v>71.942999999999998</v>
      </c>
      <c r="N2987">
        <v>28.321999999999999</v>
      </c>
    </row>
    <row r="2988" spans="1:14" x14ac:dyDescent="0.45">
      <c r="A2988">
        <v>1994</v>
      </c>
      <c r="B2988" t="s">
        <v>206</v>
      </c>
      <c r="C2988">
        <v>0</v>
      </c>
      <c r="D2988">
        <v>1</v>
      </c>
      <c r="E2988">
        <v>0</v>
      </c>
      <c r="F2988">
        <v>1</v>
      </c>
      <c r="G2988">
        <v>0</v>
      </c>
      <c r="H2988">
        <v>0</v>
      </c>
      <c r="I2988">
        <v>0</v>
      </c>
      <c r="J2988">
        <v>6997.7058237320698</v>
      </c>
      <c r="K2988">
        <v>5847.1725875928196</v>
      </c>
      <c r="L2988">
        <v>29.478999999999999</v>
      </c>
      <c r="M2988">
        <v>66.543999999999997</v>
      </c>
      <c r="N2988">
        <v>61.72</v>
      </c>
    </row>
    <row r="2989" spans="1:14" x14ac:dyDescent="0.45">
      <c r="A2989">
        <v>1994</v>
      </c>
      <c r="B2989" t="s">
        <v>207</v>
      </c>
      <c r="C2989">
        <v>0</v>
      </c>
      <c r="D2989">
        <v>0</v>
      </c>
      <c r="E2989">
        <v>0</v>
      </c>
      <c r="F2989">
        <v>1</v>
      </c>
      <c r="G2989">
        <v>0</v>
      </c>
      <c r="H2989">
        <v>0</v>
      </c>
      <c r="I2989">
        <v>0</v>
      </c>
      <c r="J2989">
        <v>4374.0672165116503</v>
      </c>
      <c r="K2989">
        <v>3961.15778114656</v>
      </c>
      <c r="L2989">
        <v>53.354999999999997</v>
      </c>
      <c r="M2989">
        <v>66</v>
      </c>
      <c r="N2989">
        <v>46.134999999999998</v>
      </c>
    </row>
    <row r="2990" spans="1:14" x14ac:dyDescent="0.45">
      <c r="A2990">
        <v>1994</v>
      </c>
      <c r="B2990" t="s">
        <v>208</v>
      </c>
      <c r="C2990">
        <v>0</v>
      </c>
      <c r="D2990">
        <v>0</v>
      </c>
      <c r="E2990">
        <v>0</v>
      </c>
      <c r="F2990">
        <v>0</v>
      </c>
      <c r="G2990">
        <v>1</v>
      </c>
      <c r="H2990">
        <v>0</v>
      </c>
      <c r="I2990">
        <v>0</v>
      </c>
      <c r="J2990">
        <v>15000.6678108703</v>
      </c>
      <c r="K2990">
        <v>13571.411223200501</v>
      </c>
      <c r="L2990">
        <v>28.931000000000001</v>
      </c>
      <c r="M2990">
        <v>63.103999999999999</v>
      </c>
      <c r="N2990">
        <v>32.204999999999998</v>
      </c>
    </row>
    <row r="2991" spans="1:14" x14ac:dyDescent="0.45">
      <c r="A2991">
        <v>1994</v>
      </c>
      <c r="B2991" t="s">
        <v>209</v>
      </c>
      <c r="C2991">
        <v>0</v>
      </c>
      <c r="D2991">
        <v>0</v>
      </c>
      <c r="E2991">
        <v>0</v>
      </c>
      <c r="F2991">
        <v>1</v>
      </c>
      <c r="G2991">
        <v>0</v>
      </c>
      <c r="H2991">
        <v>0</v>
      </c>
      <c r="I2991">
        <v>0</v>
      </c>
      <c r="J2991">
        <v>4297.8911618291804</v>
      </c>
      <c r="K2991">
        <v>3887.8781295745998</v>
      </c>
      <c r="L2991">
        <v>85.738</v>
      </c>
      <c r="M2991">
        <v>60.725999999999999</v>
      </c>
      <c r="N2991">
        <v>79.024000000000001</v>
      </c>
    </row>
    <row r="2992" spans="1:14" x14ac:dyDescent="0.45">
      <c r="A2992">
        <v>1994</v>
      </c>
      <c r="B2992" t="s">
        <v>210</v>
      </c>
      <c r="C2992">
        <v>1</v>
      </c>
      <c r="D2992">
        <v>0</v>
      </c>
      <c r="E2992">
        <v>0</v>
      </c>
      <c r="F2992">
        <v>1</v>
      </c>
      <c r="G2992">
        <v>0</v>
      </c>
      <c r="H2992">
        <v>0</v>
      </c>
      <c r="I2992">
        <v>0</v>
      </c>
      <c r="J2992">
        <v>13200.161416495101</v>
      </c>
      <c r="K2992">
        <v>11393.997368455701</v>
      </c>
      <c r="L2992">
        <v>38.551000000000002</v>
      </c>
      <c r="M2992">
        <v>71.683000000000007</v>
      </c>
      <c r="N2992">
        <v>16.388000000000002</v>
      </c>
    </row>
    <row r="2993" spans="1:14" x14ac:dyDescent="0.45">
      <c r="A2993">
        <v>1994</v>
      </c>
      <c r="B2993" t="s">
        <v>211</v>
      </c>
      <c r="C2993">
        <v>0</v>
      </c>
      <c r="D2993">
        <v>1</v>
      </c>
      <c r="E2993">
        <v>0</v>
      </c>
      <c r="F2993">
        <v>0</v>
      </c>
      <c r="G2993">
        <v>1</v>
      </c>
      <c r="H2993">
        <v>0</v>
      </c>
      <c r="I2993">
        <v>0</v>
      </c>
      <c r="J2993">
        <v>30225.780760262802</v>
      </c>
      <c r="K2993">
        <v>23220.675926995202</v>
      </c>
      <c r="L2993">
        <v>6.4219999999999997</v>
      </c>
      <c r="M2993">
        <v>73.622</v>
      </c>
      <c r="N2993">
        <v>18.143999999999998</v>
      </c>
    </row>
    <row r="2994" spans="1:14" x14ac:dyDescent="0.45">
      <c r="A2994">
        <v>1994</v>
      </c>
      <c r="B2994" t="s">
        <v>212</v>
      </c>
      <c r="C2994">
        <v>0</v>
      </c>
      <c r="D2994">
        <v>0</v>
      </c>
      <c r="E2994">
        <v>0</v>
      </c>
      <c r="F2994">
        <v>1</v>
      </c>
      <c r="G2994">
        <v>0</v>
      </c>
      <c r="H2994">
        <v>0</v>
      </c>
      <c r="I2994">
        <v>0</v>
      </c>
      <c r="L2994">
        <v>41.061</v>
      </c>
      <c r="M2994">
        <v>70.471999999999994</v>
      </c>
      <c r="N2994">
        <v>42.628</v>
      </c>
    </row>
    <row r="2995" spans="1:14" x14ac:dyDescent="0.45">
      <c r="A2995">
        <v>1994</v>
      </c>
      <c r="B2995" t="s">
        <v>213</v>
      </c>
      <c r="C2995">
        <v>1</v>
      </c>
      <c r="D2995">
        <v>0</v>
      </c>
      <c r="E2995">
        <v>0</v>
      </c>
      <c r="F2995">
        <v>0</v>
      </c>
      <c r="G2995">
        <v>0</v>
      </c>
      <c r="H2995">
        <v>1</v>
      </c>
      <c r="I2995">
        <v>1</v>
      </c>
      <c r="J2995">
        <v>28348.865760377401</v>
      </c>
      <c r="K2995">
        <v>24504.280293352502</v>
      </c>
      <c r="L2995">
        <v>49.551000000000002</v>
      </c>
      <c r="M2995">
        <v>75.73</v>
      </c>
      <c r="N2995">
        <v>9.9640000000000004</v>
      </c>
    </row>
    <row r="2996" spans="1:14" x14ac:dyDescent="0.45">
      <c r="A2996">
        <v>1994</v>
      </c>
      <c r="B2996" t="s">
        <v>214</v>
      </c>
      <c r="C2996">
        <v>0</v>
      </c>
      <c r="D2996">
        <v>1</v>
      </c>
      <c r="E2996">
        <v>0</v>
      </c>
      <c r="F2996">
        <v>1</v>
      </c>
      <c r="G2996">
        <v>0</v>
      </c>
      <c r="H2996">
        <v>0</v>
      </c>
      <c r="I2996">
        <v>0</v>
      </c>
      <c r="J2996">
        <v>10459.0898500479</v>
      </c>
      <c r="K2996">
        <v>9542.2359396623706</v>
      </c>
      <c r="L2996">
        <v>48.512</v>
      </c>
      <c r="M2996">
        <v>68.504000000000005</v>
      </c>
      <c r="N2996">
        <v>39.908999999999999</v>
      </c>
    </row>
    <row r="2997" spans="1:14" x14ac:dyDescent="0.45">
      <c r="A2997">
        <v>1994</v>
      </c>
      <c r="B2997" t="s">
        <v>215</v>
      </c>
      <c r="C2997">
        <v>0</v>
      </c>
      <c r="D2997">
        <v>0</v>
      </c>
      <c r="E2997">
        <v>0</v>
      </c>
      <c r="F2997">
        <v>1</v>
      </c>
      <c r="G2997">
        <v>0</v>
      </c>
      <c r="H2997">
        <v>0</v>
      </c>
      <c r="I2997">
        <v>0</v>
      </c>
      <c r="J2997">
        <v>3966.68875052152</v>
      </c>
      <c r="K2997">
        <v>3382.3354742563201</v>
      </c>
      <c r="L2997">
        <v>30.276</v>
      </c>
      <c r="M2997">
        <v>69.328000000000003</v>
      </c>
      <c r="N2997">
        <v>37.597000000000001</v>
      </c>
    </row>
    <row r="2998" spans="1:14" x14ac:dyDescent="0.45">
      <c r="A2998">
        <v>1994</v>
      </c>
      <c r="B2998" t="s">
        <v>216</v>
      </c>
      <c r="C2998">
        <v>0</v>
      </c>
      <c r="D2998">
        <v>0</v>
      </c>
      <c r="E2998">
        <v>0</v>
      </c>
      <c r="F2998">
        <v>0</v>
      </c>
      <c r="G2998">
        <v>0</v>
      </c>
      <c r="H2998">
        <v>1</v>
      </c>
      <c r="I2998">
        <v>1</v>
      </c>
      <c r="L2998">
        <v>43.119</v>
      </c>
      <c r="M2998">
        <v>75.650000000000006</v>
      </c>
      <c r="N2998">
        <v>15.920999999999999</v>
      </c>
    </row>
    <row r="2999" spans="1:14" x14ac:dyDescent="0.45">
      <c r="A2999">
        <v>1994</v>
      </c>
      <c r="B2999" t="s">
        <v>217</v>
      </c>
      <c r="C2999">
        <v>0</v>
      </c>
      <c r="D2999">
        <v>0</v>
      </c>
      <c r="E2999">
        <v>0</v>
      </c>
      <c r="F2999">
        <v>0</v>
      </c>
      <c r="G2999">
        <v>0</v>
      </c>
      <c r="H2999">
        <v>1</v>
      </c>
      <c r="I2999">
        <v>1</v>
      </c>
      <c r="J2999">
        <v>69119.951583530506</v>
      </c>
      <c r="K2999">
        <v>59684.930410309498</v>
      </c>
      <c r="L2999">
        <v>5.3860000000000001</v>
      </c>
      <c r="M2999">
        <v>74.245000000000005</v>
      </c>
      <c r="N2999">
        <v>16.27</v>
      </c>
    </row>
    <row r="3000" spans="1:14" x14ac:dyDescent="0.45">
      <c r="A3000">
        <v>1994</v>
      </c>
      <c r="B3000" t="s">
        <v>218</v>
      </c>
      <c r="C3000">
        <v>1</v>
      </c>
      <c r="D3000">
        <v>0</v>
      </c>
      <c r="E3000">
        <v>0</v>
      </c>
      <c r="F3000">
        <v>1</v>
      </c>
      <c r="G3000">
        <v>0</v>
      </c>
      <c r="H3000">
        <v>0</v>
      </c>
      <c r="I3000">
        <v>0</v>
      </c>
      <c r="J3000">
        <v>13961.2744894139</v>
      </c>
      <c r="K3000">
        <v>11348.227420249699</v>
      </c>
      <c r="L3000">
        <v>46.078000000000003</v>
      </c>
      <c r="M3000">
        <v>69.325999999999993</v>
      </c>
      <c r="N3000">
        <v>28.939</v>
      </c>
    </row>
    <row r="3001" spans="1:14" x14ac:dyDescent="0.45">
      <c r="A3001">
        <v>1994</v>
      </c>
      <c r="B3001" t="s">
        <v>219</v>
      </c>
      <c r="C3001">
        <v>1</v>
      </c>
      <c r="D3001">
        <v>0</v>
      </c>
      <c r="E3001">
        <v>0</v>
      </c>
      <c r="F3001">
        <v>1</v>
      </c>
      <c r="G3001">
        <v>0</v>
      </c>
      <c r="H3001">
        <v>0</v>
      </c>
      <c r="I3001">
        <v>0</v>
      </c>
      <c r="J3001">
        <v>19153.36328125</v>
      </c>
      <c r="K3001">
        <v>13880.464632818301</v>
      </c>
      <c r="L3001">
        <v>26.623999999999999</v>
      </c>
      <c r="M3001">
        <v>63.822000000000003</v>
      </c>
      <c r="N3001">
        <v>23.071999999999999</v>
      </c>
    </row>
    <row r="3002" spans="1:14" x14ac:dyDescent="0.45">
      <c r="A3002">
        <v>1994</v>
      </c>
      <c r="B3002" t="s">
        <v>220</v>
      </c>
      <c r="C3002">
        <v>0</v>
      </c>
      <c r="D3002">
        <v>0</v>
      </c>
      <c r="E3002">
        <v>1</v>
      </c>
      <c r="F3002">
        <v>0</v>
      </c>
      <c r="G3002">
        <v>0</v>
      </c>
      <c r="H3002">
        <v>0</v>
      </c>
      <c r="I3002">
        <v>0</v>
      </c>
      <c r="J3002">
        <v>575.36754849102203</v>
      </c>
      <c r="K3002">
        <v>481.498552193347</v>
      </c>
      <c r="L3002">
        <v>91.51</v>
      </c>
      <c r="M3002">
        <v>12.157999999999999</v>
      </c>
      <c r="N3002">
        <v>363.93299999999999</v>
      </c>
    </row>
    <row r="3003" spans="1:14" x14ac:dyDescent="0.45">
      <c r="A3003">
        <v>1994</v>
      </c>
      <c r="B3003" t="s">
        <v>221</v>
      </c>
      <c r="C3003">
        <v>0</v>
      </c>
      <c r="D3003">
        <v>0</v>
      </c>
      <c r="E3003">
        <v>0</v>
      </c>
      <c r="F3003">
        <v>0</v>
      </c>
      <c r="G3003">
        <v>1</v>
      </c>
      <c r="H3003">
        <v>0</v>
      </c>
      <c r="I3003">
        <v>0</v>
      </c>
      <c r="J3003">
        <v>62403.693732012202</v>
      </c>
      <c r="K3003">
        <v>57210.336072929902</v>
      </c>
      <c r="L3003">
        <v>21.571000000000002</v>
      </c>
      <c r="M3003">
        <v>70.587000000000003</v>
      </c>
      <c r="N3003">
        <v>32.997999999999998</v>
      </c>
    </row>
    <row r="3004" spans="1:14" x14ac:dyDescent="0.45">
      <c r="A3004">
        <v>1994</v>
      </c>
      <c r="B3004" t="s">
        <v>222</v>
      </c>
      <c r="C3004">
        <v>0</v>
      </c>
      <c r="D3004">
        <v>0</v>
      </c>
      <c r="E3004">
        <v>1</v>
      </c>
      <c r="F3004">
        <v>0</v>
      </c>
      <c r="G3004">
        <v>0</v>
      </c>
      <c r="H3004">
        <v>0</v>
      </c>
      <c r="I3004">
        <v>0</v>
      </c>
      <c r="J3004">
        <v>2736.47192382813</v>
      </c>
      <c r="K3004">
        <v>2865.44697444138</v>
      </c>
      <c r="L3004">
        <v>67.820999999999998</v>
      </c>
      <c r="M3004">
        <v>57.021999999999998</v>
      </c>
      <c r="N3004">
        <v>121.69799999999999</v>
      </c>
    </row>
    <row r="3005" spans="1:14" x14ac:dyDescent="0.45">
      <c r="A3005">
        <v>1994</v>
      </c>
      <c r="B3005" t="s">
        <v>223</v>
      </c>
      <c r="C3005">
        <v>0</v>
      </c>
      <c r="D3005">
        <v>0</v>
      </c>
      <c r="E3005">
        <v>1</v>
      </c>
      <c r="F3005">
        <v>0</v>
      </c>
      <c r="G3005">
        <v>0</v>
      </c>
      <c r="H3005">
        <v>0</v>
      </c>
      <c r="I3005">
        <v>0</v>
      </c>
      <c r="J3005">
        <v>2757.86087513844</v>
      </c>
      <c r="K3005">
        <v>2304.0245562299301</v>
      </c>
      <c r="L3005">
        <v>60.536000000000001</v>
      </c>
      <c r="M3005">
        <v>57.478999999999999</v>
      </c>
      <c r="N3005">
        <v>137.989</v>
      </c>
    </row>
    <row r="3006" spans="1:14" x14ac:dyDescent="0.45">
      <c r="A3006">
        <v>1994</v>
      </c>
      <c r="B3006" t="s">
        <v>224</v>
      </c>
      <c r="C3006">
        <v>0</v>
      </c>
      <c r="D3006">
        <v>0</v>
      </c>
      <c r="E3006">
        <v>0</v>
      </c>
      <c r="F3006">
        <v>0</v>
      </c>
      <c r="G3006">
        <v>0</v>
      </c>
      <c r="H3006">
        <v>1</v>
      </c>
      <c r="I3006">
        <v>1</v>
      </c>
      <c r="J3006">
        <v>57213.097764580103</v>
      </c>
      <c r="K3006">
        <v>47031.301164168501</v>
      </c>
      <c r="L3006">
        <v>0</v>
      </c>
      <c r="M3006">
        <v>75.626999999999995</v>
      </c>
      <c r="N3006">
        <v>5.452</v>
      </c>
    </row>
    <row r="3007" spans="1:14" x14ac:dyDescent="0.45">
      <c r="A3007">
        <v>1994</v>
      </c>
      <c r="B3007" t="s">
        <v>225</v>
      </c>
      <c r="C3007">
        <v>0</v>
      </c>
      <c r="D3007">
        <v>0</v>
      </c>
      <c r="E3007">
        <v>0</v>
      </c>
      <c r="F3007">
        <v>1</v>
      </c>
      <c r="G3007">
        <v>0</v>
      </c>
      <c r="H3007">
        <v>0</v>
      </c>
      <c r="I3007">
        <v>0</v>
      </c>
      <c r="J3007">
        <v>2802.2569779406899</v>
      </c>
      <c r="K3007">
        <v>2534.8458890213301</v>
      </c>
      <c r="L3007">
        <v>85.537999999999997</v>
      </c>
      <c r="M3007">
        <v>66.661000000000001</v>
      </c>
      <c r="N3007">
        <v>34.503</v>
      </c>
    </row>
    <row r="3008" spans="1:14" x14ac:dyDescent="0.45">
      <c r="A3008">
        <v>1994</v>
      </c>
      <c r="B3008" t="s">
        <v>226</v>
      </c>
      <c r="C3008">
        <v>0</v>
      </c>
      <c r="D3008">
        <v>0</v>
      </c>
      <c r="E3008">
        <v>1</v>
      </c>
      <c r="F3008">
        <v>0</v>
      </c>
      <c r="G3008">
        <v>0</v>
      </c>
      <c r="H3008">
        <v>0</v>
      </c>
      <c r="I3008">
        <v>0</v>
      </c>
      <c r="J3008">
        <v>2242.3055000689001</v>
      </c>
      <c r="K3008">
        <v>2035.2747350787299</v>
      </c>
      <c r="L3008">
        <v>65.808000000000007</v>
      </c>
      <c r="M3008">
        <v>42.808</v>
      </c>
      <c r="N3008">
        <v>252.78200000000001</v>
      </c>
    </row>
    <row r="3009" spans="1:14" x14ac:dyDescent="0.45">
      <c r="A3009">
        <v>1994</v>
      </c>
      <c r="B3009" t="s">
        <v>227</v>
      </c>
      <c r="C3009">
        <v>0</v>
      </c>
      <c r="D3009">
        <v>1</v>
      </c>
      <c r="E3009">
        <v>0</v>
      </c>
      <c r="F3009">
        <v>1</v>
      </c>
      <c r="G3009">
        <v>0</v>
      </c>
      <c r="H3009">
        <v>0</v>
      </c>
      <c r="I3009">
        <v>0</v>
      </c>
      <c r="J3009">
        <v>6795.5060889719198</v>
      </c>
      <c r="K3009">
        <v>6053.0997355761601</v>
      </c>
      <c r="L3009">
        <v>47.295999999999999</v>
      </c>
      <c r="M3009">
        <v>64.47</v>
      </c>
      <c r="N3009">
        <v>48.453000000000003</v>
      </c>
    </row>
    <row r="3010" spans="1:14" x14ac:dyDescent="0.45">
      <c r="A3010">
        <v>1994</v>
      </c>
      <c r="B3010" t="s">
        <v>228</v>
      </c>
      <c r="C3010">
        <v>1</v>
      </c>
      <c r="D3010">
        <v>0</v>
      </c>
      <c r="E3010">
        <v>0</v>
      </c>
      <c r="F3010">
        <v>0</v>
      </c>
      <c r="G3010">
        <v>0</v>
      </c>
      <c r="H3010">
        <v>1</v>
      </c>
      <c r="I3010">
        <v>1</v>
      </c>
      <c r="L3010">
        <v>8.7390000000000008</v>
      </c>
      <c r="M3010">
        <v>78.67</v>
      </c>
      <c r="N3010">
        <v>8.8290000000000006</v>
      </c>
    </row>
    <row r="3011" spans="1:14" x14ac:dyDescent="0.45">
      <c r="A3011">
        <v>1994</v>
      </c>
      <c r="B3011" t="s">
        <v>229</v>
      </c>
      <c r="C3011">
        <v>0</v>
      </c>
      <c r="D3011">
        <v>0</v>
      </c>
      <c r="E3011">
        <v>1</v>
      </c>
      <c r="F3011">
        <v>0</v>
      </c>
      <c r="G3011">
        <v>0</v>
      </c>
      <c r="H3011">
        <v>0</v>
      </c>
      <c r="I3011">
        <v>0</v>
      </c>
      <c r="J3011">
        <v>634.49999032239202</v>
      </c>
      <c r="K3011">
        <v>588.52049376213597</v>
      </c>
      <c r="L3011">
        <v>68.933000000000007</v>
      </c>
      <c r="M3011">
        <v>50.302999999999997</v>
      </c>
      <c r="N3011">
        <v>174.44800000000001</v>
      </c>
    </row>
    <row r="3012" spans="1:14" x14ac:dyDescent="0.45">
      <c r="A3012">
        <v>1994</v>
      </c>
      <c r="B3012" t="s">
        <v>230</v>
      </c>
      <c r="C3012">
        <v>1</v>
      </c>
      <c r="D3012">
        <v>0</v>
      </c>
      <c r="E3012">
        <v>0</v>
      </c>
      <c r="F3012">
        <v>1</v>
      </c>
      <c r="G3012">
        <v>0</v>
      </c>
      <c r="H3012">
        <v>0</v>
      </c>
      <c r="I3012">
        <v>0</v>
      </c>
      <c r="L3012">
        <v>48.572000000000003</v>
      </c>
      <c r="M3012">
        <v>72.304000000000002</v>
      </c>
      <c r="N3012">
        <v>16.606999999999999</v>
      </c>
    </row>
    <row r="3013" spans="1:14" x14ac:dyDescent="0.45">
      <c r="A3013">
        <v>1994</v>
      </c>
      <c r="B3013" t="s">
        <v>231</v>
      </c>
      <c r="C3013">
        <v>0</v>
      </c>
      <c r="D3013">
        <v>0</v>
      </c>
      <c r="E3013">
        <v>1</v>
      </c>
      <c r="F3013">
        <v>1</v>
      </c>
      <c r="G3013">
        <v>0</v>
      </c>
      <c r="H3013">
        <v>0</v>
      </c>
      <c r="I3013">
        <v>0</v>
      </c>
      <c r="L3013">
        <v>84.251000000000005</v>
      </c>
      <c r="M3013">
        <v>44.857999999999997</v>
      </c>
      <c r="N3013">
        <v>227.56100000000001</v>
      </c>
    </row>
    <row r="3014" spans="1:14" x14ac:dyDescent="0.45">
      <c r="A3014">
        <v>1994</v>
      </c>
      <c r="B3014" t="s">
        <v>232</v>
      </c>
      <c r="C3014">
        <v>0</v>
      </c>
      <c r="D3014">
        <v>0</v>
      </c>
      <c r="E3014">
        <v>1</v>
      </c>
      <c r="F3014">
        <v>0</v>
      </c>
      <c r="G3014">
        <v>0</v>
      </c>
      <c r="H3014">
        <v>0</v>
      </c>
      <c r="I3014">
        <v>0</v>
      </c>
      <c r="J3014">
        <v>3788.4837044215201</v>
      </c>
      <c r="K3014">
        <v>2357.89270902209</v>
      </c>
      <c r="L3014">
        <v>52.326999999999998</v>
      </c>
      <c r="M3014">
        <v>60.552</v>
      </c>
      <c r="N3014">
        <v>103.386</v>
      </c>
    </row>
    <row r="3015" spans="1:14" x14ac:dyDescent="0.45">
      <c r="A3015">
        <v>1994</v>
      </c>
      <c r="B3015" t="s">
        <v>233</v>
      </c>
      <c r="C3015">
        <v>0</v>
      </c>
      <c r="D3015">
        <v>1</v>
      </c>
      <c r="E3015">
        <v>0</v>
      </c>
      <c r="F3015">
        <v>1</v>
      </c>
      <c r="G3015">
        <v>0</v>
      </c>
      <c r="H3015">
        <v>0</v>
      </c>
      <c r="I3015">
        <v>0</v>
      </c>
      <c r="J3015">
        <v>16648.534525893301</v>
      </c>
      <c r="K3015">
        <v>13251.8942915645</v>
      </c>
      <c r="L3015">
        <v>33.997999999999998</v>
      </c>
      <c r="M3015">
        <v>62.542000000000002</v>
      </c>
      <c r="N3015">
        <v>38.841000000000001</v>
      </c>
    </row>
    <row r="3016" spans="1:14" x14ac:dyDescent="0.45">
      <c r="A3016">
        <v>1994</v>
      </c>
      <c r="B3016" t="s">
        <v>234</v>
      </c>
      <c r="C3016">
        <v>1</v>
      </c>
      <c r="D3016">
        <v>0</v>
      </c>
      <c r="E3016">
        <v>0</v>
      </c>
      <c r="F3016">
        <v>1</v>
      </c>
      <c r="G3016">
        <v>0</v>
      </c>
      <c r="H3016">
        <v>0</v>
      </c>
      <c r="I3016">
        <v>0</v>
      </c>
      <c r="J3016">
        <v>14976.5480168138</v>
      </c>
      <c r="K3016">
        <v>12899.043725645701</v>
      </c>
      <c r="L3016">
        <v>43.402000000000001</v>
      </c>
      <c r="M3016">
        <v>72.328999999999994</v>
      </c>
      <c r="N3016">
        <v>12.339</v>
      </c>
    </row>
    <row r="3017" spans="1:14" x14ac:dyDescent="0.45">
      <c r="A3017">
        <v>1994</v>
      </c>
      <c r="B3017" t="s">
        <v>235</v>
      </c>
      <c r="C3017">
        <v>1</v>
      </c>
      <c r="D3017">
        <v>0</v>
      </c>
      <c r="E3017">
        <v>0</v>
      </c>
      <c r="F3017">
        <v>0</v>
      </c>
      <c r="G3017">
        <v>1</v>
      </c>
      <c r="H3017">
        <v>0</v>
      </c>
      <c r="I3017">
        <v>0</v>
      </c>
      <c r="J3017">
        <v>23753.948886967501</v>
      </c>
      <c r="K3017">
        <v>20447.510642020199</v>
      </c>
      <c r="L3017">
        <v>49.404000000000003</v>
      </c>
      <c r="M3017">
        <v>73.906000000000006</v>
      </c>
      <c r="N3017">
        <v>7.5940000000000003</v>
      </c>
    </row>
    <row r="3018" spans="1:14" x14ac:dyDescent="0.45">
      <c r="A3018">
        <v>1994</v>
      </c>
      <c r="B3018" t="s">
        <v>236</v>
      </c>
      <c r="C3018">
        <v>1</v>
      </c>
      <c r="D3018">
        <v>0</v>
      </c>
      <c r="E3018">
        <v>0</v>
      </c>
      <c r="F3018">
        <v>0</v>
      </c>
      <c r="G3018">
        <v>0</v>
      </c>
      <c r="H3018">
        <v>1</v>
      </c>
      <c r="I3018">
        <v>1</v>
      </c>
      <c r="J3018">
        <v>39006.3031724307</v>
      </c>
      <c r="K3018">
        <v>33319.903908680397</v>
      </c>
      <c r="L3018">
        <v>16.329000000000001</v>
      </c>
      <c r="M3018">
        <v>78.747</v>
      </c>
      <c r="N3018">
        <v>5.165</v>
      </c>
    </row>
    <row r="3019" spans="1:14" x14ac:dyDescent="0.45">
      <c r="A3019">
        <v>1994</v>
      </c>
      <c r="B3019" t="s">
        <v>237</v>
      </c>
      <c r="C3019">
        <v>0</v>
      </c>
      <c r="D3019">
        <v>0</v>
      </c>
      <c r="E3019">
        <v>1</v>
      </c>
      <c r="F3019">
        <v>1</v>
      </c>
      <c r="G3019">
        <v>0</v>
      </c>
      <c r="H3019">
        <v>0</v>
      </c>
      <c r="I3019">
        <v>0</v>
      </c>
      <c r="J3019">
        <v>5501.6308287789398</v>
      </c>
      <c r="K3019">
        <v>4871.6951067776499</v>
      </c>
      <c r="L3019">
        <v>78.143000000000001</v>
      </c>
      <c r="M3019">
        <v>56.643000000000001</v>
      </c>
      <c r="N3019">
        <v>79.997</v>
      </c>
    </row>
    <row r="3020" spans="1:14" x14ac:dyDescent="0.45">
      <c r="A3020">
        <v>1994</v>
      </c>
      <c r="B3020" t="s">
        <v>238</v>
      </c>
      <c r="C3020">
        <v>0</v>
      </c>
      <c r="D3020">
        <v>1</v>
      </c>
      <c r="E3020">
        <v>0</v>
      </c>
      <c r="F3020">
        <v>0</v>
      </c>
      <c r="G3020">
        <v>0</v>
      </c>
      <c r="H3020">
        <v>1</v>
      </c>
      <c r="I3020">
        <v>1</v>
      </c>
      <c r="L3020">
        <v>0</v>
      </c>
      <c r="M3020">
        <v>72.596999999999994</v>
      </c>
      <c r="N3020">
        <v>24.606999999999999</v>
      </c>
    </row>
    <row r="3021" spans="1:14" x14ac:dyDescent="0.45">
      <c r="A3021">
        <v>1994</v>
      </c>
      <c r="B3021" t="s">
        <v>239</v>
      </c>
      <c r="C3021">
        <v>0</v>
      </c>
      <c r="D3021">
        <v>0</v>
      </c>
      <c r="E3021">
        <v>1</v>
      </c>
      <c r="F3021">
        <v>0</v>
      </c>
      <c r="G3021">
        <v>1</v>
      </c>
      <c r="H3021">
        <v>0</v>
      </c>
      <c r="I3021">
        <v>0</v>
      </c>
      <c r="J3021">
        <v>16716.520718892301</v>
      </c>
      <c r="K3021">
        <v>16229.232133388199</v>
      </c>
      <c r="L3021">
        <v>50.475000000000001</v>
      </c>
      <c r="M3021">
        <v>70.504000000000005</v>
      </c>
      <c r="N3021">
        <v>14.709</v>
      </c>
    </row>
    <row r="3022" spans="1:14" x14ac:dyDescent="0.45">
      <c r="A3022">
        <v>1994</v>
      </c>
      <c r="B3022" t="s">
        <v>240</v>
      </c>
      <c r="C3022">
        <v>0</v>
      </c>
      <c r="D3022">
        <v>0</v>
      </c>
      <c r="E3022">
        <v>0</v>
      </c>
      <c r="F3022">
        <v>1</v>
      </c>
      <c r="G3022">
        <v>0</v>
      </c>
      <c r="H3022">
        <v>0</v>
      </c>
      <c r="I3022">
        <v>0</v>
      </c>
      <c r="J3022">
        <v>7142.9538014731397</v>
      </c>
      <c r="K3022">
        <v>4685.2593186799804</v>
      </c>
      <c r="L3022">
        <v>50.235999999999997</v>
      </c>
      <c r="M3022">
        <v>70.296000000000006</v>
      </c>
      <c r="N3022">
        <v>30.678000000000001</v>
      </c>
    </row>
    <row r="3023" spans="1:14" x14ac:dyDescent="0.45">
      <c r="A3023">
        <v>1994</v>
      </c>
      <c r="B3023" t="s">
        <v>241</v>
      </c>
      <c r="C3023">
        <v>0</v>
      </c>
      <c r="D3023">
        <v>1</v>
      </c>
      <c r="E3023">
        <v>0</v>
      </c>
      <c r="F3023">
        <v>0</v>
      </c>
      <c r="G3023">
        <v>0</v>
      </c>
      <c r="H3023">
        <v>1</v>
      </c>
      <c r="I3023">
        <v>1</v>
      </c>
      <c r="L3023">
        <v>21.111999999999998</v>
      </c>
      <c r="M3023">
        <v>71.575000000000003</v>
      </c>
      <c r="N3023">
        <v>14.733000000000001</v>
      </c>
    </row>
    <row r="3024" spans="1:14" x14ac:dyDescent="0.45">
      <c r="A3024">
        <v>1994</v>
      </c>
      <c r="B3024" t="s">
        <v>242</v>
      </c>
      <c r="C3024">
        <v>0</v>
      </c>
      <c r="D3024">
        <v>0</v>
      </c>
      <c r="E3024">
        <v>1</v>
      </c>
      <c r="F3024">
        <v>0</v>
      </c>
      <c r="G3024">
        <v>0</v>
      </c>
      <c r="H3024">
        <v>0</v>
      </c>
      <c r="I3024">
        <v>0</v>
      </c>
      <c r="J3024">
        <v>1636.44349089105</v>
      </c>
      <c r="K3024">
        <v>1374.6717366175301</v>
      </c>
      <c r="L3024">
        <v>78.56</v>
      </c>
      <c r="M3024">
        <v>47.08</v>
      </c>
      <c r="N3024">
        <v>201.73</v>
      </c>
    </row>
    <row r="3025" spans="1:14" x14ac:dyDescent="0.45">
      <c r="A3025">
        <v>1994</v>
      </c>
      <c r="B3025" t="s">
        <v>243</v>
      </c>
      <c r="C3025">
        <v>0</v>
      </c>
      <c r="D3025">
        <v>0</v>
      </c>
      <c r="E3025">
        <v>1</v>
      </c>
      <c r="F3025">
        <v>0</v>
      </c>
      <c r="G3025">
        <v>0</v>
      </c>
      <c r="H3025">
        <v>0</v>
      </c>
      <c r="I3025">
        <v>0</v>
      </c>
      <c r="J3025">
        <v>1913.7183509075201</v>
      </c>
      <c r="K3025">
        <v>1590.3721792701899</v>
      </c>
      <c r="L3025">
        <v>69.724999999999994</v>
      </c>
      <c r="M3025">
        <v>53.707000000000001</v>
      </c>
      <c r="N3025">
        <v>138.834</v>
      </c>
    </row>
    <row r="3026" spans="1:14" x14ac:dyDescent="0.45">
      <c r="A3026">
        <v>1994</v>
      </c>
      <c r="B3026" t="s">
        <v>244</v>
      </c>
      <c r="C3026">
        <v>0</v>
      </c>
      <c r="D3026">
        <v>0</v>
      </c>
      <c r="E3026">
        <v>0</v>
      </c>
      <c r="F3026">
        <v>1</v>
      </c>
      <c r="G3026">
        <v>0</v>
      </c>
      <c r="H3026">
        <v>0</v>
      </c>
      <c r="I3026">
        <v>0</v>
      </c>
      <c r="J3026">
        <v>11215.0366594606</v>
      </c>
      <c r="K3026">
        <v>9807.85320538632</v>
      </c>
      <c r="L3026">
        <v>69.894999999999996</v>
      </c>
      <c r="M3026">
        <v>69.661000000000001</v>
      </c>
      <c r="N3026">
        <v>29.692</v>
      </c>
    </row>
    <row r="3027" spans="1:14" x14ac:dyDescent="0.45">
      <c r="A3027">
        <v>1994</v>
      </c>
      <c r="B3027" t="s">
        <v>245</v>
      </c>
      <c r="C3027">
        <v>1</v>
      </c>
      <c r="D3027">
        <v>0</v>
      </c>
      <c r="E3027">
        <v>0</v>
      </c>
      <c r="F3027">
        <v>0</v>
      </c>
      <c r="G3027">
        <v>0</v>
      </c>
      <c r="H3027">
        <v>0</v>
      </c>
      <c r="I3027">
        <v>0</v>
      </c>
      <c r="J3027">
        <v>1678.33851733918</v>
      </c>
      <c r="K3027">
        <v>1528.5219694881901</v>
      </c>
      <c r="L3027">
        <v>70.578999999999994</v>
      </c>
      <c r="M3027">
        <v>60.093000000000004</v>
      </c>
      <c r="N3027">
        <v>110.22</v>
      </c>
    </row>
    <row r="3028" spans="1:14" x14ac:dyDescent="0.45">
      <c r="A3028">
        <v>1994</v>
      </c>
      <c r="B3028" t="s">
        <v>246</v>
      </c>
      <c r="C3028">
        <v>1</v>
      </c>
      <c r="D3028">
        <v>0</v>
      </c>
      <c r="E3028">
        <v>0</v>
      </c>
      <c r="F3028">
        <v>1</v>
      </c>
      <c r="G3028">
        <v>0</v>
      </c>
      <c r="H3028">
        <v>0</v>
      </c>
      <c r="I3028">
        <v>0</v>
      </c>
      <c r="J3028">
        <v>4929.73395133335</v>
      </c>
      <c r="K3028">
        <v>4639.9588781800603</v>
      </c>
      <c r="L3028">
        <v>55.265999999999998</v>
      </c>
      <c r="M3028">
        <v>63.515000000000001</v>
      </c>
      <c r="N3028">
        <v>78.406000000000006</v>
      </c>
    </row>
    <row r="3029" spans="1:14" x14ac:dyDescent="0.45">
      <c r="A3029">
        <v>1994</v>
      </c>
      <c r="B3029" t="s">
        <v>247</v>
      </c>
      <c r="C3029">
        <v>0</v>
      </c>
      <c r="D3029">
        <v>0</v>
      </c>
      <c r="E3029">
        <v>0</v>
      </c>
      <c r="F3029">
        <v>0</v>
      </c>
      <c r="G3029">
        <v>0</v>
      </c>
      <c r="H3029">
        <v>0</v>
      </c>
      <c r="I3029">
        <v>0</v>
      </c>
      <c r="J3029">
        <v>2788.0085218296799</v>
      </c>
      <c r="K3029">
        <v>2249.5399292833099</v>
      </c>
      <c r="L3029">
        <v>77.801000000000002</v>
      </c>
      <c r="M3029">
        <v>47.860999999999997</v>
      </c>
      <c r="N3029">
        <v>195.50200000000001</v>
      </c>
    </row>
    <row r="3030" spans="1:14" x14ac:dyDescent="0.45">
      <c r="A3030">
        <v>1994</v>
      </c>
      <c r="B3030" t="s">
        <v>248</v>
      </c>
      <c r="C3030">
        <v>0</v>
      </c>
      <c r="D3030">
        <v>0</v>
      </c>
      <c r="E3030">
        <v>0</v>
      </c>
      <c r="F3030">
        <v>1</v>
      </c>
      <c r="G3030">
        <v>0</v>
      </c>
      <c r="H3030">
        <v>0</v>
      </c>
      <c r="I3030">
        <v>0</v>
      </c>
      <c r="J3030">
        <v>5188.4395519550299</v>
      </c>
      <c r="K3030">
        <v>4696.73772739173</v>
      </c>
      <c r="L3030">
        <v>77.168000000000006</v>
      </c>
      <c r="M3030">
        <v>68.370999999999995</v>
      </c>
      <c r="N3030">
        <v>19.597999999999999</v>
      </c>
    </row>
    <row r="3031" spans="1:14" x14ac:dyDescent="0.45">
      <c r="A3031">
        <v>1994</v>
      </c>
      <c r="B3031" t="s">
        <v>249</v>
      </c>
      <c r="C3031">
        <v>0</v>
      </c>
      <c r="D3031">
        <v>1</v>
      </c>
      <c r="E3031">
        <v>0</v>
      </c>
      <c r="F3031">
        <v>0</v>
      </c>
      <c r="G3031">
        <v>1</v>
      </c>
      <c r="H3031">
        <v>0</v>
      </c>
      <c r="I3031">
        <v>0</v>
      </c>
      <c r="J3031">
        <v>13490.0319893796</v>
      </c>
      <c r="K3031">
        <v>11258.686606804</v>
      </c>
      <c r="L3031">
        <v>45.143000000000001</v>
      </c>
      <c r="M3031">
        <v>67.837000000000003</v>
      </c>
      <c r="N3031">
        <v>28.687999999999999</v>
      </c>
    </row>
    <row r="3032" spans="1:14" x14ac:dyDescent="0.45">
      <c r="A3032">
        <v>1994</v>
      </c>
      <c r="B3032" t="s">
        <v>250</v>
      </c>
      <c r="C3032">
        <v>0</v>
      </c>
      <c r="D3032">
        <v>0</v>
      </c>
      <c r="E3032">
        <v>0</v>
      </c>
      <c r="F3032">
        <v>1</v>
      </c>
      <c r="G3032">
        <v>0</v>
      </c>
      <c r="H3032">
        <v>0</v>
      </c>
      <c r="I3032">
        <v>0</v>
      </c>
      <c r="J3032">
        <v>7350.6479317213698</v>
      </c>
      <c r="K3032">
        <v>6405.9668847074499</v>
      </c>
      <c r="L3032">
        <v>38.921999999999997</v>
      </c>
      <c r="M3032">
        <v>70.363</v>
      </c>
      <c r="N3032">
        <v>44.533000000000001</v>
      </c>
    </row>
    <row r="3033" spans="1:14" x14ac:dyDescent="0.45">
      <c r="A3033">
        <v>1994</v>
      </c>
      <c r="B3033" t="s">
        <v>251</v>
      </c>
      <c r="C3033">
        <v>1</v>
      </c>
      <c r="D3033">
        <v>0</v>
      </c>
      <c r="E3033">
        <v>0</v>
      </c>
      <c r="F3033">
        <v>1</v>
      </c>
      <c r="G3033">
        <v>0</v>
      </c>
      <c r="H3033">
        <v>0</v>
      </c>
      <c r="I3033">
        <v>0</v>
      </c>
      <c r="J3033">
        <v>12166.785853834201</v>
      </c>
      <c r="K3033">
        <v>12199.3339587559</v>
      </c>
      <c r="L3033">
        <v>38.409999999999997</v>
      </c>
      <c r="M3033">
        <v>69.402000000000001</v>
      </c>
      <c r="N3033">
        <v>57.250999999999998</v>
      </c>
    </row>
    <row r="3034" spans="1:14" x14ac:dyDescent="0.45">
      <c r="A3034">
        <v>1994</v>
      </c>
      <c r="B3034" t="s">
        <v>252</v>
      </c>
      <c r="C3034">
        <v>0</v>
      </c>
      <c r="D3034">
        <v>0</v>
      </c>
      <c r="E3034">
        <v>0</v>
      </c>
      <c r="F3034">
        <v>1</v>
      </c>
      <c r="G3034">
        <v>0</v>
      </c>
      <c r="H3034">
        <v>0</v>
      </c>
      <c r="I3034">
        <v>0</v>
      </c>
      <c r="J3034">
        <v>3487.03357118243</v>
      </c>
      <c r="K3034">
        <v>3154.5603185396699</v>
      </c>
      <c r="L3034">
        <v>56.436999999999998</v>
      </c>
      <c r="M3034">
        <v>62.317</v>
      </c>
      <c r="N3034">
        <v>50.048999999999999</v>
      </c>
    </row>
    <row r="3035" spans="1:14" x14ac:dyDescent="0.45">
      <c r="A3035">
        <v>1994</v>
      </c>
      <c r="B3035" t="s">
        <v>253</v>
      </c>
      <c r="C3035">
        <v>0</v>
      </c>
      <c r="D3035">
        <v>0</v>
      </c>
      <c r="E3035">
        <v>0</v>
      </c>
      <c r="F3035">
        <v>0</v>
      </c>
      <c r="G3035">
        <v>0</v>
      </c>
      <c r="H3035">
        <v>1</v>
      </c>
      <c r="I3035">
        <v>1</v>
      </c>
      <c r="L3035">
        <v>69.975999999999999</v>
      </c>
      <c r="M3035">
        <v>74.703999999999994</v>
      </c>
      <c r="N3035">
        <v>8.7789999999999999</v>
      </c>
    </row>
    <row r="3036" spans="1:14" x14ac:dyDescent="0.45">
      <c r="A3036">
        <v>1994</v>
      </c>
      <c r="B3036" t="s">
        <v>254</v>
      </c>
      <c r="C3036">
        <v>0</v>
      </c>
      <c r="D3036">
        <v>0</v>
      </c>
      <c r="E3036">
        <v>1</v>
      </c>
      <c r="F3036">
        <v>0</v>
      </c>
      <c r="G3036">
        <v>0</v>
      </c>
      <c r="H3036">
        <v>0</v>
      </c>
      <c r="I3036">
        <v>0</v>
      </c>
      <c r="J3036">
        <v>1679.66235351563</v>
      </c>
      <c r="K3036">
        <v>1251.12461628336</v>
      </c>
      <c r="L3036">
        <v>79.796999999999997</v>
      </c>
      <c r="M3036">
        <v>51.076999999999998</v>
      </c>
      <c r="N3036">
        <v>157.697</v>
      </c>
    </row>
    <row r="3037" spans="1:14" x14ac:dyDescent="0.45">
      <c r="A3037">
        <v>1994</v>
      </c>
      <c r="B3037" t="s">
        <v>255</v>
      </c>
      <c r="C3037">
        <v>0</v>
      </c>
      <c r="D3037">
        <v>0</v>
      </c>
      <c r="E3037">
        <v>1</v>
      </c>
      <c r="F3037">
        <v>0</v>
      </c>
      <c r="G3037">
        <v>0</v>
      </c>
      <c r="H3037">
        <v>0</v>
      </c>
      <c r="I3037">
        <v>0</v>
      </c>
      <c r="J3037">
        <v>1187.3678054173399</v>
      </c>
      <c r="K3037">
        <v>1007.24951234279</v>
      </c>
      <c r="L3037">
        <v>87.515000000000001</v>
      </c>
      <c r="M3037">
        <v>47.674999999999997</v>
      </c>
      <c r="N3037">
        <v>167.803</v>
      </c>
    </row>
    <row r="3038" spans="1:14" x14ac:dyDescent="0.45">
      <c r="A3038">
        <v>1994</v>
      </c>
      <c r="B3038" t="s">
        <v>256</v>
      </c>
      <c r="C3038">
        <v>1</v>
      </c>
      <c r="D3038">
        <v>0</v>
      </c>
      <c r="E3038">
        <v>0</v>
      </c>
      <c r="F3038">
        <v>1</v>
      </c>
      <c r="G3038">
        <v>0</v>
      </c>
      <c r="H3038">
        <v>0</v>
      </c>
      <c r="I3038">
        <v>0</v>
      </c>
      <c r="J3038">
        <v>12410.525390625</v>
      </c>
      <c r="K3038">
        <v>8777.7850680653992</v>
      </c>
      <c r="L3038">
        <v>33.088000000000001</v>
      </c>
      <c r="M3038">
        <v>67.534000000000006</v>
      </c>
      <c r="N3038">
        <v>18.561</v>
      </c>
    </row>
    <row r="3039" spans="1:14" x14ac:dyDescent="0.45">
      <c r="A3039">
        <v>1994</v>
      </c>
      <c r="B3039" t="s">
        <v>257</v>
      </c>
      <c r="C3039">
        <v>0</v>
      </c>
      <c r="D3039">
        <v>1</v>
      </c>
      <c r="E3039">
        <v>0</v>
      </c>
      <c r="F3039">
        <v>0</v>
      </c>
      <c r="G3039">
        <v>1</v>
      </c>
      <c r="H3039">
        <v>0</v>
      </c>
      <c r="I3039">
        <v>0</v>
      </c>
      <c r="J3039">
        <v>16932.028455054598</v>
      </c>
      <c r="K3039">
        <v>13429.952949856901</v>
      </c>
      <c r="L3039">
        <v>9.7550000000000008</v>
      </c>
      <c r="M3039">
        <v>73.162000000000006</v>
      </c>
      <c r="N3039">
        <v>22.306000000000001</v>
      </c>
    </row>
    <row r="3040" spans="1:14" x14ac:dyDescent="0.45">
      <c r="A3040">
        <v>1994</v>
      </c>
      <c r="B3040" t="s">
        <v>258</v>
      </c>
      <c r="C3040">
        <v>0</v>
      </c>
      <c r="D3040">
        <v>0</v>
      </c>
      <c r="E3040">
        <v>0</v>
      </c>
      <c r="F3040">
        <v>0</v>
      </c>
      <c r="G3040">
        <v>0</v>
      </c>
      <c r="H3040">
        <v>1</v>
      </c>
      <c r="I3040">
        <v>1</v>
      </c>
      <c r="J3040">
        <v>46537.357146063303</v>
      </c>
      <c r="K3040">
        <v>42240.777372615703</v>
      </c>
      <c r="L3040">
        <v>23.125</v>
      </c>
      <c r="M3040">
        <v>75.738</v>
      </c>
      <c r="N3040">
        <v>9.9139999999999997</v>
      </c>
    </row>
    <row r="3041" spans="1:14" x14ac:dyDescent="0.45">
      <c r="A3041">
        <v>1994</v>
      </c>
      <c r="B3041" t="s">
        <v>259</v>
      </c>
      <c r="C3041">
        <v>1</v>
      </c>
      <c r="D3041">
        <v>0</v>
      </c>
      <c r="E3041">
        <v>0</v>
      </c>
      <c r="F3041">
        <v>1</v>
      </c>
      <c r="G3041">
        <v>0</v>
      </c>
      <c r="H3041">
        <v>0</v>
      </c>
      <c r="I3041">
        <v>0</v>
      </c>
      <c r="J3041">
        <v>3142.4328796299401</v>
      </c>
      <c r="K3041">
        <v>3052.9898185399002</v>
      </c>
      <c r="L3041">
        <v>56.744999999999997</v>
      </c>
      <c r="M3041">
        <v>64.680999999999997</v>
      </c>
      <c r="N3041">
        <v>69.209000000000003</v>
      </c>
    </row>
    <row r="3042" spans="1:14" x14ac:dyDescent="0.45">
      <c r="A3042">
        <v>1994</v>
      </c>
      <c r="B3042" t="s">
        <v>260</v>
      </c>
      <c r="C3042">
        <v>0</v>
      </c>
      <c r="D3042">
        <v>1</v>
      </c>
      <c r="E3042">
        <v>0</v>
      </c>
      <c r="F3042">
        <v>1</v>
      </c>
      <c r="G3042">
        <v>0</v>
      </c>
      <c r="H3042">
        <v>0</v>
      </c>
      <c r="I3042">
        <v>0</v>
      </c>
      <c r="J3042">
        <v>8189.8436271109804</v>
      </c>
      <c r="K3042">
        <v>7157.6053875293301</v>
      </c>
      <c r="L3042">
        <v>56.978999999999999</v>
      </c>
      <c r="M3042">
        <v>70.602000000000004</v>
      </c>
      <c r="N3042">
        <v>22.725000000000001</v>
      </c>
    </row>
    <row r="3043" spans="1:14" x14ac:dyDescent="0.45">
      <c r="A3043">
        <v>1994</v>
      </c>
      <c r="B3043" t="s">
        <v>261</v>
      </c>
      <c r="C3043">
        <v>0</v>
      </c>
      <c r="D3043">
        <v>1</v>
      </c>
      <c r="E3043">
        <v>0</v>
      </c>
      <c r="F3043">
        <v>1</v>
      </c>
      <c r="G3043">
        <v>0</v>
      </c>
      <c r="H3043">
        <v>0</v>
      </c>
      <c r="I3043">
        <v>0</v>
      </c>
      <c r="L3043">
        <v>14.314</v>
      </c>
      <c r="M3043">
        <v>71.283000000000001</v>
      </c>
      <c r="N3043">
        <v>26.693000000000001</v>
      </c>
    </row>
    <row r="3044" spans="1:14" x14ac:dyDescent="0.45">
      <c r="A3044">
        <v>1994</v>
      </c>
      <c r="B3044" t="s">
        <v>262</v>
      </c>
      <c r="C3044">
        <v>0</v>
      </c>
      <c r="D3044">
        <v>1</v>
      </c>
      <c r="E3044">
        <v>0</v>
      </c>
      <c r="F3044">
        <v>0</v>
      </c>
      <c r="G3044">
        <v>0</v>
      </c>
      <c r="H3044">
        <v>1</v>
      </c>
      <c r="I3044">
        <v>1</v>
      </c>
      <c r="L3044">
        <v>59.857999999999997</v>
      </c>
      <c r="M3044">
        <v>73.793999999999997</v>
      </c>
      <c r="N3044">
        <v>19.713000000000001</v>
      </c>
    </row>
    <row r="3045" spans="1:14" x14ac:dyDescent="0.45">
      <c r="A3045">
        <v>1994</v>
      </c>
      <c r="B3045" t="s">
        <v>263</v>
      </c>
      <c r="C3045">
        <v>0</v>
      </c>
      <c r="D3045">
        <v>1</v>
      </c>
      <c r="E3045">
        <v>0</v>
      </c>
      <c r="F3045">
        <v>0</v>
      </c>
      <c r="G3045">
        <v>0</v>
      </c>
      <c r="H3045">
        <v>1</v>
      </c>
      <c r="I3045">
        <v>1</v>
      </c>
      <c r="L3045">
        <v>10.066000000000001</v>
      </c>
      <c r="M3045">
        <v>71.239999999999995</v>
      </c>
      <c r="N3045">
        <v>15.071999999999999</v>
      </c>
    </row>
    <row r="3046" spans="1:14" x14ac:dyDescent="0.45">
      <c r="A3046">
        <v>1994</v>
      </c>
      <c r="B3046" t="s">
        <v>264</v>
      </c>
      <c r="C3046">
        <v>0</v>
      </c>
      <c r="D3046">
        <v>0</v>
      </c>
      <c r="E3046">
        <v>0</v>
      </c>
      <c r="F3046">
        <v>0</v>
      </c>
      <c r="G3046">
        <v>0</v>
      </c>
      <c r="H3046">
        <v>0</v>
      </c>
      <c r="I3046">
        <v>0</v>
      </c>
      <c r="J3046">
        <v>3089.60933725631</v>
      </c>
      <c r="K3046">
        <v>2753.0980204461498</v>
      </c>
      <c r="L3046">
        <v>78.225999999999999</v>
      </c>
      <c r="M3046">
        <v>70.379000000000005</v>
      </c>
      <c r="N3046">
        <v>41.616999999999997</v>
      </c>
    </row>
    <row r="3047" spans="1:14" x14ac:dyDescent="0.45">
      <c r="A3047">
        <v>1994</v>
      </c>
      <c r="B3047" t="s">
        <v>265</v>
      </c>
      <c r="C3047">
        <v>0</v>
      </c>
      <c r="D3047">
        <v>0</v>
      </c>
      <c r="E3047">
        <v>0</v>
      </c>
      <c r="F3047">
        <v>1</v>
      </c>
      <c r="G3047">
        <v>0</v>
      </c>
      <c r="H3047">
        <v>0</v>
      </c>
      <c r="I3047">
        <v>0</v>
      </c>
      <c r="J3047">
        <v>3269.6283308298598</v>
      </c>
      <c r="K3047">
        <v>2957.71018870118</v>
      </c>
      <c r="L3047">
        <v>80.132000000000005</v>
      </c>
      <c r="M3047">
        <v>67.983999999999995</v>
      </c>
      <c r="N3047">
        <v>32.436</v>
      </c>
    </row>
    <row r="3048" spans="1:14" x14ac:dyDescent="0.45">
      <c r="A3048">
        <v>1994</v>
      </c>
      <c r="B3048" t="s">
        <v>266</v>
      </c>
      <c r="C3048">
        <v>0</v>
      </c>
      <c r="D3048">
        <v>0</v>
      </c>
      <c r="E3048">
        <v>0</v>
      </c>
      <c r="F3048">
        <v>1</v>
      </c>
      <c r="G3048">
        <v>0</v>
      </c>
      <c r="H3048">
        <v>0</v>
      </c>
      <c r="I3048">
        <v>0</v>
      </c>
      <c r="J3048">
        <v>3854.0394061977199</v>
      </c>
      <c r="K3048">
        <v>3486.3692340449102</v>
      </c>
      <c r="L3048">
        <v>78.563999999999993</v>
      </c>
      <c r="M3048">
        <v>69.162000000000006</v>
      </c>
      <c r="N3048">
        <v>26.125</v>
      </c>
    </row>
    <row r="3049" spans="1:14" x14ac:dyDescent="0.45">
      <c r="A3049">
        <v>1994</v>
      </c>
      <c r="B3049" t="s">
        <v>267</v>
      </c>
      <c r="C3049">
        <v>1</v>
      </c>
      <c r="D3049">
        <v>0</v>
      </c>
      <c r="E3049">
        <v>0</v>
      </c>
      <c r="F3049">
        <v>1</v>
      </c>
      <c r="G3049">
        <v>0</v>
      </c>
      <c r="H3049">
        <v>0</v>
      </c>
      <c r="I3049">
        <v>0</v>
      </c>
      <c r="L3049">
        <v>48.572000000000003</v>
      </c>
      <c r="M3049">
        <v>68.594999999999999</v>
      </c>
      <c r="N3049">
        <v>78.182000000000002</v>
      </c>
    </row>
    <row r="3050" spans="1:14" x14ac:dyDescent="0.45">
      <c r="A3050">
        <v>1994</v>
      </c>
      <c r="B3050" t="s">
        <v>268</v>
      </c>
      <c r="C3050">
        <v>0</v>
      </c>
      <c r="D3050">
        <v>0</v>
      </c>
      <c r="E3050">
        <v>0</v>
      </c>
      <c r="F3050">
        <v>0</v>
      </c>
      <c r="G3050">
        <v>0</v>
      </c>
      <c r="H3050">
        <v>0</v>
      </c>
      <c r="I3050">
        <v>0</v>
      </c>
      <c r="L3050">
        <v>76.775000000000006</v>
      </c>
      <c r="M3050">
        <v>59.828000000000003</v>
      </c>
      <c r="N3050">
        <v>113.202</v>
      </c>
    </row>
    <row r="3051" spans="1:14" x14ac:dyDescent="0.45">
      <c r="A3051">
        <v>1994</v>
      </c>
      <c r="B3051" t="s">
        <v>269</v>
      </c>
      <c r="C3051">
        <v>0</v>
      </c>
      <c r="D3051">
        <v>0</v>
      </c>
      <c r="E3051">
        <v>1</v>
      </c>
      <c r="F3051">
        <v>0</v>
      </c>
      <c r="G3051">
        <v>1</v>
      </c>
      <c r="H3051">
        <v>0</v>
      </c>
      <c r="I3051">
        <v>0</v>
      </c>
      <c r="J3051">
        <v>10143.206282626999</v>
      </c>
      <c r="K3051">
        <v>9550.2459376920797</v>
      </c>
      <c r="L3051">
        <v>45.996000000000002</v>
      </c>
      <c r="M3051">
        <v>62.069000000000003</v>
      </c>
      <c r="N3051">
        <v>61.302</v>
      </c>
    </row>
    <row r="3052" spans="1:14" x14ac:dyDescent="0.45">
      <c r="A3052">
        <v>1994</v>
      </c>
      <c r="B3052" t="s">
        <v>270</v>
      </c>
      <c r="C3052">
        <v>0</v>
      </c>
      <c r="D3052">
        <v>0</v>
      </c>
      <c r="E3052">
        <v>1</v>
      </c>
      <c r="F3052">
        <v>0</v>
      </c>
      <c r="G3052">
        <v>0</v>
      </c>
      <c r="H3052">
        <v>0</v>
      </c>
      <c r="I3052">
        <v>0</v>
      </c>
      <c r="J3052">
        <v>2110.5832556481</v>
      </c>
      <c r="K3052">
        <v>1981.5364271589101</v>
      </c>
      <c r="L3052">
        <v>62.427999999999997</v>
      </c>
      <c r="M3052">
        <v>46.344000000000001</v>
      </c>
      <c r="N3052">
        <v>177.93899999999999</v>
      </c>
    </row>
    <row r="3053" spans="1:14" x14ac:dyDescent="0.45">
      <c r="A3053">
        <v>1994</v>
      </c>
      <c r="B3053" t="s">
        <v>271</v>
      </c>
      <c r="C3053">
        <v>0</v>
      </c>
      <c r="D3053">
        <v>0</v>
      </c>
      <c r="E3053">
        <v>1</v>
      </c>
      <c r="F3053">
        <v>0</v>
      </c>
      <c r="G3053">
        <v>0</v>
      </c>
      <c r="H3053">
        <v>0</v>
      </c>
      <c r="I3053">
        <v>0</v>
      </c>
      <c r="J3053">
        <v>3965.72786218069</v>
      </c>
      <c r="K3053">
        <v>2640.5239299783102</v>
      </c>
      <c r="L3053">
        <v>68.665000000000006</v>
      </c>
      <c r="M3053">
        <v>52.536999999999999</v>
      </c>
      <c r="N3053">
        <v>93.876999999999995</v>
      </c>
    </row>
    <row r="3054" spans="1:14" x14ac:dyDescent="0.45">
      <c r="A3054">
        <v>1995</v>
      </c>
      <c r="B3054" t="s">
        <v>54</v>
      </c>
      <c r="C3054">
        <v>0</v>
      </c>
      <c r="D3054">
        <v>1</v>
      </c>
      <c r="E3054">
        <v>0</v>
      </c>
      <c r="F3054">
        <v>0</v>
      </c>
      <c r="G3054">
        <v>0</v>
      </c>
      <c r="H3054">
        <v>1</v>
      </c>
      <c r="I3054">
        <v>1</v>
      </c>
      <c r="J3054">
        <v>37009.647972884602</v>
      </c>
      <c r="K3054">
        <v>36018.0595368184</v>
      </c>
      <c r="L3054">
        <v>51.232999999999997</v>
      </c>
      <c r="M3054">
        <v>72.831999999999994</v>
      </c>
      <c r="N3054">
        <v>21.82</v>
      </c>
    </row>
    <row r="3055" spans="1:14" x14ac:dyDescent="0.45">
      <c r="A3055">
        <v>1995</v>
      </c>
      <c r="B3055" t="s">
        <v>55</v>
      </c>
      <c r="C3055">
        <v>0</v>
      </c>
      <c r="D3055">
        <v>0</v>
      </c>
      <c r="E3055">
        <v>0</v>
      </c>
      <c r="F3055">
        <v>0</v>
      </c>
      <c r="G3055">
        <v>0</v>
      </c>
      <c r="H3055">
        <v>0</v>
      </c>
      <c r="I3055">
        <v>0</v>
      </c>
      <c r="L3055">
        <v>78.376000000000005</v>
      </c>
      <c r="M3055">
        <v>52.103000000000002</v>
      </c>
      <c r="N3055">
        <v>153.947</v>
      </c>
    </row>
    <row r="3056" spans="1:14" x14ac:dyDescent="0.45">
      <c r="A3056">
        <v>1995</v>
      </c>
      <c r="B3056" t="s">
        <v>56</v>
      </c>
      <c r="C3056">
        <v>0</v>
      </c>
      <c r="D3056">
        <v>0</v>
      </c>
      <c r="E3056">
        <v>1</v>
      </c>
      <c r="F3056">
        <v>0</v>
      </c>
      <c r="G3056">
        <v>0</v>
      </c>
      <c r="H3056">
        <v>0</v>
      </c>
      <c r="I3056">
        <v>0</v>
      </c>
      <c r="J3056">
        <v>5284.70313321921</v>
      </c>
      <c r="K3056">
        <v>4086.92937185546</v>
      </c>
      <c r="L3056">
        <v>55.831000000000003</v>
      </c>
      <c r="M3056">
        <v>46.139000000000003</v>
      </c>
      <c r="N3056">
        <v>219.059</v>
      </c>
    </row>
    <row r="3057" spans="1:14" x14ac:dyDescent="0.45">
      <c r="A3057">
        <v>1995</v>
      </c>
      <c r="B3057" t="s">
        <v>57</v>
      </c>
      <c r="C3057">
        <v>1</v>
      </c>
      <c r="D3057">
        <v>0</v>
      </c>
      <c r="E3057">
        <v>0</v>
      </c>
      <c r="F3057">
        <v>0</v>
      </c>
      <c r="G3057">
        <v>0</v>
      </c>
      <c r="H3057">
        <v>0</v>
      </c>
      <c r="I3057">
        <v>0</v>
      </c>
      <c r="J3057">
        <v>5151.1019254577704</v>
      </c>
      <c r="K3057">
        <v>4666.6620753821098</v>
      </c>
      <c r="L3057">
        <v>61.088999999999999</v>
      </c>
      <c r="M3057">
        <v>74.022000000000006</v>
      </c>
      <c r="N3057">
        <v>33.625</v>
      </c>
    </row>
    <row r="3058" spans="1:14" x14ac:dyDescent="0.45">
      <c r="A3058">
        <v>1995</v>
      </c>
      <c r="B3058" t="s">
        <v>58</v>
      </c>
      <c r="C3058">
        <v>1</v>
      </c>
      <c r="D3058">
        <v>0</v>
      </c>
      <c r="E3058">
        <v>0</v>
      </c>
      <c r="F3058">
        <v>0</v>
      </c>
      <c r="G3058">
        <v>0</v>
      </c>
      <c r="H3058">
        <v>1</v>
      </c>
      <c r="I3058">
        <v>1</v>
      </c>
      <c r="J3058">
        <v>44375.024723815899</v>
      </c>
      <c r="K3058">
        <v>37249.444492372102</v>
      </c>
      <c r="L3058">
        <v>6.3390000000000004</v>
      </c>
      <c r="M3058">
        <v>80.804000000000002</v>
      </c>
      <c r="N3058">
        <v>8.516</v>
      </c>
    </row>
    <row r="3059" spans="1:14" x14ac:dyDescent="0.45">
      <c r="A3059">
        <v>1995</v>
      </c>
      <c r="B3059" t="s">
        <v>59</v>
      </c>
      <c r="C3059">
        <v>0</v>
      </c>
      <c r="D3059">
        <v>0</v>
      </c>
      <c r="E3059">
        <v>0</v>
      </c>
      <c r="F3059">
        <v>0</v>
      </c>
      <c r="G3059">
        <v>0</v>
      </c>
      <c r="H3059">
        <v>1</v>
      </c>
      <c r="I3059">
        <v>1</v>
      </c>
      <c r="J3059">
        <v>101412.082061076</v>
      </c>
      <c r="K3059">
        <v>100191.961885428</v>
      </c>
      <c r="L3059">
        <v>21.681000000000001</v>
      </c>
      <c r="M3059">
        <v>71.391999999999996</v>
      </c>
      <c r="N3059">
        <v>13.215</v>
      </c>
    </row>
    <row r="3060" spans="1:14" x14ac:dyDescent="0.45">
      <c r="A3060">
        <v>1995</v>
      </c>
      <c r="B3060" t="s">
        <v>60</v>
      </c>
      <c r="C3060">
        <v>0</v>
      </c>
      <c r="D3060">
        <v>1</v>
      </c>
      <c r="E3060">
        <v>0</v>
      </c>
      <c r="F3060">
        <v>0</v>
      </c>
      <c r="G3060">
        <v>1</v>
      </c>
      <c r="H3060">
        <v>0</v>
      </c>
      <c r="I3060">
        <v>0</v>
      </c>
      <c r="J3060">
        <v>20819.499947990302</v>
      </c>
      <c r="K3060">
        <v>17182.537149748201</v>
      </c>
      <c r="L3060">
        <v>11.836</v>
      </c>
      <c r="M3060">
        <v>72.864000000000004</v>
      </c>
      <c r="N3060">
        <v>25.655999999999999</v>
      </c>
    </row>
    <row r="3061" spans="1:14" x14ac:dyDescent="0.45">
      <c r="A3061">
        <v>1995</v>
      </c>
      <c r="B3061" t="s">
        <v>61</v>
      </c>
      <c r="C3061">
        <v>1</v>
      </c>
      <c r="D3061">
        <v>0</v>
      </c>
      <c r="E3061">
        <v>0</v>
      </c>
      <c r="F3061">
        <v>0</v>
      </c>
      <c r="G3061">
        <v>0</v>
      </c>
      <c r="H3061">
        <v>0</v>
      </c>
      <c r="I3061">
        <v>0</v>
      </c>
      <c r="J3061">
        <v>3480.7559365251</v>
      </c>
      <c r="K3061">
        <v>2948.5526398884999</v>
      </c>
      <c r="L3061">
        <v>33.942999999999998</v>
      </c>
      <c r="M3061">
        <v>68.813000000000002</v>
      </c>
      <c r="N3061">
        <v>38.957000000000001</v>
      </c>
    </row>
    <row r="3062" spans="1:14" x14ac:dyDescent="0.45">
      <c r="A3062">
        <v>1995</v>
      </c>
      <c r="B3062" t="s">
        <v>62</v>
      </c>
      <c r="C3062">
        <v>0</v>
      </c>
      <c r="D3062">
        <v>0</v>
      </c>
      <c r="E3062">
        <v>0</v>
      </c>
      <c r="F3062">
        <v>0</v>
      </c>
      <c r="G3062">
        <v>1</v>
      </c>
      <c r="H3062">
        <v>0</v>
      </c>
      <c r="I3062">
        <v>0</v>
      </c>
      <c r="L3062">
        <v>14.72</v>
      </c>
      <c r="M3062">
        <v>71.564999999999998</v>
      </c>
      <c r="N3062">
        <v>15.063000000000001</v>
      </c>
    </row>
    <row r="3063" spans="1:14" x14ac:dyDescent="0.45">
      <c r="A3063">
        <v>1995</v>
      </c>
      <c r="B3063" t="s">
        <v>63</v>
      </c>
      <c r="C3063">
        <v>0</v>
      </c>
      <c r="D3063">
        <v>1</v>
      </c>
      <c r="E3063">
        <v>0</v>
      </c>
      <c r="F3063">
        <v>0</v>
      </c>
      <c r="G3063">
        <v>1</v>
      </c>
      <c r="H3063">
        <v>0</v>
      </c>
      <c r="I3063">
        <v>0</v>
      </c>
      <c r="J3063">
        <v>21639.6020640854</v>
      </c>
      <c r="K3063">
        <v>17043.2820119559</v>
      </c>
      <c r="L3063">
        <v>66.039000000000001</v>
      </c>
      <c r="M3063">
        <v>73.575999999999993</v>
      </c>
      <c r="N3063">
        <v>15.443</v>
      </c>
    </row>
    <row r="3064" spans="1:14" x14ac:dyDescent="0.45">
      <c r="A3064">
        <v>1995</v>
      </c>
      <c r="B3064" t="s">
        <v>64</v>
      </c>
      <c r="C3064">
        <v>0</v>
      </c>
      <c r="D3064">
        <v>0</v>
      </c>
      <c r="E3064">
        <v>0</v>
      </c>
      <c r="F3064">
        <v>0</v>
      </c>
      <c r="G3064">
        <v>0</v>
      </c>
      <c r="H3064">
        <v>1</v>
      </c>
      <c r="I3064">
        <v>1</v>
      </c>
      <c r="J3064">
        <v>38585.172683504097</v>
      </c>
      <c r="K3064">
        <v>33420.608706611201</v>
      </c>
      <c r="L3064">
        <v>15.102</v>
      </c>
      <c r="M3064">
        <v>78.257000000000005</v>
      </c>
      <c r="N3064">
        <v>7.0529999999999999</v>
      </c>
    </row>
    <row r="3065" spans="1:14" x14ac:dyDescent="0.45">
      <c r="A3065">
        <v>1995</v>
      </c>
      <c r="B3065" t="s">
        <v>65</v>
      </c>
      <c r="C3065">
        <v>1</v>
      </c>
      <c r="D3065">
        <v>0</v>
      </c>
      <c r="E3065">
        <v>0</v>
      </c>
      <c r="F3065">
        <v>0</v>
      </c>
      <c r="G3065">
        <v>0</v>
      </c>
      <c r="H3065">
        <v>1</v>
      </c>
      <c r="I3065">
        <v>1</v>
      </c>
      <c r="J3065">
        <v>46696.393497229801</v>
      </c>
      <c r="K3065">
        <v>39792.590142795802</v>
      </c>
      <c r="L3065">
        <v>38.404000000000003</v>
      </c>
      <c r="M3065">
        <v>76.775000000000006</v>
      </c>
      <c r="N3065">
        <v>6.5860000000000003</v>
      </c>
    </row>
    <row r="3066" spans="1:14" x14ac:dyDescent="0.45">
      <c r="A3066">
        <v>1995</v>
      </c>
      <c r="B3066" t="s">
        <v>66</v>
      </c>
      <c r="C3066">
        <v>1</v>
      </c>
      <c r="D3066">
        <v>0</v>
      </c>
      <c r="E3066">
        <v>0</v>
      </c>
      <c r="F3066">
        <v>0</v>
      </c>
      <c r="G3066">
        <v>0</v>
      </c>
      <c r="H3066">
        <v>0</v>
      </c>
      <c r="I3066">
        <v>0</v>
      </c>
      <c r="J3066">
        <v>4211.7211428193796</v>
      </c>
      <c r="K3066">
        <v>3067.02737295111</v>
      </c>
      <c r="L3066">
        <v>47.793999999999997</v>
      </c>
      <c r="M3066">
        <v>61.930999999999997</v>
      </c>
      <c r="N3066">
        <v>93.048000000000002</v>
      </c>
    </row>
    <row r="3067" spans="1:14" x14ac:dyDescent="0.45">
      <c r="A3067">
        <v>1995</v>
      </c>
      <c r="B3067" t="s">
        <v>67</v>
      </c>
      <c r="C3067">
        <v>0</v>
      </c>
      <c r="D3067">
        <v>0</v>
      </c>
      <c r="E3067">
        <v>1</v>
      </c>
      <c r="F3067">
        <v>0</v>
      </c>
      <c r="G3067">
        <v>0</v>
      </c>
      <c r="H3067">
        <v>0</v>
      </c>
      <c r="I3067">
        <v>0</v>
      </c>
      <c r="J3067">
        <v>1132.2187815381201</v>
      </c>
      <c r="K3067">
        <v>978.35392110560599</v>
      </c>
      <c r="L3067">
        <v>92.789000000000001</v>
      </c>
      <c r="M3067">
        <v>44.588999999999999</v>
      </c>
      <c r="N3067">
        <v>170.27699999999999</v>
      </c>
    </row>
    <row r="3068" spans="1:14" x14ac:dyDescent="0.45">
      <c r="A3068">
        <v>1995</v>
      </c>
      <c r="B3068" t="s">
        <v>68</v>
      </c>
      <c r="C3068">
        <v>1</v>
      </c>
      <c r="D3068">
        <v>0</v>
      </c>
      <c r="E3068">
        <v>0</v>
      </c>
      <c r="F3068">
        <v>0</v>
      </c>
      <c r="G3068">
        <v>0</v>
      </c>
      <c r="H3068">
        <v>1</v>
      </c>
      <c r="I3068">
        <v>1</v>
      </c>
      <c r="J3068">
        <v>44330.176991436303</v>
      </c>
      <c r="K3068">
        <v>37304.580992791103</v>
      </c>
      <c r="L3068">
        <v>3.2229999999999999</v>
      </c>
      <c r="M3068">
        <v>76.84</v>
      </c>
      <c r="N3068">
        <v>7.4269999999999996</v>
      </c>
    </row>
    <row r="3069" spans="1:14" x14ac:dyDescent="0.45">
      <c r="A3069">
        <v>1995</v>
      </c>
      <c r="B3069" t="s">
        <v>69</v>
      </c>
      <c r="C3069">
        <v>0</v>
      </c>
      <c r="D3069">
        <v>0</v>
      </c>
      <c r="E3069">
        <v>1</v>
      </c>
      <c r="F3069">
        <v>0</v>
      </c>
      <c r="G3069">
        <v>0</v>
      </c>
      <c r="H3069">
        <v>0</v>
      </c>
      <c r="I3069">
        <v>0</v>
      </c>
      <c r="J3069">
        <v>2300.1412210745898</v>
      </c>
      <c r="K3069">
        <v>2182.2633181782398</v>
      </c>
      <c r="L3069">
        <v>63.241999999999997</v>
      </c>
      <c r="M3069">
        <v>55.366</v>
      </c>
      <c r="N3069">
        <v>153.36000000000001</v>
      </c>
    </row>
    <row r="3070" spans="1:14" x14ac:dyDescent="0.45">
      <c r="A3070">
        <v>1995</v>
      </c>
      <c r="B3070" t="s">
        <v>70</v>
      </c>
      <c r="C3070">
        <v>0</v>
      </c>
      <c r="D3070">
        <v>0</v>
      </c>
      <c r="E3070">
        <v>1</v>
      </c>
      <c r="F3070">
        <v>0</v>
      </c>
      <c r="G3070">
        <v>0</v>
      </c>
      <c r="H3070">
        <v>0</v>
      </c>
      <c r="I3070">
        <v>0</v>
      </c>
      <c r="J3070">
        <v>1183.5286100808401</v>
      </c>
      <c r="K3070">
        <v>1082.85421867473</v>
      </c>
      <c r="L3070">
        <v>84.869</v>
      </c>
      <c r="M3070">
        <v>49.554000000000002</v>
      </c>
      <c r="N3070">
        <v>193.78399999999999</v>
      </c>
    </row>
    <row r="3071" spans="1:14" x14ac:dyDescent="0.45">
      <c r="A3071">
        <v>1995</v>
      </c>
      <c r="B3071" t="s">
        <v>71</v>
      </c>
      <c r="C3071">
        <v>0</v>
      </c>
      <c r="D3071">
        <v>0</v>
      </c>
      <c r="E3071">
        <v>0</v>
      </c>
      <c r="F3071">
        <v>0</v>
      </c>
      <c r="G3071">
        <v>0</v>
      </c>
      <c r="H3071">
        <v>0</v>
      </c>
      <c r="I3071">
        <v>0</v>
      </c>
      <c r="J3071">
        <v>2351.7038794690302</v>
      </c>
      <c r="K3071">
        <v>1911.92247231531</v>
      </c>
      <c r="L3071">
        <v>78.307000000000002</v>
      </c>
      <c r="M3071">
        <v>58.244</v>
      </c>
      <c r="N3071">
        <v>113.892</v>
      </c>
    </row>
    <row r="3072" spans="1:14" x14ac:dyDescent="0.45">
      <c r="A3072">
        <v>1995</v>
      </c>
      <c r="B3072" t="s">
        <v>72</v>
      </c>
      <c r="C3072">
        <v>1</v>
      </c>
      <c r="D3072">
        <v>0</v>
      </c>
      <c r="E3072">
        <v>0</v>
      </c>
      <c r="F3072">
        <v>1</v>
      </c>
      <c r="G3072">
        <v>0</v>
      </c>
      <c r="H3072">
        <v>0</v>
      </c>
      <c r="I3072">
        <v>0</v>
      </c>
      <c r="J3072">
        <v>13586.0948422973</v>
      </c>
      <c r="K3072">
        <v>11273.734336702</v>
      </c>
      <c r="L3072">
        <v>32.218000000000004</v>
      </c>
      <c r="M3072">
        <v>70.962000000000003</v>
      </c>
      <c r="N3072">
        <v>17.722000000000001</v>
      </c>
    </row>
    <row r="3073" spans="1:14" x14ac:dyDescent="0.45">
      <c r="A3073">
        <v>1995</v>
      </c>
      <c r="B3073" t="s">
        <v>73</v>
      </c>
      <c r="C3073">
        <v>0</v>
      </c>
      <c r="D3073">
        <v>0</v>
      </c>
      <c r="E3073">
        <v>0</v>
      </c>
      <c r="F3073">
        <v>0</v>
      </c>
      <c r="G3073">
        <v>1</v>
      </c>
      <c r="H3073">
        <v>0</v>
      </c>
      <c r="I3073">
        <v>0</v>
      </c>
      <c r="J3073">
        <v>53537.682894817699</v>
      </c>
      <c r="K3073">
        <v>49884.391773510099</v>
      </c>
      <c r="L3073">
        <v>11.612</v>
      </c>
      <c r="M3073">
        <v>73.361000000000004</v>
      </c>
      <c r="N3073">
        <v>17.911999999999999</v>
      </c>
    </row>
    <row r="3074" spans="1:14" x14ac:dyDescent="0.45">
      <c r="A3074">
        <v>1995</v>
      </c>
      <c r="B3074" t="s">
        <v>74</v>
      </c>
      <c r="C3074">
        <v>0</v>
      </c>
      <c r="D3074">
        <v>1</v>
      </c>
      <c r="E3074">
        <v>0</v>
      </c>
      <c r="F3074">
        <v>0</v>
      </c>
      <c r="G3074">
        <v>0</v>
      </c>
      <c r="H3074">
        <v>1</v>
      </c>
      <c r="I3074">
        <v>1</v>
      </c>
      <c r="J3074">
        <v>30128.1178848214</v>
      </c>
      <c r="K3074">
        <v>31251.474431826999</v>
      </c>
      <c r="L3074">
        <v>19.039000000000001</v>
      </c>
      <c r="M3074">
        <v>71.421999999999997</v>
      </c>
      <c r="N3074">
        <v>18.635000000000002</v>
      </c>
    </row>
    <row r="3075" spans="1:14" x14ac:dyDescent="0.45">
      <c r="A3075">
        <v>1995</v>
      </c>
      <c r="B3075" t="s">
        <v>75</v>
      </c>
      <c r="C3075">
        <v>1</v>
      </c>
      <c r="D3075">
        <v>0</v>
      </c>
      <c r="E3075">
        <v>0</v>
      </c>
      <c r="F3075">
        <v>0</v>
      </c>
      <c r="G3075">
        <v>0</v>
      </c>
      <c r="H3075">
        <v>0</v>
      </c>
      <c r="I3075">
        <v>0</v>
      </c>
      <c r="J3075">
        <v>3089.3521967120901</v>
      </c>
      <c r="K3075">
        <v>2668.7717779790901</v>
      </c>
      <c r="L3075">
        <v>59.183</v>
      </c>
      <c r="M3075">
        <v>70.188000000000002</v>
      </c>
      <c r="N3075">
        <v>19.896000000000001</v>
      </c>
    </row>
    <row r="3076" spans="1:14" x14ac:dyDescent="0.45">
      <c r="A3076">
        <v>1995</v>
      </c>
      <c r="B3076" t="s">
        <v>76</v>
      </c>
      <c r="C3076">
        <v>1</v>
      </c>
      <c r="D3076">
        <v>0</v>
      </c>
      <c r="E3076">
        <v>0</v>
      </c>
      <c r="F3076">
        <v>1</v>
      </c>
      <c r="G3076">
        <v>0</v>
      </c>
      <c r="H3076">
        <v>0</v>
      </c>
      <c r="I3076">
        <v>0</v>
      </c>
      <c r="J3076">
        <v>8061.19603531335</v>
      </c>
      <c r="K3076">
        <v>5820.1437818849699</v>
      </c>
      <c r="L3076">
        <v>32.073999999999998</v>
      </c>
      <c r="M3076">
        <v>68.751999999999995</v>
      </c>
      <c r="N3076">
        <v>15.087999999999999</v>
      </c>
    </row>
    <row r="3077" spans="1:14" x14ac:dyDescent="0.45">
      <c r="A3077">
        <v>1995</v>
      </c>
      <c r="B3077" t="s">
        <v>77</v>
      </c>
      <c r="C3077">
        <v>0</v>
      </c>
      <c r="D3077">
        <v>1</v>
      </c>
      <c r="E3077">
        <v>0</v>
      </c>
      <c r="F3077">
        <v>1</v>
      </c>
      <c r="G3077">
        <v>0</v>
      </c>
      <c r="H3077">
        <v>0</v>
      </c>
      <c r="I3077">
        <v>0</v>
      </c>
      <c r="J3077">
        <v>9958.2042914851299</v>
      </c>
      <c r="K3077">
        <v>7847.9928600613603</v>
      </c>
      <c r="L3077">
        <v>53.575000000000003</v>
      </c>
      <c r="M3077">
        <v>69.483999999999995</v>
      </c>
      <c r="N3077">
        <v>30.1</v>
      </c>
    </row>
    <row r="3078" spans="1:14" x14ac:dyDescent="0.45">
      <c r="A3078">
        <v>1995</v>
      </c>
      <c r="B3078" t="s">
        <v>78</v>
      </c>
      <c r="C3078">
        <v>0</v>
      </c>
      <c r="D3078">
        <v>0</v>
      </c>
      <c r="E3078">
        <v>0</v>
      </c>
      <c r="F3078">
        <v>0</v>
      </c>
      <c r="G3078">
        <v>0</v>
      </c>
      <c r="H3078">
        <v>1</v>
      </c>
      <c r="I3078">
        <v>1</v>
      </c>
      <c r="J3078">
        <v>80427.240621210003</v>
      </c>
      <c r="K3078">
        <v>71456.701336243495</v>
      </c>
      <c r="L3078">
        <v>0</v>
      </c>
      <c r="M3078">
        <v>75.92</v>
      </c>
      <c r="N3078">
        <v>7.1109999999999998</v>
      </c>
    </row>
    <row r="3079" spans="1:14" x14ac:dyDescent="0.45">
      <c r="A3079">
        <v>1995</v>
      </c>
      <c r="B3079" t="s">
        <v>79</v>
      </c>
      <c r="C3079">
        <v>0</v>
      </c>
      <c r="D3079">
        <v>1</v>
      </c>
      <c r="E3079">
        <v>0</v>
      </c>
      <c r="F3079">
        <v>1</v>
      </c>
      <c r="G3079">
        <v>0</v>
      </c>
      <c r="H3079">
        <v>0</v>
      </c>
      <c r="I3079">
        <v>0</v>
      </c>
      <c r="J3079">
        <v>5671.8215826667201</v>
      </c>
      <c r="K3079">
        <v>5005.6673442351503</v>
      </c>
      <c r="L3079">
        <v>40.85</v>
      </c>
      <c r="M3079">
        <v>59.786999999999999</v>
      </c>
      <c r="N3079">
        <v>124.983</v>
      </c>
    </row>
    <row r="3080" spans="1:14" x14ac:dyDescent="0.45">
      <c r="A3080">
        <v>1995</v>
      </c>
      <c r="B3080" t="s">
        <v>80</v>
      </c>
      <c r="C3080">
        <v>0</v>
      </c>
      <c r="D3080">
        <v>1</v>
      </c>
      <c r="E3080">
        <v>0</v>
      </c>
      <c r="F3080">
        <v>0</v>
      </c>
      <c r="G3080">
        <v>1</v>
      </c>
      <c r="H3080">
        <v>0</v>
      </c>
      <c r="I3080">
        <v>0</v>
      </c>
      <c r="J3080">
        <v>13550.4393735843</v>
      </c>
      <c r="K3080">
        <v>11130.4547712074</v>
      </c>
      <c r="L3080">
        <v>22.39</v>
      </c>
      <c r="M3080">
        <v>67.700999999999993</v>
      </c>
      <c r="N3080">
        <v>47.752000000000002</v>
      </c>
    </row>
    <row r="3081" spans="1:14" x14ac:dyDescent="0.45">
      <c r="A3081">
        <v>1995</v>
      </c>
      <c r="B3081" t="s">
        <v>81</v>
      </c>
      <c r="C3081">
        <v>0</v>
      </c>
      <c r="D3081">
        <v>1</v>
      </c>
      <c r="E3081">
        <v>0</v>
      </c>
      <c r="F3081">
        <v>0</v>
      </c>
      <c r="G3081">
        <v>1</v>
      </c>
      <c r="H3081">
        <v>0</v>
      </c>
      <c r="I3081">
        <v>0</v>
      </c>
      <c r="J3081">
        <v>15925.521619970399</v>
      </c>
      <c r="K3081">
        <v>15210.458842149401</v>
      </c>
      <c r="L3081">
        <v>64.433999999999997</v>
      </c>
      <c r="M3081">
        <v>73.88</v>
      </c>
      <c r="N3081">
        <v>15.151</v>
      </c>
    </row>
    <row r="3082" spans="1:14" x14ac:dyDescent="0.45">
      <c r="A3082">
        <v>1995</v>
      </c>
      <c r="B3082" t="s">
        <v>82</v>
      </c>
      <c r="C3082">
        <v>0</v>
      </c>
      <c r="D3082">
        <v>0</v>
      </c>
      <c r="E3082">
        <v>0</v>
      </c>
      <c r="F3082">
        <v>0</v>
      </c>
      <c r="G3082">
        <v>0</v>
      </c>
      <c r="H3082">
        <v>1</v>
      </c>
      <c r="I3082">
        <v>1</v>
      </c>
      <c r="J3082">
        <v>105043.852684028</v>
      </c>
      <c r="K3082">
        <v>82018.710116265996</v>
      </c>
      <c r="L3082">
        <v>31.356000000000002</v>
      </c>
      <c r="M3082">
        <v>72.837999999999994</v>
      </c>
      <c r="N3082">
        <v>12.135999999999999</v>
      </c>
    </row>
    <row r="3083" spans="1:14" x14ac:dyDescent="0.45">
      <c r="A3083">
        <v>1995</v>
      </c>
      <c r="B3083" t="s">
        <v>83</v>
      </c>
      <c r="C3083">
        <v>0</v>
      </c>
      <c r="D3083">
        <v>0</v>
      </c>
      <c r="E3083">
        <v>0</v>
      </c>
      <c r="F3083">
        <v>0</v>
      </c>
      <c r="G3083">
        <v>0</v>
      </c>
      <c r="H3083">
        <v>0</v>
      </c>
      <c r="I3083">
        <v>0</v>
      </c>
      <c r="J3083">
        <v>4379.8704666777803</v>
      </c>
      <c r="K3083">
        <v>3793.52170690713</v>
      </c>
      <c r="L3083">
        <v>79.462999999999994</v>
      </c>
      <c r="M3083">
        <v>59.277000000000001</v>
      </c>
      <c r="N3083">
        <v>102.015</v>
      </c>
    </row>
    <row r="3084" spans="1:14" x14ac:dyDescent="0.45">
      <c r="A3084">
        <v>1995</v>
      </c>
      <c r="B3084" t="s">
        <v>84</v>
      </c>
      <c r="C3084">
        <v>0</v>
      </c>
      <c r="D3084">
        <v>0</v>
      </c>
      <c r="E3084">
        <v>1</v>
      </c>
      <c r="F3084">
        <v>1</v>
      </c>
      <c r="G3084">
        <v>0</v>
      </c>
      <c r="H3084">
        <v>0</v>
      </c>
      <c r="I3084">
        <v>0</v>
      </c>
      <c r="J3084">
        <v>11457.699435215</v>
      </c>
      <c r="K3084">
        <v>10366.771024927501</v>
      </c>
      <c r="L3084">
        <v>51.018999999999998</v>
      </c>
      <c r="M3084">
        <v>54.713000000000001</v>
      </c>
      <c r="N3084">
        <v>67.509</v>
      </c>
    </row>
    <row r="3085" spans="1:14" x14ac:dyDescent="0.45">
      <c r="A3085">
        <v>1995</v>
      </c>
      <c r="B3085" t="s">
        <v>85</v>
      </c>
      <c r="C3085">
        <v>0</v>
      </c>
      <c r="D3085">
        <v>0</v>
      </c>
      <c r="E3085">
        <v>1</v>
      </c>
      <c r="F3085">
        <v>0</v>
      </c>
      <c r="G3085">
        <v>0</v>
      </c>
      <c r="H3085">
        <v>0</v>
      </c>
      <c r="I3085">
        <v>0</v>
      </c>
      <c r="J3085">
        <v>1334.10322981784</v>
      </c>
      <c r="K3085">
        <v>1068.1501828749999</v>
      </c>
      <c r="L3085">
        <v>62.768999999999998</v>
      </c>
      <c r="M3085">
        <v>48.109000000000002</v>
      </c>
      <c r="N3085">
        <v>172.797</v>
      </c>
    </row>
    <row r="3086" spans="1:14" x14ac:dyDescent="0.45">
      <c r="A3086">
        <v>1995</v>
      </c>
      <c r="B3086" t="s">
        <v>86</v>
      </c>
      <c r="C3086">
        <v>0</v>
      </c>
      <c r="D3086">
        <v>0</v>
      </c>
      <c r="E3086">
        <v>0</v>
      </c>
      <c r="F3086">
        <v>0</v>
      </c>
      <c r="G3086">
        <v>0</v>
      </c>
      <c r="H3086">
        <v>1</v>
      </c>
      <c r="I3086">
        <v>1</v>
      </c>
      <c r="J3086">
        <v>41617.723323877901</v>
      </c>
      <c r="K3086">
        <v>36024.991145457403</v>
      </c>
      <c r="L3086">
        <v>22.324999999999999</v>
      </c>
      <c r="M3086">
        <v>78.021000000000001</v>
      </c>
      <c r="N3086">
        <v>7.1239999999999997</v>
      </c>
    </row>
    <row r="3087" spans="1:14" x14ac:dyDescent="0.45">
      <c r="A3087">
        <v>1995</v>
      </c>
      <c r="B3087" t="s">
        <v>87</v>
      </c>
      <c r="C3087">
        <v>1</v>
      </c>
      <c r="D3087">
        <v>0</v>
      </c>
      <c r="E3087">
        <v>0</v>
      </c>
      <c r="F3087">
        <v>0</v>
      </c>
      <c r="G3087">
        <v>0</v>
      </c>
      <c r="H3087">
        <v>1</v>
      </c>
      <c r="I3087">
        <v>1</v>
      </c>
      <c r="J3087">
        <v>61453.629702066602</v>
      </c>
      <c r="K3087">
        <v>53462.623820804103</v>
      </c>
      <c r="L3087">
        <v>26.346</v>
      </c>
      <c r="M3087">
        <v>78.564999999999998</v>
      </c>
      <c r="N3087">
        <v>6.1509999999999998</v>
      </c>
    </row>
    <row r="3088" spans="1:14" x14ac:dyDescent="0.45">
      <c r="A3088">
        <v>1995</v>
      </c>
      <c r="B3088" t="s">
        <v>88</v>
      </c>
      <c r="C3088">
        <v>1</v>
      </c>
      <c r="D3088">
        <v>0</v>
      </c>
      <c r="E3088">
        <v>0</v>
      </c>
      <c r="F3088">
        <v>0</v>
      </c>
      <c r="G3088">
        <v>0</v>
      </c>
      <c r="H3088">
        <v>1</v>
      </c>
      <c r="I3088">
        <v>1</v>
      </c>
      <c r="L3088">
        <v>69.477999999999994</v>
      </c>
      <c r="M3088">
        <v>77.6528137448622</v>
      </c>
      <c r="N3088">
        <v>12.9808478109703</v>
      </c>
    </row>
    <row r="3089" spans="1:14" x14ac:dyDescent="0.45">
      <c r="A3089">
        <v>1995</v>
      </c>
      <c r="B3089" t="s">
        <v>89</v>
      </c>
      <c r="C3089">
        <v>0</v>
      </c>
      <c r="D3089">
        <v>1</v>
      </c>
      <c r="E3089">
        <v>0</v>
      </c>
      <c r="F3089">
        <v>0</v>
      </c>
      <c r="G3089">
        <v>1</v>
      </c>
      <c r="H3089">
        <v>0</v>
      </c>
      <c r="I3089">
        <v>0</v>
      </c>
      <c r="J3089">
        <v>14908.0347974549</v>
      </c>
      <c r="K3089">
        <v>12986.1199773594</v>
      </c>
      <c r="L3089">
        <v>15.455</v>
      </c>
      <c r="M3089">
        <v>75.298000000000002</v>
      </c>
      <c r="N3089">
        <v>14.661</v>
      </c>
    </row>
    <row r="3090" spans="1:14" x14ac:dyDescent="0.45">
      <c r="A3090">
        <v>1995</v>
      </c>
      <c r="B3090" t="s">
        <v>90</v>
      </c>
      <c r="C3090">
        <v>0</v>
      </c>
      <c r="D3090">
        <v>0</v>
      </c>
      <c r="E3090">
        <v>0</v>
      </c>
      <c r="F3090">
        <v>0</v>
      </c>
      <c r="G3090">
        <v>0</v>
      </c>
      <c r="H3090">
        <v>0</v>
      </c>
      <c r="I3090">
        <v>0</v>
      </c>
      <c r="J3090">
        <v>2808.0340308961099</v>
      </c>
      <c r="K3090">
        <v>2517.2206895946401</v>
      </c>
      <c r="L3090">
        <v>69.039000000000001</v>
      </c>
      <c r="M3090">
        <v>70.363</v>
      </c>
      <c r="N3090">
        <v>46.701999999999998</v>
      </c>
    </row>
    <row r="3091" spans="1:14" x14ac:dyDescent="0.45">
      <c r="A3091">
        <v>1995</v>
      </c>
      <c r="B3091" t="s">
        <v>91</v>
      </c>
      <c r="C3091">
        <v>0</v>
      </c>
      <c r="D3091">
        <v>0</v>
      </c>
      <c r="E3091">
        <v>1</v>
      </c>
      <c r="F3091">
        <v>0</v>
      </c>
      <c r="G3091">
        <v>0</v>
      </c>
      <c r="H3091">
        <v>0</v>
      </c>
      <c r="I3091">
        <v>0</v>
      </c>
      <c r="J3091">
        <v>4638.7573248250201</v>
      </c>
      <c r="K3091">
        <v>3915.7943425789799</v>
      </c>
      <c r="L3091">
        <v>58.79</v>
      </c>
      <c r="M3091">
        <v>51.713000000000001</v>
      </c>
      <c r="N3091">
        <v>151.27699999999999</v>
      </c>
    </row>
    <row r="3092" spans="1:14" x14ac:dyDescent="0.45">
      <c r="A3092">
        <v>1995</v>
      </c>
      <c r="B3092" t="s">
        <v>92</v>
      </c>
      <c r="C3092">
        <v>0</v>
      </c>
      <c r="D3092">
        <v>0</v>
      </c>
      <c r="E3092">
        <v>1</v>
      </c>
      <c r="F3092">
        <v>0</v>
      </c>
      <c r="G3092">
        <v>0</v>
      </c>
      <c r="H3092">
        <v>0</v>
      </c>
      <c r="I3092">
        <v>0</v>
      </c>
      <c r="J3092">
        <v>3526.5436751033899</v>
      </c>
      <c r="K3092">
        <v>2769.08640431301</v>
      </c>
      <c r="L3092">
        <v>57.427</v>
      </c>
      <c r="M3092">
        <v>53.347000000000001</v>
      </c>
      <c r="N3092">
        <v>145.76300000000001</v>
      </c>
    </row>
    <row r="3093" spans="1:14" x14ac:dyDescent="0.45">
      <c r="A3093">
        <v>1995</v>
      </c>
      <c r="B3093" t="s">
        <v>93</v>
      </c>
      <c r="C3093">
        <v>0</v>
      </c>
      <c r="D3093">
        <v>0</v>
      </c>
      <c r="E3093">
        <v>1</v>
      </c>
      <c r="F3093">
        <v>0</v>
      </c>
      <c r="G3093">
        <v>0</v>
      </c>
      <c r="H3093">
        <v>0</v>
      </c>
      <c r="I3093">
        <v>0</v>
      </c>
      <c r="J3093">
        <v>1230.7448763689799</v>
      </c>
      <c r="K3093">
        <v>985.29067565189405</v>
      </c>
      <c r="L3093">
        <v>67.162000000000006</v>
      </c>
      <c r="M3093">
        <v>50.381</v>
      </c>
      <c r="N3093">
        <v>174.34</v>
      </c>
    </row>
    <row r="3094" spans="1:14" x14ac:dyDescent="0.45">
      <c r="A3094">
        <v>1995</v>
      </c>
      <c r="B3094" t="s">
        <v>94</v>
      </c>
      <c r="C3094">
        <v>0</v>
      </c>
      <c r="D3094">
        <v>0</v>
      </c>
      <c r="E3094">
        <v>1</v>
      </c>
      <c r="F3094">
        <v>0</v>
      </c>
      <c r="G3094">
        <v>0</v>
      </c>
      <c r="H3094">
        <v>0</v>
      </c>
      <c r="I3094">
        <v>0</v>
      </c>
      <c r="J3094">
        <v>7701.3246853333603</v>
      </c>
      <c r="K3094">
        <v>4642.7067100393097</v>
      </c>
      <c r="L3094">
        <v>43.587000000000003</v>
      </c>
      <c r="M3094">
        <v>55.473999999999997</v>
      </c>
      <c r="N3094">
        <v>104.03700000000001</v>
      </c>
    </row>
    <row r="3095" spans="1:14" x14ac:dyDescent="0.45">
      <c r="A3095">
        <v>1995</v>
      </c>
      <c r="B3095" t="s">
        <v>95</v>
      </c>
      <c r="C3095">
        <v>0</v>
      </c>
      <c r="D3095">
        <v>1</v>
      </c>
      <c r="E3095">
        <v>0</v>
      </c>
      <c r="F3095">
        <v>1</v>
      </c>
      <c r="G3095">
        <v>0</v>
      </c>
      <c r="H3095">
        <v>0</v>
      </c>
      <c r="I3095">
        <v>0</v>
      </c>
      <c r="J3095">
        <v>11279.000457934701</v>
      </c>
      <c r="K3095">
        <v>9391.0027595246793</v>
      </c>
      <c r="L3095">
        <v>28.222999999999999</v>
      </c>
      <c r="M3095">
        <v>69.81</v>
      </c>
      <c r="N3095">
        <v>29.981999999999999</v>
      </c>
    </row>
    <row r="3096" spans="1:14" x14ac:dyDescent="0.45">
      <c r="A3096">
        <v>1995</v>
      </c>
      <c r="B3096" t="s">
        <v>96</v>
      </c>
      <c r="C3096">
        <v>0</v>
      </c>
      <c r="D3096">
        <v>0</v>
      </c>
      <c r="E3096">
        <v>1</v>
      </c>
      <c r="F3096">
        <v>0</v>
      </c>
      <c r="G3096">
        <v>0</v>
      </c>
      <c r="H3096">
        <v>0</v>
      </c>
      <c r="I3096">
        <v>0</v>
      </c>
      <c r="J3096">
        <v>2239.7167545817501</v>
      </c>
      <c r="K3096">
        <v>2316.1529598146999</v>
      </c>
      <c r="L3096">
        <v>71.698999999999998</v>
      </c>
      <c r="M3096">
        <v>57.83</v>
      </c>
      <c r="N3096">
        <v>108.80200000000001</v>
      </c>
    </row>
    <row r="3097" spans="1:14" x14ac:dyDescent="0.45">
      <c r="A3097">
        <v>1995</v>
      </c>
      <c r="B3097" t="s">
        <v>97</v>
      </c>
      <c r="C3097">
        <v>0</v>
      </c>
      <c r="D3097">
        <v>0</v>
      </c>
      <c r="E3097">
        <v>1</v>
      </c>
      <c r="F3097">
        <v>1</v>
      </c>
      <c r="G3097">
        <v>0</v>
      </c>
      <c r="H3097">
        <v>0</v>
      </c>
      <c r="I3097">
        <v>0</v>
      </c>
      <c r="J3097">
        <v>2763.3973337185698</v>
      </c>
      <c r="K3097">
        <v>2663.1249922666402</v>
      </c>
      <c r="L3097">
        <v>51.231999999999999</v>
      </c>
      <c r="M3097">
        <v>63.691000000000003</v>
      </c>
      <c r="N3097">
        <v>56.140999999999998</v>
      </c>
    </row>
    <row r="3098" spans="1:14" x14ac:dyDescent="0.45">
      <c r="A3098">
        <v>1995</v>
      </c>
      <c r="B3098" t="s">
        <v>98</v>
      </c>
      <c r="C3098">
        <v>0</v>
      </c>
      <c r="D3098">
        <v>1</v>
      </c>
      <c r="E3098">
        <v>0</v>
      </c>
      <c r="F3098">
        <v>1</v>
      </c>
      <c r="G3098">
        <v>0</v>
      </c>
      <c r="H3098">
        <v>0</v>
      </c>
      <c r="I3098">
        <v>0</v>
      </c>
      <c r="J3098">
        <v>12593.2255061714</v>
      </c>
      <c r="K3098">
        <v>11275.400396249201</v>
      </c>
      <c r="L3098">
        <v>45.439</v>
      </c>
      <c r="M3098">
        <v>76.44</v>
      </c>
      <c r="N3098">
        <v>14.906000000000001</v>
      </c>
    </row>
    <row r="3099" spans="1:14" x14ac:dyDescent="0.45">
      <c r="A3099">
        <v>1995</v>
      </c>
      <c r="B3099" t="s">
        <v>99</v>
      </c>
      <c r="C3099">
        <v>0</v>
      </c>
      <c r="D3099">
        <v>1</v>
      </c>
      <c r="E3099">
        <v>0</v>
      </c>
      <c r="F3099">
        <v>1</v>
      </c>
      <c r="G3099">
        <v>0</v>
      </c>
      <c r="H3099">
        <v>0</v>
      </c>
      <c r="I3099">
        <v>0</v>
      </c>
      <c r="L3099">
        <v>25.722999999999999</v>
      </c>
      <c r="M3099">
        <v>74.346000000000004</v>
      </c>
      <c r="N3099">
        <v>10.701000000000001</v>
      </c>
    </row>
    <row r="3100" spans="1:14" x14ac:dyDescent="0.45">
      <c r="A3100">
        <v>1995</v>
      </c>
      <c r="B3100" t="s">
        <v>100</v>
      </c>
      <c r="C3100">
        <v>0</v>
      </c>
      <c r="D3100">
        <v>1</v>
      </c>
      <c r="E3100">
        <v>0</v>
      </c>
      <c r="F3100">
        <v>0</v>
      </c>
      <c r="G3100">
        <v>0</v>
      </c>
      <c r="H3100">
        <v>1</v>
      </c>
      <c r="I3100">
        <v>1</v>
      </c>
      <c r="L3100">
        <v>12.32</v>
      </c>
      <c r="M3100">
        <v>72.831000000000003</v>
      </c>
      <c r="N3100">
        <v>18.033999999999999</v>
      </c>
    </row>
    <row r="3101" spans="1:14" x14ac:dyDescent="0.45">
      <c r="A3101">
        <v>1995</v>
      </c>
      <c r="B3101" t="s">
        <v>101</v>
      </c>
      <c r="C3101">
        <v>0</v>
      </c>
      <c r="D3101">
        <v>1</v>
      </c>
      <c r="E3101">
        <v>0</v>
      </c>
      <c r="F3101">
        <v>0</v>
      </c>
      <c r="G3101">
        <v>0</v>
      </c>
      <c r="H3101">
        <v>1</v>
      </c>
      <c r="I3101">
        <v>1</v>
      </c>
      <c r="L3101">
        <v>0</v>
      </c>
      <c r="M3101">
        <v>73.596999999999994</v>
      </c>
      <c r="N3101">
        <v>7.6749999999999998</v>
      </c>
    </row>
    <row r="3102" spans="1:14" x14ac:dyDescent="0.45">
      <c r="A3102">
        <v>1995</v>
      </c>
      <c r="B3102" t="s">
        <v>102</v>
      </c>
      <c r="C3102">
        <v>1</v>
      </c>
      <c r="D3102">
        <v>0</v>
      </c>
      <c r="E3102">
        <v>0</v>
      </c>
      <c r="F3102">
        <v>0</v>
      </c>
      <c r="G3102">
        <v>0</v>
      </c>
      <c r="H3102">
        <v>1</v>
      </c>
      <c r="I3102">
        <v>1</v>
      </c>
      <c r="J3102">
        <v>31394.1484375</v>
      </c>
      <c r="K3102">
        <v>27967.230762368799</v>
      </c>
      <c r="L3102">
        <v>31.962</v>
      </c>
      <c r="M3102">
        <v>76.582999999999998</v>
      </c>
      <c r="N3102">
        <v>8.92</v>
      </c>
    </row>
    <row r="3103" spans="1:14" x14ac:dyDescent="0.45">
      <c r="A3103">
        <v>1995</v>
      </c>
      <c r="B3103" t="s">
        <v>103</v>
      </c>
      <c r="C3103">
        <v>1</v>
      </c>
      <c r="D3103">
        <v>0</v>
      </c>
      <c r="E3103">
        <v>0</v>
      </c>
      <c r="F3103">
        <v>0</v>
      </c>
      <c r="G3103">
        <v>1</v>
      </c>
      <c r="H3103">
        <v>0</v>
      </c>
      <c r="I3103">
        <v>0</v>
      </c>
      <c r="J3103">
        <v>26869.019714939801</v>
      </c>
      <c r="K3103">
        <v>22371.214142190402</v>
      </c>
      <c r="L3103">
        <v>25.356999999999999</v>
      </c>
      <c r="M3103">
        <v>73.177000000000007</v>
      </c>
      <c r="N3103">
        <v>8.86</v>
      </c>
    </row>
    <row r="3104" spans="1:14" x14ac:dyDescent="0.45">
      <c r="A3104">
        <v>1995</v>
      </c>
      <c r="B3104" t="s">
        <v>104</v>
      </c>
      <c r="C3104">
        <v>1</v>
      </c>
      <c r="D3104">
        <v>0</v>
      </c>
      <c r="E3104">
        <v>0</v>
      </c>
      <c r="F3104">
        <v>0</v>
      </c>
      <c r="G3104">
        <v>0</v>
      </c>
      <c r="H3104">
        <v>1</v>
      </c>
      <c r="I3104">
        <v>1</v>
      </c>
      <c r="J3104">
        <v>45568.676145687503</v>
      </c>
      <c r="K3104">
        <v>39510.417852570798</v>
      </c>
      <c r="L3104">
        <v>26.077999999999999</v>
      </c>
      <c r="M3104">
        <v>76.552000000000007</v>
      </c>
      <c r="N3104">
        <v>6.52</v>
      </c>
    </row>
    <row r="3105" spans="1:14" x14ac:dyDescent="0.45">
      <c r="A3105">
        <v>1995</v>
      </c>
      <c r="B3105" t="s">
        <v>105</v>
      </c>
      <c r="C3105">
        <v>0</v>
      </c>
      <c r="D3105">
        <v>0</v>
      </c>
      <c r="E3105">
        <v>0</v>
      </c>
      <c r="F3105">
        <v>1</v>
      </c>
      <c r="G3105">
        <v>0</v>
      </c>
      <c r="H3105">
        <v>0</v>
      </c>
      <c r="I3105">
        <v>0</v>
      </c>
      <c r="J3105">
        <v>4582.0394937271403</v>
      </c>
      <c r="K3105">
        <v>3952.2420381412999</v>
      </c>
      <c r="L3105">
        <v>23.7</v>
      </c>
      <c r="M3105">
        <v>56.234000000000002</v>
      </c>
      <c r="N3105">
        <v>108.53700000000001</v>
      </c>
    </row>
    <row r="3106" spans="1:14" x14ac:dyDescent="0.45">
      <c r="A3106">
        <v>1995</v>
      </c>
      <c r="B3106" t="s">
        <v>106</v>
      </c>
      <c r="C3106">
        <v>0</v>
      </c>
      <c r="D3106">
        <v>1</v>
      </c>
      <c r="E3106">
        <v>0</v>
      </c>
      <c r="F3106">
        <v>1</v>
      </c>
      <c r="G3106">
        <v>0</v>
      </c>
      <c r="H3106">
        <v>0</v>
      </c>
      <c r="I3106">
        <v>0</v>
      </c>
      <c r="J3106">
        <v>12343.899735089801</v>
      </c>
      <c r="K3106">
        <v>9606.3724811551892</v>
      </c>
      <c r="L3106">
        <v>35.168999999999997</v>
      </c>
      <c r="M3106">
        <v>70.831999999999994</v>
      </c>
      <c r="N3106">
        <v>17.071000000000002</v>
      </c>
    </row>
    <row r="3107" spans="1:14" x14ac:dyDescent="0.45">
      <c r="A3107">
        <v>1995</v>
      </c>
      <c r="B3107" t="s">
        <v>107</v>
      </c>
      <c r="C3107">
        <v>1</v>
      </c>
      <c r="D3107">
        <v>0</v>
      </c>
      <c r="E3107">
        <v>0</v>
      </c>
      <c r="F3107">
        <v>0</v>
      </c>
      <c r="G3107">
        <v>0</v>
      </c>
      <c r="H3107">
        <v>1</v>
      </c>
      <c r="I3107">
        <v>1</v>
      </c>
      <c r="J3107">
        <v>50509.3353903932</v>
      </c>
      <c r="K3107">
        <v>42687.817750261798</v>
      </c>
      <c r="L3107">
        <v>15.021000000000001</v>
      </c>
      <c r="M3107">
        <v>75.287000000000006</v>
      </c>
      <c r="N3107">
        <v>6.2329999999999997</v>
      </c>
    </row>
    <row r="3108" spans="1:14" x14ac:dyDescent="0.45">
      <c r="A3108">
        <v>1995</v>
      </c>
      <c r="B3108" t="s">
        <v>108</v>
      </c>
      <c r="C3108">
        <v>0</v>
      </c>
      <c r="D3108">
        <v>1</v>
      </c>
      <c r="E3108">
        <v>0</v>
      </c>
      <c r="F3108">
        <v>1</v>
      </c>
      <c r="G3108">
        <v>0</v>
      </c>
      <c r="H3108">
        <v>0</v>
      </c>
      <c r="I3108">
        <v>0</v>
      </c>
      <c r="J3108">
        <v>8685.0164855706207</v>
      </c>
      <c r="K3108">
        <v>7502.3343385492999</v>
      </c>
      <c r="L3108">
        <v>42.402000000000001</v>
      </c>
      <c r="M3108">
        <v>69.394000000000005</v>
      </c>
      <c r="N3108">
        <v>49.890999999999998</v>
      </c>
    </row>
    <row r="3109" spans="1:14" x14ac:dyDescent="0.45">
      <c r="A3109">
        <v>1995</v>
      </c>
      <c r="B3109" t="s">
        <v>109</v>
      </c>
      <c r="C3109">
        <v>0</v>
      </c>
      <c r="D3109">
        <v>0</v>
      </c>
      <c r="E3109">
        <v>0</v>
      </c>
      <c r="F3109">
        <v>1</v>
      </c>
      <c r="G3109">
        <v>0</v>
      </c>
      <c r="H3109">
        <v>0</v>
      </c>
      <c r="I3109">
        <v>0</v>
      </c>
      <c r="J3109">
        <v>10588.4433695754</v>
      </c>
      <c r="K3109">
        <v>9261.01387829132</v>
      </c>
      <c r="L3109">
        <v>44.003</v>
      </c>
      <c r="M3109">
        <v>67.691000000000003</v>
      </c>
      <c r="N3109">
        <v>47.619</v>
      </c>
    </row>
    <row r="3110" spans="1:14" x14ac:dyDescent="0.45">
      <c r="A3110">
        <v>1995</v>
      </c>
      <c r="B3110" t="s">
        <v>110</v>
      </c>
      <c r="C3110">
        <v>0</v>
      </c>
      <c r="D3110">
        <v>1</v>
      </c>
      <c r="E3110">
        <v>0</v>
      </c>
      <c r="F3110">
        <v>1</v>
      </c>
      <c r="G3110">
        <v>0</v>
      </c>
      <c r="H3110">
        <v>0</v>
      </c>
      <c r="I3110">
        <v>0</v>
      </c>
      <c r="J3110">
        <v>9525.1770183240696</v>
      </c>
      <c r="K3110">
        <v>7922.5448028335904</v>
      </c>
      <c r="L3110">
        <v>42.234000000000002</v>
      </c>
      <c r="M3110">
        <v>71.349000000000004</v>
      </c>
      <c r="N3110">
        <v>40.448</v>
      </c>
    </row>
    <row r="3111" spans="1:14" x14ac:dyDescent="0.45">
      <c r="A3111">
        <v>1995</v>
      </c>
      <c r="B3111" t="s">
        <v>111</v>
      </c>
      <c r="C3111">
        <v>0</v>
      </c>
      <c r="D3111">
        <v>0</v>
      </c>
      <c r="E3111">
        <v>0</v>
      </c>
      <c r="F3111">
        <v>1</v>
      </c>
      <c r="G3111">
        <v>0</v>
      </c>
      <c r="H3111">
        <v>0</v>
      </c>
      <c r="I3111">
        <v>0</v>
      </c>
      <c r="J3111">
        <v>8423.5781749954695</v>
      </c>
      <c r="K3111">
        <v>6684.8097139525898</v>
      </c>
      <c r="L3111">
        <v>57.186</v>
      </c>
      <c r="M3111">
        <v>65.213999999999999</v>
      </c>
      <c r="N3111">
        <v>64.296999999999997</v>
      </c>
    </row>
    <row r="3112" spans="1:14" x14ac:dyDescent="0.45">
      <c r="A3112">
        <v>1995</v>
      </c>
      <c r="B3112" t="s">
        <v>112</v>
      </c>
      <c r="C3112">
        <v>0</v>
      </c>
      <c r="D3112">
        <v>0</v>
      </c>
      <c r="E3112">
        <v>1</v>
      </c>
      <c r="F3112">
        <v>0</v>
      </c>
      <c r="G3112">
        <v>0</v>
      </c>
      <c r="H3112">
        <v>0</v>
      </c>
      <c r="I3112">
        <v>0</v>
      </c>
      <c r="L3112">
        <v>77.486000000000004</v>
      </c>
      <c r="M3112">
        <v>54.822000000000003</v>
      </c>
      <c r="N3112">
        <v>114.944</v>
      </c>
    </row>
    <row r="3113" spans="1:14" x14ac:dyDescent="0.45">
      <c r="A3113">
        <v>1995</v>
      </c>
      <c r="B3113" t="s">
        <v>113</v>
      </c>
      <c r="C3113">
        <v>1</v>
      </c>
      <c r="D3113">
        <v>0</v>
      </c>
      <c r="E3113">
        <v>0</v>
      </c>
      <c r="F3113">
        <v>0</v>
      </c>
      <c r="G3113">
        <v>0</v>
      </c>
      <c r="H3113">
        <v>1</v>
      </c>
      <c r="I3113">
        <v>1</v>
      </c>
      <c r="J3113">
        <v>33501.731418292897</v>
      </c>
      <c r="K3113">
        <v>29482.414663837899</v>
      </c>
      <c r="L3113">
        <v>24.143999999999998</v>
      </c>
      <c r="M3113">
        <v>78.2</v>
      </c>
      <c r="N3113">
        <v>6.7460000000000004</v>
      </c>
    </row>
    <row r="3114" spans="1:14" x14ac:dyDescent="0.45">
      <c r="A3114">
        <v>1995</v>
      </c>
      <c r="B3114" t="s">
        <v>114</v>
      </c>
      <c r="C3114">
        <v>1</v>
      </c>
      <c r="D3114">
        <v>0</v>
      </c>
      <c r="E3114">
        <v>0</v>
      </c>
      <c r="F3114">
        <v>1</v>
      </c>
      <c r="G3114">
        <v>0</v>
      </c>
      <c r="H3114">
        <v>0</v>
      </c>
      <c r="I3114">
        <v>0</v>
      </c>
      <c r="J3114">
        <v>14862.0444756989</v>
      </c>
      <c r="K3114">
        <v>12609.0458497576</v>
      </c>
      <c r="L3114">
        <v>29.7</v>
      </c>
      <c r="M3114">
        <v>67.813999999999993</v>
      </c>
      <c r="N3114">
        <v>18.873999999999999</v>
      </c>
    </row>
    <row r="3115" spans="1:14" x14ac:dyDescent="0.45">
      <c r="A3115">
        <v>1995</v>
      </c>
      <c r="B3115" t="s">
        <v>115</v>
      </c>
      <c r="C3115">
        <v>0</v>
      </c>
      <c r="D3115">
        <v>0</v>
      </c>
      <c r="E3115">
        <v>1</v>
      </c>
      <c r="F3115">
        <v>0</v>
      </c>
      <c r="G3115">
        <v>0</v>
      </c>
      <c r="H3115">
        <v>0</v>
      </c>
      <c r="I3115">
        <v>0</v>
      </c>
      <c r="J3115">
        <v>760.26434512231401</v>
      </c>
      <c r="K3115">
        <v>685.67511652151495</v>
      </c>
      <c r="L3115">
        <v>86.173000000000002</v>
      </c>
      <c r="M3115">
        <v>48.155999999999999</v>
      </c>
      <c r="N3115">
        <v>172.74299999999999</v>
      </c>
    </row>
    <row r="3116" spans="1:14" x14ac:dyDescent="0.45">
      <c r="A3116">
        <v>1995</v>
      </c>
      <c r="B3116" t="s">
        <v>116</v>
      </c>
      <c r="C3116">
        <v>1</v>
      </c>
      <c r="D3116">
        <v>0</v>
      </c>
      <c r="E3116">
        <v>0</v>
      </c>
      <c r="F3116">
        <v>0</v>
      </c>
      <c r="G3116">
        <v>0</v>
      </c>
      <c r="H3116">
        <v>1</v>
      </c>
      <c r="I3116">
        <v>1</v>
      </c>
      <c r="J3116">
        <v>37069.628981360001</v>
      </c>
      <c r="K3116">
        <v>31163.799926587701</v>
      </c>
      <c r="L3116">
        <v>19.036999999999999</v>
      </c>
      <c r="M3116">
        <v>76.603999999999999</v>
      </c>
      <c r="N3116">
        <v>4.8380000000000001</v>
      </c>
    </row>
    <row r="3117" spans="1:14" x14ac:dyDescent="0.45">
      <c r="A3117">
        <v>1995</v>
      </c>
      <c r="B3117" t="s">
        <v>117</v>
      </c>
      <c r="C3117">
        <v>0</v>
      </c>
      <c r="D3117">
        <v>0</v>
      </c>
      <c r="E3117">
        <v>0</v>
      </c>
      <c r="F3117">
        <v>1</v>
      </c>
      <c r="G3117">
        <v>0</v>
      </c>
      <c r="H3117">
        <v>0</v>
      </c>
      <c r="I3117">
        <v>0</v>
      </c>
      <c r="J3117">
        <v>8936.7781947040094</v>
      </c>
      <c r="K3117">
        <v>8751.8109959409503</v>
      </c>
      <c r="L3117">
        <v>54.503999999999998</v>
      </c>
      <c r="M3117">
        <v>66.007000000000005</v>
      </c>
      <c r="N3117">
        <v>24.739000000000001</v>
      </c>
    </row>
    <row r="3118" spans="1:14" x14ac:dyDescent="0.45">
      <c r="A3118">
        <v>1995</v>
      </c>
      <c r="B3118" t="s">
        <v>118</v>
      </c>
      <c r="C3118">
        <v>1</v>
      </c>
      <c r="D3118">
        <v>0</v>
      </c>
      <c r="E3118">
        <v>0</v>
      </c>
      <c r="F3118">
        <v>0</v>
      </c>
      <c r="G3118">
        <v>0</v>
      </c>
      <c r="H3118">
        <v>1</v>
      </c>
      <c r="I3118">
        <v>1</v>
      </c>
      <c r="J3118">
        <v>40570.716956055701</v>
      </c>
      <c r="K3118">
        <v>33872.4424068886</v>
      </c>
      <c r="L3118">
        <v>25.088000000000001</v>
      </c>
      <c r="M3118">
        <v>77.870999999999995</v>
      </c>
      <c r="N3118">
        <v>6.2160000000000002</v>
      </c>
    </row>
    <row r="3119" spans="1:14" x14ac:dyDescent="0.45">
      <c r="A3119">
        <v>1995</v>
      </c>
      <c r="B3119" t="s">
        <v>119</v>
      </c>
      <c r="C3119">
        <v>1</v>
      </c>
      <c r="D3119">
        <v>0</v>
      </c>
      <c r="E3119">
        <v>0</v>
      </c>
      <c r="F3119">
        <v>0</v>
      </c>
      <c r="G3119">
        <v>0</v>
      </c>
      <c r="H3119">
        <v>1</v>
      </c>
      <c r="I3119">
        <v>1</v>
      </c>
      <c r="L3119">
        <v>65.929000000000002</v>
      </c>
      <c r="M3119">
        <v>77.658000000000001</v>
      </c>
      <c r="N3119">
        <v>10.496</v>
      </c>
    </row>
    <row r="3120" spans="1:14" x14ac:dyDescent="0.45">
      <c r="A3120">
        <v>1995</v>
      </c>
      <c r="B3120" t="s">
        <v>120</v>
      </c>
      <c r="C3120">
        <v>0</v>
      </c>
      <c r="D3120">
        <v>0</v>
      </c>
      <c r="E3120">
        <v>0</v>
      </c>
      <c r="F3120">
        <v>1</v>
      </c>
      <c r="G3120">
        <v>0</v>
      </c>
      <c r="H3120">
        <v>0</v>
      </c>
      <c r="I3120">
        <v>0</v>
      </c>
      <c r="J3120">
        <v>3692.6062264181001</v>
      </c>
      <c r="K3120">
        <v>3342.3181799651102</v>
      </c>
      <c r="L3120">
        <v>74.932000000000002</v>
      </c>
      <c r="M3120">
        <v>64.141999999999996</v>
      </c>
      <c r="N3120">
        <v>43.195999999999998</v>
      </c>
    </row>
    <row r="3121" spans="1:14" x14ac:dyDescent="0.45">
      <c r="A3121">
        <v>1995</v>
      </c>
      <c r="B3121" t="s">
        <v>121</v>
      </c>
      <c r="C3121">
        <v>0</v>
      </c>
      <c r="D3121">
        <v>0</v>
      </c>
      <c r="E3121">
        <v>1</v>
      </c>
      <c r="F3121">
        <v>0</v>
      </c>
      <c r="G3121">
        <v>1</v>
      </c>
      <c r="H3121">
        <v>0</v>
      </c>
      <c r="I3121">
        <v>0</v>
      </c>
      <c r="J3121">
        <v>24344.185740028501</v>
      </c>
      <c r="K3121">
        <v>18419.782702081098</v>
      </c>
      <c r="L3121">
        <v>25.202999999999999</v>
      </c>
      <c r="M3121">
        <v>61.27</v>
      </c>
      <c r="N3121">
        <v>88.102999999999994</v>
      </c>
    </row>
    <row r="3122" spans="1:14" x14ac:dyDescent="0.45">
      <c r="A3122">
        <v>1995</v>
      </c>
      <c r="B3122" t="s">
        <v>122</v>
      </c>
      <c r="C3122">
        <v>1</v>
      </c>
      <c r="D3122">
        <v>0</v>
      </c>
      <c r="E3122">
        <v>0</v>
      </c>
      <c r="F3122">
        <v>0</v>
      </c>
      <c r="G3122">
        <v>0</v>
      </c>
      <c r="H3122">
        <v>1</v>
      </c>
      <c r="I3122">
        <v>1</v>
      </c>
      <c r="J3122">
        <v>36680.136109597901</v>
      </c>
      <c r="K3122">
        <v>31601.0434163153</v>
      </c>
      <c r="L3122">
        <v>21.646999999999998</v>
      </c>
      <c r="M3122">
        <v>76.614000000000004</v>
      </c>
      <c r="N3122">
        <v>7.21</v>
      </c>
    </row>
    <row r="3123" spans="1:14" x14ac:dyDescent="0.45">
      <c r="A3123">
        <v>1995</v>
      </c>
      <c r="B3123" t="s">
        <v>123</v>
      </c>
      <c r="C3123">
        <v>1</v>
      </c>
      <c r="D3123">
        <v>0</v>
      </c>
      <c r="E3123">
        <v>0</v>
      </c>
      <c r="F3123">
        <v>0</v>
      </c>
      <c r="G3123">
        <v>0</v>
      </c>
      <c r="H3123">
        <v>0</v>
      </c>
      <c r="I3123">
        <v>0</v>
      </c>
      <c r="J3123">
        <v>3762.8115375030902</v>
      </c>
      <c r="K3123">
        <v>3179.1455837568401</v>
      </c>
      <c r="L3123">
        <v>46.158999999999999</v>
      </c>
      <c r="M3123">
        <v>69.397999999999996</v>
      </c>
      <c r="N3123">
        <v>44.384</v>
      </c>
    </row>
    <row r="3124" spans="1:14" x14ac:dyDescent="0.45">
      <c r="A3124">
        <v>1995</v>
      </c>
      <c r="B3124" t="s">
        <v>124</v>
      </c>
      <c r="C3124">
        <v>0</v>
      </c>
      <c r="D3124">
        <v>0</v>
      </c>
      <c r="E3124">
        <v>1</v>
      </c>
      <c r="F3124">
        <v>0</v>
      </c>
      <c r="G3124">
        <v>0</v>
      </c>
      <c r="H3124">
        <v>0</v>
      </c>
      <c r="I3124">
        <v>0</v>
      </c>
      <c r="J3124">
        <v>3039.68873031674</v>
      </c>
      <c r="K3124">
        <v>2622.46934293398</v>
      </c>
      <c r="L3124">
        <v>59.86</v>
      </c>
      <c r="M3124">
        <v>56.661999999999999</v>
      </c>
      <c r="N3124">
        <v>114.477</v>
      </c>
    </row>
    <row r="3125" spans="1:14" x14ac:dyDescent="0.45">
      <c r="A3125">
        <v>1995</v>
      </c>
      <c r="B3125" t="s">
        <v>125</v>
      </c>
      <c r="C3125">
        <v>1</v>
      </c>
      <c r="D3125">
        <v>0</v>
      </c>
      <c r="E3125">
        <v>0</v>
      </c>
      <c r="F3125">
        <v>0</v>
      </c>
      <c r="G3125">
        <v>0</v>
      </c>
      <c r="H3125">
        <v>1</v>
      </c>
      <c r="I3125">
        <v>1</v>
      </c>
      <c r="L3125">
        <v>0</v>
      </c>
      <c r="M3125">
        <v>78.344999999999999</v>
      </c>
      <c r="N3125">
        <v>17.640999999999998</v>
      </c>
    </row>
    <row r="3126" spans="1:14" x14ac:dyDescent="0.45">
      <c r="A3126">
        <v>1995</v>
      </c>
      <c r="B3126" t="s">
        <v>126</v>
      </c>
      <c r="C3126">
        <v>0</v>
      </c>
      <c r="D3126">
        <v>0</v>
      </c>
      <c r="E3126">
        <v>1</v>
      </c>
      <c r="F3126">
        <v>0</v>
      </c>
      <c r="G3126">
        <v>0</v>
      </c>
      <c r="H3126">
        <v>0</v>
      </c>
      <c r="I3126">
        <v>0</v>
      </c>
      <c r="J3126">
        <v>2171.72552153265</v>
      </c>
      <c r="K3126">
        <v>1750.9880397899101</v>
      </c>
      <c r="L3126">
        <v>70.525000000000006</v>
      </c>
      <c r="M3126">
        <v>49.835999999999999</v>
      </c>
      <c r="N3126">
        <v>200.90100000000001</v>
      </c>
    </row>
    <row r="3127" spans="1:14" x14ac:dyDescent="0.45">
      <c r="A3127">
        <v>1995</v>
      </c>
      <c r="B3127" t="s">
        <v>127</v>
      </c>
      <c r="C3127">
        <v>0</v>
      </c>
      <c r="D3127">
        <v>0</v>
      </c>
      <c r="E3127">
        <v>1</v>
      </c>
      <c r="F3127">
        <v>0</v>
      </c>
      <c r="G3127">
        <v>0</v>
      </c>
      <c r="H3127">
        <v>0</v>
      </c>
      <c r="I3127">
        <v>0</v>
      </c>
      <c r="J3127">
        <v>2456.0007811360601</v>
      </c>
      <c r="K3127">
        <v>1976.82757528395</v>
      </c>
      <c r="L3127">
        <v>56.637999999999998</v>
      </c>
      <c r="M3127">
        <v>54.292000000000002</v>
      </c>
      <c r="N3127">
        <v>138.30600000000001</v>
      </c>
    </row>
    <row r="3128" spans="1:14" x14ac:dyDescent="0.45">
      <c r="A3128">
        <v>1995</v>
      </c>
      <c r="B3128" t="s">
        <v>128</v>
      </c>
      <c r="C3128">
        <v>0</v>
      </c>
      <c r="D3128">
        <v>0</v>
      </c>
      <c r="E3128">
        <v>1</v>
      </c>
      <c r="F3128">
        <v>0</v>
      </c>
      <c r="G3128">
        <v>0</v>
      </c>
      <c r="H3128">
        <v>0</v>
      </c>
      <c r="I3128">
        <v>0</v>
      </c>
      <c r="J3128">
        <v>1975.6957577031999</v>
      </c>
      <c r="K3128">
        <v>1777.3328387368001</v>
      </c>
      <c r="L3128">
        <v>65.629000000000005</v>
      </c>
      <c r="M3128">
        <v>48.530999999999999</v>
      </c>
      <c r="N3128">
        <v>198.18100000000001</v>
      </c>
    </row>
    <row r="3129" spans="1:14" x14ac:dyDescent="0.45">
      <c r="A3129">
        <v>1995</v>
      </c>
      <c r="B3129" t="s">
        <v>129</v>
      </c>
      <c r="C3129">
        <v>0</v>
      </c>
      <c r="D3129">
        <v>0</v>
      </c>
      <c r="E3129">
        <v>1</v>
      </c>
      <c r="F3129">
        <v>0</v>
      </c>
      <c r="G3129">
        <v>0</v>
      </c>
      <c r="H3129">
        <v>0</v>
      </c>
      <c r="I3129">
        <v>0</v>
      </c>
      <c r="J3129">
        <v>1892.1165306252699</v>
      </c>
      <c r="K3129">
        <v>1567.6426861873299</v>
      </c>
      <c r="L3129">
        <v>59.506</v>
      </c>
      <c r="M3129">
        <v>51.926000000000002</v>
      </c>
      <c r="N3129">
        <v>169.74</v>
      </c>
    </row>
    <row r="3130" spans="1:14" x14ac:dyDescent="0.45">
      <c r="A3130">
        <v>1995</v>
      </c>
      <c r="B3130" t="s">
        <v>130</v>
      </c>
      <c r="C3130">
        <v>1</v>
      </c>
      <c r="D3130">
        <v>0</v>
      </c>
      <c r="E3130">
        <v>0</v>
      </c>
      <c r="F3130">
        <v>0</v>
      </c>
      <c r="G3130">
        <v>1</v>
      </c>
      <c r="H3130">
        <v>0</v>
      </c>
      <c r="I3130">
        <v>0</v>
      </c>
      <c r="J3130">
        <v>27646.147638358801</v>
      </c>
      <c r="K3130">
        <v>24748.668591135902</v>
      </c>
      <c r="L3130">
        <v>27.881</v>
      </c>
      <c r="M3130">
        <v>77.893000000000001</v>
      </c>
      <c r="N3130">
        <v>8.3979999999999997</v>
      </c>
    </row>
    <row r="3131" spans="1:14" x14ac:dyDescent="0.45">
      <c r="A3131">
        <v>1995</v>
      </c>
      <c r="B3131" t="s">
        <v>131</v>
      </c>
      <c r="C3131">
        <v>0</v>
      </c>
      <c r="D3131">
        <v>1</v>
      </c>
      <c r="E3131">
        <v>0</v>
      </c>
      <c r="F3131">
        <v>1</v>
      </c>
      <c r="G3131">
        <v>0</v>
      </c>
      <c r="H3131">
        <v>0</v>
      </c>
      <c r="I3131">
        <v>0</v>
      </c>
      <c r="J3131">
        <v>8756.1805813843293</v>
      </c>
      <c r="K3131">
        <v>8079.3722358329696</v>
      </c>
      <c r="L3131">
        <v>65.53</v>
      </c>
      <c r="M3131">
        <v>72.093999999999994</v>
      </c>
      <c r="N3131">
        <v>17.827000000000002</v>
      </c>
    </row>
    <row r="3132" spans="1:14" x14ac:dyDescent="0.45">
      <c r="A3132">
        <v>1995</v>
      </c>
      <c r="B3132" t="s">
        <v>132</v>
      </c>
      <c r="C3132">
        <v>1</v>
      </c>
      <c r="D3132">
        <v>0</v>
      </c>
      <c r="E3132">
        <v>0</v>
      </c>
      <c r="F3132">
        <v>0</v>
      </c>
      <c r="G3132">
        <v>0</v>
      </c>
      <c r="H3132">
        <v>1</v>
      </c>
      <c r="I3132">
        <v>1</v>
      </c>
      <c r="J3132">
        <v>37584.071908891499</v>
      </c>
      <c r="K3132">
        <v>34019.905597360397</v>
      </c>
      <c r="L3132">
        <v>19.097999999999999</v>
      </c>
      <c r="M3132">
        <v>64.156999999999996</v>
      </c>
      <c r="N3132">
        <v>29.29</v>
      </c>
    </row>
    <row r="3133" spans="1:14" x14ac:dyDescent="0.45">
      <c r="A3133">
        <v>1995</v>
      </c>
      <c r="B3133" t="s">
        <v>133</v>
      </c>
      <c r="C3133">
        <v>0</v>
      </c>
      <c r="D3133">
        <v>1</v>
      </c>
      <c r="E3133">
        <v>0</v>
      </c>
      <c r="F3133">
        <v>1</v>
      </c>
      <c r="G3133">
        <v>0</v>
      </c>
      <c r="H3133">
        <v>0</v>
      </c>
      <c r="I3133">
        <v>0</v>
      </c>
      <c r="J3133">
        <v>8195.3456777890206</v>
      </c>
      <c r="K3133">
        <v>7119.0973133550797</v>
      </c>
      <c r="L3133">
        <v>56.345999999999997</v>
      </c>
      <c r="M3133">
        <v>63.661999999999999</v>
      </c>
      <c r="N3133">
        <v>64.402000000000001</v>
      </c>
    </row>
    <row r="3134" spans="1:14" x14ac:dyDescent="0.45">
      <c r="A3134">
        <v>1995</v>
      </c>
      <c r="B3134" t="s">
        <v>134</v>
      </c>
      <c r="C3134">
        <v>0</v>
      </c>
      <c r="D3134">
        <v>0</v>
      </c>
      <c r="E3134">
        <v>0</v>
      </c>
      <c r="F3134">
        <v>0</v>
      </c>
      <c r="G3134">
        <v>0</v>
      </c>
      <c r="H3134">
        <v>1</v>
      </c>
      <c r="I3134">
        <v>1</v>
      </c>
      <c r="L3134">
        <v>7.9449999999999896</v>
      </c>
      <c r="M3134">
        <v>74.510999999999996</v>
      </c>
      <c r="N3134">
        <v>12.247999999999999</v>
      </c>
    </row>
    <row r="3135" spans="1:14" x14ac:dyDescent="0.45">
      <c r="A3135">
        <v>1995</v>
      </c>
      <c r="B3135" t="s">
        <v>135</v>
      </c>
      <c r="C3135">
        <v>0</v>
      </c>
      <c r="D3135">
        <v>1</v>
      </c>
      <c r="E3135">
        <v>0</v>
      </c>
      <c r="F3135">
        <v>0</v>
      </c>
      <c r="G3135">
        <v>0</v>
      </c>
      <c r="H3135">
        <v>0</v>
      </c>
      <c r="I3135">
        <v>0</v>
      </c>
      <c r="J3135">
        <v>7071.2128000594703</v>
      </c>
      <c r="K3135">
        <v>6762.76040451874</v>
      </c>
      <c r="L3135">
        <v>70.863</v>
      </c>
      <c r="M3135">
        <v>62.667999999999999</v>
      </c>
      <c r="N3135">
        <v>53.040999999999997</v>
      </c>
    </row>
    <row r="3136" spans="1:14" x14ac:dyDescent="0.45">
      <c r="A3136">
        <v>1995</v>
      </c>
      <c r="B3136" t="s">
        <v>136</v>
      </c>
      <c r="C3136">
        <v>0</v>
      </c>
      <c r="D3136">
        <v>0</v>
      </c>
      <c r="E3136">
        <v>0</v>
      </c>
      <c r="F3136">
        <v>0</v>
      </c>
      <c r="G3136">
        <v>0</v>
      </c>
      <c r="H3136">
        <v>1</v>
      </c>
      <c r="I3136">
        <v>1</v>
      </c>
      <c r="J3136">
        <v>37905.715507793597</v>
      </c>
      <c r="K3136">
        <v>34210.038940438099</v>
      </c>
      <c r="L3136">
        <v>0</v>
      </c>
      <c r="M3136">
        <v>79.105999999999995</v>
      </c>
      <c r="N3136">
        <v>5.351</v>
      </c>
    </row>
    <row r="3137" spans="1:14" x14ac:dyDescent="0.45">
      <c r="A3137">
        <v>1995</v>
      </c>
      <c r="B3137" t="s">
        <v>137</v>
      </c>
      <c r="C3137">
        <v>0</v>
      </c>
      <c r="D3137">
        <v>1</v>
      </c>
      <c r="E3137">
        <v>0</v>
      </c>
      <c r="F3137">
        <v>0</v>
      </c>
      <c r="G3137">
        <v>0</v>
      </c>
      <c r="H3137">
        <v>0</v>
      </c>
      <c r="I3137">
        <v>0</v>
      </c>
      <c r="J3137">
        <v>4464.57980710631</v>
      </c>
      <c r="K3137">
        <v>4114.0122161171203</v>
      </c>
      <c r="L3137">
        <v>57.058999999999997</v>
      </c>
      <c r="M3137">
        <v>66.918999999999997</v>
      </c>
      <c r="N3137">
        <v>46.59</v>
      </c>
    </row>
    <row r="3138" spans="1:14" x14ac:dyDescent="0.45">
      <c r="A3138">
        <v>1995</v>
      </c>
      <c r="B3138" t="s">
        <v>138</v>
      </c>
      <c r="C3138">
        <v>1</v>
      </c>
      <c r="D3138">
        <v>0</v>
      </c>
      <c r="E3138">
        <v>0</v>
      </c>
      <c r="F3138">
        <v>0</v>
      </c>
      <c r="G3138">
        <v>1</v>
      </c>
      <c r="H3138">
        <v>0</v>
      </c>
      <c r="I3138">
        <v>0</v>
      </c>
      <c r="J3138">
        <v>17522.9855038403</v>
      </c>
      <c r="K3138">
        <v>15111.982863831699</v>
      </c>
      <c r="L3138">
        <v>47.720999999999997</v>
      </c>
      <c r="M3138">
        <v>72.561000000000007</v>
      </c>
      <c r="N3138">
        <v>10.728999999999999</v>
      </c>
    </row>
    <row r="3139" spans="1:14" x14ac:dyDescent="0.45">
      <c r="A3139">
        <v>1995</v>
      </c>
      <c r="B3139" t="s">
        <v>139</v>
      </c>
      <c r="C3139">
        <v>0</v>
      </c>
      <c r="D3139">
        <v>1</v>
      </c>
      <c r="E3139">
        <v>0</v>
      </c>
      <c r="F3139">
        <v>0</v>
      </c>
      <c r="G3139">
        <v>0</v>
      </c>
      <c r="H3139">
        <v>0</v>
      </c>
      <c r="I3139">
        <v>0</v>
      </c>
      <c r="J3139">
        <v>3157.7831688689598</v>
      </c>
      <c r="K3139">
        <v>3035.1214812183198</v>
      </c>
      <c r="L3139">
        <v>67.41</v>
      </c>
      <c r="M3139">
        <v>55.582000000000001</v>
      </c>
      <c r="N3139">
        <v>123.35</v>
      </c>
    </row>
    <row r="3140" spans="1:14" x14ac:dyDescent="0.45">
      <c r="A3140">
        <v>1995</v>
      </c>
      <c r="B3140" t="s">
        <v>140</v>
      </c>
      <c r="C3140">
        <v>1</v>
      </c>
      <c r="D3140">
        <v>0</v>
      </c>
      <c r="E3140">
        <v>0</v>
      </c>
      <c r="F3140">
        <v>0</v>
      </c>
      <c r="G3140">
        <v>1</v>
      </c>
      <c r="H3140">
        <v>0</v>
      </c>
      <c r="I3140">
        <v>0</v>
      </c>
      <c r="J3140">
        <v>18977.2437047366</v>
      </c>
      <c r="K3140">
        <v>16537.101884620901</v>
      </c>
      <c r="L3140">
        <v>34.790999999999997</v>
      </c>
      <c r="M3140">
        <v>69.968999999999994</v>
      </c>
      <c r="N3140">
        <v>12.352</v>
      </c>
    </row>
    <row r="3141" spans="1:14" x14ac:dyDescent="0.45">
      <c r="A3141">
        <v>1995</v>
      </c>
      <c r="B3141" t="s">
        <v>141</v>
      </c>
      <c r="C3141">
        <v>0</v>
      </c>
      <c r="D3141">
        <v>0</v>
      </c>
      <c r="E3141">
        <v>0</v>
      </c>
      <c r="F3141">
        <v>1</v>
      </c>
      <c r="G3141">
        <v>0</v>
      </c>
      <c r="H3141">
        <v>0</v>
      </c>
      <c r="I3141">
        <v>0</v>
      </c>
      <c r="J3141">
        <v>6312.93453561158</v>
      </c>
      <c r="K3141">
        <v>5731.14955585803</v>
      </c>
      <c r="L3141">
        <v>63.923999999999999</v>
      </c>
      <c r="M3141">
        <v>65.263000000000005</v>
      </c>
      <c r="N3141">
        <v>66.078999999999994</v>
      </c>
    </row>
    <row r="3142" spans="1:14" x14ac:dyDescent="0.45">
      <c r="A3142">
        <v>1995</v>
      </c>
      <c r="B3142" t="s">
        <v>142</v>
      </c>
      <c r="C3142">
        <v>1</v>
      </c>
      <c r="D3142">
        <v>0</v>
      </c>
      <c r="E3142">
        <v>0</v>
      </c>
      <c r="F3142">
        <v>0</v>
      </c>
      <c r="G3142">
        <v>1</v>
      </c>
      <c r="H3142">
        <v>0</v>
      </c>
      <c r="I3142">
        <v>0</v>
      </c>
      <c r="L3142">
        <v>48.216999999999999</v>
      </c>
      <c r="M3142">
        <v>73.370999999999995</v>
      </c>
      <c r="N3142">
        <v>29.64</v>
      </c>
    </row>
    <row r="3143" spans="1:14" x14ac:dyDescent="0.45">
      <c r="A3143">
        <v>1995</v>
      </c>
      <c r="B3143" t="s">
        <v>143</v>
      </c>
      <c r="C3143">
        <v>0</v>
      </c>
      <c r="D3143">
        <v>0</v>
      </c>
      <c r="E3143">
        <v>0</v>
      </c>
      <c r="F3143">
        <v>0</v>
      </c>
      <c r="G3143">
        <v>0</v>
      </c>
      <c r="H3143">
        <v>0</v>
      </c>
      <c r="I3143">
        <v>0</v>
      </c>
      <c r="J3143">
        <v>2542.4221113334502</v>
      </c>
      <c r="K3143">
        <v>2132.2921707287501</v>
      </c>
      <c r="L3143">
        <v>73.393000000000001</v>
      </c>
      <c r="M3143">
        <v>60.63</v>
      </c>
      <c r="N3143">
        <v>108.84099999999999</v>
      </c>
    </row>
    <row r="3144" spans="1:14" x14ac:dyDescent="0.45">
      <c r="A3144">
        <v>1995</v>
      </c>
      <c r="B3144" t="s">
        <v>144</v>
      </c>
      <c r="C3144">
        <v>1</v>
      </c>
      <c r="D3144">
        <v>0</v>
      </c>
      <c r="E3144">
        <v>0</v>
      </c>
      <c r="F3144">
        <v>0</v>
      </c>
      <c r="G3144">
        <v>0</v>
      </c>
      <c r="H3144">
        <v>1</v>
      </c>
      <c r="I3144">
        <v>1</v>
      </c>
      <c r="J3144">
        <v>36141.524153372797</v>
      </c>
      <c r="K3144">
        <v>33230.245870366802</v>
      </c>
      <c r="L3144">
        <v>42.051000000000002</v>
      </c>
      <c r="M3144">
        <v>75.474000000000004</v>
      </c>
      <c r="N3144">
        <v>7.5350000000000001</v>
      </c>
    </row>
    <row r="3145" spans="1:14" x14ac:dyDescent="0.45">
      <c r="A3145">
        <v>1995</v>
      </c>
      <c r="B3145" t="s">
        <v>145</v>
      </c>
      <c r="C3145">
        <v>0</v>
      </c>
      <c r="D3145">
        <v>0</v>
      </c>
      <c r="E3145">
        <v>0</v>
      </c>
      <c r="F3145">
        <v>1</v>
      </c>
      <c r="G3145">
        <v>0</v>
      </c>
      <c r="H3145">
        <v>0</v>
      </c>
      <c r="I3145">
        <v>0</v>
      </c>
      <c r="J3145">
        <v>9804.5498945077597</v>
      </c>
      <c r="K3145">
        <v>9779.9862802658099</v>
      </c>
      <c r="L3145">
        <v>39.764000000000003</v>
      </c>
      <c r="M3145">
        <v>67.903999999999996</v>
      </c>
      <c r="N3145">
        <v>46</v>
      </c>
    </row>
    <row r="3146" spans="1:14" x14ac:dyDescent="0.45">
      <c r="A3146">
        <v>1995</v>
      </c>
      <c r="B3146" t="s">
        <v>146</v>
      </c>
      <c r="C3146">
        <v>0</v>
      </c>
      <c r="D3146">
        <v>0</v>
      </c>
      <c r="E3146">
        <v>0</v>
      </c>
      <c r="F3146">
        <v>1</v>
      </c>
      <c r="G3146">
        <v>0</v>
      </c>
      <c r="H3146">
        <v>0</v>
      </c>
      <c r="I3146">
        <v>0</v>
      </c>
      <c r="J3146">
        <v>5969.6696409589103</v>
      </c>
      <c r="K3146">
        <v>4219.8924126792799</v>
      </c>
      <c r="L3146">
        <v>31.22</v>
      </c>
      <c r="M3146">
        <v>64.760999999999996</v>
      </c>
      <c r="N3146">
        <v>49.45</v>
      </c>
    </row>
    <row r="3147" spans="1:14" x14ac:dyDescent="0.45">
      <c r="A3147">
        <v>1995</v>
      </c>
      <c r="B3147" t="s">
        <v>147</v>
      </c>
      <c r="C3147">
        <v>1</v>
      </c>
      <c r="D3147">
        <v>0</v>
      </c>
      <c r="E3147">
        <v>0</v>
      </c>
      <c r="F3147">
        <v>0</v>
      </c>
      <c r="G3147">
        <v>0</v>
      </c>
      <c r="H3147">
        <v>1</v>
      </c>
      <c r="I3147">
        <v>1</v>
      </c>
      <c r="J3147">
        <v>38724.904275513603</v>
      </c>
      <c r="K3147">
        <v>33508.229273053003</v>
      </c>
      <c r="L3147">
        <v>8.3699999999999992</v>
      </c>
      <c r="M3147">
        <v>77.543000000000006</v>
      </c>
      <c r="N3147">
        <v>9.2650000000000006</v>
      </c>
    </row>
    <row r="3148" spans="1:14" x14ac:dyDescent="0.45">
      <c r="A3148">
        <v>1995</v>
      </c>
      <c r="B3148" t="s">
        <v>148</v>
      </c>
      <c r="C3148">
        <v>0</v>
      </c>
      <c r="D3148">
        <v>0</v>
      </c>
      <c r="E3148">
        <v>0</v>
      </c>
      <c r="F3148">
        <v>0</v>
      </c>
      <c r="G3148">
        <v>0</v>
      </c>
      <c r="H3148">
        <v>1</v>
      </c>
      <c r="I3148">
        <v>1</v>
      </c>
      <c r="J3148">
        <v>29470.817260849999</v>
      </c>
      <c r="K3148">
        <v>27032.907988820301</v>
      </c>
      <c r="L3148">
        <v>9.1340000000000003</v>
      </c>
      <c r="M3148">
        <v>78.052000000000007</v>
      </c>
      <c r="N3148">
        <v>8.58</v>
      </c>
    </row>
    <row r="3149" spans="1:14" x14ac:dyDescent="0.45">
      <c r="A3149">
        <v>1995</v>
      </c>
      <c r="B3149" t="s">
        <v>149</v>
      </c>
      <c r="C3149">
        <v>1</v>
      </c>
      <c r="D3149">
        <v>0</v>
      </c>
      <c r="E3149">
        <v>0</v>
      </c>
      <c r="F3149">
        <v>0</v>
      </c>
      <c r="G3149">
        <v>0</v>
      </c>
      <c r="H3149">
        <v>1</v>
      </c>
      <c r="I3149">
        <v>1</v>
      </c>
      <c r="J3149">
        <v>45410.139173109099</v>
      </c>
      <c r="K3149">
        <v>38678.863282872997</v>
      </c>
      <c r="L3149">
        <v>33.078000000000003</v>
      </c>
      <c r="M3149">
        <v>78.125</v>
      </c>
      <c r="N3149">
        <v>7.3390000000000004</v>
      </c>
    </row>
    <row r="3150" spans="1:14" x14ac:dyDescent="0.45">
      <c r="A3150">
        <v>1995</v>
      </c>
      <c r="B3150" t="s">
        <v>150</v>
      </c>
      <c r="C3150">
        <v>0</v>
      </c>
      <c r="D3150">
        <v>1</v>
      </c>
      <c r="E3150">
        <v>0</v>
      </c>
      <c r="F3150">
        <v>1</v>
      </c>
      <c r="G3150">
        <v>0</v>
      </c>
      <c r="H3150">
        <v>0</v>
      </c>
      <c r="I3150">
        <v>0</v>
      </c>
      <c r="J3150">
        <v>10098.980141603</v>
      </c>
      <c r="K3150">
        <v>9952.8494898232802</v>
      </c>
      <c r="L3150">
        <v>49.384999999999998</v>
      </c>
      <c r="M3150">
        <v>71.488</v>
      </c>
      <c r="N3150">
        <v>24.129000000000001</v>
      </c>
    </row>
    <row r="3151" spans="1:14" x14ac:dyDescent="0.45">
      <c r="A3151">
        <v>1995</v>
      </c>
      <c r="B3151" t="s">
        <v>151</v>
      </c>
      <c r="C3151">
        <v>0</v>
      </c>
      <c r="D3151">
        <v>0</v>
      </c>
      <c r="E3151">
        <v>0</v>
      </c>
      <c r="F3151">
        <v>1</v>
      </c>
      <c r="G3151">
        <v>0</v>
      </c>
      <c r="H3151">
        <v>0</v>
      </c>
      <c r="I3151">
        <v>0</v>
      </c>
      <c r="J3151">
        <v>7829.0812145601103</v>
      </c>
      <c r="K3151">
        <v>7766.8031527805397</v>
      </c>
      <c r="L3151">
        <v>21.792999999999999</v>
      </c>
      <c r="M3151">
        <v>70.915000000000006</v>
      </c>
      <c r="N3151">
        <v>30.849</v>
      </c>
    </row>
    <row r="3152" spans="1:14" x14ac:dyDescent="0.45">
      <c r="A3152">
        <v>1995</v>
      </c>
      <c r="B3152" t="s">
        <v>152</v>
      </c>
      <c r="C3152">
        <v>0</v>
      </c>
      <c r="D3152">
        <v>0</v>
      </c>
      <c r="E3152">
        <v>0</v>
      </c>
      <c r="F3152">
        <v>0</v>
      </c>
      <c r="G3152">
        <v>0</v>
      </c>
      <c r="H3152">
        <v>1</v>
      </c>
      <c r="I3152">
        <v>1</v>
      </c>
      <c r="J3152">
        <v>37442.8946125519</v>
      </c>
      <c r="K3152">
        <v>34684.563559924798</v>
      </c>
      <c r="L3152">
        <v>21.984000000000002</v>
      </c>
      <c r="M3152">
        <v>79.683999999999997</v>
      </c>
      <c r="N3152">
        <v>5.83</v>
      </c>
    </row>
    <row r="3153" spans="1:14" x14ac:dyDescent="0.45">
      <c r="A3153">
        <v>1995</v>
      </c>
      <c r="B3153" t="s">
        <v>153</v>
      </c>
      <c r="C3153">
        <v>1</v>
      </c>
      <c r="D3153">
        <v>0</v>
      </c>
      <c r="E3153">
        <v>0</v>
      </c>
      <c r="F3153">
        <v>1</v>
      </c>
      <c r="G3153">
        <v>0</v>
      </c>
      <c r="H3153">
        <v>0</v>
      </c>
      <c r="I3153">
        <v>0</v>
      </c>
      <c r="J3153">
        <v>10600.330227009499</v>
      </c>
      <c r="K3153">
        <v>8061.1208896815197</v>
      </c>
      <c r="L3153">
        <v>44.079000000000001</v>
      </c>
      <c r="M3153">
        <v>63.716999999999999</v>
      </c>
      <c r="N3153">
        <v>51.360999999999997</v>
      </c>
    </row>
    <row r="3154" spans="1:14" x14ac:dyDescent="0.45">
      <c r="A3154">
        <v>1995</v>
      </c>
      <c r="B3154" t="s">
        <v>154</v>
      </c>
      <c r="C3154">
        <v>0</v>
      </c>
      <c r="D3154">
        <v>0</v>
      </c>
      <c r="E3154">
        <v>1</v>
      </c>
      <c r="F3154">
        <v>0</v>
      </c>
      <c r="G3154">
        <v>0</v>
      </c>
      <c r="H3154">
        <v>0</v>
      </c>
      <c r="I3154">
        <v>0</v>
      </c>
      <c r="J3154">
        <v>3890.0985511465001</v>
      </c>
      <c r="K3154">
        <v>3352.6668064208402</v>
      </c>
      <c r="L3154">
        <v>81.736999999999995</v>
      </c>
      <c r="M3154">
        <v>55.856000000000002</v>
      </c>
      <c r="N3154">
        <v>107.307</v>
      </c>
    </row>
    <row r="3155" spans="1:14" x14ac:dyDescent="0.45">
      <c r="A3155">
        <v>1995</v>
      </c>
      <c r="B3155" t="s">
        <v>155</v>
      </c>
      <c r="C3155">
        <v>1</v>
      </c>
      <c r="D3155">
        <v>0</v>
      </c>
      <c r="E3155">
        <v>0</v>
      </c>
      <c r="F3155">
        <v>0</v>
      </c>
      <c r="G3155">
        <v>0</v>
      </c>
      <c r="H3155">
        <v>0</v>
      </c>
      <c r="I3155">
        <v>0</v>
      </c>
      <c r="J3155">
        <v>2974.7116389129401</v>
      </c>
      <c r="K3155">
        <v>2514.1311920346202</v>
      </c>
      <c r="L3155">
        <v>63.651000000000003</v>
      </c>
      <c r="M3155">
        <v>62.918999999999997</v>
      </c>
      <c r="N3155">
        <v>61.12</v>
      </c>
    </row>
    <row r="3156" spans="1:14" x14ac:dyDescent="0.45">
      <c r="A3156">
        <v>1995</v>
      </c>
      <c r="B3156" t="s">
        <v>156</v>
      </c>
      <c r="C3156">
        <v>0</v>
      </c>
      <c r="D3156">
        <v>0</v>
      </c>
      <c r="E3156">
        <v>0</v>
      </c>
      <c r="F3156">
        <v>0</v>
      </c>
      <c r="G3156">
        <v>0</v>
      </c>
      <c r="H3156">
        <v>0</v>
      </c>
      <c r="I3156">
        <v>0</v>
      </c>
      <c r="J3156">
        <v>1672.7392851408199</v>
      </c>
      <c r="K3156">
        <v>1499.8922696341499</v>
      </c>
      <c r="L3156">
        <v>82.688999999999993</v>
      </c>
      <c r="M3156">
        <v>56.561999999999998</v>
      </c>
      <c r="N3156">
        <v>118.59399999999999</v>
      </c>
    </row>
    <row r="3157" spans="1:14" x14ac:dyDescent="0.45">
      <c r="A3157">
        <v>1995</v>
      </c>
      <c r="B3157" t="s">
        <v>157</v>
      </c>
      <c r="C3157">
        <v>0</v>
      </c>
      <c r="D3157">
        <v>0</v>
      </c>
      <c r="E3157">
        <v>0</v>
      </c>
      <c r="F3157">
        <v>1</v>
      </c>
      <c r="G3157">
        <v>0</v>
      </c>
      <c r="H3157">
        <v>0</v>
      </c>
      <c r="I3157">
        <v>0</v>
      </c>
      <c r="J3157">
        <v>2498.7876151916998</v>
      </c>
      <c r="K3157">
        <v>2260.4015210032398</v>
      </c>
      <c r="L3157">
        <v>63.591000000000001</v>
      </c>
      <c r="M3157">
        <v>63.146000000000001</v>
      </c>
      <c r="N3157">
        <v>76.165999999999997</v>
      </c>
    </row>
    <row r="3158" spans="1:14" x14ac:dyDescent="0.45">
      <c r="A3158">
        <v>1995</v>
      </c>
      <c r="B3158" t="s">
        <v>158</v>
      </c>
      <c r="C3158">
        <v>0</v>
      </c>
      <c r="D3158">
        <v>1</v>
      </c>
      <c r="E3158">
        <v>0</v>
      </c>
      <c r="F3158">
        <v>0</v>
      </c>
      <c r="G3158">
        <v>1</v>
      </c>
      <c r="H3158">
        <v>0</v>
      </c>
      <c r="I3158">
        <v>0</v>
      </c>
      <c r="J3158">
        <v>16596.265626628701</v>
      </c>
      <c r="K3158">
        <v>16391.069700840599</v>
      </c>
      <c r="L3158">
        <v>66.284999999999997</v>
      </c>
      <c r="M3158">
        <v>67.23</v>
      </c>
      <c r="N3158">
        <v>27.731000000000002</v>
      </c>
    </row>
    <row r="3159" spans="1:14" x14ac:dyDescent="0.45">
      <c r="A3159">
        <v>1995</v>
      </c>
      <c r="B3159" t="s">
        <v>159</v>
      </c>
      <c r="C3159">
        <v>0</v>
      </c>
      <c r="D3159">
        <v>0</v>
      </c>
      <c r="E3159">
        <v>0</v>
      </c>
      <c r="F3159">
        <v>0</v>
      </c>
      <c r="G3159">
        <v>0</v>
      </c>
      <c r="H3159">
        <v>1</v>
      </c>
      <c r="I3159">
        <v>1</v>
      </c>
      <c r="J3159">
        <v>19815.0748995289</v>
      </c>
      <c r="K3159">
        <v>18063.868048924502</v>
      </c>
      <c r="L3159">
        <v>21.760999999999999</v>
      </c>
      <c r="M3159">
        <v>73.375</v>
      </c>
      <c r="N3159">
        <v>10.595000000000001</v>
      </c>
    </row>
    <row r="3160" spans="1:14" x14ac:dyDescent="0.45">
      <c r="A3160">
        <v>1995</v>
      </c>
      <c r="B3160" t="s">
        <v>160</v>
      </c>
      <c r="C3160">
        <v>0</v>
      </c>
      <c r="D3160">
        <v>0</v>
      </c>
      <c r="E3160">
        <v>0</v>
      </c>
      <c r="F3160">
        <v>0</v>
      </c>
      <c r="G3160">
        <v>0</v>
      </c>
      <c r="H3160">
        <v>1</v>
      </c>
      <c r="I3160">
        <v>1</v>
      </c>
      <c r="J3160">
        <v>64093.517911221301</v>
      </c>
      <c r="K3160">
        <v>57081.6950771595</v>
      </c>
      <c r="L3160">
        <v>1.9039999999999999</v>
      </c>
      <c r="M3160">
        <v>75.665000000000006</v>
      </c>
      <c r="N3160">
        <v>14.73</v>
      </c>
    </row>
    <row r="3161" spans="1:14" x14ac:dyDescent="0.45">
      <c r="A3161">
        <v>1995</v>
      </c>
      <c r="B3161" t="s">
        <v>161</v>
      </c>
      <c r="C3161">
        <v>0</v>
      </c>
      <c r="D3161">
        <v>0</v>
      </c>
      <c r="E3161">
        <v>0</v>
      </c>
      <c r="F3161">
        <v>0</v>
      </c>
      <c r="G3161">
        <v>0</v>
      </c>
      <c r="H3161">
        <v>0</v>
      </c>
      <c r="I3161">
        <v>0</v>
      </c>
      <c r="J3161">
        <v>2368.0547518253602</v>
      </c>
      <c r="K3161">
        <v>2275.48179764215</v>
      </c>
      <c r="L3161">
        <v>82.622</v>
      </c>
      <c r="M3161">
        <v>56.344000000000001</v>
      </c>
      <c r="N3161">
        <v>128.876</v>
      </c>
    </row>
    <row r="3162" spans="1:14" x14ac:dyDescent="0.45">
      <c r="A3162">
        <v>1995</v>
      </c>
      <c r="B3162" t="s">
        <v>162</v>
      </c>
      <c r="C3162">
        <v>0</v>
      </c>
      <c r="D3162">
        <v>0</v>
      </c>
      <c r="E3162">
        <v>0</v>
      </c>
      <c r="F3162">
        <v>1</v>
      </c>
      <c r="G3162">
        <v>0</v>
      </c>
      <c r="H3162">
        <v>0</v>
      </c>
      <c r="I3162">
        <v>0</v>
      </c>
      <c r="J3162">
        <v>10762.4426963776</v>
      </c>
      <c r="K3162">
        <v>13988.952076826499</v>
      </c>
      <c r="L3162">
        <v>15.18</v>
      </c>
      <c r="M3162">
        <v>72.382999999999996</v>
      </c>
      <c r="N3162">
        <v>25.402000000000001</v>
      </c>
    </row>
    <row r="3163" spans="1:14" x14ac:dyDescent="0.45">
      <c r="A3163">
        <v>1995</v>
      </c>
      <c r="B3163" t="s">
        <v>163</v>
      </c>
      <c r="C3163">
        <v>0</v>
      </c>
      <c r="D3163">
        <v>0</v>
      </c>
      <c r="E3163">
        <v>1</v>
      </c>
      <c r="F3163">
        <v>0</v>
      </c>
      <c r="G3163">
        <v>0</v>
      </c>
      <c r="H3163">
        <v>0</v>
      </c>
      <c r="I3163">
        <v>0</v>
      </c>
      <c r="J3163">
        <v>534.80971516540603</v>
      </c>
      <c r="K3163">
        <v>790.15217925712398</v>
      </c>
      <c r="L3163">
        <v>54.04</v>
      </c>
      <c r="M3163">
        <v>44.573</v>
      </c>
      <c r="N3163">
        <v>246.14699999999999</v>
      </c>
    </row>
    <row r="3164" spans="1:14" x14ac:dyDescent="0.45">
      <c r="A3164">
        <v>1995</v>
      </c>
      <c r="B3164" t="s">
        <v>164</v>
      </c>
      <c r="C3164">
        <v>0</v>
      </c>
      <c r="D3164">
        <v>0</v>
      </c>
      <c r="E3164">
        <v>0</v>
      </c>
      <c r="F3164">
        <v>0</v>
      </c>
      <c r="G3164">
        <v>1</v>
      </c>
      <c r="H3164">
        <v>0</v>
      </c>
      <c r="I3164">
        <v>0</v>
      </c>
      <c r="J3164">
        <v>17718.6027769266</v>
      </c>
      <c r="K3164">
        <v>20707.6450296125</v>
      </c>
      <c r="L3164">
        <v>24.006</v>
      </c>
      <c r="M3164">
        <v>70.641000000000005</v>
      </c>
      <c r="N3164">
        <v>33.491</v>
      </c>
    </row>
    <row r="3165" spans="1:14" x14ac:dyDescent="0.45">
      <c r="A3165">
        <v>1995</v>
      </c>
      <c r="B3165" t="s">
        <v>165</v>
      </c>
      <c r="C3165">
        <v>0</v>
      </c>
      <c r="D3165">
        <v>1</v>
      </c>
      <c r="E3165">
        <v>0</v>
      </c>
      <c r="F3165">
        <v>0</v>
      </c>
      <c r="G3165">
        <v>1</v>
      </c>
      <c r="H3165">
        <v>0</v>
      </c>
      <c r="I3165">
        <v>0</v>
      </c>
      <c r="J3165">
        <v>18048.780665013001</v>
      </c>
      <c r="K3165">
        <v>12984.4192844712</v>
      </c>
      <c r="L3165">
        <v>71.234999999999999</v>
      </c>
      <c r="M3165">
        <v>71.171999999999997</v>
      </c>
      <c r="N3165">
        <v>18.984000000000002</v>
      </c>
    </row>
    <row r="3166" spans="1:14" x14ac:dyDescent="0.45">
      <c r="A3166">
        <v>1995</v>
      </c>
      <c r="B3166" t="s">
        <v>166</v>
      </c>
      <c r="C3166">
        <v>1</v>
      </c>
      <c r="D3166">
        <v>0</v>
      </c>
      <c r="E3166">
        <v>0</v>
      </c>
      <c r="F3166">
        <v>0</v>
      </c>
      <c r="G3166">
        <v>0</v>
      </c>
      <c r="H3166">
        <v>1</v>
      </c>
      <c r="I3166">
        <v>1</v>
      </c>
      <c r="L3166">
        <v>83.518000000000001</v>
      </c>
      <c r="M3166">
        <v>77.918000000000006</v>
      </c>
      <c r="N3166">
        <v>12.939</v>
      </c>
    </row>
    <row r="3167" spans="1:14" x14ac:dyDescent="0.45">
      <c r="A3167">
        <v>1995</v>
      </c>
      <c r="B3167" t="s">
        <v>167</v>
      </c>
      <c r="C3167">
        <v>0</v>
      </c>
      <c r="D3167">
        <v>0</v>
      </c>
      <c r="E3167">
        <v>0</v>
      </c>
      <c r="F3167">
        <v>0</v>
      </c>
      <c r="G3167">
        <v>0</v>
      </c>
      <c r="H3167">
        <v>0</v>
      </c>
      <c r="I3167">
        <v>0</v>
      </c>
      <c r="J3167">
        <v>5523.31225393965</v>
      </c>
      <c r="K3167">
        <v>5158.6863486744296</v>
      </c>
      <c r="L3167">
        <v>81.542000000000002</v>
      </c>
      <c r="M3167">
        <v>69.745999999999995</v>
      </c>
      <c r="N3167">
        <v>20.207999999999998</v>
      </c>
    </row>
    <row r="3168" spans="1:14" x14ac:dyDescent="0.45">
      <c r="A3168">
        <v>1995</v>
      </c>
      <c r="B3168" t="s">
        <v>168</v>
      </c>
      <c r="C3168">
        <v>0</v>
      </c>
      <c r="D3168">
        <v>0</v>
      </c>
      <c r="E3168">
        <v>1</v>
      </c>
      <c r="F3168">
        <v>1</v>
      </c>
      <c r="G3168">
        <v>0</v>
      </c>
      <c r="H3168">
        <v>0</v>
      </c>
      <c r="I3168">
        <v>0</v>
      </c>
      <c r="J3168">
        <v>1709.6943351293901</v>
      </c>
      <c r="K3168">
        <v>1530.8948362316501</v>
      </c>
      <c r="L3168">
        <v>83.045000000000002</v>
      </c>
      <c r="M3168">
        <v>56.368000000000002</v>
      </c>
      <c r="N3168">
        <v>94.619</v>
      </c>
    </row>
    <row r="3169" spans="1:14" x14ac:dyDescent="0.45">
      <c r="A3169">
        <v>1995</v>
      </c>
      <c r="B3169" t="s">
        <v>169</v>
      </c>
      <c r="C3169">
        <v>1</v>
      </c>
      <c r="D3169">
        <v>0</v>
      </c>
      <c r="E3169">
        <v>0</v>
      </c>
      <c r="F3169">
        <v>1</v>
      </c>
      <c r="G3169">
        <v>0</v>
      </c>
      <c r="H3169">
        <v>0</v>
      </c>
      <c r="I3169">
        <v>0</v>
      </c>
      <c r="J3169">
        <v>12164.2037159996</v>
      </c>
      <c r="K3169">
        <v>10407.2873949693</v>
      </c>
      <c r="L3169">
        <v>32.715000000000003</v>
      </c>
      <c r="M3169">
        <v>69.018000000000001</v>
      </c>
      <c r="N3169">
        <v>15.483000000000001</v>
      </c>
    </row>
    <row r="3170" spans="1:14" x14ac:dyDescent="0.45">
      <c r="A3170">
        <v>1995</v>
      </c>
      <c r="B3170" t="s">
        <v>170</v>
      </c>
      <c r="C3170">
        <v>1</v>
      </c>
      <c r="D3170">
        <v>0</v>
      </c>
      <c r="E3170">
        <v>0</v>
      </c>
      <c r="F3170">
        <v>0</v>
      </c>
      <c r="G3170">
        <v>0</v>
      </c>
      <c r="H3170">
        <v>1</v>
      </c>
      <c r="I3170">
        <v>1</v>
      </c>
      <c r="J3170">
        <v>92391.339862554494</v>
      </c>
      <c r="K3170">
        <v>78954.064719642498</v>
      </c>
      <c r="L3170">
        <v>17.106999999999999</v>
      </c>
      <c r="M3170">
        <v>75.878</v>
      </c>
      <c r="N3170">
        <v>8.8979999999999997</v>
      </c>
    </row>
    <row r="3171" spans="1:14" x14ac:dyDescent="0.45">
      <c r="A3171">
        <v>1995</v>
      </c>
      <c r="B3171" t="s">
        <v>171</v>
      </c>
      <c r="C3171">
        <v>1</v>
      </c>
      <c r="D3171">
        <v>0</v>
      </c>
      <c r="E3171">
        <v>0</v>
      </c>
      <c r="F3171">
        <v>1</v>
      </c>
      <c r="G3171">
        <v>0</v>
      </c>
      <c r="H3171">
        <v>0</v>
      </c>
      <c r="I3171">
        <v>0</v>
      </c>
      <c r="J3171">
        <v>10707.5149969006</v>
      </c>
      <c r="K3171">
        <v>9289.7252691493795</v>
      </c>
      <c r="L3171">
        <v>31.25</v>
      </c>
      <c r="M3171">
        <v>65.995000000000005</v>
      </c>
      <c r="N3171">
        <v>21.640999999999998</v>
      </c>
    </row>
    <row r="3172" spans="1:14" x14ac:dyDescent="0.45">
      <c r="A3172">
        <v>1995</v>
      </c>
      <c r="B3172" t="s">
        <v>172</v>
      </c>
      <c r="C3172">
        <v>0</v>
      </c>
      <c r="D3172">
        <v>0</v>
      </c>
      <c r="E3172">
        <v>0</v>
      </c>
      <c r="F3172">
        <v>0</v>
      </c>
      <c r="G3172">
        <v>0</v>
      </c>
      <c r="H3172">
        <v>1</v>
      </c>
      <c r="I3172">
        <v>1</v>
      </c>
      <c r="J3172">
        <v>60142.365696589397</v>
      </c>
      <c r="K3172">
        <v>54503.506842160503</v>
      </c>
      <c r="L3172">
        <v>9.0000000000003397E-2</v>
      </c>
      <c r="M3172">
        <v>77.846000000000004</v>
      </c>
      <c r="N3172">
        <v>10.111000000000001</v>
      </c>
    </row>
    <row r="3173" spans="1:14" x14ac:dyDescent="0.45">
      <c r="A3173">
        <v>1995</v>
      </c>
      <c r="B3173" t="s">
        <v>173</v>
      </c>
      <c r="C3173">
        <v>0</v>
      </c>
      <c r="D3173">
        <v>1</v>
      </c>
      <c r="E3173">
        <v>0</v>
      </c>
      <c r="F3173">
        <v>0</v>
      </c>
      <c r="G3173">
        <v>0</v>
      </c>
      <c r="H3173">
        <v>1</v>
      </c>
      <c r="I3173">
        <v>1</v>
      </c>
      <c r="L3173">
        <v>0</v>
      </c>
      <c r="M3173">
        <v>75.713999999999999</v>
      </c>
      <c r="N3173">
        <v>16.823</v>
      </c>
    </row>
    <row r="3174" spans="1:14" x14ac:dyDescent="0.45">
      <c r="A3174">
        <v>1995</v>
      </c>
      <c r="B3174" t="s">
        <v>174</v>
      </c>
      <c r="C3174">
        <v>0</v>
      </c>
      <c r="D3174">
        <v>0</v>
      </c>
      <c r="E3174">
        <v>0</v>
      </c>
      <c r="F3174">
        <v>1</v>
      </c>
      <c r="G3174">
        <v>0</v>
      </c>
      <c r="H3174">
        <v>0</v>
      </c>
      <c r="I3174">
        <v>0</v>
      </c>
      <c r="J3174">
        <v>4444.228515625</v>
      </c>
      <c r="K3174">
        <v>4268.0968051746204</v>
      </c>
      <c r="L3174">
        <v>48.308</v>
      </c>
      <c r="M3174">
        <v>64.724999999999994</v>
      </c>
      <c r="N3174">
        <v>65.001999999999995</v>
      </c>
    </row>
    <row r="3175" spans="1:14" x14ac:dyDescent="0.45">
      <c r="A3175">
        <v>1995</v>
      </c>
      <c r="B3175" t="s">
        <v>175</v>
      </c>
      <c r="C3175">
        <v>1</v>
      </c>
      <c r="D3175">
        <v>0</v>
      </c>
      <c r="E3175">
        <v>0</v>
      </c>
      <c r="F3175">
        <v>0</v>
      </c>
      <c r="G3175">
        <v>0</v>
      </c>
      <c r="H3175">
        <v>1</v>
      </c>
      <c r="I3175">
        <v>1</v>
      </c>
      <c r="L3175">
        <v>0</v>
      </c>
      <c r="M3175">
        <v>80.902000000000001</v>
      </c>
      <c r="N3175">
        <v>9.0139999999999993</v>
      </c>
    </row>
    <row r="3176" spans="1:14" x14ac:dyDescent="0.45">
      <c r="A3176">
        <v>1995</v>
      </c>
      <c r="B3176" t="s">
        <v>176</v>
      </c>
      <c r="C3176">
        <v>1</v>
      </c>
      <c r="D3176">
        <v>0</v>
      </c>
      <c r="E3176">
        <v>0</v>
      </c>
      <c r="F3176">
        <v>1</v>
      </c>
      <c r="G3176">
        <v>0</v>
      </c>
      <c r="H3176">
        <v>0</v>
      </c>
      <c r="I3176">
        <v>0</v>
      </c>
      <c r="J3176">
        <v>6428.8397944875196</v>
      </c>
      <c r="K3176">
        <v>5514.0650003610699</v>
      </c>
      <c r="L3176">
        <v>53.706000000000003</v>
      </c>
      <c r="M3176">
        <v>66.218000000000004</v>
      </c>
      <c r="N3176">
        <v>36.235999999999997</v>
      </c>
    </row>
    <row r="3177" spans="1:14" x14ac:dyDescent="0.45">
      <c r="A3177">
        <v>1995</v>
      </c>
      <c r="B3177" t="s">
        <v>177</v>
      </c>
      <c r="C3177">
        <v>0</v>
      </c>
      <c r="D3177">
        <v>0</v>
      </c>
      <c r="E3177">
        <v>1</v>
      </c>
      <c r="F3177">
        <v>0</v>
      </c>
      <c r="G3177">
        <v>0</v>
      </c>
      <c r="H3177">
        <v>0</v>
      </c>
      <c r="I3177">
        <v>0</v>
      </c>
      <c r="J3177">
        <v>1661.27062466809</v>
      </c>
      <c r="K3177">
        <v>1539.04520400346</v>
      </c>
      <c r="L3177">
        <v>74.203999999999994</v>
      </c>
      <c r="M3177">
        <v>54.844999999999999</v>
      </c>
      <c r="N3177">
        <v>129.989</v>
      </c>
    </row>
    <row r="3178" spans="1:14" x14ac:dyDescent="0.45">
      <c r="A3178">
        <v>1995</v>
      </c>
      <c r="B3178" t="s">
        <v>178</v>
      </c>
      <c r="C3178">
        <v>0</v>
      </c>
      <c r="D3178">
        <v>0</v>
      </c>
      <c r="E3178">
        <v>0</v>
      </c>
      <c r="F3178">
        <v>1</v>
      </c>
      <c r="G3178">
        <v>0</v>
      </c>
      <c r="H3178">
        <v>0</v>
      </c>
      <c r="I3178">
        <v>0</v>
      </c>
      <c r="J3178">
        <v>10894.173028921899</v>
      </c>
      <c r="K3178">
        <v>10748.009161316601</v>
      </c>
      <c r="L3178">
        <v>74.361999999999995</v>
      </c>
      <c r="M3178">
        <v>66.962000000000003</v>
      </c>
      <c r="N3178">
        <v>61.703000000000003</v>
      </c>
    </row>
    <row r="3179" spans="1:14" x14ac:dyDescent="0.45">
      <c r="A3179">
        <v>1995</v>
      </c>
      <c r="B3179" t="s">
        <v>179</v>
      </c>
      <c r="C3179">
        <v>0</v>
      </c>
      <c r="D3179">
        <v>1</v>
      </c>
      <c r="E3179">
        <v>0</v>
      </c>
      <c r="F3179">
        <v>0</v>
      </c>
      <c r="G3179">
        <v>1</v>
      </c>
      <c r="H3179">
        <v>0</v>
      </c>
      <c r="I3179">
        <v>0</v>
      </c>
      <c r="J3179">
        <v>17028.1215002801</v>
      </c>
      <c r="K3179">
        <v>15830.6221148934</v>
      </c>
      <c r="L3179">
        <v>26.632000000000001</v>
      </c>
      <c r="M3179">
        <v>70.703000000000003</v>
      </c>
      <c r="N3179">
        <v>35.628</v>
      </c>
    </row>
    <row r="3180" spans="1:14" x14ac:dyDescent="0.45">
      <c r="A3180">
        <v>1995</v>
      </c>
      <c r="B3180" t="s">
        <v>180</v>
      </c>
      <c r="C3180">
        <v>0</v>
      </c>
      <c r="D3180">
        <v>0</v>
      </c>
      <c r="E3180">
        <v>0</v>
      </c>
      <c r="F3180">
        <v>1</v>
      </c>
      <c r="G3180">
        <v>0</v>
      </c>
      <c r="H3180">
        <v>0</v>
      </c>
      <c r="I3180">
        <v>0</v>
      </c>
      <c r="J3180">
        <v>4703.4330544793702</v>
      </c>
      <c r="K3180">
        <v>4254.18411448798</v>
      </c>
      <c r="L3180">
        <v>33.273000000000003</v>
      </c>
      <c r="M3180">
        <v>62.515000000000001</v>
      </c>
      <c r="N3180">
        <v>42.655999999999999</v>
      </c>
    </row>
    <row r="3181" spans="1:14" x14ac:dyDescent="0.45">
      <c r="A3181">
        <v>1995</v>
      </c>
      <c r="B3181" t="s">
        <v>181</v>
      </c>
      <c r="C3181">
        <v>1</v>
      </c>
      <c r="D3181">
        <v>0</v>
      </c>
      <c r="E3181">
        <v>0</v>
      </c>
      <c r="F3181">
        <v>1</v>
      </c>
      <c r="G3181">
        <v>0</v>
      </c>
      <c r="H3181">
        <v>0</v>
      </c>
      <c r="I3181">
        <v>0</v>
      </c>
      <c r="J3181">
        <v>10500.5105180268</v>
      </c>
      <c r="K3181">
        <v>8864.4037002299392</v>
      </c>
      <c r="L3181">
        <v>40.412999999999997</v>
      </c>
      <c r="M3181">
        <v>71.965000000000003</v>
      </c>
      <c r="N3181">
        <v>25.632000000000001</v>
      </c>
    </row>
    <row r="3182" spans="1:14" x14ac:dyDescent="0.45">
      <c r="A3182">
        <v>1995</v>
      </c>
      <c r="B3182" t="s">
        <v>182</v>
      </c>
      <c r="C3182">
        <v>0</v>
      </c>
      <c r="D3182">
        <v>0</v>
      </c>
      <c r="E3182">
        <v>1</v>
      </c>
      <c r="F3182">
        <v>0</v>
      </c>
      <c r="G3182">
        <v>0</v>
      </c>
      <c r="H3182">
        <v>0</v>
      </c>
      <c r="I3182">
        <v>0</v>
      </c>
      <c r="J3182">
        <v>1701.79976613286</v>
      </c>
      <c r="K3182">
        <v>1575.20251019584</v>
      </c>
      <c r="L3182">
        <v>74.480999999999995</v>
      </c>
      <c r="M3182">
        <v>48.292000000000002</v>
      </c>
      <c r="N3182">
        <v>211.84700000000001</v>
      </c>
    </row>
    <row r="3183" spans="1:14" x14ac:dyDescent="0.45">
      <c r="A3183">
        <v>1995</v>
      </c>
      <c r="B3183" t="s">
        <v>183</v>
      </c>
      <c r="C3183">
        <v>0</v>
      </c>
      <c r="D3183">
        <v>0</v>
      </c>
      <c r="E3183">
        <v>0</v>
      </c>
      <c r="F3183">
        <v>0</v>
      </c>
      <c r="G3183">
        <v>1</v>
      </c>
      <c r="H3183">
        <v>0</v>
      </c>
      <c r="I3183">
        <v>0</v>
      </c>
      <c r="J3183">
        <v>22290.281771868398</v>
      </c>
      <c r="K3183">
        <v>19282.184747548301</v>
      </c>
      <c r="L3183">
        <v>9.0540000000000003</v>
      </c>
      <c r="M3183">
        <v>76.981999999999999</v>
      </c>
      <c r="N3183">
        <v>11.9</v>
      </c>
    </row>
    <row r="3184" spans="1:14" x14ac:dyDescent="0.45">
      <c r="A3184">
        <v>1995</v>
      </c>
      <c r="B3184" t="s">
        <v>184</v>
      </c>
      <c r="C3184">
        <v>0</v>
      </c>
      <c r="D3184">
        <v>0</v>
      </c>
      <c r="E3184">
        <v>0</v>
      </c>
      <c r="F3184">
        <v>0</v>
      </c>
      <c r="G3184">
        <v>0</v>
      </c>
      <c r="H3184">
        <v>0</v>
      </c>
      <c r="I3184">
        <v>0</v>
      </c>
      <c r="J3184">
        <v>962.20942182452097</v>
      </c>
      <c r="K3184">
        <v>770.44409779024204</v>
      </c>
      <c r="L3184">
        <v>73.876000000000005</v>
      </c>
      <c r="M3184">
        <v>58.670999999999999</v>
      </c>
      <c r="N3184">
        <v>101.986</v>
      </c>
    </row>
    <row r="3185" spans="1:14" x14ac:dyDescent="0.45">
      <c r="A3185">
        <v>1995</v>
      </c>
      <c r="B3185" t="s">
        <v>185</v>
      </c>
      <c r="C3185">
        <v>1</v>
      </c>
      <c r="D3185">
        <v>0</v>
      </c>
      <c r="E3185">
        <v>0</v>
      </c>
      <c r="F3185">
        <v>1</v>
      </c>
      <c r="G3185">
        <v>0</v>
      </c>
      <c r="H3185">
        <v>0</v>
      </c>
      <c r="I3185">
        <v>0</v>
      </c>
      <c r="L3185">
        <v>46.634999999999998</v>
      </c>
      <c r="M3185">
        <v>73.739999999999995</v>
      </c>
      <c r="N3185">
        <v>15.4</v>
      </c>
    </row>
    <row r="3186" spans="1:14" x14ac:dyDescent="0.45">
      <c r="A3186">
        <v>1995</v>
      </c>
      <c r="B3186" t="s">
        <v>186</v>
      </c>
      <c r="C3186">
        <v>0</v>
      </c>
      <c r="D3186">
        <v>0</v>
      </c>
      <c r="E3186">
        <v>0</v>
      </c>
      <c r="F3186">
        <v>0</v>
      </c>
      <c r="G3186">
        <v>0</v>
      </c>
      <c r="H3186">
        <v>0</v>
      </c>
      <c r="I3186">
        <v>0</v>
      </c>
      <c r="J3186">
        <v>5457.6850157000499</v>
      </c>
      <c r="K3186">
        <v>4205.0147828418903</v>
      </c>
      <c r="L3186">
        <v>43.195</v>
      </c>
      <c r="M3186">
        <v>60.890999999999998</v>
      </c>
      <c r="N3186">
        <v>84.852000000000004</v>
      </c>
    </row>
    <row r="3187" spans="1:14" x14ac:dyDescent="0.45">
      <c r="A3187">
        <v>1995</v>
      </c>
      <c r="B3187" t="s">
        <v>187</v>
      </c>
      <c r="C3187">
        <v>0</v>
      </c>
      <c r="D3187">
        <v>0</v>
      </c>
      <c r="E3187">
        <v>0</v>
      </c>
      <c r="F3187">
        <v>0</v>
      </c>
      <c r="G3187">
        <v>0</v>
      </c>
      <c r="H3187">
        <v>1</v>
      </c>
      <c r="I3187">
        <v>1</v>
      </c>
      <c r="L3187">
        <v>10.443</v>
      </c>
      <c r="M3187">
        <v>71.938000000000002</v>
      </c>
      <c r="N3187">
        <v>7.9160000000000004</v>
      </c>
    </row>
    <row r="3188" spans="1:14" x14ac:dyDescent="0.45">
      <c r="A3188">
        <v>1995</v>
      </c>
      <c r="B3188" t="s">
        <v>188</v>
      </c>
      <c r="C3188">
        <v>0</v>
      </c>
      <c r="D3188">
        <v>0</v>
      </c>
      <c r="E3188">
        <v>1</v>
      </c>
      <c r="F3188">
        <v>0</v>
      </c>
      <c r="G3188">
        <v>0</v>
      </c>
      <c r="H3188">
        <v>0</v>
      </c>
      <c r="I3188">
        <v>0</v>
      </c>
      <c r="J3188">
        <v>525.41867183749901</v>
      </c>
      <c r="K3188">
        <v>439.93300428595199</v>
      </c>
      <c r="L3188">
        <v>72.504999999999995</v>
      </c>
      <c r="M3188">
        <v>46.545999999999999</v>
      </c>
      <c r="N3188">
        <v>214.672</v>
      </c>
    </row>
    <row r="3189" spans="1:14" x14ac:dyDescent="0.45">
      <c r="A3189">
        <v>1995</v>
      </c>
      <c r="B3189" t="s">
        <v>189</v>
      </c>
      <c r="C3189">
        <v>0</v>
      </c>
      <c r="D3189">
        <v>0</v>
      </c>
      <c r="E3189">
        <v>1</v>
      </c>
      <c r="F3189">
        <v>0</v>
      </c>
      <c r="G3189">
        <v>0</v>
      </c>
      <c r="H3189">
        <v>0</v>
      </c>
      <c r="I3189">
        <v>0</v>
      </c>
      <c r="J3189">
        <v>5446.2695659972296</v>
      </c>
      <c r="K3189">
        <v>4818.3875054242098</v>
      </c>
      <c r="L3189">
        <v>61.295000000000002</v>
      </c>
      <c r="M3189">
        <v>58.860999999999997</v>
      </c>
      <c r="N3189">
        <v>110.47499999999999</v>
      </c>
    </row>
    <row r="3190" spans="1:14" x14ac:dyDescent="0.45">
      <c r="A3190">
        <v>1995</v>
      </c>
      <c r="B3190" t="s">
        <v>190</v>
      </c>
      <c r="C3190">
        <v>0</v>
      </c>
      <c r="D3190">
        <v>0</v>
      </c>
      <c r="E3190">
        <v>1</v>
      </c>
      <c r="F3190">
        <v>0</v>
      </c>
      <c r="G3190">
        <v>1</v>
      </c>
      <c r="H3190">
        <v>0</v>
      </c>
      <c r="I3190">
        <v>0</v>
      </c>
      <c r="J3190">
        <v>10718.5134395605</v>
      </c>
      <c r="K3190">
        <v>10060.66128267</v>
      </c>
      <c r="L3190">
        <v>56.716000000000001</v>
      </c>
      <c r="M3190">
        <v>70.599999999999994</v>
      </c>
      <c r="N3190">
        <v>21.556999999999999</v>
      </c>
    </row>
    <row r="3191" spans="1:14" x14ac:dyDescent="0.45">
      <c r="A3191">
        <v>1995</v>
      </c>
      <c r="B3191" t="s">
        <v>191</v>
      </c>
      <c r="C3191">
        <v>0</v>
      </c>
      <c r="D3191">
        <v>0</v>
      </c>
      <c r="E3191">
        <v>1</v>
      </c>
      <c r="F3191">
        <v>0</v>
      </c>
      <c r="G3191">
        <v>0</v>
      </c>
      <c r="H3191">
        <v>0</v>
      </c>
      <c r="I3191">
        <v>0</v>
      </c>
      <c r="J3191">
        <v>1140.75609365079</v>
      </c>
      <c r="K3191">
        <v>976.10092045759302</v>
      </c>
      <c r="L3191">
        <v>86.736999999999995</v>
      </c>
      <c r="M3191">
        <v>43.804000000000002</v>
      </c>
      <c r="N3191">
        <v>208.30500000000001</v>
      </c>
    </row>
    <row r="3192" spans="1:14" x14ac:dyDescent="0.45">
      <c r="A3192">
        <v>1995</v>
      </c>
      <c r="B3192" t="s">
        <v>192</v>
      </c>
      <c r="C3192">
        <v>0</v>
      </c>
      <c r="D3192">
        <v>0</v>
      </c>
      <c r="E3192">
        <v>0</v>
      </c>
      <c r="F3192">
        <v>0</v>
      </c>
      <c r="G3192">
        <v>1</v>
      </c>
      <c r="H3192">
        <v>0</v>
      </c>
      <c r="I3192">
        <v>0</v>
      </c>
      <c r="J3192">
        <v>16568.516059020902</v>
      </c>
      <c r="K3192">
        <v>14810.2984154811</v>
      </c>
      <c r="L3192">
        <v>44.311999999999998</v>
      </c>
      <c r="M3192">
        <v>71.978999999999999</v>
      </c>
      <c r="N3192">
        <v>13.377000000000001</v>
      </c>
    </row>
    <row r="3193" spans="1:14" x14ac:dyDescent="0.45">
      <c r="A3193">
        <v>1995</v>
      </c>
      <c r="B3193" t="s">
        <v>193</v>
      </c>
      <c r="C3193">
        <v>0</v>
      </c>
      <c r="D3193">
        <v>0</v>
      </c>
      <c r="E3193">
        <v>1</v>
      </c>
      <c r="F3193">
        <v>1</v>
      </c>
      <c r="G3193">
        <v>0</v>
      </c>
      <c r="H3193">
        <v>0</v>
      </c>
      <c r="I3193">
        <v>0</v>
      </c>
      <c r="J3193">
        <v>7506.1048403408604</v>
      </c>
      <c r="K3193">
        <v>6505.5395969850897</v>
      </c>
      <c r="L3193">
        <v>70.186999999999998</v>
      </c>
      <c r="M3193">
        <v>57.518000000000001</v>
      </c>
      <c r="N3193">
        <v>73.153000000000006</v>
      </c>
    </row>
    <row r="3194" spans="1:14" x14ac:dyDescent="0.45">
      <c r="A3194">
        <v>1995</v>
      </c>
      <c r="B3194" t="s">
        <v>194</v>
      </c>
      <c r="C3194">
        <v>0</v>
      </c>
      <c r="D3194">
        <v>0</v>
      </c>
      <c r="E3194">
        <v>0</v>
      </c>
      <c r="F3194">
        <v>0</v>
      </c>
      <c r="G3194">
        <v>0</v>
      </c>
      <c r="H3194">
        <v>1</v>
      </c>
      <c r="I3194">
        <v>1</v>
      </c>
      <c r="L3194">
        <v>39.712000000000003</v>
      </c>
      <c r="M3194">
        <v>71.313999999999993</v>
      </c>
      <c r="N3194">
        <v>26.523</v>
      </c>
    </row>
    <row r="3195" spans="1:14" x14ac:dyDescent="0.45">
      <c r="A3195">
        <v>1995</v>
      </c>
      <c r="B3195" t="s">
        <v>195</v>
      </c>
      <c r="C3195">
        <v>0</v>
      </c>
      <c r="D3195">
        <v>0</v>
      </c>
      <c r="E3195">
        <v>1</v>
      </c>
      <c r="F3195">
        <v>0</v>
      </c>
      <c r="G3195">
        <v>0</v>
      </c>
      <c r="H3195">
        <v>0</v>
      </c>
      <c r="I3195">
        <v>0</v>
      </c>
      <c r="J3195">
        <v>1280.3354211914</v>
      </c>
      <c r="K3195">
        <v>1017.65179899609</v>
      </c>
      <c r="L3195">
        <v>84.227000000000004</v>
      </c>
      <c r="M3195">
        <v>45.503999999999998</v>
      </c>
      <c r="N3195">
        <v>284.11599999999999</v>
      </c>
    </row>
    <row r="3196" spans="1:14" x14ac:dyDescent="0.45">
      <c r="A3196">
        <v>1995</v>
      </c>
      <c r="B3196" t="s">
        <v>196</v>
      </c>
      <c r="C3196">
        <v>0</v>
      </c>
      <c r="D3196">
        <v>0</v>
      </c>
      <c r="E3196">
        <v>1</v>
      </c>
      <c r="F3196">
        <v>0</v>
      </c>
      <c r="G3196">
        <v>0</v>
      </c>
      <c r="H3196">
        <v>0</v>
      </c>
      <c r="I3196">
        <v>0</v>
      </c>
      <c r="J3196">
        <v>3229.12414149508</v>
      </c>
      <c r="K3196">
        <v>2854.98095594294</v>
      </c>
      <c r="L3196">
        <v>67.795000000000002</v>
      </c>
      <c r="M3196">
        <v>45.87</v>
      </c>
      <c r="N3196">
        <v>202.33500000000001</v>
      </c>
    </row>
    <row r="3197" spans="1:14" x14ac:dyDescent="0.45">
      <c r="A3197">
        <v>1995</v>
      </c>
      <c r="B3197" t="s">
        <v>197</v>
      </c>
      <c r="C3197">
        <v>0</v>
      </c>
      <c r="D3197">
        <v>1</v>
      </c>
      <c r="E3197">
        <v>0</v>
      </c>
      <c r="F3197">
        <v>0</v>
      </c>
      <c r="G3197">
        <v>0</v>
      </c>
      <c r="H3197">
        <v>0</v>
      </c>
      <c r="I3197">
        <v>0</v>
      </c>
      <c r="J3197">
        <v>4130.2861267587105</v>
      </c>
      <c r="K3197">
        <v>3478.7960703584999</v>
      </c>
      <c r="L3197">
        <v>45.563000000000002</v>
      </c>
      <c r="M3197">
        <v>64.869</v>
      </c>
      <c r="N3197">
        <v>52.689</v>
      </c>
    </row>
    <row r="3198" spans="1:14" x14ac:dyDescent="0.45">
      <c r="A3198">
        <v>1995</v>
      </c>
      <c r="B3198" t="s">
        <v>198</v>
      </c>
      <c r="C3198">
        <v>1</v>
      </c>
      <c r="D3198">
        <v>0</v>
      </c>
      <c r="E3198">
        <v>0</v>
      </c>
      <c r="F3198">
        <v>0</v>
      </c>
      <c r="G3198">
        <v>0</v>
      </c>
      <c r="H3198">
        <v>1</v>
      </c>
      <c r="I3198">
        <v>1</v>
      </c>
      <c r="J3198">
        <v>46720.287922014402</v>
      </c>
      <c r="K3198">
        <v>39438.605174370001</v>
      </c>
      <c r="L3198">
        <v>27.190999999999999</v>
      </c>
      <c r="M3198">
        <v>77.551000000000002</v>
      </c>
      <c r="N3198">
        <v>6.68</v>
      </c>
    </row>
    <row r="3199" spans="1:14" x14ac:dyDescent="0.45">
      <c r="A3199">
        <v>1995</v>
      </c>
      <c r="B3199" t="s">
        <v>199</v>
      </c>
      <c r="C3199">
        <v>1</v>
      </c>
      <c r="D3199">
        <v>0</v>
      </c>
      <c r="E3199">
        <v>0</v>
      </c>
      <c r="F3199">
        <v>0</v>
      </c>
      <c r="G3199">
        <v>0</v>
      </c>
      <c r="H3199">
        <v>1</v>
      </c>
      <c r="I3199">
        <v>1</v>
      </c>
      <c r="J3199">
        <v>66762.158727686401</v>
      </c>
      <c r="K3199">
        <v>49329.7317199428</v>
      </c>
      <c r="L3199">
        <v>26.213000000000001</v>
      </c>
      <c r="M3199">
        <v>77.796999999999997</v>
      </c>
      <c r="N3199">
        <v>5.1020000000000003</v>
      </c>
    </row>
    <row r="3200" spans="1:14" x14ac:dyDescent="0.45">
      <c r="A3200">
        <v>1995</v>
      </c>
      <c r="B3200" t="s">
        <v>200</v>
      </c>
      <c r="C3200">
        <v>0</v>
      </c>
      <c r="D3200">
        <v>0</v>
      </c>
      <c r="E3200">
        <v>0</v>
      </c>
      <c r="F3200">
        <v>0</v>
      </c>
      <c r="G3200">
        <v>0</v>
      </c>
      <c r="H3200">
        <v>0</v>
      </c>
      <c r="I3200">
        <v>0</v>
      </c>
      <c r="J3200">
        <v>2043.60517160069</v>
      </c>
      <c r="K3200">
        <v>1809.2178056354901</v>
      </c>
      <c r="L3200">
        <v>89.117000000000004</v>
      </c>
      <c r="M3200">
        <v>59.323</v>
      </c>
      <c r="N3200">
        <v>105.706</v>
      </c>
    </row>
    <row r="3201" spans="1:14" x14ac:dyDescent="0.45">
      <c r="A3201">
        <v>1995</v>
      </c>
      <c r="B3201" t="s">
        <v>201</v>
      </c>
      <c r="C3201">
        <v>0</v>
      </c>
      <c r="D3201">
        <v>0</v>
      </c>
      <c r="E3201">
        <v>0</v>
      </c>
      <c r="F3201">
        <v>0</v>
      </c>
      <c r="G3201">
        <v>0</v>
      </c>
      <c r="H3201">
        <v>1</v>
      </c>
      <c r="I3201">
        <v>1</v>
      </c>
      <c r="J3201">
        <v>14563.4269415524</v>
      </c>
      <c r="K3201">
        <v>13175.830458669299</v>
      </c>
      <c r="L3201">
        <v>0</v>
      </c>
      <c r="M3201">
        <v>60.063000000000002</v>
      </c>
      <c r="N3201">
        <v>52.531999999999996</v>
      </c>
    </row>
    <row r="3202" spans="1:14" x14ac:dyDescent="0.45">
      <c r="A3202">
        <v>1995</v>
      </c>
      <c r="B3202" t="s">
        <v>202</v>
      </c>
      <c r="C3202">
        <v>0</v>
      </c>
      <c r="D3202">
        <v>0</v>
      </c>
      <c r="E3202">
        <v>0</v>
      </c>
      <c r="F3202">
        <v>0</v>
      </c>
      <c r="G3202">
        <v>0</v>
      </c>
      <c r="H3202">
        <v>1</v>
      </c>
      <c r="I3202">
        <v>1</v>
      </c>
      <c r="J3202">
        <v>32584.654985143901</v>
      </c>
      <c r="K3202">
        <v>29637.438112347802</v>
      </c>
      <c r="L3202">
        <v>14.446999999999999</v>
      </c>
      <c r="M3202">
        <v>76.784999999999997</v>
      </c>
      <c r="N3202">
        <v>8.0679999999999996</v>
      </c>
    </row>
    <row r="3203" spans="1:14" x14ac:dyDescent="0.45">
      <c r="A3203">
        <v>1995</v>
      </c>
      <c r="B3203" t="s">
        <v>203</v>
      </c>
      <c r="C3203">
        <v>0</v>
      </c>
      <c r="D3203">
        <v>0</v>
      </c>
      <c r="E3203">
        <v>0</v>
      </c>
      <c r="F3203">
        <v>0</v>
      </c>
      <c r="G3203">
        <v>1</v>
      </c>
      <c r="H3203">
        <v>0</v>
      </c>
      <c r="I3203">
        <v>0</v>
      </c>
      <c r="J3203">
        <v>38946.774271517497</v>
      </c>
      <c r="K3203">
        <v>33841.653935739101</v>
      </c>
      <c r="L3203">
        <v>28.331</v>
      </c>
      <c r="M3203">
        <v>71.56</v>
      </c>
      <c r="N3203">
        <v>24.613</v>
      </c>
    </row>
    <row r="3204" spans="1:14" x14ac:dyDescent="0.45">
      <c r="A3204">
        <v>1995</v>
      </c>
      <c r="B3204" t="s">
        <v>204</v>
      </c>
      <c r="C3204">
        <v>0</v>
      </c>
      <c r="D3204">
        <v>0</v>
      </c>
      <c r="E3204">
        <v>0</v>
      </c>
      <c r="F3204">
        <v>0</v>
      </c>
      <c r="G3204">
        <v>0</v>
      </c>
      <c r="H3204">
        <v>0</v>
      </c>
      <c r="I3204">
        <v>0</v>
      </c>
      <c r="J3204">
        <v>3462.4733616584099</v>
      </c>
      <c r="K3204">
        <v>3295.9241692362698</v>
      </c>
      <c r="L3204">
        <v>68.164000000000001</v>
      </c>
      <c r="M3204">
        <v>60.273000000000003</v>
      </c>
      <c r="N3204">
        <v>124.575</v>
      </c>
    </row>
    <row r="3205" spans="1:14" x14ac:dyDescent="0.45">
      <c r="A3205">
        <v>1995</v>
      </c>
      <c r="B3205" t="s">
        <v>205</v>
      </c>
      <c r="C3205">
        <v>0</v>
      </c>
      <c r="D3205">
        <v>1</v>
      </c>
      <c r="E3205">
        <v>0</v>
      </c>
      <c r="F3205">
        <v>1</v>
      </c>
      <c r="G3205">
        <v>0</v>
      </c>
      <c r="H3205">
        <v>0</v>
      </c>
      <c r="I3205">
        <v>0</v>
      </c>
      <c r="J3205">
        <v>13349.333774846</v>
      </c>
      <c r="K3205">
        <v>13997.818133065601</v>
      </c>
      <c r="L3205">
        <v>41.859000000000002</v>
      </c>
      <c r="M3205">
        <v>71.994</v>
      </c>
      <c r="N3205">
        <v>27.928999999999998</v>
      </c>
    </row>
    <row r="3206" spans="1:14" x14ac:dyDescent="0.45">
      <c r="A3206">
        <v>1995</v>
      </c>
      <c r="B3206" t="s">
        <v>206</v>
      </c>
      <c r="C3206">
        <v>0</v>
      </c>
      <c r="D3206">
        <v>1</v>
      </c>
      <c r="E3206">
        <v>0</v>
      </c>
      <c r="F3206">
        <v>1</v>
      </c>
      <c r="G3206">
        <v>0</v>
      </c>
      <c r="H3206">
        <v>0</v>
      </c>
      <c r="I3206">
        <v>0</v>
      </c>
      <c r="J3206">
        <v>7372.0424545407805</v>
      </c>
      <c r="K3206">
        <v>6159.9623706061802</v>
      </c>
      <c r="L3206">
        <v>29.048999999999999</v>
      </c>
      <c r="M3206">
        <v>67.22</v>
      </c>
      <c r="N3206">
        <v>57.161000000000001</v>
      </c>
    </row>
    <row r="3207" spans="1:14" x14ac:dyDescent="0.45">
      <c r="A3207">
        <v>1995</v>
      </c>
      <c r="B3207" t="s">
        <v>207</v>
      </c>
      <c r="C3207">
        <v>0</v>
      </c>
      <c r="D3207">
        <v>0</v>
      </c>
      <c r="E3207">
        <v>0</v>
      </c>
      <c r="F3207">
        <v>1</v>
      </c>
      <c r="G3207">
        <v>0</v>
      </c>
      <c r="H3207">
        <v>0</v>
      </c>
      <c r="I3207">
        <v>0</v>
      </c>
      <c r="J3207">
        <v>4477.3231771102201</v>
      </c>
      <c r="K3207">
        <v>4054.6664383136899</v>
      </c>
      <c r="L3207">
        <v>53.44</v>
      </c>
      <c r="M3207">
        <v>66.311000000000007</v>
      </c>
      <c r="N3207">
        <v>44.381</v>
      </c>
    </row>
    <row r="3208" spans="1:14" x14ac:dyDescent="0.45">
      <c r="A3208">
        <v>1995</v>
      </c>
      <c r="B3208" t="s">
        <v>208</v>
      </c>
      <c r="C3208">
        <v>0</v>
      </c>
      <c r="D3208">
        <v>0</v>
      </c>
      <c r="E3208">
        <v>0</v>
      </c>
      <c r="F3208">
        <v>0</v>
      </c>
      <c r="G3208">
        <v>1</v>
      </c>
      <c r="H3208">
        <v>0</v>
      </c>
      <c r="I3208">
        <v>0</v>
      </c>
      <c r="J3208">
        <v>16224.5618639022</v>
      </c>
      <c r="K3208">
        <v>14678.6932253584</v>
      </c>
      <c r="L3208">
        <v>28.568999999999999</v>
      </c>
      <c r="M3208">
        <v>63.255000000000003</v>
      </c>
      <c r="N3208">
        <v>31.277999999999999</v>
      </c>
    </row>
    <row r="3209" spans="1:14" x14ac:dyDescent="0.45">
      <c r="A3209">
        <v>1995</v>
      </c>
      <c r="B3209" t="s">
        <v>209</v>
      </c>
      <c r="C3209">
        <v>0</v>
      </c>
      <c r="D3209">
        <v>0</v>
      </c>
      <c r="E3209">
        <v>0</v>
      </c>
      <c r="F3209">
        <v>1</v>
      </c>
      <c r="G3209">
        <v>0</v>
      </c>
      <c r="H3209">
        <v>0</v>
      </c>
      <c r="I3209">
        <v>0</v>
      </c>
      <c r="J3209">
        <v>4008.7220378363299</v>
      </c>
      <c r="K3209">
        <v>3626.2953508144301</v>
      </c>
      <c r="L3209">
        <v>85.918999999999997</v>
      </c>
      <c r="M3209">
        <v>60.929000000000002</v>
      </c>
      <c r="N3209">
        <v>77.682000000000002</v>
      </c>
    </row>
    <row r="3210" spans="1:14" x14ac:dyDescent="0.45">
      <c r="A3210">
        <v>1995</v>
      </c>
      <c r="B3210" t="s">
        <v>210</v>
      </c>
      <c r="C3210">
        <v>1</v>
      </c>
      <c r="D3210">
        <v>0</v>
      </c>
      <c r="E3210">
        <v>0</v>
      </c>
      <c r="F3210">
        <v>1</v>
      </c>
      <c r="G3210">
        <v>0</v>
      </c>
      <c r="H3210">
        <v>0</v>
      </c>
      <c r="I3210">
        <v>0</v>
      </c>
      <c r="J3210">
        <v>14227.566368779801</v>
      </c>
      <c r="K3210">
        <v>12280.8235937806</v>
      </c>
      <c r="L3210">
        <v>38.506999999999998</v>
      </c>
      <c r="M3210">
        <v>71.959000000000003</v>
      </c>
      <c r="N3210">
        <v>15.111000000000001</v>
      </c>
    </row>
    <row r="3211" spans="1:14" x14ac:dyDescent="0.45">
      <c r="A3211">
        <v>1995</v>
      </c>
      <c r="B3211" t="s">
        <v>211</v>
      </c>
      <c r="C3211">
        <v>0</v>
      </c>
      <c r="D3211">
        <v>1</v>
      </c>
      <c r="E3211">
        <v>0</v>
      </c>
      <c r="F3211">
        <v>0</v>
      </c>
      <c r="G3211">
        <v>1</v>
      </c>
      <c r="H3211">
        <v>0</v>
      </c>
      <c r="I3211">
        <v>0</v>
      </c>
      <c r="J3211">
        <v>31310.180164269299</v>
      </c>
      <c r="K3211">
        <v>24053.755718567201</v>
      </c>
      <c r="L3211">
        <v>6.2709999999999999</v>
      </c>
      <c r="M3211">
        <v>73.570999999999998</v>
      </c>
      <c r="N3211">
        <v>18.28</v>
      </c>
    </row>
    <row r="3212" spans="1:14" x14ac:dyDescent="0.45">
      <c r="A3212">
        <v>1995</v>
      </c>
      <c r="B3212" t="s">
        <v>212</v>
      </c>
      <c r="C3212">
        <v>0</v>
      </c>
      <c r="D3212">
        <v>0</v>
      </c>
      <c r="E3212">
        <v>0</v>
      </c>
      <c r="F3212">
        <v>1</v>
      </c>
      <c r="G3212">
        <v>0</v>
      </c>
      <c r="H3212">
        <v>0</v>
      </c>
      <c r="I3212">
        <v>0</v>
      </c>
      <c r="L3212">
        <v>40.981999999999999</v>
      </c>
      <c r="M3212">
        <v>60.765999999999998</v>
      </c>
      <c r="N3212">
        <v>107.983</v>
      </c>
    </row>
    <row r="3213" spans="1:14" x14ac:dyDescent="0.45">
      <c r="A3213">
        <v>1995</v>
      </c>
      <c r="B3213" t="s">
        <v>213</v>
      </c>
      <c r="C3213">
        <v>1</v>
      </c>
      <c r="D3213">
        <v>0</v>
      </c>
      <c r="E3213">
        <v>0</v>
      </c>
      <c r="F3213">
        <v>0</v>
      </c>
      <c r="G3213">
        <v>0</v>
      </c>
      <c r="H3213">
        <v>1</v>
      </c>
      <c r="I3213">
        <v>1</v>
      </c>
      <c r="J3213">
        <v>29460.8140970926</v>
      </c>
      <c r="K3213">
        <v>25465.4296368539</v>
      </c>
      <c r="L3213">
        <v>48.890999999999998</v>
      </c>
      <c r="M3213">
        <v>75.55</v>
      </c>
      <c r="N3213">
        <v>9.4629999999999992</v>
      </c>
    </row>
    <row r="3214" spans="1:14" x14ac:dyDescent="0.45">
      <c r="A3214">
        <v>1995</v>
      </c>
      <c r="B3214" t="s">
        <v>214</v>
      </c>
      <c r="C3214">
        <v>0</v>
      </c>
      <c r="D3214">
        <v>1</v>
      </c>
      <c r="E3214">
        <v>0</v>
      </c>
      <c r="F3214">
        <v>1</v>
      </c>
      <c r="G3214">
        <v>0</v>
      </c>
      <c r="H3214">
        <v>0</v>
      </c>
      <c r="I3214">
        <v>0</v>
      </c>
      <c r="J3214">
        <v>10908.272662789501</v>
      </c>
      <c r="K3214">
        <v>9952.0429535300209</v>
      </c>
      <c r="L3214">
        <v>47.869</v>
      </c>
      <c r="M3214">
        <v>68.778000000000006</v>
      </c>
      <c r="N3214">
        <v>38.71</v>
      </c>
    </row>
    <row r="3215" spans="1:14" x14ac:dyDescent="0.45">
      <c r="A3215">
        <v>1995</v>
      </c>
      <c r="B3215" t="s">
        <v>215</v>
      </c>
      <c r="C3215">
        <v>0</v>
      </c>
      <c r="D3215">
        <v>0</v>
      </c>
      <c r="E3215">
        <v>0</v>
      </c>
      <c r="F3215">
        <v>1</v>
      </c>
      <c r="G3215">
        <v>0</v>
      </c>
      <c r="H3215">
        <v>0</v>
      </c>
      <c r="I3215">
        <v>0</v>
      </c>
      <c r="J3215">
        <v>4062.9629033587698</v>
      </c>
      <c r="K3215">
        <v>3464.4269875752202</v>
      </c>
      <c r="L3215">
        <v>29.783999999999999</v>
      </c>
      <c r="M3215">
        <v>69.582999999999998</v>
      </c>
      <c r="N3215">
        <v>36.021999999999998</v>
      </c>
    </row>
    <row r="3216" spans="1:14" x14ac:dyDescent="0.45">
      <c r="A3216">
        <v>1995</v>
      </c>
      <c r="B3216" t="s">
        <v>216</v>
      </c>
      <c r="C3216">
        <v>0</v>
      </c>
      <c r="D3216">
        <v>0</v>
      </c>
      <c r="E3216">
        <v>0</v>
      </c>
      <c r="F3216">
        <v>0</v>
      </c>
      <c r="G3216">
        <v>0</v>
      </c>
      <c r="H3216">
        <v>1</v>
      </c>
      <c r="I3216">
        <v>1</v>
      </c>
      <c r="L3216">
        <v>43.363</v>
      </c>
      <c r="M3216">
        <v>76.242999999999995</v>
      </c>
      <c r="N3216">
        <v>14.865</v>
      </c>
    </row>
    <row r="3217" spans="1:14" x14ac:dyDescent="0.45">
      <c r="A3217">
        <v>1995</v>
      </c>
      <c r="B3217" t="s">
        <v>217</v>
      </c>
      <c r="C3217">
        <v>0</v>
      </c>
      <c r="D3217">
        <v>0</v>
      </c>
      <c r="E3217">
        <v>0</v>
      </c>
      <c r="F3217">
        <v>0</v>
      </c>
      <c r="G3217">
        <v>0</v>
      </c>
      <c r="H3217">
        <v>1</v>
      </c>
      <c r="I3217">
        <v>1</v>
      </c>
      <c r="J3217">
        <v>68732.533293879693</v>
      </c>
      <c r="K3217">
        <v>59350.3955455166</v>
      </c>
      <c r="L3217">
        <v>5.0019999999999998</v>
      </c>
      <c r="M3217">
        <v>74.403999999999996</v>
      </c>
      <c r="N3217">
        <v>15.436999999999999</v>
      </c>
    </row>
    <row r="3218" spans="1:14" x14ac:dyDescent="0.45">
      <c r="A3218">
        <v>1995</v>
      </c>
      <c r="B3218" t="s">
        <v>218</v>
      </c>
      <c r="C3218">
        <v>1</v>
      </c>
      <c r="D3218">
        <v>0</v>
      </c>
      <c r="E3218">
        <v>0</v>
      </c>
      <c r="F3218">
        <v>1</v>
      </c>
      <c r="G3218">
        <v>0</v>
      </c>
      <c r="H3218">
        <v>0</v>
      </c>
      <c r="I3218">
        <v>0</v>
      </c>
      <c r="J3218">
        <v>14861.589531154499</v>
      </c>
      <c r="K3218">
        <v>12080.0359561603</v>
      </c>
      <c r="L3218">
        <v>46.231000000000002</v>
      </c>
      <c r="M3218">
        <v>69.322999999999993</v>
      </c>
      <c r="N3218">
        <v>25.407</v>
      </c>
    </row>
    <row r="3219" spans="1:14" x14ac:dyDescent="0.45">
      <c r="A3219">
        <v>1995</v>
      </c>
      <c r="B3219" t="s">
        <v>219</v>
      </c>
      <c r="C3219">
        <v>1</v>
      </c>
      <c r="D3219">
        <v>0</v>
      </c>
      <c r="E3219">
        <v>0</v>
      </c>
      <c r="F3219">
        <v>1</v>
      </c>
      <c r="G3219">
        <v>0</v>
      </c>
      <c r="H3219">
        <v>0</v>
      </c>
      <c r="I3219">
        <v>0</v>
      </c>
      <c r="J3219">
        <v>18363.712890625</v>
      </c>
      <c r="K3219">
        <v>13308.204076882899</v>
      </c>
      <c r="L3219">
        <v>26.628</v>
      </c>
      <c r="M3219">
        <v>63.994999999999997</v>
      </c>
      <c r="N3219">
        <v>22.373999999999999</v>
      </c>
    </row>
    <row r="3220" spans="1:14" x14ac:dyDescent="0.45">
      <c r="A3220">
        <v>1995</v>
      </c>
      <c r="B3220" t="s">
        <v>220</v>
      </c>
      <c r="C3220">
        <v>0</v>
      </c>
      <c r="D3220">
        <v>0</v>
      </c>
      <c r="E3220">
        <v>1</v>
      </c>
      <c r="F3220">
        <v>0</v>
      </c>
      <c r="G3220">
        <v>0</v>
      </c>
      <c r="H3220">
        <v>0</v>
      </c>
      <c r="I3220">
        <v>0</v>
      </c>
      <c r="J3220">
        <v>931.36779006938605</v>
      </c>
      <c r="K3220">
        <v>779.41872747959599</v>
      </c>
      <c r="L3220">
        <v>90.162999999999997</v>
      </c>
      <c r="M3220">
        <v>41.518000000000001</v>
      </c>
      <c r="N3220">
        <v>212.047</v>
      </c>
    </row>
    <row r="3221" spans="1:14" x14ac:dyDescent="0.45">
      <c r="A3221">
        <v>1995</v>
      </c>
      <c r="B3221" t="s">
        <v>221</v>
      </c>
      <c r="C3221">
        <v>0</v>
      </c>
      <c r="D3221">
        <v>0</v>
      </c>
      <c r="E3221">
        <v>0</v>
      </c>
      <c r="F3221">
        <v>0</v>
      </c>
      <c r="G3221">
        <v>1</v>
      </c>
      <c r="H3221">
        <v>0</v>
      </c>
      <c r="I3221">
        <v>0</v>
      </c>
      <c r="J3221">
        <v>60058.317450351104</v>
      </c>
      <c r="K3221">
        <v>55060.1466006923</v>
      </c>
      <c r="L3221">
        <v>21.33</v>
      </c>
      <c r="M3221">
        <v>70.944000000000003</v>
      </c>
      <c r="N3221">
        <v>30.754000000000001</v>
      </c>
    </row>
    <row r="3222" spans="1:14" x14ac:dyDescent="0.45">
      <c r="A3222">
        <v>1995</v>
      </c>
      <c r="B3222" t="s">
        <v>222</v>
      </c>
      <c r="C3222">
        <v>0</v>
      </c>
      <c r="D3222">
        <v>0</v>
      </c>
      <c r="E3222">
        <v>1</v>
      </c>
      <c r="F3222">
        <v>0</v>
      </c>
      <c r="G3222">
        <v>0</v>
      </c>
      <c r="H3222">
        <v>0</v>
      </c>
      <c r="I3222">
        <v>0</v>
      </c>
      <c r="J3222">
        <v>2824.63208007813</v>
      </c>
      <c r="K3222">
        <v>2957.7622840899598</v>
      </c>
      <c r="L3222">
        <v>67.768000000000001</v>
      </c>
      <c r="M3222">
        <v>57.447000000000003</v>
      </c>
      <c r="N3222">
        <v>118.956</v>
      </c>
    </row>
    <row r="3223" spans="1:14" x14ac:dyDescent="0.45">
      <c r="A3223">
        <v>1995</v>
      </c>
      <c r="B3223" t="s">
        <v>223</v>
      </c>
      <c r="C3223">
        <v>0</v>
      </c>
      <c r="D3223">
        <v>0</v>
      </c>
      <c r="E3223">
        <v>1</v>
      </c>
      <c r="F3223">
        <v>0</v>
      </c>
      <c r="G3223">
        <v>0</v>
      </c>
      <c r="H3223">
        <v>0</v>
      </c>
      <c r="I3223">
        <v>0</v>
      </c>
      <c r="J3223">
        <v>2835.03272874496</v>
      </c>
      <c r="K3223">
        <v>2368.4969331225002</v>
      </c>
      <c r="L3223">
        <v>60.393999999999998</v>
      </c>
      <c r="M3223">
        <v>57.335999999999999</v>
      </c>
      <c r="N3223">
        <v>138.34</v>
      </c>
    </row>
    <row r="3224" spans="1:14" x14ac:dyDescent="0.45">
      <c r="A3224">
        <v>1995</v>
      </c>
      <c r="B3224" t="s">
        <v>224</v>
      </c>
      <c r="C3224">
        <v>0</v>
      </c>
      <c r="D3224">
        <v>0</v>
      </c>
      <c r="E3224">
        <v>0</v>
      </c>
      <c r="F3224">
        <v>0</v>
      </c>
      <c r="G3224">
        <v>0</v>
      </c>
      <c r="H3224">
        <v>1</v>
      </c>
      <c r="I3224">
        <v>1</v>
      </c>
      <c r="J3224">
        <v>59483.6383121123</v>
      </c>
      <c r="K3224">
        <v>48897.770215291101</v>
      </c>
      <c r="L3224">
        <v>0</v>
      </c>
      <c r="M3224">
        <v>75.724999999999994</v>
      </c>
      <c r="N3224">
        <v>5.1070000000000002</v>
      </c>
    </row>
    <row r="3225" spans="1:14" x14ac:dyDescent="0.45">
      <c r="A3225">
        <v>1995</v>
      </c>
      <c r="B3225" t="s">
        <v>225</v>
      </c>
      <c r="C3225">
        <v>0</v>
      </c>
      <c r="D3225">
        <v>0</v>
      </c>
      <c r="E3225">
        <v>0</v>
      </c>
      <c r="F3225">
        <v>1</v>
      </c>
      <c r="G3225">
        <v>0</v>
      </c>
      <c r="H3225">
        <v>0</v>
      </c>
      <c r="I3225">
        <v>0</v>
      </c>
      <c r="J3225">
        <v>2996.2977835860302</v>
      </c>
      <c r="K3225">
        <v>2710.36995493121</v>
      </c>
      <c r="L3225">
        <v>85.335999999999999</v>
      </c>
      <c r="M3225">
        <v>66.716999999999999</v>
      </c>
      <c r="N3225">
        <v>33.734999999999999</v>
      </c>
    </row>
    <row r="3226" spans="1:14" x14ac:dyDescent="0.45">
      <c r="A3226">
        <v>1995</v>
      </c>
      <c r="B3226" t="s">
        <v>226</v>
      </c>
      <c r="C3226">
        <v>0</v>
      </c>
      <c r="D3226">
        <v>0</v>
      </c>
      <c r="E3226">
        <v>1</v>
      </c>
      <c r="F3226">
        <v>0</v>
      </c>
      <c r="G3226">
        <v>0</v>
      </c>
      <c r="H3226">
        <v>0</v>
      </c>
      <c r="I3226">
        <v>0</v>
      </c>
      <c r="J3226">
        <v>2059.9283634159601</v>
      </c>
      <c r="K3226">
        <v>1869.7363735689701</v>
      </c>
      <c r="L3226">
        <v>65.570999999999998</v>
      </c>
      <c r="M3226">
        <v>42.579000000000001</v>
      </c>
      <c r="N3226">
        <v>250.267</v>
      </c>
    </row>
    <row r="3227" spans="1:14" x14ac:dyDescent="0.45">
      <c r="A3227">
        <v>1995</v>
      </c>
      <c r="B3227" t="s">
        <v>227</v>
      </c>
      <c r="C3227">
        <v>0</v>
      </c>
      <c r="D3227">
        <v>1</v>
      </c>
      <c r="E3227">
        <v>0</v>
      </c>
      <c r="F3227">
        <v>1</v>
      </c>
      <c r="G3227">
        <v>0</v>
      </c>
      <c r="H3227">
        <v>0</v>
      </c>
      <c r="I3227">
        <v>0</v>
      </c>
      <c r="J3227">
        <v>7057.92025248354</v>
      </c>
      <c r="K3227">
        <v>6286.8452554781197</v>
      </c>
      <c r="L3227">
        <v>46.012</v>
      </c>
      <c r="M3227">
        <v>64.903000000000006</v>
      </c>
      <c r="N3227">
        <v>45.154000000000003</v>
      </c>
    </row>
    <row r="3228" spans="1:14" x14ac:dyDescent="0.45">
      <c r="A3228">
        <v>1995</v>
      </c>
      <c r="B3228" t="s">
        <v>228</v>
      </c>
      <c r="C3228">
        <v>1</v>
      </c>
      <c r="D3228">
        <v>0</v>
      </c>
      <c r="E3228">
        <v>0</v>
      </c>
      <c r="F3228">
        <v>0</v>
      </c>
      <c r="G3228">
        <v>0</v>
      </c>
      <c r="H3228">
        <v>1</v>
      </c>
      <c r="I3228">
        <v>1</v>
      </c>
      <c r="L3228">
        <v>8.3360000000000003</v>
      </c>
      <c r="M3228">
        <v>79.031000000000006</v>
      </c>
      <c r="N3228">
        <v>8.0890000000000004</v>
      </c>
    </row>
    <row r="3229" spans="1:14" x14ac:dyDescent="0.45">
      <c r="A3229">
        <v>1995</v>
      </c>
      <c r="B3229" t="s">
        <v>229</v>
      </c>
      <c r="C3229">
        <v>0</v>
      </c>
      <c r="D3229">
        <v>0</v>
      </c>
      <c r="E3229">
        <v>1</v>
      </c>
      <c r="F3229">
        <v>0</v>
      </c>
      <c r="G3229">
        <v>0</v>
      </c>
      <c r="H3229">
        <v>0</v>
      </c>
      <c r="I3229">
        <v>0</v>
      </c>
      <c r="J3229">
        <v>636.43363345092803</v>
      </c>
      <c r="K3229">
        <v>590.31401405547399</v>
      </c>
      <c r="L3229">
        <v>68.575000000000003</v>
      </c>
      <c r="M3229">
        <v>50.65</v>
      </c>
      <c r="N3229">
        <v>172.089</v>
      </c>
    </row>
    <row r="3230" spans="1:14" x14ac:dyDescent="0.45">
      <c r="A3230">
        <v>1995</v>
      </c>
      <c r="B3230" t="s">
        <v>230</v>
      </c>
      <c r="C3230">
        <v>1</v>
      </c>
      <c r="D3230">
        <v>0</v>
      </c>
      <c r="E3230">
        <v>0</v>
      </c>
      <c r="F3230">
        <v>1</v>
      </c>
      <c r="G3230">
        <v>0</v>
      </c>
      <c r="H3230">
        <v>0</v>
      </c>
      <c r="I3230">
        <v>0</v>
      </c>
      <c r="J3230">
        <v>9444.2241981755305</v>
      </c>
      <c r="K3230">
        <v>8304.5307534097901</v>
      </c>
      <c r="L3230">
        <v>48.348999999999997</v>
      </c>
      <c r="M3230">
        <v>72.725999999999999</v>
      </c>
      <c r="N3230">
        <v>15.544</v>
      </c>
    </row>
    <row r="3231" spans="1:14" x14ac:dyDescent="0.45">
      <c r="A3231">
        <v>1995</v>
      </c>
      <c r="B3231" t="s">
        <v>231</v>
      </c>
      <c r="C3231">
        <v>0</v>
      </c>
      <c r="D3231">
        <v>0</v>
      </c>
      <c r="E3231">
        <v>1</v>
      </c>
      <c r="F3231">
        <v>1</v>
      </c>
      <c r="G3231">
        <v>0</v>
      </c>
      <c r="H3231">
        <v>0</v>
      </c>
      <c r="I3231">
        <v>0</v>
      </c>
      <c r="L3231">
        <v>84.126999999999995</v>
      </c>
      <c r="M3231">
        <v>31.51</v>
      </c>
      <c r="N3231">
        <v>256.94</v>
      </c>
    </row>
    <row r="3232" spans="1:14" x14ac:dyDescent="0.45">
      <c r="A3232">
        <v>1995</v>
      </c>
      <c r="B3232" t="s">
        <v>232</v>
      </c>
      <c r="C3232">
        <v>0</v>
      </c>
      <c r="D3232">
        <v>0</v>
      </c>
      <c r="E3232">
        <v>1</v>
      </c>
      <c r="F3232">
        <v>0</v>
      </c>
      <c r="G3232">
        <v>0</v>
      </c>
      <c r="H3232">
        <v>0</v>
      </c>
      <c r="I3232">
        <v>0</v>
      </c>
      <c r="J3232">
        <v>3802.29132302174</v>
      </c>
      <c r="K3232">
        <v>2366.48635380626</v>
      </c>
      <c r="L3232">
        <v>51.369</v>
      </c>
      <c r="M3232">
        <v>60.536000000000001</v>
      </c>
      <c r="N3232">
        <v>100.82299999999999</v>
      </c>
    </row>
    <row r="3233" spans="1:14" x14ac:dyDescent="0.45">
      <c r="A3233">
        <v>1995</v>
      </c>
      <c r="B3233" t="s">
        <v>233</v>
      </c>
      <c r="C3233">
        <v>0</v>
      </c>
      <c r="D3233">
        <v>1</v>
      </c>
      <c r="E3233">
        <v>0</v>
      </c>
      <c r="F3233">
        <v>1</v>
      </c>
      <c r="G3233">
        <v>0</v>
      </c>
      <c r="H3233">
        <v>0</v>
      </c>
      <c r="I3233">
        <v>0</v>
      </c>
      <c r="J3233">
        <v>16368.311360582</v>
      </c>
      <c r="K3233">
        <v>13028.842361139101</v>
      </c>
      <c r="L3233">
        <v>33.923999999999999</v>
      </c>
      <c r="M3233">
        <v>62.779000000000003</v>
      </c>
      <c r="N3233">
        <v>37.418999999999997</v>
      </c>
    </row>
    <row r="3234" spans="1:14" x14ac:dyDescent="0.45">
      <c r="A3234">
        <v>1995</v>
      </c>
      <c r="B3234" t="s">
        <v>234</v>
      </c>
      <c r="C3234">
        <v>1</v>
      </c>
      <c r="D3234">
        <v>0</v>
      </c>
      <c r="E3234">
        <v>0</v>
      </c>
      <c r="F3234">
        <v>1</v>
      </c>
      <c r="G3234">
        <v>0</v>
      </c>
      <c r="H3234">
        <v>0</v>
      </c>
      <c r="I3234">
        <v>0</v>
      </c>
      <c r="J3234">
        <v>15805.3823676139</v>
      </c>
      <c r="K3234">
        <v>13612.9045245618</v>
      </c>
      <c r="L3234">
        <v>43.463000000000001</v>
      </c>
      <c r="M3234">
        <v>72.254000000000005</v>
      </c>
      <c r="N3234">
        <v>12.397</v>
      </c>
    </row>
    <row r="3235" spans="1:14" x14ac:dyDescent="0.45">
      <c r="A3235">
        <v>1995</v>
      </c>
      <c r="B3235" t="s">
        <v>235</v>
      </c>
      <c r="C3235">
        <v>1</v>
      </c>
      <c r="D3235">
        <v>0</v>
      </c>
      <c r="E3235">
        <v>0</v>
      </c>
      <c r="F3235">
        <v>0</v>
      </c>
      <c r="G3235">
        <v>1</v>
      </c>
      <c r="H3235">
        <v>0</v>
      </c>
      <c r="I3235">
        <v>0</v>
      </c>
      <c r="J3235">
        <v>24724.229693945199</v>
      </c>
      <c r="K3235">
        <v>21282.732912676402</v>
      </c>
      <c r="L3235">
        <v>49.378</v>
      </c>
      <c r="M3235">
        <v>74.418999999999997</v>
      </c>
      <c r="N3235">
        <v>6.8630000000000004</v>
      </c>
    </row>
    <row r="3236" spans="1:14" x14ac:dyDescent="0.45">
      <c r="A3236">
        <v>1995</v>
      </c>
      <c r="B3236" t="s">
        <v>236</v>
      </c>
      <c r="C3236">
        <v>1</v>
      </c>
      <c r="D3236">
        <v>0</v>
      </c>
      <c r="E3236">
        <v>0</v>
      </c>
      <c r="F3236">
        <v>0</v>
      </c>
      <c r="G3236">
        <v>0</v>
      </c>
      <c r="H3236">
        <v>1</v>
      </c>
      <c r="I3236">
        <v>1</v>
      </c>
      <c r="J3236">
        <v>40390.8306045836</v>
      </c>
      <c r="K3236">
        <v>34502.592788329697</v>
      </c>
      <c r="L3236">
        <v>16.175999999999998</v>
      </c>
      <c r="M3236">
        <v>78.822000000000003</v>
      </c>
      <c r="N3236">
        <v>4.68</v>
      </c>
    </row>
    <row r="3237" spans="1:14" x14ac:dyDescent="0.45">
      <c r="A3237">
        <v>1995</v>
      </c>
      <c r="B3237" t="s">
        <v>237</v>
      </c>
      <c r="C3237">
        <v>0</v>
      </c>
      <c r="D3237">
        <v>0</v>
      </c>
      <c r="E3237">
        <v>1</v>
      </c>
      <c r="F3237">
        <v>1</v>
      </c>
      <c r="G3237">
        <v>0</v>
      </c>
      <c r="H3237">
        <v>0</v>
      </c>
      <c r="I3237">
        <v>0</v>
      </c>
      <c r="J3237">
        <v>5771.7498175534402</v>
      </c>
      <c r="K3237">
        <v>5110.8855208230298</v>
      </c>
      <c r="L3237">
        <v>77.713999999999999</v>
      </c>
      <c r="M3237">
        <v>55.08</v>
      </c>
      <c r="N3237">
        <v>85.227000000000004</v>
      </c>
    </row>
    <row r="3238" spans="1:14" x14ac:dyDescent="0.45">
      <c r="A3238">
        <v>1995</v>
      </c>
      <c r="B3238" t="s">
        <v>238</v>
      </c>
      <c r="C3238">
        <v>0</v>
      </c>
      <c r="D3238">
        <v>1</v>
      </c>
      <c r="E3238">
        <v>0</v>
      </c>
      <c r="F3238">
        <v>0</v>
      </c>
      <c r="G3238">
        <v>0</v>
      </c>
      <c r="H3238">
        <v>1</v>
      </c>
      <c r="I3238">
        <v>1</v>
      </c>
      <c r="L3238">
        <v>0</v>
      </c>
      <c r="M3238">
        <v>72.849000000000004</v>
      </c>
      <c r="N3238">
        <v>23.748999999999999</v>
      </c>
    </row>
    <row r="3239" spans="1:14" x14ac:dyDescent="0.45">
      <c r="A3239">
        <v>1995</v>
      </c>
      <c r="B3239" t="s">
        <v>239</v>
      </c>
      <c r="C3239">
        <v>0</v>
      </c>
      <c r="D3239">
        <v>0</v>
      </c>
      <c r="E3239">
        <v>1</v>
      </c>
      <c r="F3239">
        <v>0</v>
      </c>
      <c r="G3239">
        <v>1</v>
      </c>
      <c r="H3239">
        <v>0</v>
      </c>
      <c r="I3239">
        <v>0</v>
      </c>
      <c r="J3239">
        <v>16552.454781523102</v>
      </c>
      <c r="K3239">
        <v>16069.948737786801</v>
      </c>
      <c r="L3239">
        <v>50.366999999999997</v>
      </c>
      <c r="M3239">
        <v>70.634</v>
      </c>
      <c r="N3239">
        <v>14.441000000000001</v>
      </c>
    </row>
    <row r="3240" spans="1:14" x14ac:dyDescent="0.45">
      <c r="A3240">
        <v>1995</v>
      </c>
      <c r="B3240" t="s">
        <v>240</v>
      </c>
      <c r="C3240">
        <v>0</v>
      </c>
      <c r="D3240">
        <v>0</v>
      </c>
      <c r="E3240">
        <v>0</v>
      </c>
      <c r="F3240">
        <v>1</v>
      </c>
      <c r="G3240">
        <v>0</v>
      </c>
      <c r="H3240">
        <v>0</v>
      </c>
      <c r="I3240">
        <v>0</v>
      </c>
      <c r="J3240">
        <v>7431.3542101479998</v>
      </c>
      <c r="K3240">
        <v>4874.4290571117599</v>
      </c>
      <c r="L3240">
        <v>49.896000000000001</v>
      </c>
      <c r="M3240">
        <v>70.209000000000003</v>
      </c>
      <c r="N3240">
        <v>29.280999999999999</v>
      </c>
    </row>
    <row r="3241" spans="1:14" x14ac:dyDescent="0.45">
      <c r="A3241">
        <v>1995</v>
      </c>
      <c r="B3241" t="s">
        <v>241</v>
      </c>
      <c r="C3241">
        <v>0</v>
      </c>
      <c r="D3241">
        <v>1</v>
      </c>
      <c r="E3241">
        <v>0</v>
      </c>
      <c r="F3241">
        <v>0</v>
      </c>
      <c r="G3241">
        <v>0</v>
      </c>
      <c r="H3241">
        <v>1</v>
      </c>
      <c r="I3241">
        <v>1</v>
      </c>
      <c r="L3241">
        <v>20.071999999999999</v>
      </c>
      <c r="M3241">
        <v>71.947999999999993</v>
      </c>
      <c r="N3241">
        <v>13.92</v>
      </c>
    </row>
    <row r="3242" spans="1:14" x14ac:dyDescent="0.45">
      <c r="A3242">
        <v>1995</v>
      </c>
      <c r="B3242" t="s">
        <v>242</v>
      </c>
      <c r="C3242">
        <v>0</v>
      </c>
      <c r="D3242">
        <v>0</v>
      </c>
      <c r="E3242">
        <v>1</v>
      </c>
      <c r="F3242">
        <v>0</v>
      </c>
      <c r="G3242">
        <v>0</v>
      </c>
      <c r="H3242">
        <v>0</v>
      </c>
      <c r="I3242">
        <v>0</v>
      </c>
      <c r="J3242">
        <v>1585.2584532169601</v>
      </c>
      <c r="K3242">
        <v>1331.67445316721</v>
      </c>
      <c r="L3242">
        <v>78.527000000000001</v>
      </c>
      <c r="M3242">
        <v>47.453000000000003</v>
      </c>
      <c r="N3242">
        <v>198.614</v>
      </c>
    </row>
    <row r="3243" spans="1:14" x14ac:dyDescent="0.45">
      <c r="A3243">
        <v>1995</v>
      </c>
      <c r="B3243" t="s">
        <v>243</v>
      </c>
      <c r="C3243">
        <v>0</v>
      </c>
      <c r="D3243">
        <v>0</v>
      </c>
      <c r="E3243">
        <v>1</v>
      </c>
      <c r="F3243">
        <v>0</v>
      </c>
      <c r="G3243">
        <v>0</v>
      </c>
      <c r="H3243">
        <v>0</v>
      </c>
      <c r="I3243">
        <v>0</v>
      </c>
      <c r="J3243">
        <v>1975.9492328003801</v>
      </c>
      <c r="K3243">
        <v>1642.0883909096499</v>
      </c>
      <c r="L3243">
        <v>69.295000000000002</v>
      </c>
      <c r="M3243">
        <v>53.692</v>
      </c>
      <c r="N3243">
        <v>136.14400000000001</v>
      </c>
    </row>
    <row r="3244" spans="1:14" x14ac:dyDescent="0.45">
      <c r="A3244">
        <v>1995</v>
      </c>
      <c r="B3244" t="s">
        <v>244</v>
      </c>
      <c r="C3244">
        <v>0</v>
      </c>
      <c r="D3244">
        <v>0</v>
      </c>
      <c r="E3244">
        <v>0</v>
      </c>
      <c r="F3244">
        <v>1</v>
      </c>
      <c r="G3244">
        <v>0</v>
      </c>
      <c r="H3244">
        <v>0</v>
      </c>
      <c r="I3244">
        <v>0</v>
      </c>
      <c r="J3244">
        <v>11953.920382867</v>
      </c>
      <c r="K3244">
        <v>10454.0270267537</v>
      </c>
      <c r="L3244">
        <v>69.724000000000004</v>
      </c>
      <c r="M3244">
        <v>69.757000000000005</v>
      </c>
      <c r="N3244">
        <v>28.15</v>
      </c>
    </row>
    <row r="3245" spans="1:14" x14ac:dyDescent="0.45">
      <c r="A3245">
        <v>1995</v>
      </c>
      <c r="B3245" t="s">
        <v>245</v>
      </c>
      <c r="C3245">
        <v>1</v>
      </c>
      <c r="D3245">
        <v>0</v>
      </c>
      <c r="E3245">
        <v>0</v>
      </c>
      <c r="F3245">
        <v>0</v>
      </c>
      <c r="G3245">
        <v>0</v>
      </c>
      <c r="H3245">
        <v>0</v>
      </c>
      <c r="I3245">
        <v>0</v>
      </c>
      <c r="J3245">
        <v>1439.50277584065</v>
      </c>
      <c r="K3245">
        <v>1311.0058520852101</v>
      </c>
      <c r="L3245">
        <v>71.123000000000005</v>
      </c>
      <c r="M3245">
        <v>61.389000000000003</v>
      </c>
      <c r="N3245">
        <v>108.69799999999999</v>
      </c>
    </row>
    <row r="3246" spans="1:14" x14ac:dyDescent="0.45">
      <c r="A3246">
        <v>1995</v>
      </c>
      <c r="B3246" t="s">
        <v>246</v>
      </c>
      <c r="C3246">
        <v>1</v>
      </c>
      <c r="D3246">
        <v>0</v>
      </c>
      <c r="E3246">
        <v>0</v>
      </c>
      <c r="F3246">
        <v>1</v>
      </c>
      <c r="G3246">
        <v>0</v>
      </c>
      <c r="H3246">
        <v>0</v>
      </c>
      <c r="I3246">
        <v>0</v>
      </c>
      <c r="J3246">
        <v>4493.4279331068301</v>
      </c>
      <c r="K3246">
        <v>4229.2993977985798</v>
      </c>
      <c r="L3246">
        <v>55.206000000000003</v>
      </c>
      <c r="M3246">
        <v>63.514000000000003</v>
      </c>
      <c r="N3246">
        <v>78.033000000000001</v>
      </c>
    </row>
    <row r="3247" spans="1:14" x14ac:dyDescent="0.45">
      <c r="A3247">
        <v>1995</v>
      </c>
      <c r="B3247" t="s">
        <v>247</v>
      </c>
      <c r="C3247">
        <v>0</v>
      </c>
      <c r="D3247">
        <v>0</v>
      </c>
      <c r="E3247">
        <v>0</v>
      </c>
      <c r="F3247">
        <v>0</v>
      </c>
      <c r="G3247">
        <v>0</v>
      </c>
      <c r="H3247">
        <v>0</v>
      </c>
      <c r="I3247">
        <v>0</v>
      </c>
      <c r="J3247">
        <v>2893.2471766430499</v>
      </c>
      <c r="K3247">
        <v>2334.4530686274402</v>
      </c>
      <c r="L3247">
        <v>77.465999999999994</v>
      </c>
      <c r="M3247">
        <v>47.542999999999999</v>
      </c>
      <c r="N3247">
        <v>198.09399999999999</v>
      </c>
    </row>
    <row r="3248" spans="1:14" x14ac:dyDescent="0.45">
      <c r="A3248">
        <v>1995</v>
      </c>
      <c r="B3248" t="s">
        <v>248</v>
      </c>
      <c r="C3248">
        <v>0</v>
      </c>
      <c r="D3248">
        <v>0</v>
      </c>
      <c r="E3248">
        <v>0</v>
      </c>
      <c r="F3248">
        <v>1</v>
      </c>
      <c r="G3248">
        <v>0</v>
      </c>
      <c r="H3248">
        <v>0</v>
      </c>
      <c r="I3248">
        <v>0</v>
      </c>
      <c r="J3248">
        <v>5508.3393462772601</v>
      </c>
      <c r="K3248">
        <v>4986.3210246302797</v>
      </c>
      <c r="L3248">
        <v>77.135999999999996</v>
      </c>
      <c r="M3248">
        <v>68.591999999999999</v>
      </c>
      <c r="N3248">
        <v>19.065000000000001</v>
      </c>
    </row>
    <row r="3249" spans="1:14" x14ac:dyDescent="0.45">
      <c r="A3249">
        <v>1995</v>
      </c>
      <c r="B3249" t="s">
        <v>249</v>
      </c>
      <c r="C3249">
        <v>0</v>
      </c>
      <c r="D3249">
        <v>1</v>
      </c>
      <c r="E3249">
        <v>0</v>
      </c>
      <c r="F3249">
        <v>0</v>
      </c>
      <c r="G3249">
        <v>1</v>
      </c>
      <c r="H3249">
        <v>0</v>
      </c>
      <c r="I3249">
        <v>0</v>
      </c>
      <c r="J3249">
        <v>13930.162869444501</v>
      </c>
      <c r="K3249">
        <v>11626.016769440301</v>
      </c>
      <c r="L3249">
        <v>44.96</v>
      </c>
      <c r="M3249">
        <v>67.995000000000005</v>
      </c>
      <c r="N3249">
        <v>28.443999999999999</v>
      </c>
    </row>
    <row r="3250" spans="1:14" x14ac:dyDescent="0.45">
      <c r="A3250">
        <v>1995</v>
      </c>
      <c r="B3250" t="s">
        <v>250</v>
      </c>
      <c r="C3250">
        <v>0</v>
      </c>
      <c r="D3250">
        <v>0</v>
      </c>
      <c r="E3250">
        <v>0</v>
      </c>
      <c r="F3250">
        <v>1</v>
      </c>
      <c r="G3250">
        <v>0</v>
      </c>
      <c r="H3250">
        <v>0</v>
      </c>
      <c r="I3250">
        <v>0</v>
      </c>
      <c r="J3250">
        <v>7406.23087526979</v>
      </c>
      <c r="K3250">
        <v>6454.40649153302</v>
      </c>
      <c r="L3250">
        <v>38.526000000000003</v>
      </c>
      <c r="M3250">
        <v>70.784999999999997</v>
      </c>
      <c r="N3250">
        <v>41.865000000000002</v>
      </c>
    </row>
    <row r="3251" spans="1:14" x14ac:dyDescent="0.45">
      <c r="A3251">
        <v>1995</v>
      </c>
      <c r="B3251" t="s">
        <v>251</v>
      </c>
      <c r="C3251">
        <v>1</v>
      </c>
      <c r="D3251">
        <v>0</v>
      </c>
      <c r="E3251">
        <v>0</v>
      </c>
      <c r="F3251">
        <v>1</v>
      </c>
      <c r="G3251">
        <v>0</v>
      </c>
      <c r="H3251">
        <v>0</v>
      </c>
      <c r="I3251">
        <v>0</v>
      </c>
      <c r="J3251">
        <v>12912.242334352</v>
      </c>
      <c r="K3251">
        <v>12946.7846550044</v>
      </c>
      <c r="L3251">
        <v>37.877000000000002</v>
      </c>
      <c r="M3251">
        <v>69.733999999999995</v>
      </c>
      <c r="N3251">
        <v>53.55</v>
      </c>
    </row>
    <row r="3252" spans="1:14" x14ac:dyDescent="0.45">
      <c r="A3252">
        <v>1995</v>
      </c>
      <c r="B3252" t="s">
        <v>252</v>
      </c>
      <c r="C3252">
        <v>0</v>
      </c>
      <c r="D3252">
        <v>0</v>
      </c>
      <c r="E3252">
        <v>0</v>
      </c>
      <c r="F3252">
        <v>1</v>
      </c>
      <c r="G3252">
        <v>0</v>
      </c>
      <c r="H3252">
        <v>0</v>
      </c>
      <c r="I3252">
        <v>0</v>
      </c>
      <c r="J3252">
        <v>3286.4690577009001</v>
      </c>
      <c r="K3252">
        <v>2973.1187457470401</v>
      </c>
      <c r="L3252">
        <v>56.03</v>
      </c>
      <c r="M3252">
        <v>62.505000000000003</v>
      </c>
      <c r="N3252">
        <v>48.914000000000001</v>
      </c>
    </row>
    <row r="3253" spans="1:14" x14ac:dyDescent="0.45">
      <c r="A3253">
        <v>1995</v>
      </c>
      <c r="B3253" t="s">
        <v>253</v>
      </c>
      <c r="C3253">
        <v>0</v>
      </c>
      <c r="D3253">
        <v>0</v>
      </c>
      <c r="E3253">
        <v>0</v>
      </c>
      <c r="F3253">
        <v>0</v>
      </c>
      <c r="G3253">
        <v>0</v>
      </c>
      <c r="H3253">
        <v>1</v>
      </c>
      <c r="I3253">
        <v>1</v>
      </c>
      <c r="L3253">
        <v>69.039000000000001</v>
      </c>
      <c r="M3253">
        <v>74.617000000000004</v>
      </c>
      <c r="N3253">
        <v>8.8140000000000001</v>
      </c>
    </row>
    <row r="3254" spans="1:14" x14ac:dyDescent="0.45">
      <c r="A3254">
        <v>1995</v>
      </c>
      <c r="B3254" t="s">
        <v>254</v>
      </c>
      <c r="C3254">
        <v>0</v>
      </c>
      <c r="D3254">
        <v>0</v>
      </c>
      <c r="E3254">
        <v>1</v>
      </c>
      <c r="F3254">
        <v>0</v>
      </c>
      <c r="G3254">
        <v>0</v>
      </c>
      <c r="H3254">
        <v>0</v>
      </c>
      <c r="I3254">
        <v>0</v>
      </c>
      <c r="J3254">
        <v>1685.85107421875</v>
      </c>
      <c r="K3254">
        <v>1255.7343884788099</v>
      </c>
      <c r="L3254">
        <v>79.456999999999994</v>
      </c>
      <c r="M3254">
        <v>51.005000000000003</v>
      </c>
      <c r="N3254">
        <v>154.65</v>
      </c>
    </row>
    <row r="3255" spans="1:14" x14ac:dyDescent="0.45">
      <c r="A3255">
        <v>1995</v>
      </c>
      <c r="B3255" t="s">
        <v>255</v>
      </c>
      <c r="C3255">
        <v>0</v>
      </c>
      <c r="D3255">
        <v>0</v>
      </c>
      <c r="E3255">
        <v>1</v>
      </c>
      <c r="F3255">
        <v>0</v>
      </c>
      <c r="G3255">
        <v>0</v>
      </c>
      <c r="H3255">
        <v>0</v>
      </c>
      <c r="I3255">
        <v>0</v>
      </c>
      <c r="J3255">
        <v>1288.50886674348</v>
      </c>
      <c r="K3255">
        <v>1093.0479348987899</v>
      </c>
      <c r="L3255">
        <v>87.153999999999996</v>
      </c>
      <c r="M3255">
        <v>47.706000000000003</v>
      </c>
      <c r="N3255">
        <v>164.779</v>
      </c>
    </row>
    <row r="3256" spans="1:14" x14ac:dyDescent="0.45">
      <c r="A3256">
        <v>1995</v>
      </c>
      <c r="B3256" t="s">
        <v>256</v>
      </c>
      <c r="C3256">
        <v>1</v>
      </c>
      <c r="D3256">
        <v>0</v>
      </c>
      <c r="E3256">
        <v>0</v>
      </c>
      <c r="F3256">
        <v>1</v>
      </c>
      <c r="G3256">
        <v>0</v>
      </c>
      <c r="H3256">
        <v>0</v>
      </c>
      <c r="I3256">
        <v>0</v>
      </c>
      <c r="J3256">
        <v>10983.0087890625</v>
      </c>
      <c r="K3256">
        <v>7768.1232273929299</v>
      </c>
      <c r="L3256">
        <v>33.048999999999999</v>
      </c>
      <c r="M3256">
        <v>67.114000000000004</v>
      </c>
      <c r="N3256">
        <v>18.553000000000001</v>
      </c>
    </row>
    <row r="3257" spans="1:14" x14ac:dyDescent="0.45">
      <c r="A3257">
        <v>1995</v>
      </c>
      <c r="B3257" t="s">
        <v>257</v>
      </c>
      <c r="C3257">
        <v>0</v>
      </c>
      <c r="D3257">
        <v>1</v>
      </c>
      <c r="E3257">
        <v>0</v>
      </c>
      <c r="F3257">
        <v>0</v>
      </c>
      <c r="G3257">
        <v>1</v>
      </c>
      <c r="H3257">
        <v>0</v>
      </c>
      <c r="I3257">
        <v>0</v>
      </c>
      <c r="J3257">
        <v>16600.0391885928</v>
      </c>
      <c r="K3257">
        <v>13166.629495122899</v>
      </c>
      <c r="L3257">
        <v>9.4580000000000002</v>
      </c>
      <c r="M3257">
        <v>73.492999999999995</v>
      </c>
      <c r="N3257">
        <v>21.588999999999999</v>
      </c>
    </row>
    <row r="3258" spans="1:14" x14ac:dyDescent="0.45">
      <c r="A3258">
        <v>1995</v>
      </c>
      <c r="B3258" t="s">
        <v>258</v>
      </c>
      <c r="C3258">
        <v>0</v>
      </c>
      <c r="D3258">
        <v>0</v>
      </c>
      <c r="E3258">
        <v>0</v>
      </c>
      <c r="F3258">
        <v>0</v>
      </c>
      <c r="G3258">
        <v>0</v>
      </c>
      <c r="H3258">
        <v>1</v>
      </c>
      <c r="I3258">
        <v>1</v>
      </c>
      <c r="J3258">
        <v>47220.957959573097</v>
      </c>
      <c r="K3258">
        <v>42861.2644725723</v>
      </c>
      <c r="L3258">
        <v>22.742999999999999</v>
      </c>
      <c r="M3258">
        <v>75.852000000000004</v>
      </c>
      <c r="N3258">
        <v>9.3800000000000008</v>
      </c>
    </row>
    <row r="3259" spans="1:14" x14ac:dyDescent="0.45">
      <c r="A3259">
        <v>1995</v>
      </c>
      <c r="B3259" t="s">
        <v>259</v>
      </c>
      <c r="C3259">
        <v>1</v>
      </c>
      <c r="D3259">
        <v>0</v>
      </c>
      <c r="E3259">
        <v>0</v>
      </c>
      <c r="F3259">
        <v>1</v>
      </c>
      <c r="G3259">
        <v>0</v>
      </c>
      <c r="H3259">
        <v>0</v>
      </c>
      <c r="I3259">
        <v>0</v>
      </c>
      <c r="J3259">
        <v>3052.4188107759601</v>
      </c>
      <c r="K3259">
        <v>2965.53781995691</v>
      </c>
      <c r="L3259">
        <v>56.268999999999998</v>
      </c>
      <c r="M3259">
        <v>64.67</v>
      </c>
      <c r="N3259">
        <v>68.561999999999998</v>
      </c>
    </row>
    <row r="3260" spans="1:14" x14ac:dyDescent="0.45">
      <c r="A3260">
        <v>1995</v>
      </c>
      <c r="B3260" t="s">
        <v>260</v>
      </c>
      <c r="C3260">
        <v>0</v>
      </c>
      <c r="D3260">
        <v>1</v>
      </c>
      <c r="E3260">
        <v>0</v>
      </c>
      <c r="F3260">
        <v>1</v>
      </c>
      <c r="G3260">
        <v>0</v>
      </c>
      <c r="H3260">
        <v>0</v>
      </c>
      <c r="I3260">
        <v>0</v>
      </c>
      <c r="J3260">
        <v>8815.8487182574809</v>
      </c>
      <c r="K3260">
        <v>7704.7095346925798</v>
      </c>
      <c r="L3260">
        <v>56.62</v>
      </c>
      <c r="M3260">
        <v>70.575000000000003</v>
      </c>
      <c r="N3260">
        <v>22.207000000000001</v>
      </c>
    </row>
    <row r="3261" spans="1:14" x14ac:dyDescent="0.45">
      <c r="A3261">
        <v>1995</v>
      </c>
      <c r="B3261" t="s">
        <v>261</v>
      </c>
      <c r="C3261">
        <v>0</v>
      </c>
      <c r="D3261">
        <v>1</v>
      </c>
      <c r="E3261">
        <v>0</v>
      </c>
      <c r="F3261">
        <v>1</v>
      </c>
      <c r="G3261">
        <v>0</v>
      </c>
      <c r="H3261">
        <v>0</v>
      </c>
      <c r="I3261">
        <v>0</v>
      </c>
      <c r="L3261">
        <v>13.986000000000001</v>
      </c>
      <c r="M3261">
        <v>71.713999999999999</v>
      </c>
      <c r="N3261">
        <v>25.835000000000001</v>
      </c>
    </row>
    <row r="3262" spans="1:14" x14ac:dyDescent="0.45">
      <c r="A3262">
        <v>1995</v>
      </c>
      <c r="B3262" t="s">
        <v>262</v>
      </c>
      <c r="C3262">
        <v>0</v>
      </c>
      <c r="D3262">
        <v>1</v>
      </c>
      <c r="E3262">
        <v>0</v>
      </c>
      <c r="F3262">
        <v>0</v>
      </c>
      <c r="G3262">
        <v>0</v>
      </c>
      <c r="H3262">
        <v>1</v>
      </c>
      <c r="I3262">
        <v>1</v>
      </c>
      <c r="L3262">
        <v>59.587000000000003</v>
      </c>
      <c r="M3262">
        <v>74.088999999999999</v>
      </c>
      <c r="N3262">
        <v>19.087</v>
      </c>
    </row>
    <row r="3263" spans="1:14" x14ac:dyDescent="0.45">
      <c r="A3263">
        <v>1995</v>
      </c>
      <c r="B3263" t="s">
        <v>263</v>
      </c>
      <c r="C3263">
        <v>0</v>
      </c>
      <c r="D3263">
        <v>1</v>
      </c>
      <c r="E3263">
        <v>0</v>
      </c>
      <c r="F3263">
        <v>0</v>
      </c>
      <c r="G3263">
        <v>0</v>
      </c>
      <c r="H3263">
        <v>1</v>
      </c>
      <c r="I3263">
        <v>1</v>
      </c>
      <c r="L3263">
        <v>9.5630000000000006</v>
      </c>
      <c r="M3263">
        <v>71.188999999999993</v>
      </c>
      <c r="N3263">
        <v>15.106</v>
      </c>
    </row>
    <row r="3264" spans="1:14" x14ac:dyDescent="0.45">
      <c r="A3264">
        <v>1995</v>
      </c>
      <c r="B3264" t="s">
        <v>264</v>
      </c>
      <c r="C3264">
        <v>0</v>
      </c>
      <c r="D3264">
        <v>0</v>
      </c>
      <c r="E3264">
        <v>0</v>
      </c>
      <c r="F3264">
        <v>0</v>
      </c>
      <c r="G3264">
        <v>0</v>
      </c>
      <c r="H3264">
        <v>0</v>
      </c>
      <c r="I3264">
        <v>0</v>
      </c>
      <c r="J3264">
        <v>3328.2148603955802</v>
      </c>
      <c r="K3264">
        <v>2965.7153198247202</v>
      </c>
      <c r="L3264">
        <v>77.834000000000003</v>
      </c>
      <c r="M3264">
        <v>70.870999999999995</v>
      </c>
      <c r="N3264">
        <v>39.295000000000002</v>
      </c>
    </row>
    <row r="3265" spans="1:14" x14ac:dyDescent="0.45">
      <c r="A3265">
        <v>1995</v>
      </c>
      <c r="B3265" t="s">
        <v>265</v>
      </c>
      <c r="C3265">
        <v>0</v>
      </c>
      <c r="D3265">
        <v>0</v>
      </c>
      <c r="E3265">
        <v>0</v>
      </c>
      <c r="F3265">
        <v>1</v>
      </c>
      <c r="G3265">
        <v>0</v>
      </c>
      <c r="H3265">
        <v>0</v>
      </c>
      <c r="I3265">
        <v>0</v>
      </c>
      <c r="J3265">
        <v>3226.9150912803002</v>
      </c>
      <c r="K3265">
        <v>2919.07173471638</v>
      </c>
      <c r="L3265">
        <v>79.835999999999999</v>
      </c>
      <c r="M3265">
        <v>68.103999999999999</v>
      </c>
      <c r="N3265">
        <v>31.652000000000001</v>
      </c>
    </row>
    <row r="3266" spans="1:14" x14ac:dyDescent="0.45">
      <c r="A3266">
        <v>1995</v>
      </c>
      <c r="B3266" t="s">
        <v>266</v>
      </c>
      <c r="C3266">
        <v>0</v>
      </c>
      <c r="D3266">
        <v>0</v>
      </c>
      <c r="E3266">
        <v>0</v>
      </c>
      <c r="F3266">
        <v>1</v>
      </c>
      <c r="G3266">
        <v>0</v>
      </c>
      <c r="H3266">
        <v>0</v>
      </c>
      <c r="I3266">
        <v>0</v>
      </c>
      <c r="J3266">
        <v>4077.99085675776</v>
      </c>
      <c r="K3266">
        <v>3688.9560176404998</v>
      </c>
      <c r="L3266">
        <v>78.474000000000004</v>
      </c>
      <c r="M3266">
        <v>69.468999999999994</v>
      </c>
      <c r="N3266">
        <v>25.257999999999999</v>
      </c>
    </row>
    <row r="3267" spans="1:14" x14ac:dyDescent="0.45">
      <c r="A3267">
        <v>1995</v>
      </c>
      <c r="B3267" t="s">
        <v>267</v>
      </c>
      <c r="C3267">
        <v>1</v>
      </c>
      <c r="D3267">
        <v>0</v>
      </c>
      <c r="E3267">
        <v>0</v>
      </c>
      <c r="F3267">
        <v>1</v>
      </c>
      <c r="G3267">
        <v>0</v>
      </c>
      <c r="H3267">
        <v>0</v>
      </c>
      <c r="I3267">
        <v>0</v>
      </c>
      <c r="L3267">
        <v>48.348999999999997</v>
      </c>
      <c r="M3267">
        <v>68.781999999999996</v>
      </c>
      <c r="N3267">
        <v>72.575999999999993</v>
      </c>
    </row>
    <row r="3268" spans="1:14" x14ac:dyDescent="0.45">
      <c r="A3268">
        <v>1995</v>
      </c>
      <c r="B3268" t="s">
        <v>268</v>
      </c>
      <c r="C3268">
        <v>0</v>
      </c>
      <c r="D3268">
        <v>0</v>
      </c>
      <c r="E3268">
        <v>0</v>
      </c>
      <c r="F3268">
        <v>0</v>
      </c>
      <c r="G3268">
        <v>0</v>
      </c>
      <c r="H3268">
        <v>0</v>
      </c>
      <c r="I3268">
        <v>0</v>
      </c>
      <c r="L3268">
        <v>76.239999999999995</v>
      </c>
      <c r="M3268">
        <v>60.531999999999996</v>
      </c>
      <c r="N3268">
        <v>110.151</v>
      </c>
    </row>
    <row r="3269" spans="1:14" x14ac:dyDescent="0.45">
      <c r="A3269">
        <v>1995</v>
      </c>
      <c r="B3269" t="s">
        <v>269</v>
      </c>
      <c r="C3269">
        <v>0</v>
      </c>
      <c r="D3269">
        <v>0</v>
      </c>
      <c r="E3269">
        <v>1</v>
      </c>
      <c r="F3269">
        <v>0</v>
      </c>
      <c r="G3269">
        <v>1</v>
      </c>
      <c r="H3269">
        <v>0</v>
      </c>
      <c r="I3269">
        <v>0</v>
      </c>
      <c r="J3269">
        <v>10331.4692164305</v>
      </c>
      <c r="K3269">
        <v>9727.5032337262091</v>
      </c>
      <c r="L3269">
        <v>45.514000000000003</v>
      </c>
      <c r="M3269">
        <v>61.603000000000002</v>
      </c>
      <c r="N3269">
        <v>62.148000000000003</v>
      </c>
    </row>
    <row r="3270" spans="1:14" x14ac:dyDescent="0.45">
      <c r="A3270">
        <v>1995</v>
      </c>
      <c r="B3270" t="s">
        <v>270</v>
      </c>
      <c r="C3270">
        <v>0</v>
      </c>
      <c r="D3270">
        <v>0</v>
      </c>
      <c r="E3270">
        <v>1</v>
      </c>
      <c r="F3270">
        <v>0</v>
      </c>
      <c r="G3270">
        <v>0</v>
      </c>
      <c r="H3270">
        <v>0</v>
      </c>
      <c r="I3270">
        <v>0</v>
      </c>
      <c r="J3270">
        <v>2119.95642928697</v>
      </c>
      <c r="K3270">
        <v>1990.33649934455</v>
      </c>
      <c r="L3270">
        <v>62.896000000000001</v>
      </c>
      <c r="M3270">
        <v>46.051000000000002</v>
      </c>
      <c r="N3270">
        <v>175.27600000000001</v>
      </c>
    </row>
    <row r="3271" spans="1:14" x14ac:dyDescent="0.45">
      <c r="A3271">
        <v>1995</v>
      </c>
      <c r="B3271" t="s">
        <v>271</v>
      </c>
      <c r="C3271">
        <v>0</v>
      </c>
      <c r="D3271">
        <v>0</v>
      </c>
      <c r="E3271">
        <v>1</v>
      </c>
      <c r="F3271">
        <v>0</v>
      </c>
      <c r="G3271">
        <v>0</v>
      </c>
      <c r="H3271">
        <v>0</v>
      </c>
      <c r="I3271">
        <v>0</v>
      </c>
      <c r="J3271">
        <v>3935.27695765014</v>
      </c>
      <c r="K3271">
        <v>2620.2486249405601</v>
      </c>
      <c r="L3271">
        <v>68.268000000000001</v>
      </c>
      <c r="M3271">
        <v>51.143999999999998</v>
      </c>
      <c r="N3271">
        <v>96.123999999999995</v>
      </c>
    </row>
    <row r="3272" spans="1:14" x14ac:dyDescent="0.45">
      <c r="A3272">
        <v>1996</v>
      </c>
      <c r="B3272" t="s">
        <v>54</v>
      </c>
      <c r="C3272">
        <v>0</v>
      </c>
      <c r="D3272">
        <v>1</v>
      </c>
      <c r="E3272">
        <v>0</v>
      </c>
      <c r="F3272">
        <v>0</v>
      </c>
      <c r="G3272">
        <v>0</v>
      </c>
      <c r="H3272">
        <v>1</v>
      </c>
      <c r="I3272">
        <v>1</v>
      </c>
      <c r="J3272">
        <v>35997.854420282303</v>
      </c>
      <c r="K3272">
        <v>35033.374666449003</v>
      </c>
      <c r="L3272">
        <v>51.643999999999998</v>
      </c>
      <c r="M3272">
        <v>72.855999999999995</v>
      </c>
      <c r="N3272">
        <v>21.715</v>
      </c>
    </row>
    <row r="3273" spans="1:14" x14ac:dyDescent="0.45">
      <c r="A3273">
        <v>1996</v>
      </c>
      <c r="B3273" t="s">
        <v>55</v>
      </c>
      <c r="C3273">
        <v>0</v>
      </c>
      <c r="D3273">
        <v>0</v>
      </c>
      <c r="E3273">
        <v>0</v>
      </c>
      <c r="F3273">
        <v>0</v>
      </c>
      <c r="G3273">
        <v>0</v>
      </c>
      <c r="H3273">
        <v>0</v>
      </c>
      <c r="I3273">
        <v>0</v>
      </c>
      <c r="L3273">
        <v>78.286000000000001</v>
      </c>
      <c r="M3273">
        <v>52.83</v>
      </c>
      <c r="N3273">
        <v>148.73500000000001</v>
      </c>
    </row>
    <row r="3274" spans="1:14" x14ac:dyDescent="0.45">
      <c r="A3274">
        <v>1996</v>
      </c>
      <c r="B3274" t="s">
        <v>56</v>
      </c>
      <c r="C3274">
        <v>0</v>
      </c>
      <c r="D3274">
        <v>0</v>
      </c>
      <c r="E3274">
        <v>1</v>
      </c>
      <c r="F3274">
        <v>0</v>
      </c>
      <c r="G3274">
        <v>0</v>
      </c>
      <c r="H3274">
        <v>0</v>
      </c>
      <c r="I3274">
        <v>0</v>
      </c>
      <c r="J3274">
        <v>5800.9625138356996</v>
      </c>
      <c r="K3274">
        <v>4486.1789745199303</v>
      </c>
      <c r="L3274">
        <v>54.654000000000003</v>
      </c>
      <c r="M3274">
        <v>46.417999999999999</v>
      </c>
      <c r="N3274">
        <v>216.82499999999999</v>
      </c>
    </row>
    <row r="3275" spans="1:14" x14ac:dyDescent="0.45">
      <c r="A3275">
        <v>1996</v>
      </c>
      <c r="B3275" t="s">
        <v>57</v>
      </c>
      <c r="C3275">
        <v>1</v>
      </c>
      <c r="D3275">
        <v>0</v>
      </c>
      <c r="E3275">
        <v>0</v>
      </c>
      <c r="F3275">
        <v>1</v>
      </c>
      <c r="G3275">
        <v>0</v>
      </c>
      <c r="H3275">
        <v>0</v>
      </c>
      <c r="I3275">
        <v>0</v>
      </c>
      <c r="J3275">
        <v>5563.4741031948797</v>
      </c>
      <c r="K3275">
        <v>5040.2523538578098</v>
      </c>
      <c r="L3275">
        <v>60.527000000000001</v>
      </c>
      <c r="M3275">
        <v>74.113</v>
      </c>
      <c r="N3275">
        <v>32.283000000000001</v>
      </c>
    </row>
    <row r="3276" spans="1:14" x14ac:dyDescent="0.45">
      <c r="A3276">
        <v>1996</v>
      </c>
      <c r="B3276" t="s">
        <v>58</v>
      </c>
      <c r="C3276">
        <v>1</v>
      </c>
      <c r="D3276">
        <v>0</v>
      </c>
      <c r="E3276">
        <v>0</v>
      </c>
      <c r="F3276">
        <v>0</v>
      </c>
      <c r="G3276">
        <v>0</v>
      </c>
      <c r="H3276">
        <v>1</v>
      </c>
      <c r="I3276">
        <v>1</v>
      </c>
      <c r="J3276">
        <v>46386.091202248499</v>
      </c>
      <c r="K3276">
        <v>38937.581223001202</v>
      </c>
      <c r="L3276">
        <v>6.5750000000000002</v>
      </c>
      <c r="M3276">
        <v>81.009</v>
      </c>
      <c r="N3276">
        <v>8.3190000000000008</v>
      </c>
    </row>
    <row r="3277" spans="1:14" x14ac:dyDescent="0.45">
      <c r="A3277">
        <v>1996</v>
      </c>
      <c r="B3277" t="s">
        <v>59</v>
      </c>
      <c r="C3277">
        <v>0</v>
      </c>
      <c r="D3277">
        <v>0</v>
      </c>
      <c r="E3277">
        <v>0</v>
      </c>
      <c r="F3277">
        <v>0</v>
      </c>
      <c r="G3277">
        <v>0</v>
      </c>
      <c r="H3277">
        <v>1</v>
      </c>
      <c r="I3277">
        <v>1</v>
      </c>
      <c r="J3277">
        <v>100563.698289149</v>
      </c>
      <c r="K3277">
        <v>99353.785281480799</v>
      </c>
      <c r="L3277">
        <v>21.507000000000001</v>
      </c>
      <c r="M3277">
        <v>71.819999999999993</v>
      </c>
      <c r="N3277">
        <v>12.731999999999999</v>
      </c>
    </row>
    <row r="3278" spans="1:14" x14ac:dyDescent="0.45">
      <c r="A3278">
        <v>1996</v>
      </c>
      <c r="B3278" t="s">
        <v>60</v>
      </c>
      <c r="C3278">
        <v>0</v>
      </c>
      <c r="D3278">
        <v>1</v>
      </c>
      <c r="E3278">
        <v>0</v>
      </c>
      <c r="F3278">
        <v>0</v>
      </c>
      <c r="G3278">
        <v>1</v>
      </c>
      <c r="H3278">
        <v>0</v>
      </c>
      <c r="I3278">
        <v>0</v>
      </c>
      <c r="J3278">
        <v>21695.594951537201</v>
      </c>
      <c r="K3278">
        <v>17905.5869339774</v>
      </c>
      <c r="L3278">
        <v>11.634</v>
      </c>
      <c r="M3278">
        <v>73.055999999999997</v>
      </c>
      <c r="N3278">
        <v>24.782</v>
      </c>
    </row>
    <row r="3279" spans="1:14" x14ac:dyDescent="0.45">
      <c r="A3279">
        <v>1996</v>
      </c>
      <c r="B3279" t="s">
        <v>61</v>
      </c>
      <c r="C3279">
        <v>1</v>
      </c>
      <c r="D3279">
        <v>0</v>
      </c>
      <c r="E3279">
        <v>0</v>
      </c>
      <c r="F3279">
        <v>0</v>
      </c>
      <c r="G3279">
        <v>0</v>
      </c>
      <c r="H3279">
        <v>0</v>
      </c>
      <c r="I3279">
        <v>0</v>
      </c>
      <c r="J3279">
        <v>3717.33576522762</v>
      </c>
      <c r="K3279">
        <v>3148.9597040969702</v>
      </c>
      <c r="L3279">
        <v>34.219000000000001</v>
      </c>
      <c r="M3279">
        <v>69.197999999999993</v>
      </c>
      <c r="N3279">
        <v>37.165999999999997</v>
      </c>
    </row>
    <row r="3280" spans="1:14" x14ac:dyDescent="0.45">
      <c r="A3280">
        <v>1996</v>
      </c>
      <c r="B3280" t="s">
        <v>62</v>
      </c>
      <c r="C3280">
        <v>0</v>
      </c>
      <c r="D3280">
        <v>0</v>
      </c>
      <c r="E3280">
        <v>0</v>
      </c>
      <c r="F3280">
        <v>0</v>
      </c>
      <c r="G3280">
        <v>1</v>
      </c>
      <c r="H3280">
        <v>0</v>
      </c>
      <c r="I3280">
        <v>0</v>
      </c>
      <c r="L3280">
        <v>13.957000000000001</v>
      </c>
      <c r="M3280">
        <v>71.575999999999993</v>
      </c>
      <c r="N3280">
        <v>14.898</v>
      </c>
    </row>
    <row r="3281" spans="1:14" x14ac:dyDescent="0.45">
      <c r="A3281">
        <v>1996</v>
      </c>
      <c r="B3281" t="s">
        <v>63</v>
      </c>
      <c r="C3281">
        <v>0</v>
      </c>
      <c r="D3281">
        <v>1</v>
      </c>
      <c r="E3281">
        <v>0</v>
      </c>
      <c r="F3281">
        <v>0</v>
      </c>
      <c r="G3281">
        <v>1</v>
      </c>
      <c r="H3281">
        <v>0</v>
      </c>
      <c r="I3281">
        <v>0</v>
      </c>
      <c r="J3281">
        <v>22597.314506816001</v>
      </c>
      <c r="K3281">
        <v>17797.573296956401</v>
      </c>
      <c r="L3281">
        <v>66.41</v>
      </c>
      <c r="M3281">
        <v>73.838999999999999</v>
      </c>
      <c r="N3281">
        <v>15.23</v>
      </c>
    </row>
    <row r="3282" spans="1:14" x14ac:dyDescent="0.45">
      <c r="A3282">
        <v>1996</v>
      </c>
      <c r="B3282" t="s">
        <v>64</v>
      </c>
      <c r="C3282">
        <v>0</v>
      </c>
      <c r="D3282">
        <v>0</v>
      </c>
      <c r="E3282">
        <v>0</v>
      </c>
      <c r="F3282">
        <v>0</v>
      </c>
      <c r="G3282">
        <v>0</v>
      </c>
      <c r="H3282">
        <v>1</v>
      </c>
      <c r="I3282">
        <v>1</v>
      </c>
      <c r="J3282">
        <v>39592.536212288898</v>
      </c>
      <c r="K3282">
        <v>34293.138229725701</v>
      </c>
      <c r="L3282">
        <v>15.233000000000001</v>
      </c>
      <c r="M3282">
        <v>78.343999999999994</v>
      </c>
      <c r="N3282">
        <v>7.1189999999999998</v>
      </c>
    </row>
    <row r="3283" spans="1:14" x14ac:dyDescent="0.45">
      <c r="A3283">
        <v>1996</v>
      </c>
      <c r="B3283" t="s">
        <v>65</v>
      </c>
      <c r="C3283">
        <v>1</v>
      </c>
      <c r="D3283">
        <v>0</v>
      </c>
      <c r="E3283">
        <v>0</v>
      </c>
      <c r="F3283">
        <v>0</v>
      </c>
      <c r="G3283">
        <v>0</v>
      </c>
      <c r="H3283">
        <v>1</v>
      </c>
      <c r="I3283">
        <v>1</v>
      </c>
      <c r="J3283">
        <v>47666.673903205097</v>
      </c>
      <c r="K3283">
        <v>40619.419960410101</v>
      </c>
      <c r="L3283">
        <v>38.68</v>
      </c>
      <c r="M3283">
        <v>77.025999999999996</v>
      </c>
      <c r="N3283">
        <v>6.2359999999999998</v>
      </c>
    </row>
    <row r="3284" spans="1:14" x14ac:dyDescent="0.45">
      <c r="A3284">
        <v>1996</v>
      </c>
      <c r="B3284" t="s">
        <v>66</v>
      </c>
      <c r="C3284">
        <v>1</v>
      </c>
      <c r="D3284">
        <v>0</v>
      </c>
      <c r="E3284">
        <v>0</v>
      </c>
      <c r="F3284">
        <v>0</v>
      </c>
      <c r="G3284">
        <v>0</v>
      </c>
      <c r="H3284">
        <v>0</v>
      </c>
      <c r="I3284">
        <v>0</v>
      </c>
      <c r="J3284">
        <v>4223.5229704515205</v>
      </c>
      <c r="K3284">
        <v>3075.6216096470398</v>
      </c>
      <c r="L3284">
        <v>48.103999999999999</v>
      </c>
      <c r="M3284">
        <v>62.66</v>
      </c>
      <c r="N3284">
        <v>90.531999999999996</v>
      </c>
    </row>
    <row r="3285" spans="1:14" x14ac:dyDescent="0.45">
      <c r="A3285">
        <v>1996</v>
      </c>
      <c r="B3285" t="s">
        <v>67</v>
      </c>
      <c r="C3285">
        <v>0</v>
      </c>
      <c r="D3285">
        <v>0</v>
      </c>
      <c r="E3285">
        <v>1</v>
      </c>
      <c r="F3285">
        <v>0</v>
      </c>
      <c r="G3285">
        <v>0</v>
      </c>
      <c r="H3285">
        <v>0</v>
      </c>
      <c r="I3285">
        <v>0</v>
      </c>
      <c r="J3285">
        <v>1040.9223147610801</v>
      </c>
      <c r="K3285">
        <v>899.46434807356104</v>
      </c>
      <c r="L3285">
        <v>92.587999999999994</v>
      </c>
      <c r="M3285">
        <v>44.807000000000002</v>
      </c>
      <c r="N3285">
        <v>169.57</v>
      </c>
    </row>
    <row r="3286" spans="1:14" x14ac:dyDescent="0.45">
      <c r="A3286">
        <v>1996</v>
      </c>
      <c r="B3286" t="s">
        <v>68</v>
      </c>
      <c r="C3286">
        <v>1</v>
      </c>
      <c r="D3286">
        <v>0</v>
      </c>
      <c r="E3286">
        <v>0</v>
      </c>
      <c r="F3286">
        <v>0</v>
      </c>
      <c r="G3286">
        <v>0</v>
      </c>
      <c r="H3286">
        <v>1</v>
      </c>
      <c r="I3286">
        <v>1</v>
      </c>
      <c r="J3286">
        <v>44828.293144412601</v>
      </c>
      <c r="K3286">
        <v>37723.754017435502</v>
      </c>
      <c r="L3286">
        <v>3.149</v>
      </c>
      <c r="M3286">
        <v>77.185000000000002</v>
      </c>
      <c r="N3286">
        <v>6.4279999999999999</v>
      </c>
    </row>
    <row r="3287" spans="1:14" x14ac:dyDescent="0.45">
      <c r="A3287">
        <v>1996</v>
      </c>
      <c r="B3287" t="s">
        <v>69</v>
      </c>
      <c r="C3287">
        <v>0</v>
      </c>
      <c r="D3287">
        <v>0</v>
      </c>
      <c r="E3287">
        <v>1</v>
      </c>
      <c r="F3287">
        <v>0</v>
      </c>
      <c r="G3287">
        <v>0</v>
      </c>
      <c r="H3287">
        <v>0</v>
      </c>
      <c r="I3287">
        <v>0</v>
      </c>
      <c r="J3287">
        <v>2337.63030771279</v>
      </c>
      <c r="K3287">
        <v>2217.8311597755201</v>
      </c>
      <c r="L3287">
        <v>62.929000000000002</v>
      </c>
      <c r="M3287">
        <v>55.648000000000003</v>
      </c>
      <c r="N3287">
        <v>150.053</v>
      </c>
    </row>
    <row r="3288" spans="1:14" x14ac:dyDescent="0.45">
      <c r="A3288">
        <v>1996</v>
      </c>
      <c r="B3288" t="s">
        <v>70</v>
      </c>
      <c r="C3288">
        <v>0</v>
      </c>
      <c r="D3288">
        <v>0</v>
      </c>
      <c r="E3288">
        <v>1</v>
      </c>
      <c r="F3288">
        <v>0</v>
      </c>
      <c r="G3288">
        <v>0</v>
      </c>
      <c r="H3288">
        <v>0</v>
      </c>
      <c r="I3288">
        <v>0</v>
      </c>
      <c r="J3288">
        <v>1280.69608533889</v>
      </c>
      <c r="K3288">
        <v>1171.7563454209201</v>
      </c>
      <c r="L3288">
        <v>84.593000000000004</v>
      </c>
      <c r="M3288">
        <v>49.692999999999998</v>
      </c>
      <c r="N3288">
        <v>191.512</v>
      </c>
    </row>
    <row r="3289" spans="1:14" x14ac:dyDescent="0.45">
      <c r="A3289">
        <v>1996</v>
      </c>
      <c r="B3289" t="s">
        <v>71</v>
      </c>
      <c r="C3289">
        <v>0</v>
      </c>
      <c r="D3289">
        <v>0</v>
      </c>
      <c r="E3289">
        <v>0</v>
      </c>
      <c r="F3289">
        <v>0</v>
      </c>
      <c r="G3289">
        <v>0</v>
      </c>
      <c r="H3289">
        <v>0</v>
      </c>
      <c r="I3289">
        <v>0</v>
      </c>
      <c r="J3289">
        <v>2413.5429820150498</v>
      </c>
      <c r="K3289">
        <v>1962.1973265849001</v>
      </c>
      <c r="L3289">
        <v>77.936000000000007</v>
      </c>
      <c r="M3289">
        <v>58.94</v>
      </c>
      <c r="N3289">
        <v>107.82</v>
      </c>
    </row>
    <row r="3290" spans="1:14" x14ac:dyDescent="0.45">
      <c r="A3290">
        <v>1996</v>
      </c>
      <c r="B3290" t="s">
        <v>72</v>
      </c>
      <c r="C3290">
        <v>1</v>
      </c>
      <c r="D3290">
        <v>0</v>
      </c>
      <c r="E3290">
        <v>0</v>
      </c>
      <c r="F3290">
        <v>1</v>
      </c>
      <c r="G3290">
        <v>0</v>
      </c>
      <c r="H3290">
        <v>0</v>
      </c>
      <c r="I3290">
        <v>0</v>
      </c>
      <c r="J3290">
        <v>14367.2096270086</v>
      </c>
      <c r="K3290">
        <v>11921.902973203099</v>
      </c>
      <c r="L3290">
        <v>31.992999999999999</v>
      </c>
      <c r="M3290">
        <v>70.835999999999999</v>
      </c>
      <c r="N3290">
        <v>19.440999999999999</v>
      </c>
    </row>
    <row r="3291" spans="1:14" x14ac:dyDescent="0.45">
      <c r="A3291">
        <v>1996</v>
      </c>
      <c r="B3291" t="s">
        <v>73</v>
      </c>
      <c r="C3291">
        <v>0</v>
      </c>
      <c r="D3291">
        <v>0</v>
      </c>
      <c r="E3291">
        <v>0</v>
      </c>
      <c r="F3291">
        <v>0</v>
      </c>
      <c r="G3291">
        <v>1</v>
      </c>
      <c r="H3291">
        <v>0</v>
      </c>
      <c r="I3291">
        <v>0</v>
      </c>
      <c r="J3291">
        <v>54289.438039030902</v>
      </c>
      <c r="K3291">
        <v>50584.848836722202</v>
      </c>
      <c r="L3291">
        <v>11.615</v>
      </c>
      <c r="M3291">
        <v>73.61</v>
      </c>
      <c r="N3291">
        <v>16.619</v>
      </c>
    </row>
    <row r="3292" spans="1:14" x14ac:dyDescent="0.45">
      <c r="A3292">
        <v>1996</v>
      </c>
      <c r="B3292" t="s">
        <v>74</v>
      </c>
      <c r="C3292">
        <v>0</v>
      </c>
      <c r="D3292">
        <v>1</v>
      </c>
      <c r="E3292">
        <v>0</v>
      </c>
      <c r="F3292">
        <v>0</v>
      </c>
      <c r="G3292">
        <v>0</v>
      </c>
      <c r="H3292">
        <v>1</v>
      </c>
      <c r="I3292">
        <v>1</v>
      </c>
      <c r="J3292">
        <v>30907.743174536499</v>
      </c>
      <c r="K3292">
        <v>32060.168818282898</v>
      </c>
      <c r="L3292">
        <v>18.82</v>
      </c>
      <c r="M3292">
        <v>71.463999999999999</v>
      </c>
      <c r="N3292">
        <v>17.891999999999999</v>
      </c>
    </row>
    <row r="3293" spans="1:14" x14ac:dyDescent="0.45">
      <c r="A3293">
        <v>1996</v>
      </c>
      <c r="B3293" t="s">
        <v>75</v>
      </c>
      <c r="C3293">
        <v>1</v>
      </c>
      <c r="D3293">
        <v>0</v>
      </c>
      <c r="E3293">
        <v>0</v>
      </c>
      <c r="F3293">
        <v>0</v>
      </c>
      <c r="G3293">
        <v>0</v>
      </c>
      <c r="H3293">
        <v>0</v>
      </c>
      <c r="I3293">
        <v>0</v>
      </c>
      <c r="J3293">
        <v>4567.4656990410604</v>
      </c>
      <c r="K3293">
        <v>3945.6568168113899</v>
      </c>
      <c r="L3293">
        <v>58.87</v>
      </c>
      <c r="M3293">
        <v>73.453999999999994</v>
      </c>
      <c r="N3293">
        <v>12.465</v>
      </c>
    </row>
    <row r="3294" spans="1:14" x14ac:dyDescent="0.45">
      <c r="A3294">
        <v>1996</v>
      </c>
      <c r="B3294" t="s">
        <v>76</v>
      </c>
      <c r="C3294">
        <v>1</v>
      </c>
      <c r="D3294">
        <v>0</v>
      </c>
      <c r="E3294">
        <v>0</v>
      </c>
      <c r="F3294">
        <v>1</v>
      </c>
      <c r="G3294">
        <v>0</v>
      </c>
      <c r="H3294">
        <v>0</v>
      </c>
      <c r="I3294">
        <v>0</v>
      </c>
      <c r="J3294">
        <v>8314.8565617401691</v>
      </c>
      <c r="K3294">
        <v>6003.2854309808899</v>
      </c>
      <c r="L3294">
        <v>31.692</v>
      </c>
      <c r="M3294">
        <v>68.566000000000003</v>
      </c>
      <c r="N3294">
        <v>14.781000000000001</v>
      </c>
    </row>
    <row r="3295" spans="1:14" x14ac:dyDescent="0.45">
      <c r="A3295">
        <v>1996</v>
      </c>
      <c r="B3295" t="s">
        <v>77</v>
      </c>
      <c r="C3295">
        <v>0</v>
      </c>
      <c r="D3295">
        <v>1</v>
      </c>
      <c r="E3295">
        <v>0</v>
      </c>
      <c r="F3295">
        <v>1</v>
      </c>
      <c r="G3295">
        <v>0</v>
      </c>
      <c r="H3295">
        <v>0</v>
      </c>
      <c r="I3295">
        <v>0</v>
      </c>
      <c r="J3295">
        <v>9773.2613979606194</v>
      </c>
      <c r="K3295">
        <v>7702.2406274886098</v>
      </c>
      <c r="L3295">
        <v>53.786000000000001</v>
      </c>
      <c r="M3295">
        <v>69.363</v>
      </c>
      <c r="N3295">
        <v>28.736999999999998</v>
      </c>
    </row>
    <row r="3296" spans="1:14" x14ac:dyDescent="0.45">
      <c r="A3296">
        <v>1996</v>
      </c>
      <c r="B3296" t="s">
        <v>78</v>
      </c>
      <c r="C3296">
        <v>0</v>
      </c>
      <c r="D3296">
        <v>0</v>
      </c>
      <c r="E3296">
        <v>0</v>
      </c>
      <c r="F3296">
        <v>0</v>
      </c>
      <c r="G3296">
        <v>0</v>
      </c>
      <c r="H3296">
        <v>1</v>
      </c>
      <c r="I3296">
        <v>1</v>
      </c>
      <c r="J3296">
        <v>82122.782614032796</v>
      </c>
      <c r="K3296">
        <v>72963.1292187418</v>
      </c>
      <c r="L3296">
        <v>0</v>
      </c>
      <c r="M3296">
        <v>76.52</v>
      </c>
      <c r="N3296">
        <v>6.45</v>
      </c>
    </row>
    <row r="3297" spans="1:14" x14ac:dyDescent="0.45">
      <c r="A3297">
        <v>1996</v>
      </c>
      <c r="B3297" t="s">
        <v>79</v>
      </c>
      <c r="C3297">
        <v>0</v>
      </c>
      <c r="D3297">
        <v>1</v>
      </c>
      <c r="E3297">
        <v>0</v>
      </c>
      <c r="F3297">
        <v>1</v>
      </c>
      <c r="G3297">
        <v>0</v>
      </c>
      <c r="H3297">
        <v>0</v>
      </c>
      <c r="I3297">
        <v>0</v>
      </c>
      <c r="J3297">
        <v>5810.6744572096604</v>
      </c>
      <c r="K3297">
        <v>5128.2119781984002</v>
      </c>
      <c r="L3297">
        <v>40.317999999999998</v>
      </c>
      <c r="M3297">
        <v>60.286999999999999</v>
      </c>
      <c r="N3297">
        <v>119.23099999999999</v>
      </c>
    </row>
    <row r="3298" spans="1:14" x14ac:dyDescent="0.45">
      <c r="A3298">
        <v>1996</v>
      </c>
      <c r="B3298" t="s">
        <v>80</v>
      </c>
      <c r="C3298">
        <v>0</v>
      </c>
      <c r="D3298">
        <v>1</v>
      </c>
      <c r="E3298">
        <v>0</v>
      </c>
      <c r="F3298">
        <v>0</v>
      </c>
      <c r="G3298">
        <v>1</v>
      </c>
      <c r="H3298">
        <v>0</v>
      </c>
      <c r="I3298">
        <v>0</v>
      </c>
      <c r="J3298">
        <v>13641.629599596101</v>
      </c>
      <c r="K3298">
        <v>11205.3592564582</v>
      </c>
      <c r="L3298">
        <v>21.698</v>
      </c>
      <c r="M3298">
        <v>68.108000000000004</v>
      </c>
      <c r="N3298">
        <v>44.85</v>
      </c>
    </row>
    <row r="3299" spans="1:14" x14ac:dyDescent="0.45">
      <c r="A3299">
        <v>1996</v>
      </c>
      <c r="B3299" t="s">
        <v>81</v>
      </c>
      <c r="C3299">
        <v>0</v>
      </c>
      <c r="D3299">
        <v>1</v>
      </c>
      <c r="E3299">
        <v>0</v>
      </c>
      <c r="F3299">
        <v>0</v>
      </c>
      <c r="G3299">
        <v>1</v>
      </c>
      <c r="H3299">
        <v>0</v>
      </c>
      <c r="I3299">
        <v>0</v>
      </c>
      <c r="J3299">
        <v>16543.328621296401</v>
      </c>
      <c r="K3299">
        <v>15800.526043105499</v>
      </c>
      <c r="L3299">
        <v>64.790000000000006</v>
      </c>
      <c r="M3299">
        <v>74.064999999999998</v>
      </c>
      <c r="N3299">
        <v>14.871</v>
      </c>
    </row>
    <row r="3300" spans="1:14" x14ac:dyDescent="0.45">
      <c r="A3300">
        <v>1996</v>
      </c>
      <c r="B3300" t="s">
        <v>82</v>
      </c>
      <c r="C3300">
        <v>0</v>
      </c>
      <c r="D3300">
        <v>0</v>
      </c>
      <c r="E3300">
        <v>0</v>
      </c>
      <c r="F3300">
        <v>0</v>
      </c>
      <c r="G3300">
        <v>0</v>
      </c>
      <c r="H3300">
        <v>1</v>
      </c>
      <c r="I3300">
        <v>1</v>
      </c>
      <c r="J3300">
        <v>102522.12523577501</v>
      </c>
      <c r="K3300">
        <v>80049.734043076503</v>
      </c>
      <c r="L3300">
        <v>30.841999999999999</v>
      </c>
      <c r="M3300">
        <v>73.078999999999994</v>
      </c>
      <c r="N3300">
        <v>11.818</v>
      </c>
    </row>
    <row r="3301" spans="1:14" x14ac:dyDescent="0.45">
      <c r="A3301">
        <v>1996</v>
      </c>
      <c r="B3301" t="s">
        <v>83</v>
      </c>
      <c r="C3301">
        <v>0</v>
      </c>
      <c r="D3301">
        <v>0</v>
      </c>
      <c r="E3301">
        <v>0</v>
      </c>
      <c r="F3301">
        <v>0</v>
      </c>
      <c r="G3301">
        <v>0</v>
      </c>
      <c r="H3301">
        <v>0</v>
      </c>
      <c r="I3301">
        <v>0</v>
      </c>
      <c r="J3301">
        <v>4616.91979198439</v>
      </c>
      <c r="K3301">
        <v>3998.8364001154901</v>
      </c>
      <c r="L3301">
        <v>78.543999999999997</v>
      </c>
      <c r="M3301">
        <v>59.981999999999999</v>
      </c>
      <c r="N3301">
        <v>96.938000000000002</v>
      </c>
    </row>
    <row r="3302" spans="1:14" x14ac:dyDescent="0.45">
      <c r="A3302">
        <v>1996</v>
      </c>
      <c r="B3302" t="s">
        <v>84</v>
      </c>
      <c r="C3302">
        <v>0</v>
      </c>
      <c r="D3302">
        <v>0</v>
      </c>
      <c r="E3302">
        <v>1</v>
      </c>
      <c r="F3302">
        <v>1</v>
      </c>
      <c r="G3302">
        <v>0</v>
      </c>
      <c r="H3302">
        <v>0</v>
      </c>
      <c r="I3302">
        <v>0</v>
      </c>
      <c r="J3302">
        <v>11832.938777171799</v>
      </c>
      <c r="K3302">
        <v>10706.2824913965</v>
      </c>
      <c r="L3302">
        <v>50.17</v>
      </c>
      <c r="M3302">
        <v>54.283999999999999</v>
      </c>
      <c r="N3302">
        <v>70.114000000000004</v>
      </c>
    </row>
    <row r="3303" spans="1:14" x14ac:dyDescent="0.45">
      <c r="A3303">
        <v>1996</v>
      </c>
      <c r="B3303" t="s">
        <v>85</v>
      </c>
      <c r="C3303">
        <v>0</v>
      </c>
      <c r="D3303">
        <v>0</v>
      </c>
      <c r="E3303">
        <v>1</v>
      </c>
      <c r="F3303">
        <v>0</v>
      </c>
      <c r="G3303">
        <v>0</v>
      </c>
      <c r="H3303">
        <v>0</v>
      </c>
      <c r="I3303">
        <v>0</v>
      </c>
      <c r="J3303">
        <v>1247.9687525828001</v>
      </c>
      <c r="K3303">
        <v>999.18658579037401</v>
      </c>
      <c r="L3303">
        <v>62.688000000000002</v>
      </c>
      <c r="M3303">
        <v>47.7</v>
      </c>
      <c r="N3303">
        <v>171.61099999999999</v>
      </c>
    </row>
    <row r="3304" spans="1:14" x14ac:dyDescent="0.45">
      <c r="A3304">
        <v>1996</v>
      </c>
      <c r="B3304" t="s">
        <v>86</v>
      </c>
      <c r="C3304">
        <v>0</v>
      </c>
      <c r="D3304">
        <v>0</v>
      </c>
      <c r="E3304">
        <v>0</v>
      </c>
      <c r="F3304">
        <v>0</v>
      </c>
      <c r="G3304">
        <v>0</v>
      </c>
      <c r="H3304">
        <v>1</v>
      </c>
      <c r="I3304">
        <v>1</v>
      </c>
      <c r="J3304">
        <v>41880.552098942797</v>
      </c>
      <c r="K3304">
        <v>36252.500089682901</v>
      </c>
      <c r="L3304">
        <v>22.048999999999999</v>
      </c>
      <c r="M3304">
        <v>78.272000000000006</v>
      </c>
      <c r="N3304">
        <v>6.6340000000000003</v>
      </c>
    </row>
    <row r="3305" spans="1:14" x14ac:dyDescent="0.45">
      <c r="A3305">
        <v>1996</v>
      </c>
      <c r="B3305" t="s">
        <v>87</v>
      </c>
      <c r="C3305">
        <v>1</v>
      </c>
      <c r="D3305">
        <v>0</v>
      </c>
      <c r="E3305">
        <v>0</v>
      </c>
      <c r="F3305">
        <v>0</v>
      </c>
      <c r="G3305">
        <v>0</v>
      </c>
      <c r="H3305">
        <v>1</v>
      </c>
      <c r="I3305">
        <v>1</v>
      </c>
      <c r="J3305">
        <v>61471.168963339303</v>
      </c>
      <c r="K3305">
        <v>53477.882397588997</v>
      </c>
      <c r="L3305">
        <v>26.4</v>
      </c>
      <c r="M3305">
        <v>79.049000000000007</v>
      </c>
      <c r="N3305">
        <v>5.915</v>
      </c>
    </row>
    <row r="3306" spans="1:14" x14ac:dyDescent="0.45">
      <c r="A3306">
        <v>1996</v>
      </c>
      <c r="B3306" t="s">
        <v>88</v>
      </c>
      <c r="C3306">
        <v>1</v>
      </c>
      <c r="D3306">
        <v>0</v>
      </c>
      <c r="E3306">
        <v>0</v>
      </c>
      <c r="F3306">
        <v>0</v>
      </c>
      <c r="G3306">
        <v>0</v>
      </c>
      <c r="H3306">
        <v>1</v>
      </c>
      <c r="I3306">
        <v>1</v>
      </c>
      <c r="L3306">
        <v>69.599999999999994</v>
      </c>
      <c r="M3306">
        <v>77.790663188266393</v>
      </c>
      <c r="N3306">
        <v>12.6812369319548</v>
      </c>
    </row>
    <row r="3307" spans="1:14" x14ac:dyDescent="0.45">
      <c r="A3307">
        <v>1996</v>
      </c>
      <c r="B3307" t="s">
        <v>89</v>
      </c>
      <c r="C3307">
        <v>0</v>
      </c>
      <c r="D3307">
        <v>1</v>
      </c>
      <c r="E3307">
        <v>0</v>
      </c>
      <c r="F3307">
        <v>0</v>
      </c>
      <c r="G3307">
        <v>1</v>
      </c>
      <c r="H3307">
        <v>0</v>
      </c>
      <c r="I3307">
        <v>0</v>
      </c>
      <c r="J3307">
        <v>15744.7380005491</v>
      </c>
      <c r="K3307">
        <v>13714.957032574501</v>
      </c>
      <c r="L3307">
        <v>15.138999999999999</v>
      </c>
      <c r="M3307">
        <v>75.555000000000007</v>
      </c>
      <c r="N3307">
        <v>13.276999999999999</v>
      </c>
    </row>
    <row r="3308" spans="1:14" x14ac:dyDescent="0.45">
      <c r="A3308">
        <v>1996</v>
      </c>
      <c r="B3308" t="s">
        <v>90</v>
      </c>
      <c r="C3308">
        <v>0</v>
      </c>
      <c r="D3308">
        <v>0</v>
      </c>
      <c r="E3308">
        <v>0</v>
      </c>
      <c r="F3308">
        <v>0</v>
      </c>
      <c r="G3308">
        <v>0</v>
      </c>
      <c r="H3308">
        <v>0</v>
      </c>
      <c r="I3308">
        <v>0</v>
      </c>
      <c r="J3308">
        <v>3055.96977919745</v>
      </c>
      <c r="K3308">
        <v>2739.4790342041902</v>
      </c>
      <c r="L3308">
        <v>68.084000000000003</v>
      </c>
      <c r="M3308">
        <v>70.822999999999993</v>
      </c>
      <c r="N3308">
        <v>44.822000000000003</v>
      </c>
    </row>
    <row r="3309" spans="1:14" x14ac:dyDescent="0.45">
      <c r="A3309">
        <v>1996</v>
      </c>
      <c r="B3309" t="s">
        <v>91</v>
      </c>
      <c r="C3309">
        <v>0</v>
      </c>
      <c r="D3309">
        <v>0</v>
      </c>
      <c r="E3309">
        <v>1</v>
      </c>
      <c r="F3309">
        <v>0</v>
      </c>
      <c r="G3309">
        <v>0</v>
      </c>
      <c r="H3309">
        <v>0</v>
      </c>
      <c r="I3309">
        <v>0</v>
      </c>
      <c r="J3309">
        <v>4807.4242817802597</v>
      </c>
      <c r="K3309">
        <v>4058.1740942186598</v>
      </c>
      <c r="L3309">
        <v>58.412999999999997</v>
      </c>
      <c r="M3309">
        <v>51.595999999999997</v>
      </c>
      <c r="N3309">
        <v>149.809</v>
      </c>
    </row>
    <row r="3310" spans="1:14" x14ac:dyDescent="0.45">
      <c r="A3310">
        <v>1996</v>
      </c>
      <c r="B3310" t="s">
        <v>92</v>
      </c>
      <c r="C3310">
        <v>0</v>
      </c>
      <c r="D3310">
        <v>0</v>
      </c>
      <c r="E3310">
        <v>1</v>
      </c>
      <c r="F3310">
        <v>0</v>
      </c>
      <c r="G3310">
        <v>0</v>
      </c>
      <c r="H3310">
        <v>0</v>
      </c>
      <c r="I3310">
        <v>0</v>
      </c>
      <c r="J3310">
        <v>3577.5920413787098</v>
      </c>
      <c r="K3310">
        <v>2809.1702229293301</v>
      </c>
      <c r="L3310">
        <v>56.835999999999999</v>
      </c>
      <c r="M3310">
        <v>53.2</v>
      </c>
      <c r="N3310">
        <v>146.98400000000001</v>
      </c>
    </row>
    <row r="3311" spans="1:14" x14ac:dyDescent="0.45">
      <c r="A3311">
        <v>1996</v>
      </c>
      <c r="B3311" t="s">
        <v>93</v>
      </c>
      <c r="C3311">
        <v>0</v>
      </c>
      <c r="D3311">
        <v>0</v>
      </c>
      <c r="E3311">
        <v>1</v>
      </c>
      <c r="F3311">
        <v>0</v>
      </c>
      <c r="G3311">
        <v>0</v>
      </c>
      <c r="H3311">
        <v>0</v>
      </c>
      <c r="I3311">
        <v>0</v>
      </c>
      <c r="J3311">
        <v>1194.9591024932299</v>
      </c>
      <c r="K3311">
        <v>956.641854927336</v>
      </c>
      <c r="L3311">
        <v>66.710999999999999</v>
      </c>
      <c r="M3311">
        <v>49.375999999999998</v>
      </c>
      <c r="N3311">
        <v>176.49299999999999</v>
      </c>
    </row>
    <row r="3312" spans="1:14" x14ac:dyDescent="0.45">
      <c r="A3312">
        <v>1996</v>
      </c>
      <c r="B3312" t="s">
        <v>94</v>
      </c>
      <c r="C3312">
        <v>0</v>
      </c>
      <c r="D3312">
        <v>0</v>
      </c>
      <c r="E3312">
        <v>1</v>
      </c>
      <c r="F3312">
        <v>0</v>
      </c>
      <c r="G3312">
        <v>0</v>
      </c>
      <c r="H3312">
        <v>0</v>
      </c>
      <c r="I3312">
        <v>0</v>
      </c>
      <c r="J3312">
        <v>7812.0477997164098</v>
      </c>
      <c r="K3312">
        <v>4709.4556093658903</v>
      </c>
      <c r="L3312">
        <v>43.167999999999999</v>
      </c>
      <c r="M3312">
        <v>55.24</v>
      </c>
      <c r="N3312">
        <v>106.92400000000001</v>
      </c>
    </row>
    <row r="3313" spans="1:14" x14ac:dyDescent="0.45">
      <c r="A3313">
        <v>1996</v>
      </c>
      <c r="B3313" t="s">
        <v>95</v>
      </c>
      <c r="C3313">
        <v>0</v>
      </c>
      <c r="D3313">
        <v>1</v>
      </c>
      <c r="E3313">
        <v>0</v>
      </c>
      <c r="F3313">
        <v>1</v>
      </c>
      <c r="G3313">
        <v>0</v>
      </c>
      <c r="H3313">
        <v>0</v>
      </c>
      <c r="I3313">
        <v>0</v>
      </c>
      <c r="J3313">
        <v>11303.130885918599</v>
      </c>
      <c r="K3313">
        <v>9411.0939827346192</v>
      </c>
      <c r="L3313">
        <v>27.777000000000001</v>
      </c>
      <c r="M3313">
        <v>70.209000000000003</v>
      </c>
      <c r="N3313">
        <v>28.96</v>
      </c>
    </row>
    <row r="3314" spans="1:14" x14ac:dyDescent="0.45">
      <c r="A3314">
        <v>1996</v>
      </c>
      <c r="B3314" t="s">
        <v>96</v>
      </c>
      <c r="C3314">
        <v>0</v>
      </c>
      <c r="D3314">
        <v>0</v>
      </c>
      <c r="E3314">
        <v>1</v>
      </c>
      <c r="F3314">
        <v>0</v>
      </c>
      <c r="G3314">
        <v>0</v>
      </c>
      <c r="H3314">
        <v>0</v>
      </c>
      <c r="I3314">
        <v>0</v>
      </c>
      <c r="J3314">
        <v>2173.0429462341199</v>
      </c>
      <c r="K3314">
        <v>2247.2037329847599</v>
      </c>
      <c r="L3314">
        <v>71.742999999999995</v>
      </c>
      <c r="M3314">
        <v>58.151000000000003</v>
      </c>
      <c r="N3314">
        <v>105.949</v>
      </c>
    </row>
    <row r="3315" spans="1:14" x14ac:dyDescent="0.45">
      <c r="A3315">
        <v>1996</v>
      </c>
      <c r="B3315" t="s">
        <v>97</v>
      </c>
      <c r="C3315">
        <v>0</v>
      </c>
      <c r="D3315">
        <v>0</v>
      </c>
      <c r="E3315">
        <v>1</v>
      </c>
      <c r="F3315">
        <v>1</v>
      </c>
      <c r="G3315">
        <v>0</v>
      </c>
      <c r="H3315">
        <v>0</v>
      </c>
      <c r="I3315">
        <v>0</v>
      </c>
      <c r="J3315">
        <v>3022.8882521158498</v>
      </c>
      <c r="K3315">
        <v>2913.2000508251199</v>
      </c>
      <c r="L3315">
        <v>50.295999999999999</v>
      </c>
      <c r="M3315">
        <v>65.521000000000001</v>
      </c>
      <c r="N3315">
        <v>48.475000000000001</v>
      </c>
    </row>
    <row r="3316" spans="1:14" x14ac:dyDescent="0.45">
      <c r="A3316">
        <v>1996</v>
      </c>
      <c r="B3316" t="s">
        <v>98</v>
      </c>
      <c r="C3316">
        <v>0</v>
      </c>
      <c r="D3316">
        <v>1</v>
      </c>
      <c r="E3316">
        <v>0</v>
      </c>
      <c r="F3316">
        <v>1</v>
      </c>
      <c r="G3316">
        <v>0</v>
      </c>
      <c r="H3316">
        <v>0</v>
      </c>
      <c r="I3316">
        <v>0</v>
      </c>
      <c r="J3316">
        <v>12467.6212160427</v>
      </c>
      <c r="K3316">
        <v>11162.9400371464</v>
      </c>
      <c r="L3316">
        <v>44.533000000000001</v>
      </c>
      <c r="M3316">
        <v>76.427999999999997</v>
      </c>
      <c r="N3316">
        <v>14.83</v>
      </c>
    </row>
    <row r="3317" spans="1:14" x14ac:dyDescent="0.45">
      <c r="A3317">
        <v>1996</v>
      </c>
      <c r="B3317" t="s">
        <v>99</v>
      </c>
      <c r="C3317">
        <v>0</v>
      </c>
      <c r="D3317">
        <v>1</v>
      </c>
      <c r="E3317">
        <v>0</v>
      </c>
      <c r="F3317">
        <v>1</v>
      </c>
      <c r="G3317">
        <v>0</v>
      </c>
      <c r="H3317">
        <v>0</v>
      </c>
      <c r="I3317">
        <v>0</v>
      </c>
      <c r="L3317">
        <v>25.574000000000002</v>
      </c>
      <c r="M3317">
        <v>74.69</v>
      </c>
      <c r="N3317">
        <v>10.237</v>
      </c>
    </row>
    <row r="3318" spans="1:14" x14ac:dyDescent="0.45">
      <c r="A3318">
        <v>1996</v>
      </c>
      <c r="B3318" t="s">
        <v>100</v>
      </c>
      <c r="C3318">
        <v>0</v>
      </c>
      <c r="D3318">
        <v>1</v>
      </c>
      <c r="E3318">
        <v>0</v>
      </c>
      <c r="F3318">
        <v>0</v>
      </c>
      <c r="G3318">
        <v>0</v>
      </c>
      <c r="H3318">
        <v>1</v>
      </c>
      <c r="I3318">
        <v>1</v>
      </c>
      <c r="L3318">
        <v>11.641999999999999</v>
      </c>
      <c r="M3318">
        <v>72.944999999999993</v>
      </c>
      <c r="N3318">
        <v>17.824000000000002</v>
      </c>
    </row>
    <row r="3319" spans="1:14" x14ac:dyDescent="0.45">
      <c r="A3319">
        <v>1996</v>
      </c>
      <c r="B3319" t="s">
        <v>101</v>
      </c>
      <c r="C3319">
        <v>0</v>
      </c>
      <c r="D3319">
        <v>1</v>
      </c>
      <c r="E3319">
        <v>0</v>
      </c>
      <c r="F3319">
        <v>0</v>
      </c>
      <c r="G3319">
        <v>0</v>
      </c>
      <c r="H3319">
        <v>1</v>
      </c>
      <c r="I3319">
        <v>1</v>
      </c>
      <c r="L3319">
        <v>0</v>
      </c>
      <c r="M3319">
        <v>73.739999999999995</v>
      </c>
      <c r="N3319">
        <v>7.2939999999999996</v>
      </c>
    </row>
    <row r="3320" spans="1:14" x14ac:dyDescent="0.45">
      <c r="A3320">
        <v>1996</v>
      </c>
      <c r="B3320" t="s">
        <v>102</v>
      </c>
      <c r="C3320">
        <v>1</v>
      </c>
      <c r="D3320">
        <v>0</v>
      </c>
      <c r="E3320">
        <v>0</v>
      </c>
      <c r="F3320">
        <v>0</v>
      </c>
      <c r="G3320">
        <v>0</v>
      </c>
      <c r="H3320">
        <v>1</v>
      </c>
      <c r="I3320">
        <v>1</v>
      </c>
      <c r="J3320">
        <v>31283.5078125</v>
      </c>
      <c r="K3320">
        <v>27868.667429866699</v>
      </c>
      <c r="L3320">
        <v>31.838999999999999</v>
      </c>
      <c r="M3320">
        <v>76.88</v>
      </c>
      <c r="N3320">
        <v>8.4139999999999997</v>
      </c>
    </row>
    <row r="3321" spans="1:14" x14ac:dyDescent="0.45">
      <c r="A3321">
        <v>1996</v>
      </c>
      <c r="B3321" t="s">
        <v>103</v>
      </c>
      <c r="C3321">
        <v>1</v>
      </c>
      <c r="D3321">
        <v>0</v>
      </c>
      <c r="E3321">
        <v>0</v>
      </c>
      <c r="F3321">
        <v>0</v>
      </c>
      <c r="G3321">
        <v>1</v>
      </c>
      <c r="H3321">
        <v>0</v>
      </c>
      <c r="I3321">
        <v>0</v>
      </c>
      <c r="J3321">
        <v>28021.6704584336</v>
      </c>
      <c r="K3321">
        <v>23330.914082397601</v>
      </c>
      <c r="L3321">
        <v>25.486999999999998</v>
      </c>
      <c r="M3321">
        <v>73.834000000000003</v>
      </c>
      <c r="N3321">
        <v>7.3280000000000003</v>
      </c>
    </row>
    <row r="3322" spans="1:14" x14ac:dyDescent="0.45">
      <c r="A3322">
        <v>1996</v>
      </c>
      <c r="B3322" t="s">
        <v>104</v>
      </c>
      <c r="C3322">
        <v>1</v>
      </c>
      <c r="D3322">
        <v>0</v>
      </c>
      <c r="E3322">
        <v>0</v>
      </c>
      <c r="F3322">
        <v>0</v>
      </c>
      <c r="G3322">
        <v>0</v>
      </c>
      <c r="H3322">
        <v>1</v>
      </c>
      <c r="I3322">
        <v>1</v>
      </c>
      <c r="J3322">
        <v>45908.663420823897</v>
      </c>
      <c r="K3322">
        <v>39805.204544689099</v>
      </c>
      <c r="L3322">
        <v>25.867000000000001</v>
      </c>
      <c r="M3322">
        <v>76.783000000000001</v>
      </c>
      <c r="N3322">
        <v>6.16</v>
      </c>
    </row>
    <row r="3323" spans="1:14" x14ac:dyDescent="0.45">
      <c r="A3323">
        <v>1996</v>
      </c>
      <c r="B3323" t="s">
        <v>105</v>
      </c>
      <c r="C3323">
        <v>0</v>
      </c>
      <c r="D3323">
        <v>0</v>
      </c>
      <c r="E3323">
        <v>0</v>
      </c>
      <c r="F3323">
        <v>1</v>
      </c>
      <c r="G3323">
        <v>0</v>
      </c>
      <c r="H3323">
        <v>0</v>
      </c>
      <c r="I3323">
        <v>0</v>
      </c>
      <c r="J3323">
        <v>4378.0854746292098</v>
      </c>
      <c r="K3323">
        <v>3776.3213265825598</v>
      </c>
      <c r="L3323">
        <v>23.652999999999999</v>
      </c>
      <c r="M3323">
        <v>56.33</v>
      </c>
      <c r="N3323">
        <v>106.75700000000001</v>
      </c>
    </row>
    <row r="3324" spans="1:14" x14ac:dyDescent="0.45">
      <c r="A3324">
        <v>1996</v>
      </c>
      <c r="B3324" t="s">
        <v>106</v>
      </c>
      <c r="C3324">
        <v>0</v>
      </c>
      <c r="D3324">
        <v>1</v>
      </c>
      <c r="E3324">
        <v>0</v>
      </c>
      <c r="F3324">
        <v>1</v>
      </c>
      <c r="G3324">
        <v>0</v>
      </c>
      <c r="H3324">
        <v>0</v>
      </c>
      <c r="I3324">
        <v>0</v>
      </c>
      <c r="J3324">
        <v>12737.897642501801</v>
      </c>
      <c r="K3324">
        <v>9912.9928148116705</v>
      </c>
      <c r="L3324">
        <v>35.082000000000001</v>
      </c>
      <c r="M3324">
        <v>71.039000000000001</v>
      </c>
      <c r="N3324">
        <v>16.82</v>
      </c>
    </row>
    <row r="3325" spans="1:14" x14ac:dyDescent="0.45">
      <c r="A3325">
        <v>1996</v>
      </c>
      <c r="B3325" t="s">
        <v>107</v>
      </c>
      <c r="C3325">
        <v>1</v>
      </c>
      <c r="D3325">
        <v>0</v>
      </c>
      <c r="E3325">
        <v>0</v>
      </c>
      <c r="F3325">
        <v>0</v>
      </c>
      <c r="G3325">
        <v>0</v>
      </c>
      <c r="H3325">
        <v>1</v>
      </c>
      <c r="I3325">
        <v>1</v>
      </c>
      <c r="J3325">
        <v>51678.667500624797</v>
      </c>
      <c r="K3325">
        <v>43676.075378783004</v>
      </c>
      <c r="L3325">
        <v>14.994</v>
      </c>
      <c r="M3325">
        <v>75.664000000000001</v>
      </c>
      <c r="N3325">
        <v>6.6980000000000004</v>
      </c>
    </row>
    <row r="3326" spans="1:14" x14ac:dyDescent="0.45">
      <c r="A3326">
        <v>1996</v>
      </c>
      <c r="B3326" t="s">
        <v>108</v>
      </c>
      <c r="C3326">
        <v>0</v>
      </c>
      <c r="D3326">
        <v>1</v>
      </c>
      <c r="E3326">
        <v>0</v>
      </c>
      <c r="F3326">
        <v>1</v>
      </c>
      <c r="G3326">
        <v>0</v>
      </c>
      <c r="H3326">
        <v>0</v>
      </c>
      <c r="I3326">
        <v>0</v>
      </c>
      <c r="J3326">
        <v>9036.8835214989595</v>
      </c>
      <c r="K3326">
        <v>7806.2858797622102</v>
      </c>
      <c r="L3326">
        <v>41.558999999999997</v>
      </c>
      <c r="M3326">
        <v>69.594999999999999</v>
      </c>
      <c r="N3326">
        <v>48.348999999999997</v>
      </c>
    </row>
    <row r="3327" spans="1:14" x14ac:dyDescent="0.45">
      <c r="A3327">
        <v>1996</v>
      </c>
      <c r="B3327" t="s">
        <v>109</v>
      </c>
      <c r="C3327">
        <v>0</v>
      </c>
      <c r="D3327">
        <v>0</v>
      </c>
      <c r="E3327">
        <v>0</v>
      </c>
      <c r="F3327">
        <v>1</v>
      </c>
      <c r="G3327">
        <v>0</v>
      </c>
      <c r="H3327">
        <v>0</v>
      </c>
      <c r="I3327">
        <v>0</v>
      </c>
      <c r="J3327">
        <v>10808.8788666941</v>
      </c>
      <c r="K3327">
        <v>9453.8142859461605</v>
      </c>
      <c r="L3327">
        <v>43.225999999999999</v>
      </c>
      <c r="M3327">
        <v>68.218999999999994</v>
      </c>
      <c r="N3327">
        <v>46.612000000000002</v>
      </c>
    </row>
    <row r="3328" spans="1:14" x14ac:dyDescent="0.45">
      <c r="A3328">
        <v>1996</v>
      </c>
      <c r="B3328" t="s">
        <v>110</v>
      </c>
      <c r="C3328">
        <v>0</v>
      </c>
      <c r="D3328">
        <v>1</v>
      </c>
      <c r="E3328">
        <v>0</v>
      </c>
      <c r="F3328">
        <v>1</v>
      </c>
      <c r="G3328">
        <v>0</v>
      </c>
      <c r="H3328">
        <v>0</v>
      </c>
      <c r="I3328">
        <v>0</v>
      </c>
      <c r="J3328">
        <v>9509.2754063317298</v>
      </c>
      <c r="K3328">
        <v>7909.31867242108</v>
      </c>
      <c r="L3328">
        <v>41.722999999999999</v>
      </c>
      <c r="M3328">
        <v>71.819999999999993</v>
      </c>
      <c r="N3328">
        <v>37.966999999999999</v>
      </c>
    </row>
    <row r="3329" spans="1:14" x14ac:dyDescent="0.45">
      <c r="A3329">
        <v>1996</v>
      </c>
      <c r="B3329" t="s">
        <v>111</v>
      </c>
      <c r="C3329">
        <v>0</v>
      </c>
      <c r="D3329">
        <v>0</v>
      </c>
      <c r="E3329">
        <v>0</v>
      </c>
      <c r="F3329">
        <v>1</v>
      </c>
      <c r="G3329">
        <v>0</v>
      </c>
      <c r="H3329">
        <v>0</v>
      </c>
      <c r="I3329">
        <v>0</v>
      </c>
      <c r="J3329">
        <v>8662.3314786959199</v>
      </c>
      <c r="K3329">
        <v>6874.28031310399</v>
      </c>
      <c r="L3329">
        <v>57.319000000000003</v>
      </c>
      <c r="M3329">
        <v>65.733000000000004</v>
      </c>
      <c r="N3329">
        <v>60.378</v>
      </c>
    </row>
    <row r="3330" spans="1:14" x14ac:dyDescent="0.45">
      <c r="A3330">
        <v>1996</v>
      </c>
      <c r="B3330" t="s">
        <v>112</v>
      </c>
      <c r="C3330">
        <v>0</v>
      </c>
      <c r="D3330">
        <v>0</v>
      </c>
      <c r="E3330">
        <v>1</v>
      </c>
      <c r="F3330">
        <v>0</v>
      </c>
      <c r="G3330">
        <v>0</v>
      </c>
      <c r="H3330">
        <v>0</v>
      </c>
      <c r="I3330">
        <v>0</v>
      </c>
      <c r="L3330">
        <v>76.706999999999994</v>
      </c>
      <c r="M3330">
        <v>55.497999999999998</v>
      </c>
      <c r="N3330">
        <v>108.145</v>
      </c>
    </row>
    <row r="3331" spans="1:14" x14ac:dyDescent="0.45">
      <c r="A3331">
        <v>1996</v>
      </c>
      <c r="B3331" t="s">
        <v>113</v>
      </c>
      <c r="C3331">
        <v>1</v>
      </c>
      <c r="D3331">
        <v>0</v>
      </c>
      <c r="E3331">
        <v>0</v>
      </c>
      <c r="F3331">
        <v>0</v>
      </c>
      <c r="G3331">
        <v>0</v>
      </c>
      <c r="H3331">
        <v>1</v>
      </c>
      <c r="I3331">
        <v>1</v>
      </c>
      <c r="J3331">
        <v>34232.378686860196</v>
      </c>
      <c r="K3331">
        <v>30125.4036925523</v>
      </c>
      <c r="L3331">
        <v>24.062000000000001</v>
      </c>
      <c r="M3331">
        <v>78.338999999999999</v>
      </c>
      <c r="N3331">
        <v>6.9180000000000001</v>
      </c>
    </row>
    <row r="3332" spans="1:14" x14ac:dyDescent="0.45">
      <c r="A3332">
        <v>1996</v>
      </c>
      <c r="B3332" t="s">
        <v>114</v>
      </c>
      <c r="C3332">
        <v>1</v>
      </c>
      <c r="D3332">
        <v>0</v>
      </c>
      <c r="E3332">
        <v>0</v>
      </c>
      <c r="F3332">
        <v>1</v>
      </c>
      <c r="G3332">
        <v>0</v>
      </c>
      <c r="H3332">
        <v>0</v>
      </c>
      <c r="I3332">
        <v>0</v>
      </c>
      <c r="J3332">
        <v>15828.490859617399</v>
      </c>
      <c r="K3332">
        <v>13428.9846398808</v>
      </c>
      <c r="L3332">
        <v>29.888999999999999</v>
      </c>
      <c r="M3332">
        <v>70.031000000000006</v>
      </c>
      <c r="N3332">
        <v>12.170999999999999</v>
      </c>
    </row>
    <row r="3333" spans="1:14" x14ac:dyDescent="0.45">
      <c r="A3333">
        <v>1996</v>
      </c>
      <c r="B3333" t="s">
        <v>115</v>
      </c>
      <c r="C3333">
        <v>0</v>
      </c>
      <c r="D3333">
        <v>0</v>
      </c>
      <c r="E3333">
        <v>1</v>
      </c>
      <c r="F3333">
        <v>0</v>
      </c>
      <c r="G3333">
        <v>0</v>
      </c>
      <c r="H3333">
        <v>0</v>
      </c>
      <c r="I3333">
        <v>0</v>
      </c>
      <c r="J3333">
        <v>826.99165886099195</v>
      </c>
      <c r="K3333">
        <v>745.85584039272896</v>
      </c>
      <c r="L3333">
        <v>85.994</v>
      </c>
      <c r="M3333">
        <v>48.697000000000003</v>
      </c>
      <c r="N3333">
        <v>166.11600000000001</v>
      </c>
    </row>
    <row r="3334" spans="1:14" x14ac:dyDescent="0.45">
      <c r="A3334">
        <v>1996</v>
      </c>
      <c r="B3334" t="s">
        <v>116</v>
      </c>
      <c r="C3334">
        <v>1</v>
      </c>
      <c r="D3334">
        <v>0</v>
      </c>
      <c r="E3334">
        <v>0</v>
      </c>
      <c r="F3334">
        <v>0</v>
      </c>
      <c r="G3334">
        <v>0</v>
      </c>
      <c r="H3334">
        <v>1</v>
      </c>
      <c r="I3334">
        <v>1</v>
      </c>
      <c r="J3334">
        <v>38301.512617558197</v>
      </c>
      <c r="K3334">
        <v>32199.4233257489</v>
      </c>
      <c r="L3334">
        <v>18.777000000000001</v>
      </c>
      <c r="M3334">
        <v>76.87</v>
      </c>
      <c r="N3334">
        <v>4.6920000000000002</v>
      </c>
    </row>
    <row r="3335" spans="1:14" x14ac:dyDescent="0.45">
      <c r="A3335">
        <v>1996</v>
      </c>
      <c r="B3335" t="s">
        <v>117</v>
      </c>
      <c r="C3335">
        <v>0</v>
      </c>
      <c r="D3335">
        <v>0</v>
      </c>
      <c r="E3335">
        <v>0</v>
      </c>
      <c r="F3335">
        <v>1</v>
      </c>
      <c r="G3335">
        <v>0</v>
      </c>
      <c r="H3335">
        <v>0</v>
      </c>
      <c r="I3335">
        <v>0</v>
      </c>
      <c r="J3335">
        <v>9306.9825871464709</v>
      </c>
      <c r="K3335">
        <v>9114.3531562066692</v>
      </c>
      <c r="L3335">
        <v>53.718000000000004</v>
      </c>
      <c r="M3335">
        <v>66.201999999999998</v>
      </c>
      <c r="N3335">
        <v>24.16</v>
      </c>
    </row>
    <row r="3336" spans="1:14" x14ac:dyDescent="0.45">
      <c r="A3336">
        <v>1996</v>
      </c>
      <c r="B3336" t="s">
        <v>118</v>
      </c>
      <c r="C3336">
        <v>1</v>
      </c>
      <c r="D3336">
        <v>0</v>
      </c>
      <c r="E3336">
        <v>0</v>
      </c>
      <c r="F3336">
        <v>0</v>
      </c>
      <c r="G3336">
        <v>0</v>
      </c>
      <c r="H3336">
        <v>1</v>
      </c>
      <c r="I3336">
        <v>1</v>
      </c>
      <c r="J3336">
        <v>40990.7395148125</v>
      </c>
      <c r="K3336">
        <v>34223.118732044299</v>
      </c>
      <c r="L3336">
        <v>24.917999999999999</v>
      </c>
      <c r="M3336">
        <v>78.061000000000007</v>
      </c>
      <c r="N3336">
        <v>5.9489999999999998</v>
      </c>
    </row>
    <row r="3337" spans="1:14" x14ac:dyDescent="0.45">
      <c r="A3337">
        <v>1996</v>
      </c>
      <c r="B3337" t="s">
        <v>119</v>
      </c>
      <c r="C3337">
        <v>1</v>
      </c>
      <c r="D3337">
        <v>0</v>
      </c>
      <c r="E3337">
        <v>0</v>
      </c>
      <c r="F3337">
        <v>0</v>
      </c>
      <c r="G3337">
        <v>0</v>
      </c>
      <c r="H3337">
        <v>1</v>
      </c>
      <c r="I3337">
        <v>1</v>
      </c>
      <c r="L3337">
        <v>65.177999999999997</v>
      </c>
      <c r="M3337">
        <v>77.763999999999996</v>
      </c>
      <c r="N3337">
        <v>10.378</v>
      </c>
    </row>
    <row r="3338" spans="1:14" x14ac:dyDescent="0.45">
      <c r="A3338">
        <v>1996</v>
      </c>
      <c r="B3338" t="s">
        <v>120</v>
      </c>
      <c r="C3338">
        <v>0</v>
      </c>
      <c r="D3338">
        <v>0</v>
      </c>
      <c r="E3338">
        <v>0</v>
      </c>
      <c r="F3338">
        <v>1</v>
      </c>
      <c r="G3338">
        <v>0</v>
      </c>
      <c r="H3338">
        <v>0</v>
      </c>
      <c r="I3338">
        <v>0</v>
      </c>
      <c r="J3338">
        <v>3559.59341613692</v>
      </c>
      <c r="K3338">
        <v>3221.9232321392501</v>
      </c>
      <c r="L3338">
        <v>75.527000000000001</v>
      </c>
      <c r="M3338">
        <v>64.253</v>
      </c>
      <c r="N3338">
        <v>42.158999999999999</v>
      </c>
    </row>
    <row r="3339" spans="1:14" x14ac:dyDescent="0.45">
      <c r="A3339">
        <v>1996</v>
      </c>
      <c r="B3339" t="s">
        <v>121</v>
      </c>
      <c r="C3339">
        <v>0</v>
      </c>
      <c r="D3339">
        <v>0</v>
      </c>
      <c r="E3339">
        <v>1</v>
      </c>
      <c r="F3339">
        <v>0</v>
      </c>
      <c r="G3339">
        <v>1</v>
      </c>
      <c r="H3339">
        <v>0</v>
      </c>
      <c r="I3339">
        <v>0</v>
      </c>
      <c r="J3339">
        <v>24595.971962486899</v>
      </c>
      <c r="K3339">
        <v>18610.2942087952</v>
      </c>
      <c r="L3339">
        <v>24.346</v>
      </c>
      <c r="M3339">
        <v>61.265000000000001</v>
      </c>
      <c r="N3339">
        <v>87.623000000000005</v>
      </c>
    </row>
    <row r="3340" spans="1:14" x14ac:dyDescent="0.45">
      <c r="A3340">
        <v>1996</v>
      </c>
      <c r="B3340" t="s">
        <v>122</v>
      </c>
      <c r="C3340">
        <v>1</v>
      </c>
      <c r="D3340">
        <v>0</v>
      </c>
      <c r="E3340">
        <v>0</v>
      </c>
      <c r="F3340">
        <v>0</v>
      </c>
      <c r="G3340">
        <v>0</v>
      </c>
      <c r="H3340">
        <v>1</v>
      </c>
      <c r="I3340">
        <v>1</v>
      </c>
      <c r="J3340">
        <v>37531.528034176001</v>
      </c>
      <c r="K3340">
        <v>32334.5432346503</v>
      </c>
      <c r="L3340">
        <v>21.587</v>
      </c>
      <c r="M3340">
        <v>76.872</v>
      </c>
      <c r="N3340">
        <v>7.2919999999999998</v>
      </c>
    </row>
    <row r="3341" spans="1:14" x14ac:dyDescent="0.45">
      <c r="A3341">
        <v>1996</v>
      </c>
      <c r="B3341" t="s">
        <v>123</v>
      </c>
      <c r="C3341">
        <v>1</v>
      </c>
      <c r="D3341">
        <v>0</v>
      </c>
      <c r="E3341">
        <v>0</v>
      </c>
      <c r="F3341">
        <v>1</v>
      </c>
      <c r="G3341">
        <v>0</v>
      </c>
      <c r="H3341">
        <v>0</v>
      </c>
      <c r="I3341">
        <v>0</v>
      </c>
      <c r="J3341">
        <v>4339.0046688347002</v>
      </c>
      <c r="K3341">
        <v>3665.9629092079699</v>
      </c>
      <c r="L3341">
        <v>46.4</v>
      </c>
      <c r="M3341">
        <v>70.637</v>
      </c>
      <c r="N3341">
        <v>43.158000000000001</v>
      </c>
    </row>
    <row r="3342" spans="1:14" x14ac:dyDescent="0.45">
      <c r="A3342">
        <v>1996</v>
      </c>
      <c r="B3342" t="s">
        <v>124</v>
      </c>
      <c r="C3342">
        <v>0</v>
      </c>
      <c r="D3342">
        <v>0</v>
      </c>
      <c r="E3342">
        <v>1</v>
      </c>
      <c r="F3342">
        <v>0</v>
      </c>
      <c r="G3342">
        <v>0</v>
      </c>
      <c r="H3342">
        <v>0</v>
      </c>
      <c r="I3342">
        <v>0</v>
      </c>
      <c r="J3342">
        <v>3106.1855548038802</v>
      </c>
      <c r="K3342">
        <v>2679.8389945962399</v>
      </c>
      <c r="L3342">
        <v>59.103999999999999</v>
      </c>
      <c r="M3342">
        <v>56.957000000000001</v>
      </c>
      <c r="N3342">
        <v>111.883</v>
      </c>
    </row>
    <row r="3343" spans="1:14" x14ac:dyDescent="0.45">
      <c r="A3343">
        <v>1996</v>
      </c>
      <c r="B3343" t="s">
        <v>125</v>
      </c>
      <c r="C3343">
        <v>1</v>
      </c>
      <c r="D3343">
        <v>0</v>
      </c>
      <c r="E3343">
        <v>0</v>
      </c>
      <c r="F3343">
        <v>0</v>
      </c>
      <c r="G3343">
        <v>0</v>
      </c>
      <c r="H3343">
        <v>1</v>
      </c>
      <c r="I3343">
        <v>1</v>
      </c>
      <c r="L3343">
        <v>0</v>
      </c>
      <c r="M3343">
        <v>78.695999999999998</v>
      </c>
      <c r="N3343">
        <v>17.036000000000001</v>
      </c>
    </row>
    <row r="3344" spans="1:14" x14ac:dyDescent="0.45">
      <c r="A3344">
        <v>1996</v>
      </c>
      <c r="B3344" t="s">
        <v>126</v>
      </c>
      <c r="C3344">
        <v>0</v>
      </c>
      <c r="D3344">
        <v>0</v>
      </c>
      <c r="E3344">
        <v>1</v>
      </c>
      <c r="F3344">
        <v>0</v>
      </c>
      <c r="G3344">
        <v>0</v>
      </c>
      <c r="H3344">
        <v>0</v>
      </c>
      <c r="I3344">
        <v>0</v>
      </c>
      <c r="J3344">
        <v>2205.3236341697302</v>
      </c>
      <c r="K3344">
        <v>1778.07704933726</v>
      </c>
      <c r="L3344">
        <v>70.23</v>
      </c>
      <c r="M3344">
        <v>50.545999999999999</v>
      </c>
      <c r="N3344">
        <v>193.482</v>
      </c>
    </row>
    <row r="3345" spans="1:14" x14ac:dyDescent="0.45">
      <c r="A3345">
        <v>1996</v>
      </c>
      <c r="B3345" t="s">
        <v>127</v>
      </c>
      <c r="C3345">
        <v>0</v>
      </c>
      <c r="D3345">
        <v>0</v>
      </c>
      <c r="E3345">
        <v>1</v>
      </c>
      <c r="F3345">
        <v>0</v>
      </c>
      <c r="G3345">
        <v>0</v>
      </c>
      <c r="H3345">
        <v>0</v>
      </c>
      <c r="I3345">
        <v>0</v>
      </c>
      <c r="J3345">
        <v>2439.0455164851201</v>
      </c>
      <c r="K3345">
        <v>1963.1803342221201</v>
      </c>
      <c r="L3345">
        <v>55.741999999999997</v>
      </c>
      <c r="M3345">
        <v>54.848999999999997</v>
      </c>
      <c r="N3345">
        <v>133.00399999999999</v>
      </c>
    </row>
    <row r="3346" spans="1:14" x14ac:dyDescent="0.45">
      <c r="A3346">
        <v>1996</v>
      </c>
      <c r="B3346" t="s">
        <v>128</v>
      </c>
      <c r="C3346">
        <v>0</v>
      </c>
      <c r="D3346">
        <v>0</v>
      </c>
      <c r="E3346">
        <v>1</v>
      </c>
      <c r="F3346">
        <v>0</v>
      </c>
      <c r="G3346">
        <v>0</v>
      </c>
      <c r="H3346">
        <v>0</v>
      </c>
      <c r="I3346">
        <v>0</v>
      </c>
      <c r="J3346">
        <v>2159.3997497809</v>
      </c>
      <c r="K3346">
        <v>1942.5926650302499</v>
      </c>
      <c r="L3346">
        <v>65.257999999999996</v>
      </c>
      <c r="M3346">
        <v>48.771999999999998</v>
      </c>
      <c r="N3346">
        <v>193.82900000000001</v>
      </c>
    </row>
    <row r="3347" spans="1:14" x14ac:dyDescent="0.45">
      <c r="A3347">
        <v>1996</v>
      </c>
      <c r="B3347" t="s">
        <v>129</v>
      </c>
      <c r="C3347">
        <v>0</v>
      </c>
      <c r="D3347">
        <v>0</v>
      </c>
      <c r="E3347">
        <v>1</v>
      </c>
      <c r="F3347">
        <v>0</v>
      </c>
      <c r="G3347">
        <v>0</v>
      </c>
      <c r="H3347">
        <v>0</v>
      </c>
      <c r="I3347">
        <v>0</v>
      </c>
      <c r="J3347">
        <v>3033.84031220306</v>
      </c>
      <c r="K3347">
        <v>2513.5754059046999</v>
      </c>
      <c r="L3347">
        <v>57.813000000000002</v>
      </c>
      <c r="M3347">
        <v>52.122999999999998</v>
      </c>
      <c r="N3347">
        <v>167.51400000000001</v>
      </c>
    </row>
    <row r="3348" spans="1:14" x14ac:dyDescent="0.45">
      <c r="A3348">
        <v>1996</v>
      </c>
      <c r="B3348" t="s">
        <v>130</v>
      </c>
      <c r="C3348">
        <v>1</v>
      </c>
      <c r="D3348">
        <v>0</v>
      </c>
      <c r="E3348">
        <v>0</v>
      </c>
      <c r="F3348">
        <v>0</v>
      </c>
      <c r="G3348">
        <v>0</v>
      </c>
      <c r="H3348">
        <v>1</v>
      </c>
      <c r="I3348">
        <v>1</v>
      </c>
      <c r="J3348">
        <v>27905.1065690594</v>
      </c>
      <c r="K3348">
        <v>24980.487101203202</v>
      </c>
      <c r="L3348">
        <v>27.760999999999999</v>
      </c>
      <c r="M3348">
        <v>78.036000000000001</v>
      </c>
      <c r="N3348">
        <v>7.96</v>
      </c>
    </row>
    <row r="3349" spans="1:14" x14ac:dyDescent="0.45">
      <c r="A3349">
        <v>1996</v>
      </c>
      <c r="B3349" t="s">
        <v>131</v>
      </c>
      <c r="C3349">
        <v>0</v>
      </c>
      <c r="D3349">
        <v>1</v>
      </c>
      <c r="E3349">
        <v>0</v>
      </c>
      <c r="F3349">
        <v>1</v>
      </c>
      <c r="G3349">
        <v>0</v>
      </c>
      <c r="H3349">
        <v>0</v>
      </c>
      <c r="I3349">
        <v>0</v>
      </c>
      <c r="J3349">
        <v>9082.2809954633594</v>
      </c>
      <c r="K3349">
        <v>8380.2667419610298</v>
      </c>
      <c r="L3349">
        <v>65.286000000000001</v>
      </c>
      <c r="M3349">
        <v>72.373000000000005</v>
      </c>
      <c r="N3349">
        <v>17.198</v>
      </c>
    </row>
    <row r="3350" spans="1:14" x14ac:dyDescent="0.45">
      <c r="A3350">
        <v>1996</v>
      </c>
      <c r="B3350" t="s">
        <v>132</v>
      </c>
      <c r="C3350">
        <v>1</v>
      </c>
      <c r="D3350">
        <v>0</v>
      </c>
      <c r="E3350">
        <v>0</v>
      </c>
      <c r="F3350">
        <v>0</v>
      </c>
      <c r="G3350">
        <v>0</v>
      </c>
      <c r="H3350">
        <v>1</v>
      </c>
      <c r="I3350">
        <v>1</v>
      </c>
      <c r="J3350">
        <v>38090.7089953713</v>
      </c>
      <c r="K3350">
        <v>34478.497361870301</v>
      </c>
      <c r="L3350">
        <v>18.899999999999999</v>
      </c>
      <c r="M3350">
        <v>64.331000000000003</v>
      </c>
      <c r="N3350">
        <v>27.678999999999998</v>
      </c>
    </row>
    <row r="3351" spans="1:14" x14ac:dyDescent="0.45">
      <c r="A3351">
        <v>1996</v>
      </c>
      <c r="B3351" t="s">
        <v>133</v>
      </c>
      <c r="C3351">
        <v>0</v>
      </c>
      <c r="D3351">
        <v>1</v>
      </c>
      <c r="E3351">
        <v>0</v>
      </c>
      <c r="F3351">
        <v>1</v>
      </c>
      <c r="G3351">
        <v>0</v>
      </c>
      <c r="H3351">
        <v>0</v>
      </c>
      <c r="I3351">
        <v>0</v>
      </c>
      <c r="J3351">
        <v>8222.0651581745205</v>
      </c>
      <c r="K3351">
        <v>7142.3078756065497</v>
      </c>
      <c r="L3351">
        <v>56.011000000000003</v>
      </c>
      <c r="M3351">
        <v>64.540000000000006</v>
      </c>
      <c r="N3351">
        <v>61.584000000000003</v>
      </c>
    </row>
    <row r="3352" spans="1:14" x14ac:dyDescent="0.45">
      <c r="A3352">
        <v>1996</v>
      </c>
      <c r="B3352" t="s">
        <v>134</v>
      </c>
      <c r="C3352">
        <v>0</v>
      </c>
      <c r="D3352">
        <v>0</v>
      </c>
      <c r="E3352">
        <v>0</v>
      </c>
      <c r="F3352">
        <v>0</v>
      </c>
      <c r="G3352">
        <v>0</v>
      </c>
      <c r="H3352">
        <v>1</v>
      </c>
      <c r="I3352">
        <v>1</v>
      </c>
      <c r="L3352">
        <v>7.7129999999999903</v>
      </c>
      <c r="M3352">
        <v>74.638000000000005</v>
      </c>
      <c r="N3352">
        <v>12.141</v>
      </c>
    </row>
    <row r="3353" spans="1:14" x14ac:dyDescent="0.45">
      <c r="A3353">
        <v>1996</v>
      </c>
      <c r="B3353" t="s">
        <v>135</v>
      </c>
      <c r="C3353">
        <v>0</v>
      </c>
      <c r="D3353">
        <v>1</v>
      </c>
      <c r="E3353">
        <v>0</v>
      </c>
      <c r="F3353">
        <v>0</v>
      </c>
      <c r="G3353">
        <v>0</v>
      </c>
      <c r="H3353">
        <v>0</v>
      </c>
      <c r="I3353">
        <v>0</v>
      </c>
      <c r="J3353">
        <v>7612.3042429002098</v>
      </c>
      <c r="K3353">
        <v>7280.2489723690096</v>
      </c>
      <c r="L3353">
        <v>70.951999999999998</v>
      </c>
      <c r="M3353">
        <v>62.691000000000003</v>
      </c>
      <c r="N3353">
        <v>51.643000000000001</v>
      </c>
    </row>
    <row r="3354" spans="1:14" x14ac:dyDescent="0.45">
      <c r="A3354">
        <v>1996</v>
      </c>
      <c r="B3354" t="s">
        <v>136</v>
      </c>
      <c r="C3354">
        <v>0</v>
      </c>
      <c r="D3354">
        <v>0</v>
      </c>
      <c r="E3354">
        <v>0</v>
      </c>
      <c r="F3354">
        <v>0</v>
      </c>
      <c r="G3354">
        <v>0</v>
      </c>
      <c r="H3354">
        <v>1</v>
      </c>
      <c r="I3354">
        <v>1</v>
      </c>
      <c r="J3354">
        <v>37804.145600137002</v>
      </c>
      <c r="K3354">
        <v>34118.371748576297</v>
      </c>
      <c r="L3354">
        <v>0</v>
      </c>
      <c r="M3354">
        <v>79.453999999999994</v>
      </c>
      <c r="N3354">
        <v>5.03</v>
      </c>
    </row>
    <row r="3355" spans="1:14" x14ac:dyDescent="0.45">
      <c r="A3355">
        <v>1996</v>
      </c>
      <c r="B3355" t="s">
        <v>137</v>
      </c>
      <c r="C3355">
        <v>0</v>
      </c>
      <c r="D3355">
        <v>1</v>
      </c>
      <c r="E3355">
        <v>0</v>
      </c>
      <c r="F3355">
        <v>0</v>
      </c>
      <c r="G3355">
        <v>0</v>
      </c>
      <c r="H3355">
        <v>0</v>
      </c>
      <c r="I3355">
        <v>0</v>
      </c>
      <c r="J3355">
        <v>4421.5207532904196</v>
      </c>
      <c r="K3355">
        <v>4074.33424393012</v>
      </c>
      <c r="L3355">
        <v>56.558</v>
      </c>
      <c r="M3355">
        <v>67.263000000000005</v>
      </c>
      <c r="N3355">
        <v>44.445</v>
      </c>
    </row>
    <row r="3356" spans="1:14" x14ac:dyDescent="0.45">
      <c r="A3356">
        <v>1996</v>
      </c>
      <c r="B3356" t="s">
        <v>138</v>
      </c>
      <c r="C3356">
        <v>1</v>
      </c>
      <c r="D3356">
        <v>0</v>
      </c>
      <c r="E3356">
        <v>0</v>
      </c>
      <c r="F3356">
        <v>0</v>
      </c>
      <c r="G3356">
        <v>1</v>
      </c>
      <c r="H3356">
        <v>0</v>
      </c>
      <c r="I3356">
        <v>0</v>
      </c>
      <c r="J3356">
        <v>18850.234967927299</v>
      </c>
      <c r="K3356">
        <v>16256.6149331167</v>
      </c>
      <c r="L3356">
        <v>47.491</v>
      </c>
      <c r="M3356">
        <v>72.974999999999994</v>
      </c>
      <c r="N3356">
        <v>9.6479999999999997</v>
      </c>
    </row>
    <row r="3357" spans="1:14" x14ac:dyDescent="0.45">
      <c r="A3357">
        <v>1996</v>
      </c>
      <c r="B3357" t="s">
        <v>139</v>
      </c>
      <c r="C3357">
        <v>0</v>
      </c>
      <c r="D3357">
        <v>1</v>
      </c>
      <c r="E3357">
        <v>0</v>
      </c>
      <c r="F3357">
        <v>0</v>
      </c>
      <c r="G3357">
        <v>0</v>
      </c>
      <c r="H3357">
        <v>0</v>
      </c>
      <c r="I3357">
        <v>0</v>
      </c>
      <c r="J3357">
        <v>3226.6687877668301</v>
      </c>
      <c r="K3357">
        <v>3101.3312905950802</v>
      </c>
      <c r="L3357">
        <v>66.8</v>
      </c>
      <c r="M3357">
        <v>56.110999999999997</v>
      </c>
      <c r="N3357">
        <v>119.313</v>
      </c>
    </row>
    <row r="3358" spans="1:14" x14ac:dyDescent="0.45">
      <c r="A3358">
        <v>1996</v>
      </c>
      <c r="B3358" t="s">
        <v>140</v>
      </c>
      <c r="C3358">
        <v>1</v>
      </c>
      <c r="D3358">
        <v>0</v>
      </c>
      <c r="E3358">
        <v>0</v>
      </c>
      <c r="F3358">
        <v>0</v>
      </c>
      <c r="G3358">
        <v>1</v>
      </c>
      <c r="H3358">
        <v>0</v>
      </c>
      <c r="I3358">
        <v>0</v>
      </c>
      <c r="J3358">
        <v>19029.1137284914</v>
      </c>
      <c r="K3358">
        <v>16582.3023300036</v>
      </c>
      <c r="L3358">
        <v>34.917000000000002</v>
      </c>
      <c r="M3358">
        <v>70.596999999999994</v>
      </c>
      <c r="N3358">
        <v>12.058999999999999</v>
      </c>
    </row>
    <row r="3359" spans="1:14" x14ac:dyDescent="0.45">
      <c r="A3359">
        <v>1996</v>
      </c>
      <c r="B3359" t="s">
        <v>141</v>
      </c>
      <c r="C3359">
        <v>0</v>
      </c>
      <c r="D3359">
        <v>0</v>
      </c>
      <c r="E3359">
        <v>0</v>
      </c>
      <c r="F3359">
        <v>1</v>
      </c>
      <c r="G3359">
        <v>0</v>
      </c>
      <c r="H3359">
        <v>0</v>
      </c>
      <c r="I3359">
        <v>0</v>
      </c>
      <c r="J3359">
        <v>6695.4097578739502</v>
      </c>
      <c r="K3359">
        <v>6078.3767744883498</v>
      </c>
      <c r="L3359">
        <v>62.765000000000001</v>
      </c>
      <c r="M3359">
        <v>65.465000000000003</v>
      </c>
      <c r="N3359">
        <v>63.012</v>
      </c>
    </row>
    <row r="3360" spans="1:14" x14ac:dyDescent="0.45">
      <c r="A3360">
        <v>1996</v>
      </c>
      <c r="B3360" t="s">
        <v>142</v>
      </c>
      <c r="C3360">
        <v>1</v>
      </c>
      <c r="D3360">
        <v>0</v>
      </c>
      <c r="E3360">
        <v>0</v>
      </c>
      <c r="F3360">
        <v>0</v>
      </c>
      <c r="G3360">
        <v>1</v>
      </c>
      <c r="H3360">
        <v>0</v>
      </c>
      <c r="I3360">
        <v>0</v>
      </c>
      <c r="L3360">
        <v>48.207999999999998</v>
      </c>
      <c r="M3360">
        <v>73.634</v>
      </c>
      <c r="N3360">
        <v>28.641999999999999</v>
      </c>
    </row>
    <row r="3361" spans="1:14" x14ac:dyDescent="0.45">
      <c r="A3361">
        <v>1996</v>
      </c>
      <c r="B3361" t="s">
        <v>143</v>
      </c>
      <c r="C3361">
        <v>0</v>
      </c>
      <c r="D3361">
        <v>0</v>
      </c>
      <c r="E3361">
        <v>0</v>
      </c>
      <c r="F3361">
        <v>0</v>
      </c>
      <c r="G3361">
        <v>0</v>
      </c>
      <c r="H3361">
        <v>0</v>
      </c>
      <c r="I3361">
        <v>0</v>
      </c>
      <c r="J3361">
        <v>2680.2788843708199</v>
      </c>
      <c r="K3361">
        <v>2247.9106262634</v>
      </c>
      <c r="L3361">
        <v>73.183000000000007</v>
      </c>
      <c r="M3361">
        <v>61.027000000000001</v>
      </c>
      <c r="N3361">
        <v>105.363</v>
      </c>
    </row>
    <row r="3362" spans="1:14" x14ac:dyDescent="0.45">
      <c r="A3362">
        <v>1996</v>
      </c>
      <c r="B3362" t="s">
        <v>144</v>
      </c>
      <c r="C3362">
        <v>1</v>
      </c>
      <c r="D3362">
        <v>0</v>
      </c>
      <c r="E3362">
        <v>0</v>
      </c>
      <c r="F3362">
        <v>0</v>
      </c>
      <c r="G3362">
        <v>0</v>
      </c>
      <c r="H3362">
        <v>1</v>
      </c>
      <c r="I3362">
        <v>1</v>
      </c>
      <c r="J3362">
        <v>38502.762500607401</v>
      </c>
      <c r="K3362">
        <v>35401.281339268702</v>
      </c>
      <c r="L3362">
        <v>41.826999999999998</v>
      </c>
      <c r="M3362">
        <v>75.825999999999993</v>
      </c>
      <c r="N3362">
        <v>7.3979999999999997</v>
      </c>
    </row>
    <row r="3363" spans="1:14" x14ac:dyDescent="0.45">
      <c r="A3363">
        <v>1996</v>
      </c>
      <c r="B3363" t="s">
        <v>145</v>
      </c>
      <c r="C3363">
        <v>0</v>
      </c>
      <c r="D3363">
        <v>0</v>
      </c>
      <c r="E3363">
        <v>0</v>
      </c>
      <c r="F3363">
        <v>1</v>
      </c>
      <c r="G3363">
        <v>0</v>
      </c>
      <c r="H3363">
        <v>0</v>
      </c>
      <c r="I3363">
        <v>0</v>
      </c>
      <c r="J3363">
        <v>10315.1380492974</v>
      </c>
      <c r="K3363">
        <v>10289.295244209799</v>
      </c>
      <c r="L3363">
        <v>38.912999999999997</v>
      </c>
      <c r="M3363">
        <v>68.328000000000003</v>
      </c>
      <c r="N3363">
        <v>44.012999999999998</v>
      </c>
    </row>
    <row r="3364" spans="1:14" x14ac:dyDescent="0.45">
      <c r="A3364">
        <v>1996</v>
      </c>
      <c r="B3364" t="s">
        <v>146</v>
      </c>
      <c r="C3364">
        <v>0</v>
      </c>
      <c r="D3364">
        <v>0</v>
      </c>
      <c r="E3364">
        <v>0</v>
      </c>
      <c r="F3364">
        <v>1</v>
      </c>
      <c r="G3364">
        <v>0</v>
      </c>
      <c r="H3364">
        <v>0</v>
      </c>
      <c r="I3364">
        <v>0</v>
      </c>
      <c r="J3364">
        <v>6419.3698187628897</v>
      </c>
      <c r="K3364">
        <v>4537.7804169459096</v>
      </c>
      <c r="L3364">
        <v>31.407</v>
      </c>
      <c r="M3364">
        <v>64.617999999999995</v>
      </c>
      <c r="N3364">
        <v>48.283000000000001</v>
      </c>
    </row>
    <row r="3365" spans="1:14" x14ac:dyDescent="0.45">
      <c r="A3365">
        <v>1996</v>
      </c>
      <c r="B3365" t="s">
        <v>147</v>
      </c>
      <c r="C3365">
        <v>1</v>
      </c>
      <c r="D3365">
        <v>0</v>
      </c>
      <c r="E3365">
        <v>0</v>
      </c>
      <c r="F3365">
        <v>0</v>
      </c>
      <c r="G3365">
        <v>0</v>
      </c>
      <c r="H3365">
        <v>1</v>
      </c>
      <c r="I3365">
        <v>1</v>
      </c>
      <c r="J3365">
        <v>40275.477864317902</v>
      </c>
      <c r="K3365">
        <v>34849.923366051597</v>
      </c>
      <c r="L3365">
        <v>8.2029999999999994</v>
      </c>
      <c r="M3365">
        <v>78.646000000000001</v>
      </c>
      <c r="N3365">
        <v>4.87</v>
      </c>
    </row>
    <row r="3366" spans="1:14" x14ac:dyDescent="0.45">
      <c r="A3366">
        <v>1996</v>
      </c>
      <c r="B3366" t="s">
        <v>148</v>
      </c>
      <c r="C3366">
        <v>0</v>
      </c>
      <c r="D3366">
        <v>0</v>
      </c>
      <c r="E3366">
        <v>0</v>
      </c>
      <c r="F3366">
        <v>0</v>
      </c>
      <c r="G3366">
        <v>0</v>
      </c>
      <c r="H3366">
        <v>1</v>
      </c>
      <c r="I3366">
        <v>1</v>
      </c>
      <c r="J3366">
        <v>30386.198156193299</v>
      </c>
      <c r="K3366">
        <v>27872.5659901412</v>
      </c>
      <c r="L3366">
        <v>9.0570000000000004</v>
      </c>
      <c r="M3366">
        <v>78.569999999999993</v>
      </c>
      <c r="N3366">
        <v>7.8970000000000002</v>
      </c>
    </row>
    <row r="3367" spans="1:14" x14ac:dyDescent="0.45">
      <c r="A3367">
        <v>1996</v>
      </c>
      <c r="B3367" t="s">
        <v>149</v>
      </c>
      <c r="C3367">
        <v>1</v>
      </c>
      <c r="D3367">
        <v>0</v>
      </c>
      <c r="E3367">
        <v>0</v>
      </c>
      <c r="F3367">
        <v>0</v>
      </c>
      <c r="G3367">
        <v>0</v>
      </c>
      <c r="H3367">
        <v>1</v>
      </c>
      <c r="I3367">
        <v>1</v>
      </c>
      <c r="J3367">
        <v>46008.238930379601</v>
      </c>
      <c r="K3367">
        <v>39188.304988233103</v>
      </c>
      <c r="L3367">
        <v>33.018000000000001</v>
      </c>
      <c r="M3367">
        <v>78.438000000000002</v>
      </c>
      <c r="N3367">
        <v>7.21</v>
      </c>
    </row>
    <row r="3368" spans="1:14" x14ac:dyDescent="0.45">
      <c r="A3368">
        <v>1996</v>
      </c>
      <c r="B3368" t="s">
        <v>150</v>
      </c>
      <c r="C3368">
        <v>0</v>
      </c>
      <c r="D3368">
        <v>1</v>
      </c>
      <c r="E3368">
        <v>0</v>
      </c>
      <c r="F3368">
        <v>1</v>
      </c>
      <c r="G3368">
        <v>0</v>
      </c>
      <c r="H3368">
        <v>0</v>
      </c>
      <c r="I3368">
        <v>0</v>
      </c>
      <c r="J3368">
        <v>9990.3461987236406</v>
      </c>
      <c r="K3368">
        <v>9845.7874629845301</v>
      </c>
      <c r="L3368">
        <v>49.145000000000003</v>
      </c>
      <c r="M3368">
        <v>71.328000000000003</v>
      </c>
      <c r="N3368">
        <v>23.366</v>
      </c>
    </row>
    <row r="3369" spans="1:14" x14ac:dyDescent="0.45">
      <c r="A3369">
        <v>1996</v>
      </c>
      <c r="B3369" t="s">
        <v>151</v>
      </c>
      <c r="C3369">
        <v>0</v>
      </c>
      <c r="D3369">
        <v>0</v>
      </c>
      <c r="E3369">
        <v>0</v>
      </c>
      <c r="F3369">
        <v>1</v>
      </c>
      <c r="G3369">
        <v>0</v>
      </c>
      <c r="H3369">
        <v>0</v>
      </c>
      <c r="I3369">
        <v>0</v>
      </c>
      <c r="J3369">
        <v>7731.4785580726902</v>
      </c>
      <c r="K3369">
        <v>7669.9768970103896</v>
      </c>
      <c r="L3369">
        <v>21.78</v>
      </c>
      <c r="M3369">
        <v>71.105000000000004</v>
      </c>
      <c r="N3369">
        <v>29.99</v>
      </c>
    </row>
    <row r="3370" spans="1:14" x14ac:dyDescent="0.45">
      <c r="A3370">
        <v>1996</v>
      </c>
      <c r="B3370" t="s">
        <v>152</v>
      </c>
      <c r="C3370">
        <v>0</v>
      </c>
      <c r="D3370">
        <v>0</v>
      </c>
      <c r="E3370">
        <v>0</v>
      </c>
      <c r="F3370">
        <v>0</v>
      </c>
      <c r="G3370">
        <v>0</v>
      </c>
      <c r="H3370">
        <v>1</v>
      </c>
      <c r="I3370">
        <v>1</v>
      </c>
      <c r="J3370">
        <v>38528.791438519002</v>
      </c>
      <c r="K3370">
        <v>35690.464889656701</v>
      </c>
      <c r="L3370">
        <v>21.855</v>
      </c>
      <c r="M3370">
        <v>80.363</v>
      </c>
      <c r="N3370">
        <v>5.3049999999999997</v>
      </c>
    </row>
    <row r="3371" spans="1:14" x14ac:dyDescent="0.45">
      <c r="A3371">
        <v>1996</v>
      </c>
      <c r="B3371" t="s">
        <v>153</v>
      </c>
      <c r="C3371">
        <v>1</v>
      </c>
      <c r="D3371">
        <v>0</v>
      </c>
      <c r="E3371">
        <v>0</v>
      </c>
      <c r="F3371">
        <v>1</v>
      </c>
      <c r="G3371">
        <v>0</v>
      </c>
      <c r="H3371">
        <v>0</v>
      </c>
      <c r="I3371">
        <v>0</v>
      </c>
      <c r="J3371">
        <v>10857.435389873701</v>
      </c>
      <c r="K3371">
        <v>8256.6389306128003</v>
      </c>
      <c r="L3371">
        <v>44.057000000000002</v>
      </c>
      <c r="M3371">
        <v>63.454999999999998</v>
      </c>
      <c r="N3371">
        <v>50.279000000000003</v>
      </c>
    </row>
    <row r="3372" spans="1:14" x14ac:dyDescent="0.45">
      <c r="A3372">
        <v>1996</v>
      </c>
      <c r="B3372" t="s">
        <v>154</v>
      </c>
      <c r="C3372">
        <v>0</v>
      </c>
      <c r="D3372">
        <v>0</v>
      </c>
      <c r="E3372">
        <v>1</v>
      </c>
      <c r="F3372">
        <v>0</v>
      </c>
      <c r="G3372">
        <v>0</v>
      </c>
      <c r="H3372">
        <v>0</v>
      </c>
      <c r="I3372">
        <v>0</v>
      </c>
      <c r="J3372">
        <v>3941.4091948135301</v>
      </c>
      <c r="K3372">
        <v>3396.8886916961701</v>
      </c>
      <c r="L3372">
        <v>81.421000000000006</v>
      </c>
      <c r="M3372">
        <v>55.575000000000003</v>
      </c>
      <c r="N3372">
        <v>106.375</v>
      </c>
    </row>
    <row r="3373" spans="1:14" x14ac:dyDescent="0.45">
      <c r="A3373">
        <v>1996</v>
      </c>
      <c r="B3373" t="s">
        <v>155</v>
      </c>
      <c r="C3373">
        <v>1</v>
      </c>
      <c r="D3373">
        <v>0</v>
      </c>
      <c r="E3373">
        <v>0</v>
      </c>
      <c r="F3373">
        <v>0</v>
      </c>
      <c r="G3373">
        <v>0</v>
      </c>
      <c r="H3373">
        <v>0</v>
      </c>
      <c r="I3373">
        <v>0</v>
      </c>
      <c r="J3373">
        <v>3138.66615671114</v>
      </c>
      <c r="K3373">
        <v>2652.7003097532302</v>
      </c>
      <c r="L3373">
        <v>63.933999999999997</v>
      </c>
      <c r="M3373">
        <v>63.447000000000003</v>
      </c>
      <c r="N3373">
        <v>59.158999999999999</v>
      </c>
    </row>
    <row r="3374" spans="1:14" x14ac:dyDescent="0.45">
      <c r="A3374">
        <v>1996</v>
      </c>
      <c r="B3374" t="s">
        <v>156</v>
      </c>
      <c r="C3374">
        <v>0</v>
      </c>
      <c r="D3374">
        <v>0</v>
      </c>
      <c r="E3374">
        <v>0</v>
      </c>
      <c r="F3374">
        <v>0</v>
      </c>
      <c r="G3374">
        <v>0</v>
      </c>
      <c r="H3374">
        <v>0</v>
      </c>
      <c r="I3374">
        <v>0</v>
      </c>
      <c r="J3374">
        <v>1643.01579058261</v>
      </c>
      <c r="K3374">
        <v>1473.2401546809201</v>
      </c>
      <c r="L3374">
        <v>82.316999999999993</v>
      </c>
      <c r="M3374">
        <v>56.832000000000001</v>
      </c>
      <c r="N3374">
        <v>118.425</v>
      </c>
    </row>
    <row r="3375" spans="1:14" x14ac:dyDescent="0.45">
      <c r="A3375">
        <v>1996</v>
      </c>
      <c r="B3375" t="s">
        <v>157</v>
      </c>
      <c r="C3375">
        <v>0</v>
      </c>
      <c r="D3375">
        <v>0</v>
      </c>
      <c r="E3375">
        <v>0</v>
      </c>
      <c r="F3375">
        <v>1</v>
      </c>
      <c r="G3375">
        <v>0</v>
      </c>
      <c r="H3375">
        <v>0</v>
      </c>
      <c r="I3375">
        <v>0</v>
      </c>
      <c r="J3375">
        <v>2455.50107360314</v>
      </c>
      <c r="K3375">
        <v>2221.2445458962302</v>
      </c>
      <c r="L3375">
        <v>62.613999999999997</v>
      </c>
      <c r="M3375">
        <v>63.47</v>
      </c>
      <c r="N3375">
        <v>73.981999999999999</v>
      </c>
    </row>
    <row r="3376" spans="1:14" x14ac:dyDescent="0.45">
      <c r="A3376">
        <v>1996</v>
      </c>
      <c r="B3376" t="s">
        <v>158</v>
      </c>
      <c r="C3376">
        <v>0</v>
      </c>
      <c r="D3376">
        <v>1</v>
      </c>
      <c r="E3376">
        <v>0</v>
      </c>
      <c r="F3376">
        <v>0</v>
      </c>
      <c r="G3376">
        <v>1</v>
      </c>
      <c r="H3376">
        <v>0</v>
      </c>
      <c r="I3376">
        <v>0</v>
      </c>
      <c r="J3376">
        <v>17340.223462422098</v>
      </c>
      <c r="K3376">
        <v>17125.829255508699</v>
      </c>
      <c r="L3376">
        <v>66.474000000000004</v>
      </c>
      <c r="M3376">
        <v>67.488</v>
      </c>
      <c r="N3376">
        <v>27.094999999999999</v>
      </c>
    </row>
    <row r="3377" spans="1:14" x14ac:dyDescent="0.45">
      <c r="A3377">
        <v>1996</v>
      </c>
      <c r="B3377" t="s">
        <v>159</v>
      </c>
      <c r="C3377">
        <v>0</v>
      </c>
      <c r="D3377">
        <v>0</v>
      </c>
      <c r="E3377">
        <v>0</v>
      </c>
      <c r="F3377">
        <v>0</v>
      </c>
      <c r="G3377">
        <v>0</v>
      </c>
      <c r="H3377">
        <v>1</v>
      </c>
      <c r="I3377">
        <v>1</v>
      </c>
      <c r="J3377">
        <v>21175.899835728502</v>
      </c>
      <c r="K3377">
        <v>19304.426674609</v>
      </c>
      <c r="L3377">
        <v>21.338000000000001</v>
      </c>
      <c r="M3377">
        <v>74.021000000000001</v>
      </c>
      <c r="N3377">
        <v>9.8740000000000006</v>
      </c>
    </row>
    <row r="3378" spans="1:14" x14ac:dyDescent="0.45">
      <c r="A3378">
        <v>1996</v>
      </c>
      <c r="B3378" t="s">
        <v>160</v>
      </c>
      <c r="C3378">
        <v>0</v>
      </c>
      <c r="D3378">
        <v>0</v>
      </c>
      <c r="E3378">
        <v>0</v>
      </c>
      <c r="F3378">
        <v>0</v>
      </c>
      <c r="G3378">
        <v>0</v>
      </c>
      <c r="H3378">
        <v>1</v>
      </c>
      <c r="I3378">
        <v>1</v>
      </c>
      <c r="J3378">
        <v>62665.224386226197</v>
      </c>
      <c r="K3378">
        <v>55809.656684956099</v>
      </c>
      <c r="L3378">
        <v>1.675</v>
      </c>
      <c r="M3378">
        <v>75.602000000000004</v>
      </c>
      <c r="N3378">
        <v>14.285</v>
      </c>
    </row>
    <row r="3379" spans="1:14" x14ac:dyDescent="0.45">
      <c r="A3379">
        <v>1996</v>
      </c>
      <c r="B3379" t="s">
        <v>161</v>
      </c>
      <c r="C3379">
        <v>0</v>
      </c>
      <c r="D3379">
        <v>0</v>
      </c>
      <c r="E3379">
        <v>0</v>
      </c>
      <c r="F3379">
        <v>0</v>
      </c>
      <c r="G3379">
        <v>0</v>
      </c>
      <c r="H3379">
        <v>0</v>
      </c>
      <c r="I3379">
        <v>0</v>
      </c>
      <c r="J3379">
        <v>2473.77285753148</v>
      </c>
      <c r="K3379">
        <v>2377.0671283994102</v>
      </c>
      <c r="L3379">
        <v>81.766000000000005</v>
      </c>
      <c r="M3379">
        <v>56.820999999999998</v>
      </c>
      <c r="N3379">
        <v>124.143</v>
      </c>
    </row>
    <row r="3380" spans="1:14" x14ac:dyDescent="0.45">
      <c r="A3380">
        <v>1996</v>
      </c>
      <c r="B3380" t="s">
        <v>162</v>
      </c>
      <c r="C3380">
        <v>0</v>
      </c>
      <c r="D3380">
        <v>0</v>
      </c>
      <c r="E3380">
        <v>0</v>
      </c>
      <c r="F3380">
        <v>1</v>
      </c>
      <c r="G3380">
        <v>0</v>
      </c>
      <c r="H3380">
        <v>0</v>
      </c>
      <c r="I3380">
        <v>0</v>
      </c>
      <c r="J3380">
        <v>11757.2824887935</v>
      </c>
      <c r="K3380">
        <v>15282.0382815883</v>
      </c>
      <c r="L3380">
        <v>14.858000000000001</v>
      </c>
      <c r="M3380">
        <v>72.614000000000004</v>
      </c>
      <c r="N3380">
        <v>24.393999999999998</v>
      </c>
    </row>
    <row r="3381" spans="1:14" x14ac:dyDescent="0.45">
      <c r="A3381">
        <v>1996</v>
      </c>
      <c r="B3381" t="s">
        <v>163</v>
      </c>
      <c r="C3381">
        <v>0</v>
      </c>
      <c r="D3381">
        <v>0</v>
      </c>
      <c r="E3381">
        <v>1</v>
      </c>
      <c r="F3381">
        <v>0</v>
      </c>
      <c r="G3381">
        <v>0</v>
      </c>
      <c r="H3381">
        <v>0</v>
      </c>
      <c r="I3381">
        <v>0</v>
      </c>
      <c r="J3381">
        <v>582.67798253609203</v>
      </c>
      <c r="K3381">
        <v>860.87493299115499</v>
      </c>
      <c r="L3381">
        <v>57.036000000000001</v>
      </c>
      <c r="M3381">
        <v>44.945</v>
      </c>
      <c r="N3381">
        <v>239.66200000000001</v>
      </c>
    </row>
    <row r="3382" spans="1:14" x14ac:dyDescent="0.45">
      <c r="A3382">
        <v>1996</v>
      </c>
      <c r="B3382" t="s">
        <v>164</v>
      </c>
      <c r="C3382">
        <v>0</v>
      </c>
      <c r="D3382">
        <v>0</v>
      </c>
      <c r="E3382">
        <v>0</v>
      </c>
      <c r="F3382">
        <v>0</v>
      </c>
      <c r="G3382">
        <v>1</v>
      </c>
      <c r="H3382">
        <v>0</v>
      </c>
      <c r="I3382">
        <v>0</v>
      </c>
      <c r="J3382">
        <v>17804.464171529999</v>
      </c>
      <c r="K3382">
        <v>20807.990824570399</v>
      </c>
      <c r="L3382">
        <v>23.952000000000002</v>
      </c>
      <c r="M3382">
        <v>70.736000000000004</v>
      </c>
      <c r="N3382">
        <v>32.216000000000001</v>
      </c>
    </row>
    <row r="3383" spans="1:14" x14ac:dyDescent="0.45">
      <c r="A3383">
        <v>1996</v>
      </c>
      <c r="B3383" t="s">
        <v>165</v>
      </c>
      <c r="C3383">
        <v>0</v>
      </c>
      <c r="D3383">
        <v>1</v>
      </c>
      <c r="E3383">
        <v>0</v>
      </c>
      <c r="F3383">
        <v>0</v>
      </c>
      <c r="G3383">
        <v>1</v>
      </c>
      <c r="H3383">
        <v>0</v>
      </c>
      <c r="I3383">
        <v>0</v>
      </c>
      <c r="J3383">
        <v>18301.1522745648</v>
      </c>
      <c r="K3383">
        <v>13165.9771888381</v>
      </c>
      <c r="L3383">
        <v>71.435000000000002</v>
      </c>
      <c r="M3383">
        <v>70.962999999999994</v>
      </c>
      <c r="N3383">
        <v>18.785</v>
      </c>
    </row>
    <row r="3384" spans="1:14" x14ac:dyDescent="0.45">
      <c r="A3384">
        <v>1996</v>
      </c>
      <c r="B3384" t="s">
        <v>166</v>
      </c>
      <c r="C3384">
        <v>1</v>
      </c>
      <c r="D3384">
        <v>0</v>
      </c>
      <c r="E3384">
        <v>0</v>
      </c>
      <c r="F3384">
        <v>0</v>
      </c>
      <c r="G3384">
        <v>0</v>
      </c>
      <c r="H3384">
        <v>1</v>
      </c>
      <c r="I3384">
        <v>1</v>
      </c>
      <c r="L3384">
        <v>83.71</v>
      </c>
      <c r="M3384">
        <v>77.665999999999997</v>
      </c>
      <c r="N3384">
        <v>13.436999999999999</v>
      </c>
    </row>
    <row r="3385" spans="1:14" x14ac:dyDescent="0.45">
      <c r="A3385">
        <v>1996</v>
      </c>
      <c r="B3385" t="s">
        <v>167</v>
      </c>
      <c r="C3385">
        <v>0</v>
      </c>
      <c r="D3385">
        <v>0</v>
      </c>
      <c r="E3385">
        <v>0</v>
      </c>
      <c r="F3385">
        <v>0</v>
      </c>
      <c r="G3385">
        <v>0</v>
      </c>
      <c r="H3385">
        <v>0</v>
      </c>
      <c r="I3385">
        <v>0</v>
      </c>
      <c r="J3385">
        <v>5624.0239365059897</v>
      </c>
      <c r="K3385">
        <v>5252.7494684331296</v>
      </c>
      <c r="L3385">
        <v>81.558000000000007</v>
      </c>
      <c r="M3385">
        <v>69.840999999999994</v>
      </c>
      <c r="N3385">
        <v>20.012</v>
      </c>
    </row>
    <row r="3386" spans="1:14" x14ac:dyDescent="0.45">
      <c r="A3386">
        <v>1996</v>
      </c>
      <c r="B3386" t="s">
        <v>168</v>
      </c>
      <c r="C3386">
        <v>0</v>
      </c>
      <c r="D3386">
        <v>0</v>
      </c>
      <c r="E3386">
        <v>1</v>
      </c>
      <c r="F3386">
        <v>0</v>
      </c>
      <c r="G3386">
        <v>0</v>
      </c>
      <c r="H3386">
        <v>0</v>
      </c>
      <c r="I3386">
        <v>0</v>
      </c>
      <c r="J3386">
        <v>1786.182290166</v>
      </c>
      <c r="K3386">
        <v>1599.38369590293</v>
      </c>
      <c r="L3386">
        <v>82.429000000000002</v>
      </c>
      <c r="M3386">
        <v>55.136000000000003</v>
      </c>
      <c r="N3386">
        <v>97.912999999999997</v>
      </c>
    </row>
    <row r="3387" spans="1:14" x14ac:dyDescent="0.45">
      <c r="A3387">
        <v>1996</v>
      </c>
      <c r="B3387" t="s">
        <v>169</v>
      </c>
      <c r="C3387">
        <v>1</v>
      </c>
      <c r="D3387">
        <v>0</v>
      </c>
      <c r="E3387">
        <v>0</v>
      </c>
      <c r="F3387">
        <v>1</v>
      </c>
      <c r="G3387">
        <v>0</v>
      </c>
      <c r="H3387">
        <v>0</v>
      </c>
      <c r="I3387">
        <v>0</v>
      </c>
      <c r="J3387">
        <v>12873.2007572979</v>
      </c>
      <c r="K3387">
        <v>11013.8816401207</v>
      </c>
      <c r="L3387">
        <v>32.774999999999999</v>
      </c>
      <c r="M3387">
        <v>70.192999999999998</v>
      </c>
      <c r="N3387">
        <v>12.515000000000001</v>
      </c>
    </row>
    <row r="3388" spans="1:14" x14ac:dyDescent="0.45">
      <c r="A3388">
        <v>1996</v>
      </c>
      <c r="B3388" t="s">
        <v>170</v>
      </c>
      <c r="C3388">
        <v>1</v>
      </c>
      <c r="D3388">
        <v>0</v>
      </c>
      <c r="E3388">
        <v>0</v>
      </c>
      <c r="F3388">
        <v>0</v>
      </c>
      <c r="G3388">
        <v>0</v>
      </c>
      <c r="H3388">
        <v>1</v>
      </c>
      <c r="I3388">
        <v>1</v>
      </c>
      <c r="J3388">
        <v>92416.518664069794</v>
      </c>
      <c r="K3388">
        <v>78975.581549329698</v>
      </c>
      <c r="L3388">
        <v>17.175000000000001</v>
      </c>
      <c r="M3388">
        <v>76.168000000000006</v>
      </c>
      <c r="N3388">
        <v>7.0129999999999999</v>
      </c>
    </row>
    <row r="3389" spans="1:14" x14ac:dyDescent="0.45">
      <c r="A3389">
        <v>1996</v>
      </c>
      <c r="B3389" t="s">
        <v>171</v>
      </c>
      <c r="C3389">
        <v>1</v>
      </c>
      <c r="D3389">
        <v>0</v>
      </c>
      <c r="E3389">
        <v>0</v>
      </c>
      <c r="F3389">
        <v>1</v>
      </c>
      <c r="G3389">
        <v>0</v>
      </c>
      <c r="H3389">
        <v>0</v>
      </c>
      <c r="I3389">
        <v>0</v>
      </c>
      <c r="J3389">
        <v>11077.861842259699</v>
      </c>
      <c r="K3389">
        <v>9611.0342235312291</v>
      </c>
      <c r="L3389">
        <v>31.35</v>
      </c>
      <c r="M3389">
        <v>68.585999999999999</v>
      </c>
      <c r="N3389">
        <v>19.242999999999999</v>
      </c>
    </row>
    <row r="3390" spans="1:14" x14ac:dyDescent="0.45">
      <c r="A3390">
        <v>1996</v>
      </c>
      <c r="B3390" t="s">
        <v>172</v>
      </c>
      <c r="C3390">
        <v>0</v>
      </c>
      <c r="D3390">
        <v>0</v>
      </c>
      <c r="E3390">
        <v>0</v>
      </c>
      <c r="F3390">
        <v>0</v>
      </c>
      <c r="G3390">
        <v>0</v>
      </c>
      <c r="H3390">
        <v>1</v>
      </c>
      <c r="I3390">
        <v>1</v>
      </c>
      <c r="J3390">
        <v>59053.853933976097</v>
      </c>
      <c r="K3390">
        <v>53517.052325211997</v>
      </c>
      <c r="L3390">
        <v>1.9999999999996E-2</v>
      </c>
      <c r="M3390">
        <v>77.427999999999997</v>
      </c>
      <c r="N3390">
        <v>9.5519999999999996</v>
      </c>
    </row>
    <row r="3391" spans="1:14" x14ac:dyDescent="0.45">
      <c r="A3391">
        <v>1996</v>
      </c>
      <c r="B3391" t="s">
        <v>173</v>
      </c>
      <c r="C3391">
        <v>0</v>
      </c>
      <c r="D3391">
        <v>1</v>
      </c>
      <c r="E3391">
        <v>0</v>
      </c>
      <c r="F3391">
        <v>0</v>
      </c>
      <c r="G3391">
        <v>0</v>
      </c>
      <c r="H3391">
        <v>1</v>
      </c>
      <c r="I3391">
        <v>1</v>
      </c>
      <c r="L3391">
        <v>0</v>
      </c>
      <c r="M3391">
        <v>75.885000000000005</v>
      </c>
      <c r="N3391">
        <v>16.398</v>
      </c>
    </row>
    <row r="3392" spans="1:14" x14ac:dyDescent="0.45">
      <c r="A3392">
        <v>1996</v>
      </c>
      <c r="B3392" t="s">
        <v>174</v>
      </c>
      <c r="C3392">
        <v>0</v>
      </c>
      <c r="D3392">
        <v>0</v>
      </c>
      <c r="E3392">
        <v>0</v>
      </c>
      <c r="F3392">
        <v>1</v>
      </c>
      <c r="G3392">
        <v>0</v>
      </c>
      <c r="H3392">
        <v>0</v>
      </c>
      <c r="I3392">
        <v>0</v>
      </c>
      <c r="J3392">
        <v>4916.47998046875</v>
      </c>
      <c r="K3392">
        <v>4721.6322076077204</v>
      </c>
      <c r="L3392">
        <v>47.978000000000002</v>
      </c>
      <c r="M3392">
        <v>65.225999999999999</v>
      </c>
      <c r="N3392">
        <v>61.651000000000003</v>
      </c>
    </row>
    <row r="3393" spans="1:14" x14ac:dyDescent="0.45">
      <c r="A3393">
        <v>1996</v>
      </c>
      <c r="B3393" t="s">
        <v>175</v>
      </c>
      <c r="C3393">
        <v>1</v>
      </c>
      <c r="D3393">
        <v>0</v>
      </c>
      <c r="E3393">
        <v>0</v>
      </c>
      <c r="F3393">
        <v>0</v>
      </c>
      <c r="G3393">
        <v>0</v>
      </c>
      <c r="H3393">
        <v>1</v>
      </c>
      <c r="I3393">
        <v>1</v>
      </c>
      <c r="L3393">
        <v>0</v>
      </c>
      <c r="M3393">
        <v>81.132999999999996</v>
      </c>
      <c r="N3393">
        <v>8.7439999999999998</v>
      </c>
    </row>
    <row r="3394" spans="1:14" x14ac:dyDescent="0.45">
      <c r="A3394">
        <v>1996</v>
      </c>
      <c r="B3394" t="s">
        <v>176</v>
      </c>
      <c r="C3394">
        <v>1</v>
      </c>
      <c r="D3394">
        <v>0</v>
      </c>
      <c r="E3394">
        <v>0</v>
      </c>
      <c r="F3394">
        <v>0</v>
      </c>
      <c r="G3394">
        <v>0</v>
      </c>
      <c r="H3394">
        <v>0</v>
      </c>
      <c r="I3394">
        <v>0</v>
      </c>
      <c r="J3394">
        <v>6063.1405169366399</v>
      </c>
      <c r="K3394">
        <v>5200.4019365016002</v>
      </c>
      <c r="L3394">
        <v>53.8</v>
      </c>
      <c r="M3394">
        <v>66.248000000000005</v>
      </c>
      <c r="N3394">
        <v>35.896000000000001</v>
      </c>
    </row>
    <row r="3395" spans="1:14" x14ac:dyDescent="0.45">
      <c r="A3395">
        <v>1996</v>
      </c>
      <c r="B3395" t="s">
        <v>177</v>
      </c>
      <c r="C3395">
        <v>0</v>
      </c>
      <c r="D3395">
        <v>0</v>
      </c>
      <c r="E3395">
        <v>1</v>
      </c>
      <c r="F3395">
        <v>0</v>
      </c>
      <c r="G3395">
        <v>0</v>
      </c>
      <c r="H3395">
        <v>0</v>
      </c>
      <c r="I3395">
        <v>0</v>
      </c>
      <c r="J3395">
        <v>1643.32579628641</v>
      </c>
      <c r="K3395">
        <v>1522.4206386572801</v>
      </c>
      <c r="L3395">
        <v>73.941999999999993</v>
      </c>
      <c r="M3395">
        <v>55.476999999999997</v>
      </c>
      <c r="N3395">
        <v>124.94</v>
      </c>
    </row>
    <row r="3396" spans="1:14" x14ac:dyDescent="0.45">
      <c r="A3396">
        <v>1996</v>
      </c>
      <c r="B3396" t="s">
        <v>178</v>
      </c>
      <c r="C3396">
        <v>0</v>
      </c>
      <c r="D3396">
        <v>0</v>
      </c>
      <c r="E3396">
        <v>0</v>
      </c>
      <c r="F3396">
        <v>1</v>
      </c>
      <c r="G3396">
        <v>0</v>
      </c>
      <c r="H3396">
        <v>0</v>
      </c>
      <c r="I3396">
        <v>0</v>
      </c>
      <c r="J3396">
        <v>11495.0988887436</v>
      </c>
      <c r="K3396">
        <v>11340.872578254201</v>
      </c>
      <c r="L3396">
        <v>73.992000000000004</v>
      </c>
      <c r="M3396">
        <v>67.733999999999995</v>
      </c>
      <c r="N3396">
        <v>56.945999999999998</v>
      </c>
    </row>
    <row r="3397" spans="1:14" x14ac:dyDescent="0.45">
      <c r="A3397">
        <v>1996</v>
      </c>
      <c r="B3397" t="s">
        <v>179</v>
      </c>
      <c r="C3397">
        <v>0</v>
      </c>
      <c r="D3397">
        <v>1</v>
      </c>
      <c r="E3397">
        <v>0</v>
      </c>
      <c r="F3397">
        <v>0</v>
      </c>
      <c r="G3397">
        <v>1</v>
      </c>
      <c r="H3397">
        <v>0</v>
      </c>
      <c r="I3397">
        <v>0</v>
      </c>
      <c r="J3397">
        <v>17775.872786821201</v>
      </c>
      <c r="K3397">
        <v>16525.787935325399</v>
      </c>
      <c r="L3397">
        <v>26.33</v>
      </c>
      <c r="M3397">
        <v>71.087999999999994</v>
      </c>
      <c r="N3397">
        <v>33.976999999999997</v>
      </c>
    </row>
    <row r="3398" spans="1:14" x14ac:dyDescent="0.45">
      <c r="A3398">
        <v>1996</v>
      </c>
      <c r="B3398" t="s">
        <v>180</v>
      </c>
      <c r="C3398">
        <v>0</v>
      </c>
      <c r="D3398">
        <v>0</v>
      </c>
      <c r="E3398">
        <v>0</v>
      </c>
      <c r="F3398">
        <v>1</v>
      </c>
      <c r="G3398">
        <v>0</v>
      </c>
      <c r="H3398">
        <v>0</v>
      </c>
      <c r="I3398">
        <v>0</v>
      </c>
      <c r="J3398">
        <v>4174.8139215810497</v>
      </c>
      <c r="K3398">
        <v>3776.0560978366698</v>
      </c>
      <c r="L3398">
        <v>32.942</v>
      </c>
      <c r="M3398">
        <v>62.765000000000001</v>
      </c>
      <c r="N3398">
        <v>42.280999999999999</v>
      </c>
    </row>
    <row r="3399" spans="1:14" x14ac:dyDescent="0.45">
      <c r="A3399">
        <v>1996</v>
      </c>
      <c r="B3399" t="s">
        <v>181</v>
      </c>
      <c r="C3399">
        <v>1</v>
      </c>
      <c r="D3399">
        <v>0</v>
      </c>
      <c r="E3399">
        <v>0</v>
      </c>
      <c r="F3399">
        <v>1</v>
      </c>
      <c r="G3399">
        <v>0</v>
      </c>
      <c r="H3399">
        <v>0</v>
      </c>
      <c r="I3399">
        <v>0</v>
      </c>
      <c r="J3399">
        <v>10550.9414026338</v>
      </c>
      <c r="K3399">
        <v>8906.9768417308896</v>
      </c>
      <c r="L3399">
        <v>40.619999999999997</v>
      </c>
      <c r="M3399">
        <v>71.853999999999999</v>
      </c>
      <c r="N3399">
        <v>18.832000000000001</v>
      </c>
    </row>
    <row r="3400" spans="1:14" x14ac:dyDescent="0.45">
      <c r="A3400">
        <v>1996</v>
      </c>
      <c r="B3400" t="s">
        <v>182</v>
      </c>
      <c r="C3400">
        <v>0</v>
      </c>
      <c r="D3400">
        <v>0</v>
      </c>
      <c r="E3400">
        <v>1</v>
      </c>
      <c r="F3400">
        <v>0</v>
      </c>
      <c r="G3400">
        <v>0</v>
      </c>
      <c r="H3400">
        <v>0</v>
      </c>
      <c r="I3400">
        <v>0</v>
      </c>
      <c r="J3400">
        <v>1783.0275058807199</v>
      </c>
      <c r="K3400">
        <v>1650.38770065988</v>
      </c>
      <c r="L3400">
        <v>74.025000000000006</v>
      </c>
      <c r="M3400">
        <v>48.5</v>
      </c>
      <c r="N3400">
        <v>207.83099999999999</v>
      </c>
    </row>
    <row r="3401" spans="1:14" x14ac:dyDescent="0.45">
      <c r="A3401">
        <v>1996</v>
      </c>
      <c r="B3401" t="s">
        <v>183</v>
      </c>
      <c r="C3401">
        <v>0</v>
      </c>
      <c r="D3401">
        <v>0</v>
      </c>
      <c r="E3401">
        <v>0</v>
      </c>
      <c r="F3401">
        <v>0</v>
      </c>
      <c r="G3401">
        <v>1</v>
      </c>
      <c r="H3401">
        <v>0</v>
      </c>
      <c r="I3401">
        <v>0</v>
      </c>
      <c r="J3401">
        <v>22980.8890091633</v>
      </c>
      <c r="K3401">
        <v>19879.593810107599</v>
      </c>
      <c r="L3401">
        <v>8.8190000000000008</v>
      </c>
      <c r="M3401">
        <v>76.320999999999998</v>
      </c>
      <c r="N3401">
        <v>14.894</v>
      </c>
    </row>
    <row r="3402" spans="1:14" x14ac:dyDescent="0.45">
      <c r="A3402">
        <v>1996</v>
      </c>
      <c r="B3402" t="s">
        <v>184</v>
      </c>
      <c r="C3402">
        <v>0</v>
      </c>
      <c r="D3402">
        <v>0</v>
      </c>
      <c r="E3402">
        <v>0</v>
      </c>
      <c r="F3402">
        <v>0</v>
      </c>
      <c r="G3402">
        <v>0</v>
      </c>
      <c r="H3402">
        <v>0</v>
      </c>
      <c r="I3402">
        <v>0</v>
      </c>
      <c r="J3402">
        <v>1011.1599342327401</v>
      </c>
      <c r="K3402">
        <v>809.63892639336302</v>
      </c>
      <c r="L3402">
        <v>73.697000000000003</v>
      </c>
      <c r="M3402">
        <v>59.168999999999997</v>
      </c>
      <c r="N3402">
        <v>99.11</v>
      </c>
    </row>
    <row r="3403" spans="1:14" x14ac:dyDescent="0.45">
      <c r="A3403">
        <v>1996</v>
      </c>
      <c r="B3403" t="s">
        <v>185</v>
      </c>
      <c r="C3403">
        <v>1</v>
      </c>
      <c r="D3403">
        <v>0</v>
      </c>
      <c r="E3403">
        <v>0</v>
      </c>
      <c r="F3403">
        <v>1</v>
      </c>
      <c r="G3403">
        <v>0</v>
      </c>
      <c r="H3403">
        <v>0</v>
      </c>
      <c r="I3403">
        <v>0</v>
      </c>
      <c r="L3403">
        <v>45.588000000000001</v>
      </c>
      <c r="M3403">
        <v>73.611000000000004</v>
      </c>
      <c r="N3403">
        <v>15.407</v>
      </c>
    </row>
    <row r="3404" spans="1:14" x14ac:dyDescent="0.45">
      <c r="A3404">
        <v>1996</v>
      </c>
      <c r="B3404" t="s">
        <v>186</v>
      </c>
      <c r="C3404">
        <v>0</v>
      </c>
      <c r="D3404">
        <v>0</v>
      </c>
      <c r="E3404">
        <v>0</v>
      </c>
      <c r="F3404">
        <v>0</v>
      </c>
      <c r="G3404">
        <v>0</v>
      </c>
      <c r="H3404">
        <v>0</v>
      </c>
      <c r="I3404">
        <v>0</v>
      </c>
      <c r="J3404">
        <v>5494.32133981897</v>
      </c>
      <c r="K3404">
        <v>4233.2421876968601</v>
      </c>
      <c r="L3404">
        <v>43.24</v>
      </c>
      <c r="M3404">
        <v>61</v>
      </c>
      <c r="N3404">
        <v>80.799000000000007</v>
      </c>
    </row>
    <row r="3405" spans="1:14" x14ac:dyDescent="0.45">
      <c r="A3405">
        <v>1996</v>
      </c>
      <c r="B3405" t="s">
        <v>187</v>
      </c>
      <c r="C3405">
        <v>0</v>
      </c>
      <c r="D3405">
        <v>0</v>
      </c>
      <c r="E3405">
        <v>0</v>
      </c>
      <c r="F3405">
        <v>0</v>
      </c>
      <c r="G3405">
        <v>0</v>
      </c>
      <c r="H3405">
        <v>1</v>
      </c>
      <c r="I3405">
        <v>1</v>
      </c>
      <c r="L3405">
        <v>10.345000000000001</v>
      </c>
      <c r="M3405">
        <v>72.441999999999993</v>
      </c>
      <c r="N3405">
        <v>7.7779999999999996</v>
      </c>
    </row>
    <row r="3406" spans="1:14" x14ac:dyDescent="0.45">
      <c r="A3406">
        <v>1996</v>
      </c>
      <c r="B3406" t="s">
        <v>188</v>
      </c>
      <c r="C3406">
        <v>0</v>
      </c>
      <c r="D3406">
        <v>0</v>
      </c>
      <c r="E3406">
        <v>1</v>
      </c>
      <c r="F3406">
        <v>0</v>
      </c>
      <c r="G3406">
        <v>0</v>
      </c>
      <c r="H3406">
        <v>0</v>
      </c>
      <c r="I3406">
        <v>0</v>
      </c>
      <c r="J3406">
        <v>562.85745634165596</v>
      </c>
      <c r="K3406">
        <v>471.28049501392201</v>
      </c>
      <c r="L3406">
        <v>71.986999999999995</v>
      </c>
      <c r="M3406">
        <v>47.121000000000002</v>
      </c>
      <c r="N3406">
        <v>206.959</v>
      </c>
    </row>
    <row r="3407" spans="1:14" x14ac:dyDescent="0.45">
      <c r="A3407">
        <v>1996</v>
      </c>
      <c r="B3407" t="s">
        <v>189</v>
      </c>
      <c r="C3407">
        <v>0</v>
      </c>
      <c r="D3407">
        <v>0</v>
      </c>
      <c r="E3407">
        <v>1</v>
      </c>
      <c r="F3407">
        <v>0</v>
      </c>
      <c r="G3407">
        <v>0</v>
      </c>
      <c r="H3407">
        <v>0</v>
      </c>
      <c r="I3407">
        <v>0</v>
      </c>
      <c r="J3407">
        <v>5650.3411862549001</v>
      </c>
      <c r="K3407">
        <v>4998.9323964447103</v>
      </c>
      <c r="L3407">
        <v>61.417999999999999</v>
      </c>
      <c r="M3407">
        <v>58.914999999999999</v>
      </c>
      <c r="N3407">
        <v>109.283</v>
      </c>
    </row>
    <row r="3408" spans="1:14" x14ac:dyDescent="0.45">
      <c r="A3408">
        <v>1996</v>
      </c>
      <c r="B3408" t="s">
        <v>190</v>
      </c>
      <c r="C3408">
        <v>0</v>
      </c>
      <c r="D3408">
        <v>0</v>
      </c>
      <c r="E3408">
        <v>1</v>
      </c>
      <c r="F3408">
        <v>0</v>
      </c>
      <c r="G3408">
        <v>1</v>
      </c>
      <c r="H3408">
        <v>0</v>
      </c>
      <c r="I3408">
        <v>0</v>
      </c>
      <c r="J3408">
        <v>11202.286320862901</v>
      </c>
      <c r="K3408">
        <v>10514.7424501723</v>
      </c>
      <c r="L3408">
        <v>56.838999999999999</v>
      </c>
      <c r="M3408">
        <v>70.524000000000001</v>
      </c>
      <c r="N3408">
        <v>21.946999999999999</v>
      </c>
    </row>
    <row r="3409" spans="1:14" x14ac:dyDescent="0.45">
      <c r="A3409">
        <v>1996</v>
      </c>
      <c r="B3409" t="s">
        <v>191</v>
      </c>
      <c r="C3409">
        <v>0</v>
      </c>
      <c r="D3409">
        <v>0</v>
      </c>
      <c r="E3409">
        <v>1</v>
      </c>
      <c r="F3409">
        <v>0</v>
      </c>
      <c r="G3409">
        <v>0</v>
      </c>
      <c r="H3409">
        <v>0</v>
      </c>
      <c r="I3409">
        <v>0</v>
      </c>
      <c r="J3409">
        <v>1200.3205823242199</v>
      </c>
      <c r="K3409">
        <v>1027.0679523624201</v>
      </c>
      <c r="L3409">
        <v>86.370999999999995</v>
      </c>
      <c r="M3409">
        <v>44.005000000000003</v>
      </c>
      <c r="N3409">
        <v>201.929</v>
      </c>
    </row>
    <row r="3410" spans="1:14" x14ac:dyDescent="0.45">
      <c r="A3410">
        <v>1996</v>
      </c>
      <c r="B3410" t="s">
        <v>192</v>
      </c>
      <c r="C3410">
        <v>0</v>
      </c>
      <c r="D3410">
        <v>0</v>
      </c>
      <c r="E3410">
        <v>0</v>
      </c>
      <c r="F3410">
        <v>0</v>
      </c>
      <c r="G3410">
        <v>1</v>
      </c>
      <c r="H3410">
        <v>0</v>
      </c>
      <c r="I3410">
        <v>0</v>
      </c>
      <c r="J3410">
        <v>17771.711879505601</v>
      </c>
      <c r="K3410">
        <v>15885.813512316499</v>
      </c>
      <c r="L3410">
        <v>43.030999999999999</v>
      </c>
      <c r="M3410">
        <v>72.119</v>
      </c>
      <c r="N3410">
        <v>12.959</v>
      </c>
    </row>
    <row r="3411" spans="1:14" x14ac:dyDescent="0.45">
      <c r="A3411">
        <v>1996</v>
      </c>
      <c r="B3411" t="s">
        <v>193</v>
      </c>
      <c r="C3411">
        <v>0</v>
      </c>
      <c r="D3411">
        <v>0</v>
      </c>
      <c r="E3411">
        <v>1</v>
      </c>
      <c r="F3411">
        <v>1</v>
      </c>
      <c r="G3411">
        <v>0</v>
      </c>
      <c r="H3411">
        <v>0</v>
      </c>
      <c r="I3411">
        <v>0</v>
      </c>
      <c r="J3411">
        <v>7538.92462342201</v>
      </c>
      <c r="K3411">
        <v>6533.9844965622096</v>
      </c>
      <c r="L3411">
        <v>69.683999999999997</v>
      </c>
      <c r="M3411">
        <v>56.639000000000003</v>
      </c>
      <c r="N3411">
        <v>74.206000000000003</v>
      </c>
    </row>
    <row r="3412" spans="1:14" x14ac:dyDescent="0.45">
      <c r="A3412">
        <v>1996</v>
      </c>
      <c r="B3412" t="s">
        <v>194</v>
      </c>
      <c r="C3412">
        <v>0</v>
      </c>
      <c r="D3412">
        <v>0</v>
      </c>
      <c r="E3412">
        <v>0</v>
      </c>
      <c r="F3412">
        <v>0</v>
      </c>
      <c r="G3412">
        <v>0</v>
      </c>
      <c r="H3412">
        <v>1</v>
      </c>
      <c r="I3412">
        <v>1</v>
      </c>
      <c r="L3412">
        <v>39.524999999999999</v>
      </c>
      <c r="M3412">
        <v>71.75</v>
      </c>
      <c r="N3412">
        <v>25.57</v>
      </c>
    </row>
    <row r="3413" spans="1:14" x14ac:dyDescent="0.45">
      <c r="A3413">
        <v>1996</v>
      </c>
      <c r="B3413" t="s">
        <v>195</v>
      </c>
      <c r="C3413">
        <v>0</v>
      </c>
      <c r="D3413">
        <v>0</v>
      </c>
      <c r="E3413">
        <v>1</v>
      </c>
      <c r="F3413">
        <v>0</v>
      </c>
      <c r="G3413">
        <v>0</v>
      </c>
      <c r="H3413">
        <v>0</v>
      </c>
      <c r="I3413">
        <v>0</v>
      </c>
      <c r="J3413">
        <v>1239.4766411517401</v>
      </c>
      <c r="K3413">
        <v>985.17592562420498</v>
      </c>
      <c r="L3413">
        <v>84.144999999999996</v>
      </c>
      <c r="M3413">
        <v>46.313000000000002</v>
      </c>
      <c r="N3413">
        <v>272.49700000000001</v>
      </c>
    </row>
    <row r="3414" spans="1:14" x14ac:dyDescent="0.45">
      <c r="A3414">
        <v>1996</v>
      </c>
      <c r="B3414" t="s">
        <v>196</v>
      </c>
      <c r="C3414">
        <v>0</v>
      </c>
      <c r="D3414">
        <v>0</v>
      </c>
      <c r="E3414">
        <v>1</v>
      </c>
      <c r="F3414">
        <v>0</v>
      </c>
      <c r="G3414">
        <v>0</v>
      </c>
      <c r="H3414">
        <v>0</v>
      </c>
      <c r="I3414">
        <v>0</v>
      </c>
      <c r="J3414">
        <v>3277.7945224395598</v>
      </c>
      <c r="K3414">
        <v>2898.0121323939802</v>
      </c>
      <c r="L3414">
        <v>67.275000000000006</v>
      </c>
      <c r="M3414">
        <v>45.832999999999998</v>
      </c>
      <c r="N3414">
        <v>199.495</v>
      </c>
    </row>
    <row r="3415" spans="1:14" x14ac:dyDescent="0.45">
      <c r="A3415">
        <v>1996</v>
      </c>
      <c r="B3415" t="s">
        <v>197</v>
      </c>
      <c r="C3415">
        <v>0</v>
      </c>
      <c r="D3415">
        <v>1</v>
      </c>
      <c r="E3415">
        <v>0</v>
      </c>
      <c r="F3415">
        <v>0</v>
      </c>
      <c r="G3415">
        <v>0</v>
      </c>
      <c r="H3415">
        <v>0</v>
      </c>
      <c r="I3415">
        <v>0</v>
      </c>
      <c r="J3415">
        <v>4311.4931685348201</v>
      </c>
      <c r="K3415">
        <v>3631.4204468558</v>
      </c>
      <c r="L3415">
        <v>45.412999999999997</v>
      </c>
      <c r="M3415">
        <v>65.215000000000003</v>
      </c>
      <c r="N3415">
        <v>49.262</v>
      </c>
    </row>
    <row r="3416" spans="1:14" x14ac:dyDescent="0.45">
      <c r="A3416">
        <v>1996</v>
      </c>
      <c r="B3416" t="s">
        <v>198</v>
      </c>
      <c r="C3416">
        <v>1</v>
      </c>
      <c r="D3416">
        <v>0</v>
      </c>
      <c r="E3416">
        <v>0</v>
      </c>
      <c r="F3416">
        <v>0</v>
      </c>
      <c r="G3416">
        <v>0</v>
      </c>
      <c r="H3416">
        <v>1</v>
      </c>
      <c r="I3416">
        <v>1</v>
      </c>
      <c r="J3416">
        <v>48095.966024711997</v>
      </c>
      <c r="K3416">
        <v>40599.874249378197</v>
      </c>
      <c r="L3416">
        <v>26.36</v>
      </c>
      <c r="M3416">
        <v>77.555999999999997</v>
      </c>
      <c r="N3416">
        <v>6.9669999999999996</v>
      </c>
    </row>
    <row r="3417" spans="1:14" x14ac:dyDescent="0.45">
      <c r="A3417">
        <v>1996</v>
      </c>
      <c r="B3417" t="s">
        <v>199</v>
      </c>
      <c r="C3417">
        <v>1</v>
      </c>
      <c r="D3417">
        <v>0</v>
      </c>
      <c r="E3417">
        <v>0</v>
      </c>
      <c r="F3417">
        <v>0</v>
      </c>
      <c r="G3417">
        <v>0</v>
      </c>
      <c r="H3417">
        <v>1</v>
      </c>
      <c r="I3417">
        <v>1</v>
      </c>
      <c r="J3417">
        <v>69764.381424618696</v>
      </c>
      <c r="K3417">
        <v>51548.036865036498</v>
      </c>
      <c r="L3417">
        <v>25.937999999999999</v>
      </c>
      <c r="M3417">
        <v>78.233000000000004</v>
      </c>
      <c r="N3417">
        <v>5.1829999999999998</v>
      </c>
    </row>
    <row r="3418" spans="1:14" x14ac:dyDescent="0.45">
      <c r="A3418">
        <v>1996</v>
      </c>
      <c r="B3418" t="s">
        <v>200</v>
      </c>
      <c r="C3418">
        <v>0</v>
      </c>
      <c r="D3418">
        <v>0</v>
      </c>
      <c r="E3418">
        <v>0</v>
      </c>
      <c r="F3418">
        <v>0</v>
      </c>
      <c r="G3418">
        <v>0</v>
      </c>
      <c r="H3418">
        <v>0</v>
      </c>
      <c r="I3418">
        <v>0</v>
      </c>
      <c r="J3418">
        <v>2105.5083271385702</v>
      </c>
      <c r="K3418">
        <v>1864.02109776869</v>
      </c>
      <c r="L3418">
        <v>88.65</v>
      </c>
      <c r="M3418">
        <v>60.043999999999997</v>
      </c>
      <c r="N3418">
        <v>100.175</v>
      </c>
    </row>
    <row r="3419" spans="1:14" x14ac:dyDescent="0.45">
      <c r="A3419">
        <v>1996</v>
      </c>
      <c r="B3419" t="s">
        <v>201</v>
      </c>
      <c r="C3419">
        <v>0</v>
      </c>
      <c r="D3419">
        <v>0</v>
      </c>
      <c r="E3419">
        <v>0</v>
      </c>
      <c r="F3419">
        <v>0</v>
      </c>
      <c r="G3419">
        <v>0</v>
      </c>
      <c r="H3419">
        <v>1</v>
      </c>
      <c r="I3419">
        <v>1</v>
      </c>
      <c r="J3419">
        <v>12813.587114805599</v>
      </c>
      <c r="K3419">
        <v>11592.7145492359</v>
      </c>
      <c r="L3419">
        <v>0</v>
      </c>
      <c r="M3419">
        <v>60.07</v>
      </c>
      <c r="N3419">
        <v>50.393000000000001</v>
      </c>
    </row>
    <row r="3420" spans="1:14" x14ac:dyDescent="0.45">
      <c r="A3420">
        <v>1996</v>
      </c>
      <c r="B3420" t="s">
        <v>202</v>
      </c>
      <c r="C3420">
        <v>0</v>
      </c>
      <c r="D3420">
        <v>0</v>
      </c>
      <c r="E3420">
        <v>0</v>
      </c>
      <c r="F3420">
        <v>0</v>
      </c>
      <c r="G3420">
        <v>0</v>
      </c>
      <c r="H3420">
        <v>1</v>
      </c>
      <c r="I3420">
        <v>1</v>
      </c>
      <c r="J3420">
        <v>33231.447797141504</v>
      </c>
      <c r="K3420">
        <v>30225.729808111599</v>
      </c>
      <c r="L3420">
        <v>14.3</v>
      </c>
      <c r="M3420">
        <v>76.807000000000002</v>
      </c>
      <c r="N3420">
        <v>8.6999999999999993</v>
      </c>
    </row>
    <row r="3421" spans="1:14" x14ac:dyDescent="0.45">
      <c r="A3421">
        <v>1996</v>
      </c>
      <c r="B3421" t="s">
        <v>203</v>
      </c>
      <c r="C3421">
        <v>0</v>
      </c>
      <c r="D3421">
        <v>0</v>
      </c>
      <c r="E3421">
        <v>0</v>
      </c>
      <c r="F3421">
        <v>0</v>
      </c>
      <c r="G3421">
        <v>1</v>
      </c>
      <c r="H3421">
        <v>0</v>
      </c>
      <c r="I3421">
        <v>0</v>
      </c>
      <c r="J3421">
        <v>39455.826411998503</v>
      </c>
      <c r="K3421">
        <v>34283.979820119297</v>
      </c>
      <c r="L3421">
        <v>28.350999999999999</v>
      </c>
      <c r="M3421">
        <v>72.022999999999996</v>
      </c>
      <c r="N3421">
        <v>22.603999999999999</v>
      </c>
    </row>
    <row r="3422" spans="1:14" x14ac:dyDescent="0.45">
      <c r="A3422">
        <v>1996</v>
      </c>
      <c r="B3422" t="s">
        <v>204</v>
      </c>
      <c r="C3422">
        <v>0</v>
      </c>
      <c r="D3422">
        <v>0</v>
      </c>
      <c r="E3422">
        <v>0</v>
      </c>
      <c r="F3422">
        <v>0</v>
      </c>
      <c r="G3422">
        <v>0</v>
      </c>
      <c r="H3422">
        <v>0</v>
      </c>
      <c r="I3422">
        <v>0</v>
      </c>
      <c r="J3422">
        <v>3526.1416087515499</v>
      </c>
      <c r="K3422">
        <v>3356.5298959779998</v>
      </c>
      <c r="L3422">
        <v>67.908000000000001</v>
      </c>
      <c r="M3422">
        <v>60.466000000000001</v>
      </c>
      <c r="N3422">
        <v>121.163</v>
      </c>
    </row>
    <row r="3423" spans="1:14" x14ac:dyDescent="0.45">
      <c r="A3423">
        <v>1996</v>
      </c>
      <c r="B3423" t="s">
        <v>205</v>
      </c>
      <c r="C3423">
        <v>0</v>
      </c>
      <c r="D3423">
        <v>1</v>
      </c>
      <c r="E3423">
        <v>0</v>
      </c>
      <c r="F3423">
        <v>1</v>
      </c>
      <c r="G3423">
        <v>0</v>
      </c>
      <c r="H3423">
        <v>0</v>
      </c>
      <c r="I3423">
        <v>0</v>
      </c>
      <c r="J3423">
        <v>12327.851519596599</v>
      </c>
      <c r="K3423">
        <v>12926.714280521401</v>
      </c>
      <c r="L3423">
        <v>41.021999999999998</v>
      </c>
      <c r="M3423">
        <v>72.198999999999998</v>
      </c>
      <c r="N3423">
        <v>27.518000000000001</v>
      </c>
    </row>
    <row r="3424" spans="1:14" x14ac:dyDescent="0.45">
      <c r="A3424">
        <v>1996</v>
      </c>
      <c r="B3424" t="s">
        <v>206</v>
      </c>
      <c r="C3424">
        <v>0</v>
      </c>
      <c r="D3424">
        <v>1</v>
      </c>
      <c r="E3424">
        <v>0</v>
      </c>
      <c r="F3424">
        <v>1</v>
      </c>
      <c r="G3424">
        <v>0</v>
      </c>
      <c r="H3424">
        <v>0</v>
      </c>
      <c r="I3424">
        <v>0</v>
      </c>
      <c r="J3424">
        <v>7437.1925719565797</v>
      </c>
      <c r="K3424">
        <v>6214.4007808834804</v>
      </c>
      <c r="L3424">
        <v>28.623000000000001</v>
      </c>
      <c r="M3424">
        <v>67.849999999999994</v>
      </c>
      <c r="N3424">
        <v>52.787999999999997</v>
      </c>
    </row>
    <row r="3425" spans="1:14" x14ac:dyDescent="0.45">
      <c r="A3425">
        <v>1996</v>
      </c>
      <c r="B3425" t="s">
        <v>207</v>
      </c>
      <c r="C3425">
        <v>0</v>
      </c>
      <c r="D3425">
        <v>0</v>
      </c>
      <c r="E3425">
        <v>0</v>
      </c>
      <c r="F3425">
        <v>1</v>
      </c>
      <c r="G3425">
        <v>0</v>
      </c>
      <c r="H3425">
        <v>0</v>
      </c>
      <c r="I3425">
        <v>0</v>
      </c>
      <c r="J3425">
        <v>4631.7719770597196</v>
      </c>
      <c r="K3425">
        <v>4194.5353601718798</v>
      </c>
      <c r="L3425">
        <v>53.524999999999999</v>
      </c>
      <c r="M3425">
        <v>66.691000000000003</v>
      </c>
      <c r="N3425">
        <v>42.323999999999998</v>
      </c>
    </row>
    <row r="3426" spans="1:14" x14ac:dyDescent="0.45">
      <c r="A3426">
        <v>1996</v>
      </c>
      <c r="B3426" t="s">
        <v>208</v>
      </c>
      <c r="C3426">
        <v>0</v>
      </c>
      <c r="D3426">
        <v>0</v>
      </c>
      <c r="E3426">
        <v>0</v>
      </c>
      <c r="F3426">
        <v>0</v>
      </c>
      <c r="G3426">
        <v>1</v>
      </c>
      <c r="H3426">
        <v>0</v>
      </c>
      <c r="I3426">
        <v>0</v>
      </c>
      <c r="J3426">
        <v>17446.2173829975</v>
      </c>
      <c r="K3426">
        <v>15783.9499800424</v>
      </c>
      <c r="L3426">
        <v>28.693999999999999</v>
      </c>
      <c r="M3426">
        <v>63.454999999999998</v>
      </c>
      <c r="N3426">
        <v>30.312999999999999</v>
      </c>
    </row>
    <row r="3427" spans="1:14" x14ac:dyDescent="0.45">
      <c r="A3427">
        <v>1996</v>
      </c>
      <c r="B3427" t="s">
        <v>209</v>
      </c>
      <c r="C3427">
        <v>0</v>
      </c>
      <c r="D3427">
        <v>0</v>
      </c>
      <c r="E3427">
        <v>0</v>
      </c>
      <c r="F3427">
        <v>1</v>
      </c>
      <c r="G3427">
        <v>0</v>
      </c>
      <c r="H3427">
        <v>0</v>
      </c>
      <c r="I3427">
        <v>0</v>
      </c>
      <c r="J3427">
        <v>4167.0362207787202</v>
      </c>
      <c r="K3427">
        <v>3769.5065737810901</v>
      </c>
      <c r="L3427">
        <v>86.099000000000004</v>
      </c>
      <c r="M3427">
        <v>61.070999999999998</v>
      </c>
      <c r="N3427">
        <v>76.475999999999999</v>
      </c>
    </row>
    <row r="3428" spans="1:14" x14ac:dyDescent="0.45">
      <c r="A3428">
        <v>1996</v>
      </c>
      <c r="B3428" t="s">
        <v>210</v>
      </c>
      <c r="C3428">
        <v>1</v>
      </c>
      <c r="D3428">
        <v>0</v>
      </c>
      <c r="E3428">
        <v>0</v>
      </c>
      <c r="F3428">
        <v>0</v>
      </c>
      <c r="G3428">
        <v>1</v>
      </c>
      <c r="H3428">
        <v>0</v>
      </c>
      <c r="I3428">
        <v>0</v>
      </c>
      <c r="J3428">
        <v>15083.09812162</v>
      </c>
      <c r="K3428">
        <v>13019.293846751199</v>
      </c>
      <c r="L3428">
        <v>38.462000000000003</v>
      </c>
      <c r="M3428">
        <v>72.253</v>
      </c>
      <c r="N3428">
        <v>13.337999999999999</v>
      </c>
    </row>
    <row r="3429" spans="1:14" x14ac:dyDescent="0.45">
      <c r="A3429">
        <v>1996</v>
      </c>
      <c r="B3429" t="s">
        <v>211</v>
      </c>
      <c r="C3429">
        <v>0</v>
      </c>
      <c r="D3429">
        <v>1</v>
      </c>
      <c r="E3429">
        <v>0</v>
      </c>
      <c r="F3429">
        <v>0</v>
      </c>
      <c r="G3429">
        <v>1</v>
      </c>
      <c r="H3429">
        <v>0</v>
      </c>
      <c r="I3429">
        <v>0</v>
      </c>
      <c r="J3429">
        <v>31677.230254164399</v>
      </c>
      <c r="K3429">
        <v>24335.738548193</v>
      </c>
      <c r="L3429">
        <v>6.1239999999999997</v>
      </c>
      <c r="M3429">
        <v>73.995000000000005</v>
      </c>
      <c r="N3429">
        <v>16.248000000000001</v>
      </c>
    </row>
    <row r="3430" spans="1:14" x14ac:dyDescent="0.45">
      <c r="A3430">
        <v>1996</v>
      </c>
      <c r="B3430" t="s">
        <v>212</v>
      </c>
      <c r="C3430">
        <v>0</v>
      </c>
      <c r="D3430">
        <v>0</v>
      </c>
      <c r="E3430">
        <v>0</v>
      </c>
      <c r="F3430">
        <v>1</v>
      </c>
      <c r="G3430">
        <v>0</v>
      </c>
      <c r="H3430">
        <v>0</v>
      </c>
      <c r="I3430">
        <v>0</v>
      </c>
      <c r="L3430">
        <v>40.902999999999999</v>
      </c>
      <c r="M3430">
        <v>60.82</v>
      </c>
      <c r="N3430">
        <v>106.489</v>
      </c>
    </row>
    <row r="3431" spans="1:14" x14ac:dyDescent="0.45">
      <c r="A3431">
        <v>1996</v>
      </c>
      <c r="B3431" t="s">
        <v>213</v>
      </c>
      <c r="C3431">
        <v>1</v>
      </c>
      <c r="D3431">
        <v>0</v>
      </c>
      <c r="E3431">
        <v>0</v>
      </c>
      <c r="F3431">
        <v>0</v>
      </c>
      <c r="G3431">
        <v>0</v>
      </c>
      <c r="H3431">
        <v>1</v>
      </c>
      <c r="I3431">
        <v>1</v>
      </c>
      <c r="J3431">
        <v>30378.755676888301</v>
      </c>
      <c r="K3431">
        <v>26258.8828195797</v>
      </c>
      <c r="L3431">
        <v>48.23</v>
      </c>
      <c r="M3431">
        <v>75.475999999999999</v>
      </c>
      <c r="N3431">
        <v>9.1270000000000007</v>
      </c>
    </row>
    <row r="3432" spans="1:14" x14ac:dyDescent="0.45">
      <c r="A3432">
        <v>1996</v>
      </c>
      <c r="B3432" t="s">
        <v>214</v>
      </c>
      <c r="C3432">
        <v>0</v>
      </c>
      <c r="D3432">
        <v>1</v>
      </c>
      <c r="E3432">
        <v>0</v>
      </c>
      <c r="F3432">
        <v>1</v>
      </c>
      <c r="G3432">
        <v>0</v>
      </c>
      <c r="H3432">
        <v>0</v>
      </c>
      <c r="I3432">
        <v>0</v>
      </c>
      <c r="J3432">
        <v>10825.2874881073</v>
      </c>
      <c r="K3432">
        <v>9876.3323393499504</v>
      </c>
      <c r="L3432">
        <v>47.225999999999999</v>
      </c>
      <c r="M3432">
        <v>69.05</v>
      </c>
      <c r="N3432">
        <v>37.595999999999997</v>
      </c>
    </row>
    <row r="3433" spans="1:14" x14ac:dyDescent="0.45">
      <c r="A3433">
        <v>1996</v>
      </c>
      <c r="B3433" t="s">
        <v>215</v>
      </c>
      <c r="C3433">
        <v>0</v>
      </c>
      <c r="D3433">
        <v>0</v>
      </c>
      <c r="E3433">
        <v>0</v>
      </c>
      <c r="F3433">
        <v>1</v>
      </c>
      <c r="G3433">
        <v>0</v>
      </c>
      <c r="H3433">
        <v>0</v>
      </c>
      <c r="I3433">
        <v>0</v>
      </c>
      <c r="J3433">
        <v>3932.2269473285401</v>
      </c>
      <c r="K3433">
        <v>3352.9504161442701</v>
      </c>
      <c r="L3433">
        <v>29.295000000000002</v>
      </c>
      <c r="M3433">
        <v>69.981999999999999</v>
      </c>
      <c r="N3433">
        <v>34.682000000000002</v>
      </c>
    </row>
    <row r="3434" spans="1:14" x14ac:dyDescent="0.45">
      <c r="A3434">
        <v>1996</v>
      </c>
      <c r="B3434" t="s">
        <v>216</v>
      </c>
      <c r="C3434">
        <v>0</v>
      </c>
      <c r="D3434">
        <v>0</v>
      </c>
      <c r="E3434">
        <v>0</v>
      </c>
      <c r="F3434">
        <v>0</v>
      </c>
      <c r="G3434">
        <v>0</v>
      </c>
      <c r="H3434">
        <v>1</v>
      </c>
      <c r="I3434">
        <v>1</v>
      </c>
      <c r="L3434">
        <v>43.606999999999999</v>
      </c>
      <c r="M3434">
        <v>76.813000000000002</v>
      </c>
      <c r="N3434">
        <v>13.9</v>
      </c>
    </row>
    <row r="3435" spans="1:14" x14ac:dyDescent="0.45">
      <c r="A3435">
        <v>1996</v>
      </c>
      <c r="B3435" t="s">
        <v>217</v>
      </c>
      <c r="C3435">
        <v>0</v>
      </c>
      <c r="D3435">
        <v>0</v>
      </c>
      <c r="E3435">
        <v>0</v>
      </c>
      <c r="F3435">
        <v>0</v>
      </c>
      <c r="G3435">
        <v>0</v>
      </c>
      <c r="H3435">
        <v>1</v>
      </c>
      <c r="I3435">
        <v>1</v>
      </c>
      <c r="J3435">
        <v>69746.219316804098</v>
      </c>
      <c r="K3435">
        <v>60225.711258998097</v>
      </c>
      <c r="L3435">
        <v>4.6440000000000099</v>
      </c>
      <c r="M3435">
        <v>74.558000000000007</v>
      </c>
      <c r="N3435">
        <v>14.712</v>
      </c>
    </row>
    <row r="3436" spans="1:14" x14ac:dyDescent="0.45">
      <c r="A3436">
        <v>1996</v>
      </c>
      <c r="B3436" t="s">
        <v>218</v>
      </c>
      <c r="C3436">
        <v>1</v>
      </c>
      <c r="D3436">
        <v>0</v>
      </c>
      <c r="E3436">
        <v>0</v>
      </c>
      <c r="F3436">
        <v>1</v>
      </c>
      <c r="G3436">
        <v>0</v>
      </c>
      <c r="H3436">
        <v>0</v>
      </c>
      <c r="I3436">
        <v>0</v>
      </c>
      <c r="J3436">
        <v>15486.8942610391</v>
      </c>
      <c r="K3436">
        <v>12588.3061923102</v>
      </c>
      <c r="L3436">
        <v>46.384</v>
      </c>
      <c r="M3436">
        <v>68.820999999999998</v>
      </c>
      <c r="N3436">
        <v>26.873999999999999</v>
      </c>
    </row>
    <row r="3437" spans="1:14" x14ac:dyDescent="0.45">
      <c r="A3437">
        <v>1996</v>
      </c>
      <c r="B3437" t="s">
        <v>219</v>
      </c>
      <c r="C3437">
        <v>1</v>
      </c>
      <c r="D3437">
        <v>0</v>
      </c>
      <c r="E3437">
        <v>0</v>
      </c>
      <c r="F3437">
        <v>1</v>
      </c>
      <c r="G3437">
        <v>0</v>
      </c>
      <c r="H3437">
        <v>0</v>
      </c>
      <c r="I3437">
        <v>0</v>
      </c>
      <c r="J3437">
        <v>17699.869140625</v>
      </c>
      <c r="K3437">
        <v>12827.115739639699</v>
      </c>
      <c r="L3437">
        <v>26.632999999999999</v>
      </c>
      <c r="M3437">
        <v>65.448999999999998</v>
      </c>
      <c r="N3437">
        <v>21.225000000000001</v>
      </c>
    </row>
    <row r="3438" spans="1:14" x14ac:dyDescent="0.45">
      <c r="A3438">
        <v>1996</v>
      </c>
      <c r="B3438" t="s">
        <v>220</v>
      </c>
      <c r="C3438">
        <v>0</v>
      </c>
      <c r="D3438">
        <v>0</v>
      </c>
      <c r="E3438">
        <v>1</v>
      </c>
      <c r="F3438">
        <v>0</v>
      </c>
      <c r="G3438">
        <v>0</v>
      </c>
      <c r="H3438">
        <v>0</v>
      </c>
      <c r="I3438">
        <v>0</v>
      </c>
      <c r="J3438">
        <v>888.13100987854898</v>
      </c>
      <c r="K3438">
        <v>743.23586120917605</v>
      </c>
      <c r="L3438">
        <v>88.626000000000005</v>
      </c>
      <c r="M3438">
        <v>42.485999999999997</v>
      </c>
      <c r="N3438">
        <v>210.947</v>
      </c>
    </row>
    <row r="3439" spans="1:14" x14ac:dyDescent="0.45">
      <c r="A3439">
        <v>1996</v>
      </c>
      <c r="B3439" t="s">
        <v>221</v>
      </c>
      <c r="C3439">
        <v>0</v>
      </c>
      <c r="D3439">
        <v>0</v>
      </c>
      <c r="E3439">
        <v>0</v>
      </c>
      <c r="F3439">
        <v>0</v>
      </c>
      <c r="G3439">
        <v>1</v>
      </c>
      <c r="H3439">
        <v>0</v>
      </c>
      <c r="I3439">
        <v>0</v>
      </c>
      <c r="J3439">
        <v>59612.812599366502</v>
      </c>
      <c r="K3439">
        <v>54651.7175362782</v>
      </c>
      <c r="L3439">
        <v>21.09</v>
      </c>
      <c r="M3439">
        <v>71.287999999999997</v>
      </c>
      <c r="N3439">
        <v>28.715</v>
      </c>
    </row>
    <row r="3440" spans="1:14" x14ac:dyDescent="0.45">
      <c r="A3440">
        <v>1996</v>
      </c>
      <c r="B3440" t="s">
        <v>222</v>
      </c>
      <c r="C3440">
        <v>0</v>
      </c>
      <c r="D3440">
        <v>0</v>
      </c>
      <c r="E3440">
        <v>1</v>
      </c>
      <c r="F3440">
        <v>0</v>
      </c>
      <c r="G3440">
        <v>0</v>
      </c>
      <c r="H3440">
        <v>0</v>
      </c>
      <c r="I3440">
        <v>0</v>
      </c>
      <c r="J3440">
        <v>2924.29077148438</v>
      </c>
      <c r="K3440">
        <v>3062.1180764078799</v>
      </c>
      <c r="L3440">
        <v>67.715999999999994</v>
      </c>
      <c r="M3440">
        <v>57.637999999999998</v>
      </c>
      <c r="N3440">
        <v>116.29600000000001</v>
      </c>
    </row>
    <row r="3441" spans="1:14" x14ac:dyDescent="0.45">
      <c r="A3441">
        <v>1996</v>
      </c>
      <c r="B3441" t="s">
        <v>223</v>
      </c>
      <c r="C3441">
        <v>0</v>
      </c>
      <c r="D3441">
        <v>0</v>
      </c>
      <c r="E3441">
        <v>1</v>
      </c>
      <c r="F3441">
        <v>0</v>
      </c>
      <c r="G3441">
        <v>0</v>
      </c>
      <c r="H3441">
        <v>0</v>
      </c>
      <c r="I3441">
        <v>0</v>
      </c>
      <c r="J3441">
        <v>2822.4683732385602</v>
      </c>
      <c r="K3441">
        <v>2358.0001804106701</v>
      </c>
      <c r="L3441">
        <v>60.250999999999998</v>
      </c>
      <c r="M3441">
        <v>57.128999999999998</v>
      </c>
      <c r="N3441">
        <v>138.595</v>
      </c>
    </row>
    <row r="3442" spans="1:14" x14ac:dyDescent="0.45">
      <c r="A3442">
        <v>1996</v>
      </c>
      <c r="B3442" t="s">
        <v>224</v>
      </c>
      <c r="C3442">
        <v>0</v>
      </c>
      <c r="D3442">
        <v>0</v>
      </c>
      <c r="E3442">
        <v>0</v>
      </c>
      <c r="F3442">
        <v>0</v>
      </c>
      <c r="G3442">
        <v>0</v>
      </c>
      <c r="H3442">
        <v>1</v>
      </c>
      <c r="I3442">
        <v>1</v>
      </c>
      <c r="J3442">
        <v>61381.752370920804</v>
      </c>
      <c r="K3442">
        <v>50458.090796272299</v>
      </c>
      <c r="L3442">
        <v>0</v>
      </c>
      <c r="M3442">
        <v>76.05</v>
      </c>
      <c r="N3442">
        <v>4.8170000000000002</v>
      </c>
    </row>
    <row r="3443" spans="1:14" x14ac:dyDescent="0.45">
      <c r="A3443">
        <v>1996</v>
      </c>
      <c r="B3443" t="s">
        <v>225</v>
      </c>
      <c r="C3443">
        <v>0</v>
      </c>
      <c r="D3443">
        <v>0</v>
      </c>
      <c r="E3443">
        <v>0</v>
      </c>
      <c r="F3443">
        <v>1</v>
      </c>
      <c r="G3443">
        <v>0</v>
      </c>
      <c r="H3443">
        <v>0</v>
      </c>
      <c r="I3443">
        <v>0</v>
      </c>
      <c r="J3443">
        <v>2957.8450036091899</v>
      </c>
      <c r="K3443">
        <v>2675.5866099300101</v>
      </c>
      <c r="L3443">
        <v>85.131</v>
      </c>
      <c r="M3443">
        <v>66.739000000000004</v>
      </c>
      <c r="N3443">
        <v>33.051000000000002</v>
      </c>
    </row>
    <row r="3444" spans="1:14" x14ac:dyDescent="0.45">
      <c r="A3444">
        <v>1996</v>
      </c>
      <c r="B3444" t="s">
        <v>226</v>
      </c>
      <c r="C3444">
        <v>0</v>
      </c>
      <c r="D3444">
        <v>0</v>
      </c>
      <c r="E3444">
        <v>1</v>
      </c>
      <c r="F3444">
        <v>0</v>
      </c>
      <c r="G3444">
        <v>0</v>
      </c>
      <c r="H3444">
        <v>0</v>
      </c>
      <c r="I3444">
        <v>0</v>
      </c>
      <c r="J3444">
        <v>2086.0572351058699</v>
      </c>
      <c r="K3444">
        <v>1893.45278170557</v>
      </c>
      <c r="L3444">
        <v>65.332999999999998</v>
      </c>
      <c r="M3444">
        <v>43.527999999999999</v>
      </c>
      <c r="N3444">
        <v>244.239</v>
      </c>
    </row>
    <row r="3445" spans="1:14" x14ac:dyDescent="0.45">
      <c r="A3445">
        <v>1996</v>
      </c>
      <c r="B3445" t="s">
        <v>227</v>
      </c>
      <c r="C3445">
        <v>0</v>
      </c>
      <c r="D3445">
        <v>1</v>
      </c>
      <c r="E3445">
        <v>0</v>
      </c>
      <c r="F3445">
        <v>1</v>
      </c>
      <c r="G3445">
        <v>0</v>
      </c>
      <c r="H3445">
        <v>0</v>
      </c>
      <c r="I3445">
        <v>0</v>
      </c>
      <c r="J3445">
        <v>7062.3000782413601</v>
      </c>
      <c r="K3445">
        <v>6290.7465870036003</v>
      </c>
      <c r="L3445">
        <v>44.731999999999999</v>
      </c>
      <c r="M3445">
        <v>65.48</v>
      </c>
      <c r="N3445">
        <v>42.274000000000001</v>
      </c>
    </row>
    <row r="3446" spans="1:14" x14ac:dyDescent="0.45">
      <c r="A3446">
        <v>1996</v>
      </c>
      <c r="B3446" t="s">
        <v>228</v>
      </c>
      <c r="C3446">
        <v>1</v>
      </c>
      <c r="D3446">
        <v>0</v>
      </c>
      <c r="E3446">
        <v>0</v>
      </c>
      <c r="F3446">
        <v>0</v>
      </c>
      <c r="G3446">
        <v>0</v>
      </c>
      <c r="H3446">
        <v>1</v>
      </c>
      <c r="I3446">
        <v>1</v>
      </c>
      <c r="L3446">
        <v>7.9479999999999897</v>
      </c>
      <c r="M3446">
        <v>79.331999999999994</v>
      </c>
      <c r="N3446">
        <v>7.4029999999999996</v>
      </c>
    </row>
    <row r="3447" spans="1:14" x14ac:dyDescent="0.45">
      <c r="A3447">
        <v>1996</v>
      </c>
      <c r="B3447" t="s">
        <v>229</v>
      </c>
      <c r="C3447">
        <v>0</v>
      </c>
      <c r="D3447">
        <v>0</v>
      </c>
      <c r="E3447">
        <v>1</v>
      </c>
      <c r="F3447">
        <v>0</v>
      </c>
      <c r="G3447">
        <v>0</v>
      </c>
      <c r="H3447">
        <v>0</v>
      </c>
      <c r="I3447">
        <v>0</v>
      </c>
      <c r="J3447">
        <v>663.113117509566</v>
      </c>
      <c r="K3447">
        <v>615.06015017996901</v>
      </c>
      <c r="L3447">
        <v>68.215000000000003</v>
      </c>
      <c r="M3447">
        <v>50.524000000000001</v>
      </c>
      <c r="N3447">
        <v>172.66800000000001</v>
      </c>
    </row>
    <row r="3448" spans="1:14" x14ac:dyDescent="0.45">
      <c r="A3448">
        <v>1996</v>
      </c>
      <c r="B3448" t="s">
        <v>230</v>
      </c>
      <c r="C3448">
        <v>1</v>
      </c>
      <c r="D3448">
        <v>0</v>
      </c>
      <c r="E3448">
        <v>0</v>
      </c>
      <c r="F3448">
        <v>1</v>
      </c>
      <c r="G3448">
        <v>0</v>
      </c>
      <c r="H3448">
        <v>0</v>
      </c>
      <c r="I3448">
        <v>0</v>
      </c>
      <c r="J3448">
        <v>10034.4535269687</v>
      </c>
      <c r="K3448">
        <v>8823.5334273905901</v>
      </c>
      <c r="L3448">
        <v>48.125</v>
      </c>
      <c r="M3448">
        <v>72.915999999999997</v>
      </c>
      <c r="N3448">
        <v>14.227</v>
      </c>
    </row>
    <row r="3449" spans="1:14" x14ac:dyDescent="0.45">
      <c r="A3449">
        <v>1996</v>
      </c>
      <c r="B3449" t="s">
        <v>231</v>
      </c>
      <c r="C3449">
        <v>0</v>
      </c>
      <c r="D3449">
        <v>0</v>
      </c>
      <c r="E3449">
        <v>1</v>
      </c>
      <c r="F3449">
        <v>1</v>
      </c>
      <c r="G3449">
        <v>0</v>
      </c>
      <c r="H3449">
        <v>0</v>
      </c>
      <c r="I3449">
        <v>0</v>
      </c>
      <c r="L3449">
        <v>84.003</v>
      </c>
      <c r="M3449">
        <v>32.124000000000002</v>
      </c>
      <c r="N3449">
        <v>250.24700000000001</v>
      </c>
    </row>
    <row r="3450" spans="1:14" x14ac:dyDescent="0.45">
      <c r="A3450">
        <v>1996</v>
      </c>
      <c r="B3450" t="s">
        <v>232</v>
      </c>
      <c r="C3450">
        <v>0</v>
      </c>
      <c r="D3450">
        <v>0</v>
      </c>
      <c r="E3450">
        <v>1</v>
      </c>
      <c r="F3450">
        <v>0</v>
      </c>
      <c r="G3450">
        <v>0</v>
      </c>
      <c r="H3450">
        <v>0</v>
      </c>
      <c r="I3450">
        <v>0</v>
      </c>
      <c r="J3450">
        <v>3801.0816493385701</v>
      </c>
      <c r="K3450">
        <v>2365.7334719198898</v>
      </c>
      <c r="L3450">
        <v>50.408000000000001</v>
      </c>
      <c r="M3450">
        <v>60.576000000000001</v>
      </c>
      <c r="N3450">
        <v>97.617000000000004</v>
      </c>
    </row>
    <row r="3451" spans="1:14" x14ac:dyDescent="0.45">
      <c r="A3451">
        <v>1996</v>
      </c>
      <c r="B3451" t="s">
        <v>233</v>
      </c>
      <c r="C3451">
        <v>0</v>
      </c>
      <c r="D3451">
        <v>1</v>
      </c>
      <c r="E3451">
        <v>0</v>
      </c>
      <c r="F3451">
        <v>1</v>
      </c>
      <c r="G3451">
        <v>0</v>
      </c>
      <c r="H3451">
        <v>0</v>
      </c>
      <c r="I3451">
        <v>0</v>
      </c>
      <c r="J3451">
        <v>16184.499929506501</v>
      </c>
      <c r="K3451">
        <v>12882.5322069087</v>
      </c>
      <c r="L3451">
        <v>33.85</v>
      </c>
      <c r="M3451">
        <v>63.079000000000001</v>
      </c>
      <c r="N3451">
        <v>36.046999999999997</v>
      </c>
    </row>
    <row r="3452" spans="1:14" x14ac:dyDescent="0.45">
      <c r="A3452">
        <v>1996</v>
      </c>
      <c r="B3452" t="s">
        <v>234</v>
      </c>
      <c r="C3452">
        <v>1</v>
      </c>
      <c r="D3452">
        <v>0</v>
      </c>
      <c r="E3452">
        <v>0</v>
      </c>
      <c r="F3452">
        <v>0</v>
      </c>
      <c r="G3452">
        <v>1</v>
      </c>
      <c r="H3452">
        <v>0</v>
      </c>
      <c r="I3452">
        <v>0</v>
      </c>
      <c r="J3452">
        <v>16737.139432360502</v>
      </c>
      <c r="K3452">
        <v>14415.4108902712</v>
      </c>
      <c r="L3452">
        <v>43.524000000000001</v>
      </c>
      <c r="M3452">
        <v>72.739000000000004</v>
      </c>
      <c r="N3452">
        <v>11.786</v>
      </c>
    </row>
    <row r="3453" spans="1:14" x14ac:dyDescent="0.45">
      <c r="A3453">
        <v>1996</v>
      </c>
      <c r="B3453" t="s">
        <v>235</v>
      </c>
      <c r="C3453">
        <v>1</v>
      </c>
      <c r="D3453">
        <v>0</v>
      </c>
      <c r="E3453">
        <v>0</v>
      </c>
      <c r="F3453">
        <v>0</v>
      </c>
      <c r="G3453">
        <v>1</v>
      </c>
      <c r="H3453">
        <v>0</v>
      </c>
      <c r="I3453">
        <v>0</v>
      </c>
      <c r="J3453">
        <v>25460.516284552999</v>
      </c>
      <c r="K3453">
        <v>21916.531864112701</v>
      </c>
      <c r="L3453">
        <v>49.350999999999999</v>
      </c>
      <c r="M3453">
        <v>74.796999999999997</v>
      </c>
      <c r="N3453">
        <v>6.218</v>
      </c>
    </row>
    <row r="3454" spans="1:14" x14ac:dyDescent="0.45">
      <c r="A3454">
        <v>1996</v>
      </c>
      <c r="B3454" t="s">
        <v>236</v>
      </c>
      <c r="C3454">
        <v>1</v>
      </c>
      <c r="D3454">
        <v>0</v>
      </c>
      <c r="E3454">
        <v>0</v>
      </c>
      <c r="F3454">
        <v>0</v>
      </c>
      <c r="G3454">
        <v>0</v>
      </c>
      <c r="H3454">
        <v>1</v>
      </c>
      <c r="I3454">
        <v>1</v>
      </c>
      <c r="J3454">
        <v>41014.097377276303</v>
      </c>
      <c r="K3454">
        <v>35034.998765994198</v>
      </c>
      <c r="L3454">
        <v>16.085999999999999</v>
      </c>
      <c r="M3454">
        <v>79.045000000000002</v>
      </c>
      <c r="N3454">
        <v>4.6139999999999999</v>
      </c>
    </row>
    <row r="3455" spans="1:14" x14ac:dyDescent="0.45">
      <c r="A3455">
        <v>1996</v>
      </c>
      <c r="B3455" t="s">
        <v>237</v>
      </c>
      <c r="C3455">
        <v>0</v>
      </c>
      <c r="D3455">
        <v>0</v>
      </c>
      <c r="E3455">
        <v>1</v>
      </c>
      <c r="F3455">
        <v>1</v>
      </c>
      <c r="G3455">
        <v>0</v>
      </c>
      <c r="H3455">
        <v>0</v>
      </c>
      <c r="I3455">
        <v>0</v>
      </c>
      <c r="J3455">
        <v>5875.9877892018903</v>
      </c>
      <c r="K3455">
        <v>5203.1882638140396</v>
      </c>
      <c r="L3455">
        <v>77.278000000000006</v>
      </c>
      <c r="M3455">
        <v>53.295999999999999</v>
      </c>
      <c r="N3455">
        <v>91.775999999999996</v>
      </c>
    </row>
    <row r="3456" spans="1:14" x14ac:dyDescent="0.45">
      <c r="A3456">
        <v>1996</v>
      </c>
      <c r="B3456" t="s">
        <v>238</v>
      </c>
      <c r="C3456">
        <v>0</v>
      </c>
      <c r="D3456">
        <v>1</v>
      </c>
      <c r="E3456">
        <v>0</v>
      </c>
      <c r="F3456">
        <v>0</v>
      </c>
      <c r="G3456">
        <v>0</v>
      </c>
      <c r="H3456">
        <v>1</v>
      </c>
      <c r="I3456">
        <v>1</v>
      </c>
      <c r="L3456">
        <v>0</v>
      </c>
      <c r="M3456">
        <v>73.188000000000002</v>
      </c>
      <c r="N3456">
        <v>22.684000000000001</v>
      </c>
    </row>
    <row r="3457" spans="1:14" x14ac:dyDescent="0.45">
      <c r="A3457">
        <v>1996</v>
      </c>
      <c r="B3457" t="s">
        <v>239</v>
      </c>
      <c r="C3457">
        <v>0</v>
      </c>
      <c r="D3457">
        <v>0</v>
      </c>
      <c r="E3457">
        <v>1</v>
      </c>
      <c r="F3457">
        <v>0</v>
      </c>
      <c r="G3457">
        <v>1</v>
      </c>
      <c r="H3457">
        <v>0</v>
      </c>
      <c r="I3457">
        <v>0</v>
      </c>
      <c r="J3457">
        <v>17942.173303662701</v>
      </c>
      <c r="K3457">
        <v>17419.1567981927</v>
      </c>
      <c r="L3457">
        <v>50.241999999999997</v>
      </c>
      <c r="M3457">
        <v>70.795000000000002</v>
      </c>
      <c r="N3457">
        <v>14.227</v>
      </c>
    </row>
    <row r="3458" spans="1:14" x14ac:dyDescent="0.45">
      <c r="A3458">
        <v>1996</v>
      </c>
      <c r="B3458" t="s">
        <v>240</v>
      </c>
      <c r="C3458">
        <v>0</v>
      </c>
      <c r="D3458">
        <v>0</v>
      </c>
      <c r="E3458">
        <v>0</v>
      </c>
      <c r="F3458">
        <v>1</v>
      </c>
      <c r="G3458">
        <v>0</v>
      </c>
      <c r="H3458">
        <v>0</v>
      </c>
      <c r="I3458">
        <v>0</v>
      </c>
      <c r="J3458">
        <v>7943.4406049344298</v>
      </c>
      <c r="K3458">
        <v>5210.3205691984804</v>
      </c>
      <c r="L3458">
        <v>49.527000000000001</v>
      </c>
      <c r="M3458">
        <v>70.156000000000006</v>
      </c>
      <c r="N3458">
        <v>27.936</v>
      </c>
    </row>
    <row r="3459" spans="1:14" x14ac:dyDescent="0.45">
      <c r="A3459">
        <v>1996</v>
      </c>
      <c r="B3459" t="s">
        <v>241</v>
      </c>
      <c r="C3459">
        <v>0</v>
      </c>
      <c r="D3459">
        <v>1</v>
      </c>
      <c r="E3459">
        <v>0</v>
      </c>
      <c r="F3459">
        <v>0</v>
      </c>
      <c r="G3459">
        <v>0</v>
      </c>
      <c r="H3459">
        <v>1</v>
      </c>
      <c r="I3459">
        <v>1</v>
      </c>
      <c r="L3459">
        <v>19.07</v>
      </c>
      <c r="M3459">
        <v>72.328000000000003</v>
      </c>
      <c r="N3459">
        <v>13.163</v>
      </c>
    </row>
    <row r="3460" spans="1:14" x14ac:dyDescent="0.45">
      <c r="A3460">
        <v>1996</v>
      </c>
      <c r="B3460" t="s">
        <v>242</v>
      </c>
      <c r="C3460">
        <v>0</v>
      </c>
      <c r="D3460">
        <v>0</v>
      </c>
      <c r="E3460">
        <v>1</v>
      </c>
      <c r="F3460">
        <v>0</v>
      </c>
      <c r="G3460">
        <v>0</v>
      </c>
      <c r="H3460">
        <v>0</v>
      </c>
      <c r="I3460">
        <v>0</v>
      </c>
      <c r="J3460">
        <v>1550.1610881684001</v>
      </c>
      <c r="K3460">
        <v>1302.19139675215</v>
      </c>
      <c r="L3460">
        <v>78.494</v>
      </c>
      <c r="M3460">
        <v>47.551000000000002</v>
      </c>
      <c r="N3460">
        <v>196.38499999999999</v>
      </c>
    </row>
    <row r="3461" spans="1:14" x14ac:dyDescent="0.45">
      <c r="A3461">
        <v>1996</v>
      </c>
      <c r="B3461" t="s">
        <v>243</v>
      </c>
      <c r="C3461">
        <v>0</v>
      </c>
      <c r="D3461">
        <v>0</v>
      </c>
      <c r="E3461">
        <v>1</v>
      </c>
      <c r="F3461">
        <v>0</v>
      </c>
      <c r="G3461">
        <v>0</v>
      </c>
      <c r="H3461">
        <v>0</v>
      </c>
      <c r="I3461">
        <v>0</v>
      </c>
      <c r="J3461">
        <v>2072.0832898731201</v>
      </c>
      <c r="K3461">
        <v>1721.9794207345701</v>
      </c>
      <c r="L3461">
        <v>68.861000000000004</v>
      </c>
      <c r="M3461">
        <v>53.817</v>
      </c>
      <c r="N3461">
        <v>133.28299999999999</v>
      </c>
    </row>
    <row r="3462" spans="1:14" x14ac:dyDescent="0.45">
      <c r="A3462">
        <v>1996</v>
      </c>
      <c r="B3462" t="s">
        <v>244</v>
      </c>
      <c r="C3462">
        <v>0</v>
      </c>
      <c r="D3462">
        <v>0</v>
      </c>
      <c r="E3462">
        <v>0</v>
      </c>
      <c r="F3462">
        <v>1</v>
      </c>
      <c r="G3462">
        <v>0</v>
      </c>
      <c r="H3462">
        <v>0</v>
      </c>
      <c r="I3462">
        <v>0</v>
      </c>
      <c r="J3462">
        <v>12456.3290857417</v>
      </c>
      <c r="K3462">
        <v>10893.397040114</v>
      </c>
      <c r="L3462">
        <v>69.551000000000002</v>
      </c>
      <c r="M3462">
        <v>69.94</v>
      </c>
      <c r="N3462">
        <v>26.587</v>
      </c>
    </row>
    <row r="3463" spans="1:14" x14ac:dyDescent="0.45">
      <c r="A3463">
        <v>1996</v>
      </c>
      <c r="B3463" t="s">
        <v>245</v>
      </c>
      <c r="C3463">
        <v>1</v>
      </c>
      <c r="D3463">
        <v>0</v>
      </c>
      <c r="E3463">
        <v>0</v>
      </c>
      <c r="F3463">
        <v>0</v>
      </c>
      <c r="G3463">
        <v>0</v>
      </c>
      <c r="H3463">
        <v>0</v>
      </c>
      <c r="I3463">
        <v>0</v>
      </c>
      <c r="J3463">
        <v>1175.79407235242</v>
      </c>
      <c r="K3463">
        <v>1070.8370526072199</v>
      </c>
      <c r="L3463">
        <v>71.662000000000006</v>
      </c>
      <c r="M3463">
        <v>60.805999999999997</v>
      </c>
      <c r="N3463">
        <v>108.532</v>
      </c>
    </row>
    <row r="3464" spans="1:14" x14ac:dyDescent="0.45">
      <c r="A3464">
        <v>1996</v>
      </c>
      <c r="B3464" t="s">
        <v>246</v>
      </c>
      <c r="C3464">
        <v>1</v>
      </c>
      <c r="D3464">
        <v>0</v>
      </c>
      <c r="E3464">
        <v>0</v>
      </c>
      <c r="F3464">
        <v>1</v>
      </c>
      <c r="G3464">
        <v>0</v>
      </c>
      <c r="H3464">
        <v>0</v>
      </c>
      <c r="I3464">
        <v>0</v>
      </c>
      <c r="J3464">
        <v>4712.8335784403898</v>
      </c>
      <c r="K3464">
        <v>4435.8081429029498</v>
      </c>
      <c r="L3464">
        <v>54.981999999999999</v>
      </c>
      <c r="M3464">
        <v>63.537999999999997</v>
      </c>
      <c r="N3464">
        <v>77.241</v>
      </c>
    </row>
    <row r="3465" spans="1:14" x14ac:dyDescent="0.45">
      <c r="A3465">
        <v>1996</v>
      </c>
      <c r="B3465" t="s">
        <v>247</v>
      </c>
      <c r="C3465">
        <v>0</v>
      </c>
      <c r="D3465">
        <v>0</v>
      </c>
      <c r="E3465">
        <v>0</v>
      </c>
      <c r="F3465">
        <v>0</v>
      </c>
      <c r="G3465">
        <v>0</v>
      </c>
      <c r="H3465">
        <v>0</v>
      </c>
      <c r="I3465">
        <v>0</v>
      </c>
      <c r="J3465">
        <v>3039.6829368893</v>
      </c>
      <c r="K3465">
        <v>2452.60661341385</v>
      </c>
      <c r="L3465">
        <v>77.126999999999995</v>
      </c>
      <c r="M3465">
        <v>48.26</v>
      </c>
      <c r="N3465">
        <v>191.00800000000001</v>
      </c>
    </row>
    <row r="3466" spans="1:14" x14ac:dyDescent="0.45">
      <c r="A3466">
        <v>1996</v>
      </c>
      <c r="B3466" t="s">
        <v>248</v>
      </c>
      <c r="C3466">
        <v>0</v>
      </c>
      <c r="D3466">
        <v>0</v>
      </c>
      <c r="E3466">
        <v>0</v>
      </c>
      <c r="F3466">
        <v>1</v>
      </c>
      <c r="G3466">
        <v>0</v>
      </c>
      <c r="H3466">
        <v>0</v>
      </c>
      <c r="I3466">
        <v>0</v>
      </c>
      <c r="J3466">
        <v>5510.7084261902201</v>
      </c>
      <c r="K3466">
        <v>4988.4655898497404</v>
      </c>
      <c r="L3466">
        <v>77.102999999999994</v>
      </c>
      <c r="M3466">
        <v>68.802999999999997</v>
      </c>
      <c r="N3466">
        <v>18.574000000000002</v>
      </c>
    </row>
    <row r="3467" spans="1:14" x14ac:dyDescent="0.45">
      <c r="A3467">
        <v>1996</v>
      </c>
      <c r="B3467" t="s">
        <v>249</v>
      </c>
      <c r="C3467">
        <v>0</v>
      </c>
      <c r="D3467">
        <v>1</v>
      </c>
      <c r="E3467">
        <v>0</v>
      </c>
      <c r="F3467">
        <v>0</v>
      </c>
      <c r="G3467">
        <v>1</v>
      </c>
      <c r="H3467">
        <v>0</v>
      </c>
      <c r="I3467">
        <v>0</v>
      </c>
      <c r="J3467">
        <v>14857.9410093756</v>
      </c>
      <c r="K3467">
        <v>12400.3339338734</v>
      </c>
      <c r="L3467">
        <v>44.776000000000003</v>
      </c>
      <c r="M3467">
        <v>68.039000000000001</v>
      </c>
      <c r="N3467">
        <v>28.245999999999999</v>
      </c>
    </row>
    <row r="3468" spans="1:14" x14ac:dyDescent="0.45">
      <c r="A3468">
        <v>1996</v>
      </c>
      <c r="B3468" t="s">
        <v>250</v>
      </c>
      <c r="C3468">
        <v>0</v>
      </c>
      <c r="D3468">
        <v>0</v>
      </c>
      <c r="E3468">
        <v>0</v>
      </c>
      <c r="F3468">
        <v>1</v>
      </c>
      <c r="G3468">
        <v>0</v>
      </c>
      <c r="H3468">
        <v>0</v>
      </c>
      <c r="I3468">
        <v>0</v>
      </c>
      <c r="J3468">
        <v>7821.7836006460002</v>
      </c>
      <c r="K3468">
        <v>6816.5537501606696</v>
      </c>
      <c r="L3468">
        <v>38.130000000000003</v>
      </c>
      <c r="M3468">
        <v>71.247</v>
      </c>
      <c r="N3468">
        <v>39.194000000000003</v>
      </c>
    </row>
    <row r="3469" spans="1:14" x14ac:dyDescent="0.45">
      <c r="A3469">
        <v>1996</v>
      </c>
      <c r="B3469" t="s">
        <v>251</v>
      </c>
      <c r="C3469">
        <v>1</v>
      </c>
      <c r="D3469">
        <v>0</v>
      </c>
      <c r="E3469">
        <v>0</v>
      </c>
      <c r="F3469">
        <v>1</v>
      </c>
      <c r="G3469">
        <v>0</v>
      </c>
      <c r="H3469">
        <v>0</v>
      </c>
      <c r="I3469">
        <v>0</v>
      </c>
      <c r="J3469">
        <v>13657.735615801401</v>
      </c>
      <c r="K3469">
        <v>13694.272250632999</v>
      </c>
      <c r="L3469">
        <v>37.347000000000001</v>
      </c>
      <c r="M3469">
        <v>70.245000000000005</v>
      </c>
      <c r="N3469">
        <v>49.942999999999998</v>
      </c>
    </row>
    <row r="3470" spans="1:14" x14ac:dyDescent="0.45">
      <c r="A3470">
        <v>1996</v>
      </c>
      <c r="B3470" t="s">
        <v>252</v>
      </c>
      <c r="C3470">
        <v>0</v>
      </c>
      <c r="D3470">
        <v>0</v>
      </c>
      <c r="E3470">
        <v>0</v>
      </c>
      <c r="F3470">
        <v>1</v>
      </c>
      <c r="G3470">
        <v>0</v>
      </c>
      <c r="H3470">
        <v>0</v>
      </c>
      <c r="I3470">
        <v>0</v>
      </c>
      <c r="J3470">
        <v>3070.0394223931899</v>
      </c>
      <c r="K3470">
        <v>2777.3247204356599</v>
      </c>
      <c r="L3470">
        <v>55.621000000000002</v>
      </c>
      <c r="M3470">
        <v>62.709000000000003</v>
      </c>
      <c r="N3470">
        <v>47.692999999999998</v>
      </c>
    </row>
    <row r="3471" spans="1:14" x14ac:dyDescent="0.45">
      <c r="A3471">
        <v>1996</v>
      </c>
      <c r="B3471" t="s">
        <v>253</v>
      </c>
      <c r="C3471">
        <v>0</v>
      </c>
      <c r="D3471">
        <v>0</v>
      </c>
      <c r="E3471">
        <v>0</v>
      </c>
      <c r="F3471">
        <v>0</v>
      </c>
      <c r="G3471">
        <v>0</v>
      </c>
      <c r="H3471">
        <v>1</v>
      </c>
      <c r="I3471">
        <v>1</v>
      </c>
      <c r="L3471">
        <v>68.084000000000003</v>
      </c>
      <c r="M3471">
        <v>74.918000000000006</v>
      </c>
      <c r="N3471">
        <v>8.8629999999999995</v>
      </c>
    </row>
    <row r="3472" spans="1:14" x14ac:dyDescent="0.45">
      <c r="A3472">
        <v>1996</v>
      </c>
      <c r="B3472" t="s">
        <v>254</v>
      </c>
      <c r="C3472">
        <v>0</v>
      </c>
      <c r="D3472">
        <v>0</v>
      </c>
      <c r="E3472">
        <v>1</v>
      </c>
      <c r="F3472">
        <v>0</v>
      </c>
      <c r="G3472">
        <v>0</v>
      </c>
      <c r="H3472">
        <v>0</v>
      </c>
      <c r="I3472">
        <v>0</v>
      </c>
      <c r="J3472">
        <v>1730.55456542969</v>
      </c>
      <c r="K3472">
        <v>1289.0325321031801</v>
      </c>
      <c r="L3472">
        <v>79.111999999999995</v>
      </c>
      <c r="M3472">
        <v>51.131999999999998</v>
      </c>
      <c r="N3472">
        <v>150.91200000000001</v>
      </c>
    </row>
    <row r="3473" spans="1:14" x14ac:dyDescent="0.45">
      <c r="A3473">
        <v>1996</v>
      </c>
      <c r="B3473" t="s">
        <v>255</v>
      </c>
      <c r="C3473">
        <v>0</v>
      </c>
      <c r="D3473">
        <v>0</v>
      </c>
      <c r="E3473">
        <v>1</v>
      </c>
      <c r="F3473">
        <v>0</v>
      </c>
      <c r="G3473">
        <v>0</v>
      </c>
      <c r="H3473">
        <v>0</v>
      </c>
      <c r="I3473">
        <v>0</v>
      </c>
      <c r="J3473">
        <v>1367.9457376493599</v>
      </c>
      <c r="K3473">
        <v>1160.43459395837</v>
      </c>
      <c r="L3473">
        <v>86.784000000000006</v>
      </c>
      <c r="M3473">
        <v>47.759</v>
      </c>
      <c r="N3473">
        <v>161.952</v>
      </c>
    </row>
    <row r="3474" spans="1:14" x14ac:dyDescent="0.45">
      <c r="A3474">
        <v>1996</v>
      </c>
      <c r="B3474" t="s">
        <v>256</v>
      </c>
      <c r="C3474">
        <v>1</v>
      </c>
      <c r="D3474">
        <v>0</v>
      </c>
      <c r="E3474">
        <v>0</v>
      </c>
      <c r="F3474">
        <v>1</v>
      </c>
      <c r="G3474">
        <v>0</v>
      </c>
      <c r="H3474">
        <v>0</v>
      </c>
      <c r="I3474">
        <v>0</v>
      </c>
      <c r="J3474">
        <v>9969.5009765625</v>
      </c>
      <c r="K3474">
        <v>7051.28381383753</v>
      </c>
      <c r="L3474">
        <v>33.01</v>
      </c>
      <c r="M3474">
        <v>67.096999999999994</v>
      </c>
      <c r="N3474">
        <v>18.420999999999999</v>
      </c>
    </row>
    <row r="3475" spans="1:14" x14ac:dyDescent="0.45">
      <c r="A3475">
        <v>1996</v>
      </c>
      <c r="B3475" t="s">
        <v>257</v>
      </c>
      <c r="C3475">
        <v>0</v>
      </c>
      <c r="D3475">
        <v>1</v>
      </c>
      <c r="E3475">
        <v>0</v>
      </c>
      <c r="F3475">
        <v>0</v>
      </c>
      <c r="G3475">
        <v>1</v>
      </c>
      <c r="H3475">
        <v>0</v>
      </c>
      <c r="I3475">
        <v>0</v>
      </c>
      <c r="J3475">
        <v>17433.693285162801</v>
      </c>
      <c r="K3475">
        <v>13827.857730305101</v>
      </c>
      <c r="L3475">
        <v>9.1650000000000098</v>
      </c>
      <c r="M3475">
        <v>73.811999999999998</v>
      </c>
      <c r="N3475">
        <v>20.689</v>
      </c>
    </row>
    <row r="3476" spans="1:14" x14ac:dyDescent="0.45">
      <c r="A3476">
        <v>1996</v>
      </c>
      <c r="B3476" t="s">
        <v>258</v>
      </c>
      <c r="C3476">
        <v>0</v>
      </c>
      <c r="D3476">
        <v>0</v>
      </c>
      <c r="E3476">
        <v>0</v>
      </c>
      <c r="F3476">
        <v>0</v>
      </c>
      <c r="G3476">
        <v>0</v>
      </c>
      <c r="H3476">
        <v>1</v>
      </c>
      <c r="I3476">
        <v>1</v>
      </c>
      <c r="J3476">
        <v>48435.700103362004</v>
      </c>
      <c r="K3476">
        <v>43963.855070914098</v>
      </c>
      <c r="L3476">
        <v>22.364000000000001</v>
      </c>
      <c r="M3476">
        <v>76.174999999999997</v>
      </c>
      <c r="N3476">
        <v>9.0730000000000004</v>
      </c>
    </row>
    <row r="3477" spans="1:14" x14ac:dyDescent="0.45">
      <c r="A3477">
        <v>1996</v>
      </c>
      <c r="B3477" t="s">
        <v>259</v>
      </c>
      <c r="C3477">
        <v>1</v>
      </c>
      <c r="D3477">
        <v>0</v>
      </c>
      <c r="E3477">
        <v>0</v>
      </c>
      <c r="F3477">
        <v>1</v>
      </c>
      <c r="G3477">
        <v>0</v>
      </c>
      <c r="H3477">
        <v>0</v>
      </c>
      <c r="I3477">
        <v>0</v>
      </c>
      <c r="J3477">
        <v>3046.5637634475302</v>
      </c>
      <c r="K3477">
        <v>2959.8494248294801</v>
      </c>
      <c r="L3477">
        <v>55.792000000000002</v>
      </c>
      <c r="M3477">
        <v>64.78</v>
      </c>
      <c r="N3477">
        <v>67.656000000000006</v>
      </c>
    </row>
    <row r="3478" spans="1:14" x14ac:dyDescent="0.45">
      <c r="A3478">
        <v>1996</v>
      </c>
      <c r="B3478" t="s">
        <v>260</v>
      </c>
      <c r="C3478">
        <v>0</v>
      </c>
      <c r="D3478">
        <v>1</v>
      </c>
      <c r="E3478">
        <v>0</v>
      </c>
      <c r="F3478">
        <v>1</v>
      </c>
      <c r="G3478">
        <v>0</v>
      </c>
      <c r="H3478">
        <v>0</v>
      </c>
      <c r="I3478">
        <v>0</v>
      </c>
      <c r="J3478">
        <v>8923.7055551429603</v>
      </c>
      <c r="K3478">
        <v>7798.9722229590398</v>
      </c>
      <c r="L3478">
        <v>56.259</v>
      </c>
      <c r="M3478">
        <v>70.465999999999994</v>
      </c>
      <c r="N3478">
        <v>22.042999999999999</v>
      </c>
    </row>
    <row r="3479" spans="1:14" x14ac:dyDescent="0.45">
      <c r="A3479">
        <v>1996</v>
      </c>
      <c r="B3479" t="s">
        <v>261</v>
      </c>
      <c r="C3479">
        <v>0</v>
      </c>
      <c r="D3479">
        <v>1</v>
      </c>
      <c r="E3479">
        <v>0</v>
      </c>
      <c r="F3479">
        <v>1</v>
      </c>
      <c r="G3479">
        <v>0</v>
      </c>
      <c r="H3479">
        <v>0</v>
      </c>
      <c r="I3479">
        <v>0</v>
      </c>
      <c r="L3479">
        <v>13.664</v>
      </c>
      <c r="M3479">
        <v>71.92</v>
      </c>
      <c r="N3479">
        <v>25.038</v>
      </c>
    </row>
    <row r="3480" spans="1:14" x14ac:dyDescent="0.45">
      <c r="A3480">
        <v>1996</v>
      </c>
      <c r="B3480" t="s">
        <v>262</v>
      </c>
      <c r="C3480">
        <v>0</v>
      </c>
      <c r="D3480">
        <v>1</v>
      </c>
      <c r="E3480">
        <v>0</v>
      </c>
      <c r="F3480">
        <v>0</v>
      </c>
      <c r="G3480">
        <v>0</v>
      </c>
      <c r="H3480">
        <v>1</v>
      </c>
      <c r="I3480">
        <v>1</v>
      </c>
      <c r="L3480">
        <v>59.316000000000003</v>
      </c>
      <c r="M3480">
        <v>74.340999999999994</v>
      </c>
      <c r="N3480">
        <v>18.544</v>
      </c>
    </row>
    <row r="3481" spans="1:14" x14ac:dyDescent="0.45">
      <c r="A3481">
        <v>1996</v>
      </c>
      <c r="B3481" t="s">
        <v>263</v>
      </c>
      <c r="C3481">
        <v>0</v>
      </c>
      <c r="D3481">
        <v>1</v>
      </c>
      <c r="E3481">
        <v>0</v>
      </c>
      <c r="F3481">
        <v>0</v>
      </c>
      <c r="G3481">
        <v>0</v>
      </c>
      <c r="H3481">
        <v>1</v>
      </c>
      <c r="I3481">
        <v>1</v>
      </c>
      <c r="L3481">
        <v>9.0830000000000002</v>
      </c>
      <c r="M3481">
        <v>71.600999999999999</v>
      </c>
      <c r="N3481">
        <v>13.61</v>
      </c>
    </row>
    <row r="3482" spans="1:14" x14ac:dyDescent="0.45">
      <c r="A3482">
        <v>1996</v>
      </c>
      <c r="B3482" t="s">
        <v>264</v>
      </c>
      <c r="C3482">
        <v>0</v>
      </c>
      <c r="D3482">
        <v>0</v>
      </c>
      <c r="E3482">
        <v>0</v>
      </c>
      <c r="F3482">
        <v>0</v>
      </c>
      <c r="G3482">
        <v>0</v>
      </c>
      <c r="H3482">
        <v>0</v>
      </c>
      <c r="I3482">
        <v>0</v>
      </c>
      <c r="J3482">
        <v>3584.0289833514698</v>
      </c>
      <c r="K3482">
        <v>3193.6669080787401</v>
      </c>
      <c r="L3482">
        <v>77.436999999999998</v>
      </c>
      <c r="M3482">
        <v>71.296000000000006</v>
      </c>
      <c r="N3482">
        <v>37.290999999999997</v>
      </c>
    </row>
    <row r="3483" spans="1:14" x14ac:dyDescent="0.45">
      <c r="A3483">
        <v>1996</v>
      </c>
      <c r="B3483" t="s">
        <v>265</v>
      </c>
      <c r="C3483">
        <v>0</v>
      </c>
      <c r="D3483">
        <v>0</v>
      </c>
      <c r="E3483">
        <v>0</v>
      </c>
      <c r="F3483">
        <v>1</v>
      </c>
      <c r="G3483">
        <v>0</v>
      </c>
      <c r="H3483">
        <v>0</v>
      </c>
      <c r="I3483">
        <v>0</v>
      </c>
      <c r="J3483">
        <v>3229.10220217597</v>
      </c>
      <c r="K3483">
        <v>2921.05019817626</v>
      </c>
      <c r="L3483">
        <v>79.536000000000001</v>
      </c>
      <c r="M3483">
        <v>68.176000000000002</v>
      </c>
      <c r="N3483">
        <v>30.978999999999999</v>
      </c>
    </row>
    <row r="3484" spans="1:14" x14ac:dyDescent="0.45">
      <c r="A3484">
        <v>1996</v>
      </c>
      <c r="B3484" t="s">
        <v>266</v>
      </c>
      <c r="C3484">
        <v>0</v>
      </c>
      <c r="D3484">
        <v>0</v>
      </c>
      <c r="E3484">
        <v>0</v>
      </c>
      <c r="F3484">
        <v>1</v>
      </c>
      <c r="G3484">
        <v>0</v>
      </c>
      <c r="H3484">
        <v>0</v>
      </c>
      <c r="I3484">
        <v>0</v>
      </c>
      <c r="J3484">
        <v>4333.5128721101701</v>
      </c>
      <c r="K3484">
        <v>3920.1015766384699</v>
      </c>
      <c r="L3484">
        <v>78.384</v>
      </c>
      <c r="M3484">
        <v>69.766999999999996</v>
      </c>
      <c r="N3484">
        <v>24.404</v>
      </c>
    </row>
    <row r="3485" spans="1:14" x14ac:dyDescent="0.45">
      <c r="A3485">
        <v>1996</v>
      </c>
      <c r="B3485" t="s">
        <v>267</v>
      </c>
      <c r="C3485">
        <v>1</v>
      </c>
      <c r="D3485">
        <v>0</v>
      </c>
      <c r="E3485">
        <v>0</v>
      </c>
      <c r="F3485">
        <v>1</v>
      </c>
      <c r="G3485">
        <v>0</v>
      </c>
      <c r="H3485">
        <v>0</v>
      </c>
      <c r="I3485">
        <v>0</v>
      </c>
      <c r="L3485">
        <v>48.125</v>
      </c>
      <c r="M3485">
        <v>69.358999999999995</v>
      </c>
      <c r="N3485">
        <v>67.180000000000007</v>
      </c>
    </row>
    <row r="3486" spans="1:14" x14ac:dyDescent="0.45">
      <c r="A3486">
        <v>1996</v>
      </c>
      <c r="B3486" t="s">
        <v>268</v>
      </c>
      <c r="C3486">
        <v>0</v>
      </c>
      <c r="D3486">
        <v>0</v>
      </c>
      <c r="E3486">
        <v>0</v>
      </c>
      <c r="F3486">
        <v>0</v>
      </c>
      <c r="G3486">
        <v>0</v>
      </c>
      <c r="H3486">
        <v>0</v>
      </c>
      <c r="I3486">
        <v>0</v>
      </c>
      <c r="L3486">
        <v>75.751000000000005</v>
      </c>
      <c r="M3486">
        <v>60.884</v>
      </c>
      <c r="N3486">
        <v>107.331</v>
      </c>
    </row>
    <row r="3487" spans="1:14" x14ac:dyDescent="0.45">
      <c r="A3487">
        <v>1996</v>
      </c>
      <c r="B3487" t="s">
        <v>269</v>
      </c>
      <c r="C3487">
        <v>0</v>
      </c>
      <c r="D3487">
        <v>0</v>
      </c>
      <c r="E3487">
        <v>1</v>
      </c>
      <c r="F3487">
        <v>0</v>
      </c>
      <c r="G3487">
        <v>1</v>
      </c>
      <c r="H3487">
        <v>0</v>
      </c>
      <c r="I3487">
        <v>0</v>
      </c>
      <c r="J3487">
        <v>10636.8643345739</v>
      </c>
      <c r="K3487">
        <v>10015.045299338701</v>
      </c>
      <c r="L3487">
        <v>45.033000000000001</v>
      </c>
      <c r="M3487">
        <v>61.079000000000001</v>
      </c>
      <c r="N3487">
        <v>63.387999999999998</v>
      </c>
    </row>
    <row r="3488" spans="1:14" x14ac:dyDescent="0.45">
      <c r="A3488">
        <v>1996</v>
      </c>
      <c r="B3488" t="s">
        <v>270</v>
      </c>
      <c r="C3488">
        <v>0</v>
      </c>
      <c r="D3488">
        <v>0</v>
      </c>
      <c r="E3488">
        <v>1</v>
      </c>
      <c r="F3488">
        <v>0</v>
      </c>
      <c r="G3488">
        <v>0</v>
      </c>
      <c r="H3488">
        <v>0</v>
      </c>
      <c r="I3488">
        <v>0</v>
      </c>
      <c r="J3488">
        <v>2197.19564925242</v>
      </c>
      <c r="K3488">
        <v>2062.85310230598</v>
      </c>
      <c r="L3488">
        <v>63.362000000000002</v>
      </c>
      <c r="M3488">
        <v>45.756999999999998</v>
      </c>
      <c r="N3488">
        <v>172.14500000000001</v>
      </c>
    </row>
    <row r="3489" spans="1:14" x14ac:dyDescent="0.45">
      <c r="A3489">
        <v>1996</v>
      </c>
      <c r="B3489" t="s">
        <v>271</v>
      </c>
      <c r="C3489">
        <v>0</v>
      </c>
      <c r="D3489">
        <v>0</v>
      </c>
      <c r="E3489">
        <v>1</v>
      </c>
      <c r="F3489">
        <v>0</v>
      </c>
      <c r="G3489">
        <v>0</v>
      </c>
      <c r="H3489">
        <v>0</v>
      </c>
      <c r="I3489">
        <v>0</v>
      </c>
      <c r="J3489">
        <v>4271.4765657509597</v>
      </c>
      <c r="K3489">
        <v>2844.1023893164602</v>
      </c>
      <c r="L3489">
        <v>67.867999999999995</v>
      </c>
      <c r="M3489">
        <v>48.981000000000002</v>
      </c>
      <c r="N3489">
        <v>98.37</v>
      </c>
    </row>
    <row r="3490" spans="1:14" x14ac:dyDescent="0.45">
      <c r="A3490">
        <v>1997</v>
      </c>
      <c r="B3490" t="s">
        <v>54</v>
      </c>
      <c r="C3490">
        <v>0</v>
      </c>
      <c r="D3490">
        <v>1</v>
      </c>
      <c r="E3490">
        <v>0</v>
      </c>
      <c r="F3490">
        <v>0</v>
      </c>
      <c r="G3490">
        <v>0</v>
      </c>
      <c r="H3490">
        <v>1</v>
      </c>
      <c r="I3490">
        <v>1</v>
      </c>
      <c r="J3490">
        <v>37070.013308127898</v>
      </c>
      <c r="K3490">
        <v>36076.807521677503</v>
      </c>
      <c r="L3490">
        <v>52.054000000000002</v>
      </c>
      <c r="M3490">
        <v>72.903999999999996</v>
      </c>
      <c r="N3490">
        <v>21.603999999999999</v>
      </c>
    </row>
    <row r="3491" spans="1:14" x14ac:dyDescent="0.45">
      <c r="A3491">
        <v>1997</v>
      </c>
      <c r="B3491" t="s">
        <v>55</v>
      </c>
      <c r="C3491">
        <v>0</v>
      </c>
      <c r="D3491">
        <v>0</v>
      </c>
      <c r="E3491">
        <v>0</v>
      </c>
      <c r="F3491">
        <v>0</v>
      </c>
      <c r="G3491">
        <v>0</v>
      </c>
      <c r="H3491">
        <v>0</v>
      </c>
      <c r="I3491">
        <v>0</v>
      </c>
      <c r="L3491">
        <v>78.194999999999993</v>
      </c>
      <c r="M3491">
        <v>53.212000000000003</v>
      </c>
      <c r="N3491">
        <v>145.79599999999999</v>
      </c>
    </row>
    <row r="3492" spans="1:14" x14ac:dyDescent="0.45">
      <c r="A3492">
        <v>1997</v>
      </c>
      <c r="B3492" t="s">
        <v>56</v>
      </c>
      <c r="C3492">
        <v>0</v>
      </c>
      <c r="D3492">
        <v>0</v>
      </c>
      <c r="E3492">
        <v>1</v>
      </c>
      <c r="F3492">
        <v>0</v>
      </c>
      <c r="G3492">
        <v>0</v>
      </c>
      <c r="H3492">
        <v>0</v>
      </c>
      <c r="I3492">
        <v>0</v>
      </c>
      <c r="J3492">
        <v>6015.1868473689901</v>
      </c>
      <c r="K3492">
        <v>4651.8495332652101</v>
      </c>
      <c r="L3492">
        <v>53.475000000000001</v>
      </c>
      <c r="M3492">
        <v>46.688000000000002</v>
      </c>
      <c r="N3492">
        <v>213.994</v>
      </c>
    </row>
    <row r="3493" spans="1:14" x14ac:dyDescent="0.45">
      <c r="A3493">
        <v>1997</v>
      </c>
      <c r="B3493" t="s">
        <v>57</v>
      </c>
      <c r="C3493">
        <v>1</v>
      </c>
      <c r="D3493">
        <v>0</v>
      </c>
      <c r="E3493">
        <v>0</v>
      </c>
      <c r="F3493">
        <v>0</v>
      </c>
      <c r="G3493">
        <v>0</v>
      </c>
      <c r="H3493">
        <v>0</v>
      </c>
      <c r="I3493">
        <v>0</v>
      </c>
      <c r="J3493">
        <v>4942.7205493368801</v>
      </c>
      <c r="K3493">
        <v>4477.8781065863704</v>
      </c>
      <c r="L3493">
        <v>59.965000000000003</v>
      </c>
      <c r="M3493">
        <v>73.382999999999996</v>
      </c>
      <c r="N3493">
        <v>33.002000000000002</v>
      </c>
    </row>
    <row r="3494" spans="1:14" x14ac:dyDescent="0.45">
      <c r="A3494">
        <v>1997</v>
      </c>
      <c r="B3494" t="s">
        <v>58</v>
      </c>
      <c r="C3494">
        <v>1</v>
      </c>
      <c r="D3494">
        <v>0</v>
      </c>
      <c r="E3494">
        <v>0</v>
      </c>
      <c r="F3494">
        <v>0</v>
      </c>
      <c r="G3494">
        <v>0</v>
      </c>
      <c r="H3494">
        <v>1</v>
      </c>
      <c r="I3494">
        <v>1</v>
      </c>
      <c r="J3494">
        <v>50032.352912512797</v>
      </c>
      <c r="K3494">
        <v>41998.339476691901</v>
      </c>
      <c r="L3494">
        <v>6.8199999999999896</v>
      </c>
      <c r="M3494">
        <v>81.144999999999996</v>
      </c>
      <c r="N3494">
        <v>8.1920000000000002</v>
      </c>
    </row>
    <row r="3495" spans="1:14" x14ac:dyDescent="0.45">
      <c r="A3495">
        <v>1997</v>
      </c>
      <c r="B3495" t="s">
        <v>59</v>
      </c>
      <c r="C3495">
        <v>0</v>
      </c>
      <c r="D3495">
        <v>0</v>
      </c>
      <c r="E3495">
        <v>0</v>
      </c>
      <c r="F3495">
        <v>0</v>
      </c>
      <c r="G3495">
        <v>0</v>
      </c>
      <c r="H3495">
        <v>1</v>
      </c>
      <c r="I3495">
        <v>1</v>
      </c>
      <c r="J3495">
        <v>100310.446242408</v>
      </c>
      <c r="K3495">
        <v>99103.5801885689</v>
      </c>
      <c r="L3495">
        <v>21.062000000000001</v>
      </c>
      <c r="M3495">
        <v>72.558999999999997</v>
      </c>
      <c r="N3495">
        <v>12.288</v>
      </c>
    </row>
    <row r="3496" spans="1:14" x14ac:dyDescent="0.45">
      <c r="A3496">
        <v>1997</v>
      </c>
      <c r="B3496" t="s">
        <v>60</v>
      </c>
      <c r="C3496">
        <v>0</v>
      </c>
      <c r="D3496">
        <v>1</v>
      </c>
      <c r="E3496">
        <v>0</v>
      </c>
      <c r="F3496">
        <v>0</v>
      </c>
      <c r="G3496">
        <v>1</v>
      </c>
      <c r="H3496">
        <v>0</v>
      </c>
      <c r="I3496">
        <v>0</v>
      </c>
      <c r="J3496">
        <v>23172.158339834201</v>
      </c>
      <c r="K3496">
        <v>19124.209155296401</v>
      </c>
      <c r="L3496">
        <v>11.436</v>
      </c>
      <c r="M3496">
        <v>73.406999999999996</v>
      </c>
      <c r="N3496">
        <v>23.922000000000001</v>
      </c>
    </row>
    <row r="3497" spans="1:14" x14ac:dyDescent="0.45">
      <c r="A3497">
        <v>1997</v>
      </c>
      <c r="B3497" t="s">
        <v>61</v>
      </c>
      <c r="C3497">
        <v>1</v>
      </c>
      <c r="D3497">
        <v>0</v>
      </c>
      <c r="E3497">
        <v>0</v>
      </c>
      <c r="F3497">
        <v>0</v>
      </c>
      <c r="G3497">
        <v>0</v>
      </c>
      <c r="H3497">
        <v>0</v>
      </c>
      <c r="I3497">
        <v>0</v>
      </c>
      <c r="J3497">
        <v>3879.1793800967798</v>
      </c>
      <c r="K3497">
        <v>3286.0576295401302</v>
      </c>
      <c r="L3497">
        <v>34.496000000000002</v>
      </c>
      <c r="M3497">
        <v>69.591999999999999</v>
      </c>
      <c r="N3497">
        <v>35.485999999999997</v>
      </c>
    </row>
    <row r="3498" spans="1:14" x14ac:dyDescent="0.45">
      <c r="A3498">
        <v>1997</v>
      </c>
      <c r="B3498" t="s">
        <v>62</v>
      </c>
      <c r="C3498">
        <v>0</v>
      </c>
      <c r="D3498">
        <v>0</v>
      </c>
      <c r="E3498">
        <v>0</v>
      </c>
      <c r="F3498">
        <v>0</v>
      </c>
      <c r="G3498">
        <v>1</v>
      </c>
      <c r="H3498">
        <v>0</v>
      </c>
      <c r="I3498">
        <v>0</v>
      </c>
      <c r="L3498">
        <v>13.228999999999999</v>
      </c>
      <c r="M3498">
        <v>71.605999999999995</v>
      </c>
      <c r="N3498">
        <v>14.715</v>
      </c>
    </row>
    <row r="3499" spans="1:14" x14ac:dyDescent="0.45">
      <c r="A3499">
        <v>1997</v>
      </c>
      <c r="B3499" t="s">
        <v>63</v>
      </c>
      <c r="C3499">
        <v>0</v>
      </c>
      <c r="D3499">
        <v>1</v>
      </c>
      <c r="E3499">
        <v>0</v>
      </c>
      <c r="F3499">
        <v>0</v>
      </c>
      <c r="G3499">
        <v>1</v>
      </c>
      <c r="H3499">
        <v>0</v>
      </c>
      <c r="I3499">
        <v>0</v>
      </c>
      <c r="J3499">
        <v>23350.309386516899</v>
      </c>
      <c r="K3499">
        <v>18390.629678043901</v>
      </c>
      <c r="L3499">
        <v>66.778999999999996</v>
      </c>
      <c r="M3499">
        <v>74.045000000000002</v>
      </c>
      <c r="N3499">
        <v>15.257999999999999</v>
      </c>
    </row>
    <row r="3500" spans="1:14" x14ac:dyDescent="0.45">
      <c r="A3500">
        <v>1997</v>
      </c>
      <c r="B3500" t="s">
        <v>64</v>
      </c>
      <c r="C3500">
        <v>0</v>
      </c>
      <c r="D3500">
        <v>0</v>
      </c>
      <c r="E3500">
        <v>0</v>
      </c>
      <c r="F3500">
        <v>0</v>
      </c>
      <c r="G3500">
        <v>0</v>
      </c>
      <c r="H3500">
        <v>1</v>
      </c>
      <c r="I3500">
        <v>1</v>
      </c>
      <c r="J3500">
        <v>40699.118204228202</v>
      </c>
      <c r="K3500">
        <v>35251.605982552297</v>
      </c>
      <c r="L3500">
        <v>15.364000000000001</v>
      </c>
      <c r="M3500">
        <v>78.626000000000005</v>
      </c>
      <c r="N3500">
        <v>6.798</v>
      </c>
    </row>
    <row r="3501" spans="1:14" x14ac:dyDescent="0.45">
      <c r="A3501">
        <v>1997</v>
      </c>
      <c r="B3501" t="s">
        <v>65</v>
      </c>
      <c r="C3501">
        <v>1</v>
      </c>
      <c r="D3501">
        <v>0</v>
      </c>
      <c r="E3501">
        <v>0</v>
      </c>
      <c r="F3501">
        <v>0</v>
      </c>
      <c r="G3501">
        <v>0</v>
      </c>
      <c r="H3501">
        <v>1</v>
      </c>
      <c r="I3501">
        <v>1</v>
      </c>
      <c r="J3501">
        <v>48634.380034904898</v>
      </c>
      <c r="K3501">
        <v>41444.056095954198</v>
      </c>
      <c r="L3501">
        <v>38.954999999999998</v>
      </c>
      <c r="M3501">
        <v>77.427999999999997</v>
      </c>
      <c r="N3501">
        <v>5.7110000000000003</v>
      </c>
    </row>
    <row r="3502" spans="1:14" x14ac:dyDescent="0.45">
      <c r="A3502">
        <v>1997</v>
      </c>
      <c r="B3502" t="s">
        <v>66</v>
      </c>
      <c r="C3502">
        <v>1</v>
      </c>
      <c r="D3502">
        <v>0</v>
      </c>
      <c r="E3502">
        <v>0</v>
      </c>
      <c r="F3502">
        <v>0</v>
      </c>
      <c r="G3502">
        <v>0</v>
      </c>
      <c r="H3502">
        <v>0</v>
      </c>
      <c r="I3502">
        <v>0</v>
      </c>
      <c r="J3502">
        <v>4425.58823457584</v>
      </c>
      <c r="K3502">
        <v>3222.76803154358</v>
      </c>
      <c r="L3502">
        <v>48.411999999999999</v>
      </c>
      <c r="M3502">
        <v>62.953000000000003</v>
      </c>
      <c r="N3502">
        <v>87.528000000000006</v>
      </c>
    </row>
    <row r="3503" spans="1:14" x14ac:dyDescent="0.45">
      <c r="A3503">
        <v>1997</v>
      </c>
      <c r="B3503" t="s">
        <v>67</v>
      </c>
      <c r="C3503">
        <v>0</v>
      </c>
      <c r="D3503">
        <v>0</v>
      </c>
      <c r="E3503">
        <v>1</v>
      </c>
      <c r="F3503">
        <v>0</v>
      </c>
      <c r="G3503">
        <v>0</v>
      </c>
      <c r="H3503">
        <v>0</v>
      </c>
      <c r="I3503">
        <v>0</v>
      </c>
      <c r="J3503">
        <v>1024.4499539687899</v>
      </c>
      <c r="K3503">
        <v>885.23052769026901</v>
      </c>
      <c r="L3503">
        <v>92.382000000000005</v>
      </c>
      <c r="M3503">
        <v>45.720999999999997</v>
      </c>
      <c r="N3503">
        <v>165.02699999999999</v>
      </c>
    </row>
    <row r="3504" spans="1:14" x14ac:dyDescent="0.45">
      <c r="A3504">
        <v>1997</v>
      </c>
      <c r="B3504" t="s">
        <v>68</v>
      </c>
      <c r="C3504">
        <v>1</v>
      </c>
      <c r="D3504">
        <v>0</v>
      </c>
      <c r="E3504">
        <v>0</v>
      </c>
      <c r="F3504">
        <v>0</v>
      </c>
      <c r="G3504">
        <v>0</v>
      </c>
      <c r="H3504">
        <v>1</v>
      </c>
      <c r="I3504">
        <v>1</v>
      </c>
      <c r="J3504">
        <v>46416.471283944797</v>
      </c>
      <c r="K3504">
        <v>39060.232327653001</v>
      </c>
      <c r="L3504">
        <v>3.0759999999999899</v>
      </c>
      <c r="M3504">
        <v>77.403000000000006</v>
      </c>
      <c r="N3504">
        <v>6.5960000000000001</v>
      </c>
    </row>
    <row r="3505" spans="1:14" x14ac:dyDescent="0.45">
      <c r="A3505">
        <v>1997</v>
      </c>
      <c r="B3505" t="s">
        <v>69</v>
      </c>
      <c r="C3505">
        <v>0</v>
      </c>
      <c r="D3505">
        <v>0</v>
      </c>
      <c r="E3505">
        <v>1</v>
      </c>
      <c r="F3505">
        <v>0</v>
      </c>
      <c r="G3505">
        <v>0</v>
      </c>
      <c r="H3505">
        <v>0</v>
      </c>
      <c r="I3505">
        <v>0</v>
      </c>
      <c r="J3505">
        <v>2399.78593127356</v>
      </c>
      <c r="K3505">
        <v>2276.8014247628998</v>
      </c>
      <c r="L3505">
        <v>62.615000000000002</v>
      </c>
      <c r="M3505">
        <v>55.985999999999997</v>
      </c>
      <c r="N3505">
        <v>146.345</v>
      </c>
    </row>
    <row r="3506" spans="1:14" x14ac:dyDescent="0.45">
      <c r="A3506">
        <v>1997</v>
      </c>
      <c r="B3506" t="s">
        <v>70</v>
      </c>
      <c r="C3506">
        <v>0</v>
      </c>
      <c r="D3506">
        <v>0</v>
      </c>
      <c r="E3506">
        <v>1</v>
      </c>
      <c r="F3506">
        <v>0</v>
      </c>
      <c r="G3506">
        <v>0</v>
      </c>
      <c r="H3506">
        <v>0</v>
      </c>
      <c r="I3506">
        <v>0</v>
      </c>
      <c r="J3506">
        <v>1326.94230829963</v>
      </c>
      <c r="K3506">
        <v>1214.06872993302</v>
      </c>
      <c r="L3506">
        <v>84.125</v>
      </c>
      <c r="M3506">
        <v>49.56</v>
      </c>
      <c r="N3506">
        <v>190.239</v>
      </c>
    </row>
    <row r="3507" spans="1:14" x14ac:dyDescent="0.45">
      <c r="A3507">
        <v>1997</v>
      </c>
      <c r="B3507" t="s">
        <v>71</v>
      </c>
      <c r="C3507">
        <v>0</v>
      </c>
      <c r="D3507">
        <v>0</v>
      </c>
      <c r="E3507">
        <v>0</v>
      </c>
      <c r="F3507">
        <v>0</v>
      </c>
      <c r="G3507">
        <v>0</v>
      </c>
      <c r="H3507">
        <v>0</v>
      </c>
      <c r="I3507">
        <v>0</v>
      </c>
      <c r="J3507">
        <v>2475.5957460248901</v>
      </c>
      <c r="K3507">
        <v>2012.64588646332</v>
      </c>
      <c r="L3507">
        <v>77.561999999999998</v>
      </c>
      <c r="M3507">
        <v>59.670999999999999</v>
      </c>
      <c r="N3507">
        <v>102.017</v>
      </c>
    </row>
    <row r="3508" spans="1:14" x14ac:dyDescent="0.45">
      <c r="A3508">
        <v>1997</v>
      </c>
      <c r="B3508" t="s">
        <v>72</v>
      </c>
      <c r="C3508">
        <v>1</v>
      </c>
      <c r="D3508">
        <v>0</v>
      </c>
      <c r="E3508">
        <v>0</v>
      </c>
      <c r="F3508">
        <v>1</v>
      </c>
      <c r="G3508">
        <v>0</v>
      </c>
      <c r="H3508">
        <v>0</v>
      </c>
      <c r="I3508">
        <v>0</v>
      </c>
      <c r="J3508">
        <v>12414.573318811101</v>
      </c>
      <c r="K3508">
        <v>10301.6063942124</v>
      </c>
      <c r="L3508">
        <v>31.768999999999998</v>
      </c>
      <c r="M3508">
        <v>70.313999999999993</v>
      </c>
      <c r="N3508">
        <v>21.344000000000001</v>
      </c>
    </row>
    <row r="3509" spans="1:14" x14ac:dyDescent="0.45">
      <c r="A3509">
        <v>1997</v>
      </c>
      <c r="B3509" t="s">
        <v>73</v>
      </c>
      <c r="C3509">
        <v>0</v>
      </c>
      <c r="D3509">
        <v>0</v>
      </c>
      <c r="E3509">
        <v>0</v>
      </c>
      <c r="F3509">
        <v>0</v>
      </c>
      <c r="G3509">
        <v>1</v>
      </c>
      <c r="H3509">
        <v>0</v>
      </c>
      <c r="I3509">
        <v>0</v>
      </c>
      <c r="J3509">
        <v>54512.855105688803</v>
      </c>
      <c r="K3509">
        <v>50793.020425020899</v>
      </c>
      <c r="L3509">
        <v>11.618</v>
      </c>
      <c r="M3509">
        <v>73.872</v>
      </c>
      <c r="N3509">
        <v>15.41</v>
      </c>
    </row>
    <row r="3510" spans="1:14" x14ac:dyDescent="0.45">
      <c r="A3510">
        <v>1997</v>
      </c>
      <c r="B3510" t="s">
        <v>74</v>
      </c>
      <c r="C3510">
        <v>0</v>
      </c>
      <c r="D3510">
        <v>1</v>
      </c>
      <c r="E3510">
        <v>0</v>
      </c>
      <c r="F3510">
        <v>0</v>
      </c>
      <c r="G3510">
        <v>0</v>
      </c>
      <c r="H3510">
        <v>1</v>
      </c>
      <c r="I3510">
        <v>1</v>
      </c>
      <c r="J3510">
        <v>30838.9473390001</v>
      </c>
      <c r="K3510">
        <v>31988.807862264999</v>
      </c>
      <c r="L3510">
        <v>18.603999999999999</v>
      </c>
      <c r="M3510">
        <v>71.596999999999994</v>
      </c>
      <c r="N3510">
        <v>17.283999999999999</v>
      </c>
    </row>
    <row r="3511" spans="1:14" x14ac:dyDescent="0.45">
      <c r="A3511">
        <v>1997</v>
      </c>
      <c r="B3511" t="s">
        <v>75</v>
      </c>
      <c r="C3511">
        <v>1</v>
      </c>
      <c r="D3511">
        <v>0</v>
      </c>
      <c r="E3511">
        <v>0</v>
      </c>
      <c r="F3511">
        <v>0</v>
      </c>
      <c r="G3511">
        <v>0</v>
      </c>
      <c r="H3511">
        <v>0</v>
      </c>
      <c r="I3511">
        <v>0</v>
      </c>
      <c r="J3511">
        <v>6018.96119977545</v>
      </c>
      <c r="K3511">
        <v>5199.5475944139698</v>
      </c>
      <c r="L3511">
        <v>58.558</v>
      </c>
      <c r="M3511">
        <v>73.894999999999996</v>
      </c>
      <c r="N3511">
        <v>11.715</v>
      </c>
    </row>
    <row r="3512" spans="1:14" x14ac:dyDescent="0.45">
      <c r="A3512">
        <v>1997</v>
      </c>
      <c r="B3512" t="s">
        <v>76</v>
      </c>
      <c r="C3512">
        <v>1</v>
      </c>
      <c r="D3512">
        <v>0</v>
      </c>
      <c r="E3512">
        <v>0</v>
      </c>
      <c r="F3512">
        <v>1</v>
      </c>
      <c r="G3512">
        <v>0</v>
      </c>
      <c r="H3512">
        <v>0</v>
      </c>
      <c r="I3512">
        <v>0</v>
      </c>
      <c r="J3512">
        <v>9301.3271703158407</v>
      </c>
      <c r="K3512">
        <v>6715.5123453696297</v>
      </c>
      <c r="L3512">
        <v>31.312999999999999</v>
      </c>
      <c r="M3512">
        <v>68.501000000000005</v>
      </c>
      <c r="N3512">
        <v>14.361000000000001</v>
      </c>
    </row>
    <row r="3513" spans="1:14" x14ac:dyDescent="0.45">
      <c r="A3513">
        <v>1997</v>
      </c>
      <c r="B3513" t="s">
        <v>77</v>
      </c>
      <c r="C3513">
        <v>0</v>
      </c>
      <c r="D3513">
        <v>1</v>
      </c>
      <c r="E3513">
        <v>0</v>
      </c>
      <c r="F3513">
        <v>1</v>
      </c>
      <c r="G3513">
        <v>0</v>
      </c>
      <c r="H3513">
        <v>0</v>
      </c>
      <c r="I3513">
        <v>0</v>
      </c>
      <c r="J3513">
        <v>9852.8572674904608</v>
      </c>
      <c r="K3513">
        <v>7764.9695892046002</v>
      </c>
      <c r="L3513">
        <v>53.997</v>
      </c>
      <c r="M3513">
        <v>69.183000000000007</v>
      </c>
      <c r="N3513">
        <v>27.541</v>
      </c>
    </row>
    <row r="3514" spans="1:14" x14ac:dyDescent="0.45">
      <c r="A3514">
        <v>1997</v>
      </c>
      <c r="B3514" t="s">
        <v>78</v>
      </c>
      <c r="C3514">
        <v>0</v>
      </c>
      <c r="D3514">
        <v>0</v>
      </c>
      <c r="E3514">
        <v>0</v>
      </c>
      <c r="F3514">
        <v>0</v>
      </c>
      <c r="G3514">
        <v>0</v>
      </c>
      <c r="H3514">
        <v>1</v>
      </c>
      <c r="I3514">
        <v>1</v>
      </c>
      <c r="J3514">
        <v>85380.834832611697</v>
      </c>
      <c r="K3514">
        <v>75857.791058718998</v>
      </c>
      <c r="L3514">
        <v>0</v>
      </c>
      <c r="M3514">
        <v>76.971999999999994</v>
      </c>
      <c r="N3514">
        <v>5.8710000000000004</v>
      </c>
    </row>
    <row r="3515" spans="1:14" x14ac:dyDescent="0.45">
      <c r="A3515">
        <v>1997</v>
      </c>
      <c r="B3515" t="s">
        <v>79</v>
      </c>
      <c r="C3515">
        <v>0</v>
      </c>
      <c r="D3515">
        <v>1</v>
      </c>
      <c r="E3515">
        <v>0</v>
      </c>
      <c r="F3515">
        <v>1</v>
      </c>
      <c r="G3515">
        <v>0</v>
      </c>
      <c r="H3515">
        <v>0</v>
      </c>
      <c r="I3515">
        <v>0</v>
      </c>
      <c r="J3515">
        <v>5989.4143194500102</v>
      </c>
      <c r="K3515">
        <v>5285.9588816383603</v>
      </c>
      <c r="L3515">
        <v>39.787999999999997</v>
      </c>
      <c r="M3515">
        <v>60.744999999999997</v>
      </c>
      <c r="N3515">
        <v>113.669</v>
      </c>
    </row>
    <row r="3516" spans="1:14" x14ac:dyDescent="0.45">
      <c r="A3516">
        <v>1997</v>
      </c>
      <c r="B3516" t="s">
        <v>80</v>
      </c>
      <c r="C3516">
        <v>0</v>
      </c>
      <c r="D3516">
        <v>1</v>
      </c>
      <c r="E3516">
        <v>0</v>
      </c>
      <c r="F3516">
        <v>0</v>
      </c>
      <c r="G3516">
        <v>1</v>
      </c>
      <c r="H3516">
        <v>0</v>
      </c>
      <c r="I3516">
        <v>0</v>
      </c>
      <c r="J3516">
        <v>13896.624990107201</v>
      </c>
      <c r="K3516">
        <v>11414.814801234301</v>
      </c>
      <c r="L3516">
        <v>20.952000000000002</v>
      </c>
      <c r="M3516">
        <v>68.504999999999995</v>
      </c>
      <c r="N3516">
        <v>42.08</v>
      </c>
    </row>
    <row r="3517" spans="1:14" x14ac:dyDescent="0.45">
      <c r="A3517">
        <v>1997</v>
      </c>
      <c r="B3517" t="s">
        <v>81</v>
      </c>
      <c r="C3517">
        <v>0</v>
      </c>
      <c r="D3517">
        <v>1</v>
      </c>
      <c r="E3517">
        <v>0</v>
      </c>
      <c r="F3517">
        <v>0</v>
      </c>
      <c r="G3517">
        <v>1</v>
      </c>
      <c r="H3517">
        <v>0</v>
      </c>
      <c r="I3517">
        <v>0</v>
      </c>
      <c r="J3517">
        <v>17320.367529124698</v>
      </c>
      <c r="K3517">
        <v>16542.675569401101</v>
      </c>
      <c r="L3517">
        <v>65.144000000000005</v>
      </c>
      <c r="M3517">
        <v>73.988</v>
      </c>
      <c r="N3517">
        <v>14.711</v>
      </c>
    </row>
    <row r="3518" spans="1:14" x14ac:dyDescent="0.45">
      <c r="A3518">
        <v>1997</v>
      </c>
      <c r="B3518" t="s">
        <v>82</v>
      </c>
      <c r="C3518">
        <v>0</v>
      </c>
      <c r="D3518">
        <v>0</v>
      </c>
      <c r="E3518">
        <v>0</v>
      </c>
      <c r="F3518">
        <v>0</v>
      </c>
      <c r="G3518">
        <v>0</v>
      </c>
      <c r="H3518">
        <v>1</v>
      </c>
      <c r="I3518">
        <v>1</v>
      </c>
      <c r="J3518">
        <v>106503.420292059</v>
      </c>
      <c r="K3518">
        <v>83158.347034366103</v>
      </c>
      <c r="L3518">
        <v>30.334</v>
      </c>
      <c r="M3518">
        <v>73.325999999999993</v>
      </c>
      <c r="N3518">
        <v>11.478999999999999</v>
      </c>
    </row>
    <row r="3519" spans="1:14" x14ac:dyDescent="0.45">
      <c r="A3519">
        <v>1997</v>
      </c>
      <c r="B3519" t="s">
        <v>83</v>
      </c>
      <c r="C3519">
        <v>0</v>
      </c>
      <c r="D3519">
        <v>0</v>
      </c>
      <c r="E3519">
        <v>0</v>
      </c>
      <c r="F3519">
        <v>0</v>
      </c>
      <c r="G3519">
        <v>0</v>
      </c>
      <c r="H3519">
        <v>0</v>
      </c>
      <c r="I3519">
        <v>0</v>
      </c>
      <c r="J3519">
        <v>4778.7051173173204</v>
      </c>
      <c r="K3519">
        <v>4138.9629513865502</v>
      </c>
      <c r="L3519">
        <v>77.599000000000004</v>
      </c>
      <c r="M3519">
        <v>60.639000000000003</v>
      </c>
      <c r="N3519">
        <v>92.233999999999995</v>
      </c>
    </row>
    <row r="3520" spans="1:14" x14ac:dyDescent="0.45">
      <c r="A3520">
        <v>1997</v>
      </c>
      <c r="B3520" t="s">
        <v>84</v>
      </c>
      <c r="C3520">
        <v>0</v>
      </c>
      <c r="D3520">
        <v>0</v>
      </c>
      <c r="E3520">
        <v>1</v>
      </c>
      <c r="F3520">
        <v>0</v>
      </c>
      <c r="G3520">
        <v>1</v>
      </c>
      <c r="H3520">
        <v>0</v>
      </c>
      <c r="I3520">
        <v>0</v>
      </c>
      <c r="J3520">
        <v>12526.3522352645</v>
      </c>
      <c r="K3520">
        <v>11333.6735821033</v>
      </c>
      <c r="L3520">
        <v>49.323</v>
      </c>
      <c r="M3520">
        <v>53.594000000000001</v>
      </c>
      <c r="N3520">
        <v>72.474000000000004</v>
      </c>
    </row>
    <row r="3521" spans="1:14" x14ac:dyDescent="0.45">
      <c r="A3521">
        <v>1997</v>
      </c>
      <c r="B3521" t="s">
        <v>85</v>
      </c>
      <c r="C3521">
        <v>0</v>
      </c>
      <c r="D3521">
        <v>0</v>
      </c>
      <c r="E3521">
        <v>1</v>
      </c>
      <c r="F3521">
        <v>0</v>
      </c>
      <c r="G3521">
        <v>0</v>
      </c>
      <c r="H3521">
        <v>0</v>
      </c>
      <c r="I3521">
        <v>0</v>
      </c>
      <c r="J3521">
        <v>1278.48826062781</v>
      </c>
      <c r="K3521">
        <v>1023.62203978743</v>
      </c>
      <c r="L3521">
        <v>62.606000000000002</v>
      </c>
      <c r="M3521">
        <v>47.283999999999999</v>
      </c>
      <c r="N3521">
        <v>170.33199999999999</v>
      </c>
    </row>
    <row r="3522" spans="1:14" x14ac:dyDescent="0.45">
      <c r="A3522">
        <v>1997</v>
      </c>
      <c r="B3522" t="s">
        <v>86</v>
      </c>
      <c r="C3522">
        <v>0</v>
      </c>
      <c r="D3522">
        <v>0</v>
      </c>
      <c r="E3522">
        <v>0</v>
      </c>
      <c r="F3522">
        <v>0</v>
      </c>
      <c r="G3522">
        <v>0</v>
      </c>
      <c r="H3522">
        <v>1</v>
      </c>
      <c r="I3522">
        <v>1</v>
      </c>
      <c r="J3522">
        <v>43241.240706188699</v>
      </c>
      <c r="K3522">
        <v>37430.334702265704</v>
      </c>
      <c r="L3522">
        <v>21.66</v>
      </c>
      <c r="M3522">
        <v>78.465000000000003</v>
      </c>
      <c r="N3522">
        <v>6.5220000000000002</v>
      </c>
    </row>
    <row r="3523" spans="1:14" x14ac:dyDescent="0.45">
      <c r="A3523">
        <v>1997</v>
      </c>
      <c r="B3523" t="s">
        <v>87</v>
      </c>
      <c r="C3523">
        <v>1</v>
      </c>
      <c r="D3523">
        <v>0</v>
      </c>
      <c r="E3523">
        <v>0</v>
      </c>
      <c r="F3523">
        <v>0</v>
      </c>
      <c r="G3523">
        <v>0</v>
      </c>
      <c r="H3523">
        <v>1</v>
      </c>
      <c r="I3523">
        <v>1</v>
      </c>
      <c r="J3523">
        <v>62709.9871171841</v>
      </c>
      <c r="K3523">
        <v>54555.613188471099</v>
      </c>
      <c r="L3523">
        <v>26.454000000000001</v>
      </c>
      <c r="M3523">
        <v>79.233000000000004</v>
      </c>
      <c r="N3523">
        <v>5.9569999999999999</v>
      </c>
    </row>
    <row r="3524" spans="1:14" x14ac:dyDescent="0.45">
      <c r="A3524">
        <v>1997</v>
      </c>
      <c r="B3524" t="s">
        <v>88</v>
      </c>
      <c r="C3524">
        <v>1</v>
      </c>
      <c r="D3524">
        <v>0</v>
      </c>
      <c r="E3524">
        <v>0</v>
      </c>
      <c r="F3524">
        <v>0</v>
      </c>
      <c r="G3524">
        <v>0</v>
      </c>
      <c r="H3524">
        <v>1</v>
      </c>
      <c r="I3524">
        <v>1</v>
      </c>
      <c r="L3524">
        <v>69.584000000000003</v>
      </c>
      <c r="M3524">
        <v>78.191098718316994</v>
      </c>
      <c r="N3524">
        <v>12.165813342087599</v>
      </c>
    </row>
    <row r="3525" spans="1:14" x14ac:dyDescent="0.45">
      <c r="A3525">
        <v>1997</v>
      </c>
      <c r="B3525" t="s">
        <v>89</v>
      </c>
      <c r="C3525">
        <v>0</v>
      </c>
      <c r="D3525">
        <v>1</v>
      </c>
      <c r="E3525">
        <v>0</v>
      </c>
      <c r="F3525">
        <v>0</v>
      </c>
      <c r="G3525">
        <v>1</v>
      </c>
      <c r="H3525">
        <v>0</v>
      </c>
      <c r="I3525">
        <v>0</v>
      </c>
      <c r="J3525">
        <v>16683.905903129798</v>
      </c>
      <c r="K3525">
        <v>14533.0492377175</v>
      </c>
      <c r="L3525">
        <v>14.827999999999999</v>
      </c>
      <c r="M3525">
        <v>75.825999999999993</v>
      </c>
      <c r="N3525">
        <v>12.833</v>
      </c>
    </row>
    <row r="3526" spans="1:14" x14ac:dyDescent="0.45">
      <c r="A3526">
        <v>1997</v>
      </c>
      <c r="B3526" t="s">
        <v>90</v>
      </c>
      <c r="C3526">
        <v>0</v>
      </c>
      <c r="D3526">
        <v>0</v>
      </c>
      <c r="E3526">
        <v>0</v>
      </c>
      <c r="F3526">
        <v>1</v>
      </c>
      <c r="G3526">
        <v>0</v>
      </c>
      <c r="H3526">
        <v>0</v>
      </c>
      <c r="I3526">
        <v>0</v>
      </c>
      <c r="J3526">
        <v>3305.7906108213101</v>
      </c>
      <c r="K3526">
        <v>2963.4272339539798</v>
      </c>
      <c r="L3526">
        <v>67.117000000000004</v>
      </c>
      <c r="M3526">
        <v>71.227000000000004</v>
      </c>
      <c r="N3526">
        <v>42.715000000000003</v>
      </c>
    </row>
    <row r="3527" spans="1:14" x14ac:dyDescent="0.45">
      <c r="A3527">
        <v>1997</v>
      </c>
      <c r="B3527" t="s">
        <v>91</v>
      </c>
      <c r="C3527">
        <v>0</v>
      </c>
      <c r="D3527">
        <v>0</v>
      </c>
      <c r="E3527">
        <v>1</v>
      </c>
      <c r="F3527">
        <v>0</v>
      </c>
      <c r="G3527">
        <v>0</v>
      </c>
      <c r="H3527">
        <v>0</v>
      </c>
      <c r="I3527">
        <v>0</v>
      </c>
      <c r="J3527">
        <v>5072.5970380266699</v>
      </c>
      <c r="K3527">
        <v>4282.0189530904099</v>
      </c>
      <c r="L3527">
        <v>58.036000000000001</v>
      </c>
      <c r="M3527">
        <v>51.497999999999998</v>
      </c>
      <c r="N3527">
        <v>147.99299999999999</v>
      </c>
    </row>
    <row r="3528" spans="1:14" x14ac:dyDescent="0.45">
      <c r="A3528">
        <v>1997</v>
      </c>
      <c r="B3528" t="s">
        <v>92</v>
      </c>
      <c r="C3528">
        <v>0</v>
      </c>
      <c r="D3528">
        <v>0</v>
      </c>
      <c r="E3528">
        <v>1</v>
      </c>
      <c r="F3528">
        <v>0</v>
      </c>
      <c r="G3528">
        <v>0</v>
      </c>
      <c r="H3528">
        <v>0</v>
      </c>
      <c r="I3528">
        <v>0</v>
      </c>
      <c r="J3528">
        <v>3641.70750463277</v>
      </c>
      <c r="K3528">
        <v>2859.5144902799502</v>
      </c>
      <c r="L3528">
        <v>56.244999999999997</v>
      </c>
      <c r="M3528">
        <v>53.104999999999997</v>
      </c>
      <c r="N3528">
        <v>147.047</v>
      </c>
    </row>
    <row r="3529" spans="1:14" x14ac:dyDescent="0.45">
      <c r="A3529">
        <v>1997</v>
      </c>
      <c r="B3529" t="s">
        <v>93</v>
      </c>
      <c r="C3529">
        <v>0</v>
      </c>
      <c r="D3529">
        <v>0</v>
      </c>
      <c r="E3529">
        <v>1</v>
      </c>
      <c r="F3529">
        <v>0</v>
      </c>
      <c r="G3529">
        <v>0</v>
      </c>
      <c r="H3529">
        <v>0</v>
      </c>
      <c r="I3529">
        <v>0</v>
      </c>
      <c r="J3529">
        <v>1109.8584565343699</v>
      </c>
      <c r="K3529">
        <v>888.51329752671995</v>
      </c>
      <c r="L3529">
        <v>66.257999999999996</v>
      </c>
      <c r="M3529">
        <v>50.460999999999999</v>
      </c>
      <c r="N3529">
        <v>170.63300000000001</v>
      </c>
    </row>
    <row r="3530" spans="1:14" x14ac:dyDescent="0.45">
      <c r="A3530">
        <v>1997</v>
      </c>
      <c r="B3530" t="s">
        <v>94</v>
      </c>
      <c r="C3530">
        <v>0</v>
      </c>
      <c r="D3530">
        <v>0</v>
      </c>
      <c r="E3530">
        <v>1</v>
      </c>
      <c r="F3530">
        <v>0</v>
      </c>
      <c r="G3530">
        <v>0</v>
      </c>
      <c r="H3530">
        <v>0</v>
      </c>
      <c r="I3530">
        <v>0</v>
      </c>
      <c r="J3530">
        <v>7599.0481538858703</v>
      </c>
      <c r="K3530">
        <v>4581.0497927903698</v>
      </c>
      <c r="L3530">
        <v>42.701000000000001</v>
      </c>
      <c r="M3530">
        <v>48.575000000000003</v>
      </c>
      <c r="N3530">
        <v>117.61199999999999</v>
      </c>
    </row>
    <row r="3531" spans="1:14" x14ac:dyDescent="0.45">
      <c r="A3531">
        <v>1997</v>
      </c>
      <c r="B3531" t="s">
        <v>95</v>
      </c>
      <c r="C3531">
        <v>0</v>
      </c>
      <c r="D3531">
        <v>1</v>
      </c>
      <c r="E3531">
        <v>0</v>
      </c>
      <c r="F3531">
        <v>1</v>
      </c>
      <c r="G3531">
        <v>0</v>
      </c>
      <c r="H3531">
        <v>0</v>
      </c>
      <c r="I3531">
        <v>0</v>
      </c>
      <c r="J3531">
        <v>11483.5050125907</v>
      </c>
      <c r="K3531">
        <v>9561.2751914012806</v>
      </c>
      <c r="L3531">
        <v>27.338000000000001</v>
      </c>
      <c r="M3531">
        <v>70.632000000000005</v>
      </c>
      <c r="N3531">
        <v>27.879000000000001</v>
      </c>
    </row>
    <row r="3532" spans="1:14" x14ac:dyDescent="0.45">
      <c r="A3532">
        <v>1997</v>
      </c>
      <c r="B3532" t="s">
        <v>96</v>
      </c>
      <c r="C3532">
        <v>0</v>
      </c>
      <c r="D3532">
        <v>0</v>
      </c>
      <c r="E3532">
        <v>1</v>
      </c>
      <c r="F3532">
        <v>0</v>
      </c>
      <c r="G3532">
        <v>0</v>
      </c>
      <c r="H3532">
        <v>0</v>
      </c>
      <c r="I3532">
        <v>0</v>
      </c>
      <c r="J3532">
        <v>2222.02113236984</v>
      </c>
      <c r="K3532">
        <v>2297.8534281091702</v>
      </c>
      <c r="L3532">
        <v>71.787000000000006</v>
      </c>
      <c r="M3532">
        <v>58.228000000000002</v>
      </c>
      <c r="N3532">
        <v>103.19499999999999</v>
      </c>
    </row>
    <row r="3533" spans="1:14" x14ac:dyDescent="0.45">
      <c r="A3533">
        <v>1997</v>
      </c>
      <c r="B3533" t="s">
        <v>97</v>
      </c>
      <c r="C3533">
        <v>0</v>
      </c>
      <c r="D3533">
        <v>0</v>
      </c>
      <c r="E3533">
        <v>1</v>
      </c>
      <c r="F3533">
        <v>1</v>
      </c>
      <c r="G3533">
        <v>0</v>
      </c>
      <c r="H3533">
        <v>0</v>
      </c>
      <c r="I3533">
        <v>0</v>
      </c>
      <c r="J3533">
        <v>3302.9740337536</v>
      </c>
      <c r="K3533">
        <v>3183.1226696091098</v>
      </c>
      <c r="L3533">
        <v>49.363</v>
      </c>
      <c r="M3533">
        <v>66.081999999999994</v>
      </c>
      <c r="N3533">
        <v>45.243000000000002</v>
      </c>
    </row>
    <row r="3534" spans="1:14" x14ac:dyDescent="0.45">
      <c r="A3534">
        <v>1997</v>
      </c>
      <c r="B3534" t="s">
        <v>98</v>
      </c>
      <c r="C3534">
        <v>0</v>
      </c>
      <c r="D3534">
        <v>1</v>
      </c>
      <c r="E3534">
        <v>0</v>
      </c>
      <c r="F3534">
        <v>1</v>
      </c>
      <c r="G3534">
        <v>0</v>
      </c>
      <c r="H3534">
        <v>0</v>
      </c>
      <c r="I3534">
        <v>0</v>
      </c>
      <c r="J3534">
        <v>12856.5832725538</v>
      </c>
      <c r="K3534">
        <v>11511.1989422189</v>
      </c>
      <c r="L3534">
        <v>43.633000000000003</v>
      </c>
      <c r="M3534">
        <v>76.602999999999994</v>
      </c>
      <c r="N3534">
        <v>14.294</v>
      </c>
    </row>
    <row r="3535" spans="1:14" x14ac:dyDescent="0.45">
      <c r="A3535">
        <v>1997</v>
      </c>
      <c r="B3535" t="s">
        <v>99</v>
      </c>
      <c r="C3535">
        <v>0</v>
      </c>
      <c r="D3535">
        <v>1</v>
      </c>
      <c r="E3535">
        <v>0</v>
      </c>
      <c r="F3535">
        <v>1</v>
      </c>
      <c r="G3535">
        <v>0</v>
      </c>
      <c r="H3535">
        <v>0</v>
      </c>
      <c r="I3535">
        <v>0</v>
      </c>
      <c r="L3535">
        <v>25.382000000000001</v>
      </c>
      <c r="M3535">
        <v>75.063999999999993</v>
      </c>
      <c r="N3535">
        <v>9.7959999999999994</v>
      </c>
    </row>
    <row r="3536" spans="1:14" x14ac:dyDescent="0.45">
      <c r="A3536">
        <v>1997</v>
      </c>
      <c r="B3536" t="s">
        <v>100</v>
      </c>
      <c r="C3536">
        <v>0</v>
      </c>
      <c r="D3536">
        <v>1</v>
      </c>
      <c r="E3536">
        <v>0</v>
      </c>
      <c r="F3536">
        <v>0</v>
      </c>
      <c r="G3536">
        <v>0</v>
      </c>
      <c r="H3536">
        <v>1</v>
      </c>
      <c r="I3536">
        <v>1</v>
      </c>
      <c r="L3536">
        <v>10.997999999999999</v>
      </c>
      <c r="M3536">
        <v>73.034999999999997</v>
      </c>
      <c r="N3536">
        <v>17.774000000000001</v>
      </c>
    </row>
    <row r="3537" spans="1:14" x14ac:dyDescent="0.45">
      <c r="A3537">
        <v>1997</v>
      </c>
      <c r="B3537" t="s">
        <v>101</v>
      </c>
      <c r="C3537">
        <v>0</v>
      </c>
      <c r="D3537">
        <v>1</v>
      </c>
      <c r="E3537">
        <v>0</v>
      </c>
      <c r="F3537">
        <v>0</v>
      </c>
      <c r="G3537">
        <v>0</v>
      </c>
      <c r="H3537">
        <v>1</v>
      </c>
      <c r="I3537">
        <v>1</v>
      </c>
      <c r="L3537">
        <v>0</v>
      </c>
      <c r="M3537">
        <v>73.903999999999996</v>
      </c>
      <c r="N3537">
        <v>6.95</v>
      </c>
    </row>
    <row r="3538" spans="1:14" x14ac:dyDescent="0.45">
      <c r="A3538">
        <v>1997</v>
      </c>
      <c r="B3538" t="s">
        <v>102</v>
      </c>
      <c r="C3538">
        <v>1</v>
      </c>
      <c r="D3538">
        <v>0</v>
      </c>
      <c r="E3538">
        <v>0</v>
      </c>
      <c r="F3538">
        <v>0</v>
      </c>
      <c r="G3538">
        <v>0</v>
      </c>
      <c r="H3538">
        <v>1</v>
      </c>
      <c r="I3538">
        <v>1</v>
      </c>
      <c r="J3538">
        <v>31657.740234375</v>
      </c>
      <c r="K3538">
        <v>28202.049446014498</v>
      </c>
      <c r="L3538">
        <v>31.716999999999999</v>
      </c>
      <c r="M3538">
        <v>77.119</v>
      </c>
      <c r="N3538">
        <v>7.9210000000000003</v>
      </c>
    </row>
    <row r="3539" spans="1:14" x14ac:dyDescent="0.45">
      <c r="A3539">
        <v>1997</v>
      </c>
      <c r="B3539" t="s">
        <v>103</v>
      </c>
      <c r="C3539">
        <v>1</v>
      </c>
      <c r="D3539">
        <v>0</v>
      </c>
      <c r="E3539">
        <v>0</v>
      </c>
      <c r="F3539">
        <v>0</v>
      </c>
      <c r="G3539">
        <v>1</v>
      </c>
      <c r="H3539">
        <v>0</v>
      </c>
      <c r="I3539">
        <v>0</v>
      </c>
      <c r="J3539">
        <v>27884.739758534299</v>
      </c>
      <c r="K3539">
        <v>23216.905233448699</v>
      </c>
      <c r="L3539">
        <v>25.617999999999999</v>
      </c>
      <c r="M3539">
        <v>73.945999999999998</v>
      </c>
      <c r="N3539">
        <v>7.391</v>
      </c>
    </row>
    <row r="3540" spans="1:14" x14ac:dyDescent="0.45">
      <c r="A3540">
        <v>1997</v>
      </c>
      <c r="B3540" t="s">
        <v>104</v>
      </c>
      <c r="C3540">
        <v>1</v>
      </c>
      <c r="D3540">
        <v>0</v>
      </c>
      <c r="E3540">
        <v>0</v>
      </c>
      <c r="F3540">
        <v>0</v>
      </c>
      <c r="G3540">
        <v>0</v>
      </c>
      <c r="H3540">
        <v>1</v>
      </c>
      <c r="I3540">
        <v>1</v>
      </c>
      <c r="J3540">
        <v>46691.818900400198</v>
      </c>
      <c r="K3540">
        <v>40484.241173768802</v>
      </c>
      <c r="L3540">
        <v>25.658000000000001</v>
      </c>
      <c r="M3540">
        <v>77.218000000000004</v>
      </c>
      <c r="N3540">
        <v>5.9720000000000004</v>
      </c>
    </row>
    <row r="3541" spans="1:14" x14ac:dyDescent="0.45">
      <c r="A3541">
        <v>1997</v>
      </c>
      <c r="B3541" t="s">
        <v>105</v>
      </c>
      <c r="C3541">
        <v>0</v>
      </c>
      <c r="D3541">
        <v>0</v>
      </c>
      <c r="E3541">
        <v>0</v>
      </c>
      <c r="F3541">
        <v>1</v>
      </c>
      <c r="G3541">
        <v>0</v>
      </c>
      <c r="H3541">
        <v>0</v>
      </c>
      <c r="I3541">
        <v>0</v>
      </c>
      <c r="J3541">
        <v>4115.3909069991796</v>
      </c>
      <c r="K3541">
        <v>3549.7339052388302</v>
      </c>
      <c r="L3541">
        <v>23.606999999999999</v>
      </c>
      <c r="M3541">
        <v>56.207000000000001</v>
      </c>
      <c r="N3541">
        <v>105.82299999999999</v>
      </c>
    </row>
    <row r="3542" spans="1:14" x14ac:dyDescent="0.45">
      <c r="A3542">
        <v>1997</v>
      </c>
      <c r="B3542" t="s">
        <v>106</v>
      </c>
      <c r="C3542">
        <v>0</v>
      </c>
      <c r="D3542">
        <v>1</v>
      </c>
      <c r="E3542">
        <v>0</v>
      </c>
      <c r="F3542">
        <v>1</v>
      </c>
      <c r="G3542">
        <v>0</v>
      </c>
      <c r="H3542">
        <v>0</v>
      </c>
      <c r="I3542">
        <v>0</v>
      </c>
      <c r="J3542">
        <v>13037.1495829377</v>
      </c>
      <c r="K3542">
        <v>10145.8791527786</v>
      </c>
      <c r="L3542">
        <v>34.994999999999997</v>
      </c>
      <c r="M3542">
        <v>71.194999999999993</v>
      </c>
      <c r="N3542">
        <v>16.956</v>
      </c>
    </row>
    <row r="3543" spans="1:14" x14ac:dyDescent="0.45">
      <c r="A3543">
        <v>1997</v>
      </c>
      <c r="B3543" t="s">
        <v>107</v>
      </c>
      <c r="C3543">
        <v>1</v>
      </c>
      <c r="D3543">
        <v>0</v>
      </c>
      <c r="E3543">
        <v>0</v>
      </c>
      <c r="F3543">
        <v>0</v>
      </c>
      <c r="G3543">
        <v>0</v>
      </c>
      <c r="H3543">
        <v>1</v>
      </c>
      <c r="I3543">
        <v>1</v>
      </c>
      <c r="J3543">
        <v>53094.9931997889</v>
      </c>
      <c r="K3543">
        <v>44873.078919883497</v>
      </c>
      <c r="L3543">
        <v>14.967000000000001</v>
      </c>
      <c r="M3543">
        <v>76.040999999999997</v>
      </c>
      <c r="N3543">
        <v>6.2679999999999998</v>
      </c>
    </row>
    <row r="3544" spans="1:14" x14ac:dyDescent="0.45">
      <c r="A3544">
        <v>1997</v>
      </c>
      <c r="B3544" t="s">
        <v>108</v>
      </c>
      <c r="C3544">
        <v>0</v>
      </c>
      <c r="D3544">
        <v>1</v>
      </c>
      <c r="E3544">
        <v>0</v>
      </c>
      <c r="F3544">
        <v>1</v>
      </c>
      <c r="G3544">
        <v>0</v>
      </c>
      <c r="H3544">
        <v>0</v>
      </c>
      <c r="I3544">
        <v>0</v>
      </c>
      <c r="J3544">
        <v>9671.1481788170695</v>
      </c>
      <c r="K3544">
        <v>8354.1795453910108</v>
      </c>
      <c r="L3544">
        <v>40.723999999999997</v>
      </c>
      <c r="M3544">
        <v>69.808999999999997</v>
      </c>
      <c r="N3544">
        <v>46.774000000000001</v>
      </c>
    </row>
    <row r="3545" spans="1:14" x14ac:dyDescent="0.45">
      <c r="A3545">
        <v>1997</v>
      </c>
      <c r="B3545" t="s">
        <v>109</v>
      </c>
      <c r="C3545">
        <v>0</v>
      </c>
      <c r="D3545">
        <v>0</v>
      </c>
      <c r="E3545">
        <v>0</v>
      </c>
      <c r="F3545">
        <v>1</v>
      </c>
      <c r="G3545">
        <v>0</v>
      </c>
      <c r="H3545">
        <v>0</v>
      </c>
      <c r="I3545">
        <v>0</v>
      </c>
      <c r="J3545">
        <v>10725.967349336801</v>
      </c>
      <c r="K3545">
        <v>9381.2970436929299</v>
      </c>
      <c r="L3545">
        <v>42.456000000000003</v>
      </c>
      <c r="M3545">
        <v>68.858999999999995</v>
      </c>
      <c r="N3545">
        <v>45.482999999999997</v>
      </c>
    </row>
    <row r="3546" spans="1:14" x14ac:dyDescent="0.45">
      <c r="A3546">
        <v>1997</v>
      </c>
      <c r="B3546" t="s">
        <v>110</v>
      </c>
      <c r="C3546">
        <v>0</v>
      </c>
      <c r="D3546">
        <v>1</v>
      </c>
      <c r="E3546">
        <v>0</v>
      </c>
      <c r="F3546">
        <v>1</v>
      </c>
      <c r="G3546">
        <v>0</v>
      </c>
      <c r="H3546">
        <v>0</v>
      </c>
      <c r="I3546">
        <v>0</v>
      </c>
      <c r="J3546">
        <v>9739.2668242801592</v>
      </c>
      <c r="K3546">
        <v>8100.6135228431103</v>
      </c>
      <c r="L3546">
        <v>41.215000000000003</v>
      </c>
      <c r="M3546">
        <v>72.007000000000005</v>
      </c>
      <c r="N3546">
        <v>35.843000000000004</v>
      </c>
    </row>
    <row r="3547" spans="1:14" x14ac:dyDescent="0.45">
      <c r="A3547">
        <v>1997</v>
      </c>
      <c r="B3547" t="s">
        <v>111</v>
      </c>
      <c r="C3547">
        <v>0</v>
      </c>
      <c r="D3547">
        <v>0</v>
      </c>
      <c r="E3547">
        <v>0</v>
      </c>
      <c r="F3547">
        <v>1</v>
      </c>
      <c r="G3547">
        <v>0</v>
      </c>
      <c r="H3547">
        <v>0</v>
      </c>
      <c r="I3547">
        <v>0</v>
      </c>
      <c r="J3547">
        <v>8950.6541069449595</v>
      </c>
      <c r="K3547">
        <v>7103.0882930421003</v>
      </c>
      <c r="L3547">
        <v>57.341999999999999</v>
      </c>
      <c r="M3547">
        <v>66.206999999999994</v>
      </c>
      <c r="N3547">
        <v>56.658999999999999</v>
      </c>
    </row>
    <row r="3548" spans="1:14" x14ac:dyDescent="0.45">
      <c r="A3548">
        <v>1997</v>
      </c>
      <c r="B3548" t="s">
        <v>112</v>
      </c>
      <c r="C3548">
        <v>0</v>
      </c>
      <c r="D3548">
        <v>0</v>
      </c>
      <c r="E3548">
        <v>1</v>
      </c>
      <c r="F3548">
        <v>0</v>
      </c>
      <c r="G3548">
        <v>0</v>
      </c>
      <c r="H3548">
        <v>0</v>
      </c>
      <c r="I3548">
        <v>0</v>
      </c>
      <c r="L3548">
        <v>75.912000000000006</v>
      </c>
      <c r="M3548">
        <v>56.155000000000001</v>
      </c>
      <c r="N3548">
        <v>101.657</v>
      </c>
    </row>
    <row r="3549" spans="1:14" x14ac:dyDescent="0.45">
      <c r="A3549">
        <v>1997</v>
      </c>
      <c r="B3549" t="s">
        <v>113</v>
      </c>
      <c r="C3549">
        <v>1</v>
      </c>
      <c r="D3549">
        <v>0</v>
      </c>
      <c r="E3549">
        <v>0</v>
      </c>
      <c r="F3549">
        <v>0</v>
      </c>
      <c r="G3549">
        <v>0</v>
      </c>
      <c r="H3549">
        <v>1</v>
      </c>
      <c r="I3549">
        <v>1</v>
      </c>
      <c r="J3549">
        <v>35312.086285438898</v>
      </c>
      <c r="K3549">
        <v>31075.5750953239</v>
      </c>
      <c r="L3549">
        <v>23.981000000000002</v>
      </c>
      <c r="M3549">
        <v>78.849999999999994</v>
      </c>
      <c r="N3549">
        <v>6.2640000000000002</v>
      </c>
    </row>
    <row r="3550" spans="1:14" x14ac:dyDescent="0.45">
      <c r="A3550">
        <v>1997</v>
      </c>
      <c r="B3550" t="s">
        <v>114</v>
      </c>
      <c r="C3550">
        <v>1</v>
      </c>
      <c r="D3550">
        <v>0</v>
      </c>
      <c r="E3550">
        <v>0</v>
      </c>
      <c r="F3550">
        <v>0</v>
      </c>
      <c r="G3550">
        <v>1</v>
      </c>
      <c r="H3550">
        <v>0</v>
      </c>
      <c r="I3550">
        <v>0</v>
      </c>
      <c r="J3550">
        <v>18099.438640139801</v>
      </c>
      <c r="K3550">
        <v>15355.6700790095</v>
      </c>
      <c r="L3550">
        <v>30.077000000000002</v>
      </c>
      <c r="M3550">
        <v>70.244</v>
      </c>
      <c r="N3550">
        <v>12.452999999999999</v>
      </c>
    </row>
    <row r="3551" spans="1:14" x14ac:dyDescent="0.45">
      <c r="A3551">
        <v>1997</v>
      </c>
      <c r="B3551" t="s">
        <v>115</v>
      </c>
      <c r="C3551">
        <v>0</v>
      </c>
      <c r="D3551">
        <v>0</v>
      </c>
      <c r="E3551">
        <v>1</v>
      </c>
      <c r="F3551">
        <v>0</v>
      </c>
      <c r="G3551">
        <v>0</v>
      </c>
      <c r="H3551">
        <v>0</v>
      </c>
      <c r="I3551">
        <v>0</v>
      </c>
      <c r="J3551">
        <v>826.00521811186002</v>
      </c>
      <c r="K3551">
        <v>744.96617894807196</v>
      </c>
      <c r="L3551">
        <v>85.813999999999993</v>
      </c>
      <c r="M3551">
        <v>49.21</v>
      </c>
      <c r="N3551">
        <v>160.011</v>
      </c>
    </row>
    <row r="3552" spans="1:14" x14ac:dyDescent="0.45">
      <c r="A3552">
        <v>1997</v>
      </c>
      <c r="B3552" t="s">
        <v>116</v>
      </c>
      <c r="C3552">
        <v>1</v>
      </c>
      <c r="D3552">
        <v>0</v>
      </c>
      <c r="E3552">
        <v>0</v>
      </c>
      <c r="F3552">
        <v>0</v>
      </c>
      <c r="G3552">
        <v>0</v>
      </c>
      <c r="H3552">
        <v>1</v>
      </c>
      <c r="I3552">
        <v>1</v>
      </c>
      <c r="J3552">
        <v>40630.921767316002</v>
      </c>
      <c r="K3552">
        <v>34157.717559735298</v>
      </c>
      <c r="L3552">
        <v>18.533999999999999</v>
      </c>
      <c r="M3552">
        <v>77.063999999999993</v>
      </c>
      <c r="N3552">
        <v>4.8120000000000003</v>
      </c>
    </row>
    <row r="3553" spans="1:14" x14ac:dyDescent="0.45">
      <c r="A3553">
        <v>1997</v>
      </c>
      <c r="B3553" t="s">
        <v>117</v>
      </c>
      <c r="C3553">
        <v>0</v>
      </c>
      <c r="D3553">
        <v>0</v>
      </c>
      <c r="E3553">
        <v>0</v>
      </c>
      <c r="F3553">
        <v>1</v>
      </c>
      <c r="G3553">
        <v>0</v>
      </c>
      <c r="H3553">
        <v>0</v>
      </c>
      <c r="I3553">
        <v>0</v>
      </c>
      <c r="J3553">
        <v>9008.6445411176701</v>
      </c>
      <c r="K3553">
        <v>8822.1899028667103</v>
      </c>
      <c r="L3553">
        <v>53.268000000000001</v>
      </c>
      <c r="M3553">
        <v>66.293000000000006</v>
      </c>
      <c r="N3553">
        <v>24.062999999999999</v>
      </c>
    </row>
    <row r="3554" spans="1:14" x14ac:dyDescent="0.45">
      <c r="A3554">
        <v>1997</v>
      </c>
      <c r="B3554" t="s">
        <v>118</v>
      </c>
      <c r="C3554">
        <v>1</v>
      </c>
      <c r="D3554">
        <v>0</v>
      </c>
      <c r="E3554">
        <v>0</v>
      </c>
      <c r="F3554">
        <v>0</v>
      </c>
      <c r="G3554">
        <v>0</v>
      </c>
      <c r="H3554">
        <v>1</v>
      </c>
      <c r="I3554">
        <v>1</v>
      </c>
      <c r="J3554">
        <v>41876.933026515799</v>
      </c>
      <c r="K3554">
        <v>34963.000620723797</v>
      </c>
      <c r="L3554">
        <v>24.75</v>
      </c>
      <c r="M3554">
        <v>78.424999999999997</v>
      </c>
      <c r="N3554">
        <v>5.8769999999999998</v>
      </c>
    </row>
    <row r="3555" spans="1:14" x14ac:dyDescent="0.45">
      <c r="A3555">
        <v>1997</v>
      </c>
      <c r="B3555" t="s">
        <v>119</v>
      </c>
      <c r="C3555">
        <v>1</v>
      </c>
      <c r="D3555">
        <v>0</v>
      </c>
      <c r="E3555">
        <v>0</v>
      </c>
      <c r="F3555">
        <v>0</v>
      </c>
      <c r="G3555">
        <v>0</v>
      </c>
      <c r="H3555">
        <v>1</v>
      </c>
      <c r="I3555">
        <v>1</v>
      </c>
      <c r="L3555">
        <v>64.646000000000001</v>
      </c>
      <c r="M3555">
        <v>77.897999999999996</v>
      </c>
      <c r="N3555">
        <v>10.224</v>
      </c>
    </row>
    <row r="3556" spans="1:14" x14ac:dyDescent="0.45">
      <c r="A3556">
        <v>1997</v>
      </c>
      <c r="B3556" t="s">
        <v>120</v>
      </c>
      <c r="C3556">
        <v>0</v>
      </c>
      <c r="D3556">
        <v>0</v>
      </c>
      <c r="E3556">
        <v>0</v>
      </c>
      <c r="F3556">
        <v>1</v>
      </c>
      <c r="G3556">
        <v>0</v>
      </c>
      <c r="H3556">
        <v>0</v>
      </c>
      <c r="I3556">
        <v>0</v>
      </c>
      <c r="J3556">
        <v>3332.9805984293898</v>
      </c>
      <c r="K3556">
        <v>3016.8073616686302</v>
      </c>
      <c r="L3556">
        <v>76.111000000000004</v>
      </c>
      <c r="M3556">
        <v>64.370999999999995</v>
      </c>
      <c r="N3556">
        <v>41.095999999999997</v>
      </c>
    </row>
    <row r="3557" spans="1:14" x14ac:dyDescent="0.45">
      <c r="A3557">
        <v>1997</v>
      </c>
      <c r="B3557" t="s">
        <v>121</v>
      </c>
      <c r="C3557">
        <v>0</v>
      </c>
      <c r="D3557">
        <v>0</v>
      </c>
      <c r="E3557">
        <v>1</v>
      </c>
      <c r="F3557">
        <v>0</v>
      </c>
      <c r="G3557">
        <v>1</v>
      </c>
      <c r="H3557">
        <v>0</v>
      </c>
      <c r="I3557">
        <v>0</v>
      </c>
      <c r="J3557">
        <v>25359.659658106499</v>
      </c>
      <c r="K3557">
        <v>19188.130804185501</v>
      </c>
      <c r="L3557">
        <v>23.51</v>
      </c>
      <c r="M3557">
        <v>61.395000000000003</v>
      </c>
      <c r="N3557">
        <v>86.563000000000002</v>
      </c>
    </row>
    <row r="3558" spans="1:14" x14ac:dyDescent="0.45">
      <c r="A3558">
        <v>1997</v>
      </c>
      <c r="B3558" t="s">
        <v>122</v>
      </c>
      <c r="C3558">
        <v>1</v>
      </c>
      <c r="D3558">
        <v>0</v>
      </c>
      <c r="E3558">
        <v>0</v>
      </c>
      <c r="F3558">
        <v>0</v>
      </c>
      <c r="G3558">
        <v>0</v>
      </c>
      <c r="H3558">
        <v>1</v>
      </c>
      <c r="I3558">
        <v>1</v>
      </c>
      <c r="J3558">
        <v>39278.530244975802</v>
      </c>
      <c r="K3558">
        <v>33839.638323363397</v>
      </c>
      <c r="L3558">
        <v>21.527999999999999</v>
      </c>
      <c r="M3558">
        <v>77.138999999999996</v>
      </c>
      <c r="N3558">
        <v>6.8620000000000001</v>
      </c>
    </row>
    <row r="3559" spans="1:14" x14ac:dyDescent="0.45">
      <c r="A3559">
        <v>1997</v>
      </c>
      <c r="B3559" t="s">
        <v>123</v>
      </c>
      <c r="C3559">
        <v>1</v>
      </c>
      <c r="D3559">
        <v>0</v>
      </c>
      <c r="E3559">
        <v>0</v>
      </c>
      <c r="F3559">
        <v>1</v>
      </c>
      <c r="G3559">
        <v>0</v>
      </c>
      <c r="H3559">
        <v>0</v>
      </c>
      <c r="I3559">
        <v>0</v>
      </c>
      <c r="J3559">
        <v>4951.8129175747199</v>
      </c>
      <c r="K3559">
        <v>4183.7158230210298</v>
      </c>
      <c r="L3559">
        <v>46.64</v>
      </c>
      <c r="M3559">
        <v>69.683000000000007</v>
      </c>
      <c r="N3559">
        <v>41.66</v>
      </c>
    </row>
    <row r="3560" spans="1:14" x14ac:dyDescent="0.45">
      <c r="A3560">
        <v>1997</v>
      </c>
      <c r="B3560" t="s">
        <v>124</v>
      </c>
      <c r="C3560">
        <v>0</v>
      </c>
      <c r="D3560">
        <v>0</v>
      </c>
      <c r="E3560">
        <v>1</v>
      </c>
      <c r="F3560">
        <v>0</v>
      </c>
      <c r="G3560">
        <v>0</v>
      </c>
      <c r="H3560">
        <v>0</v>
      </c>
      <c r="I3560">
        <v>0</v>
      </c>
      <c r="J3560">
        <v>3160.4450405324901</v>
      </c>
      <c r="K3560">
        <v>2726.65097125275</v>
      </c>
      <c r="L3560">
        <v>58.345999999999997</v>
      </c>
      <c r="M3560">
        <v>57.241</v>
      </c>
      <c r="N3560">
        <v>109.28700000000001</v>
      </c>
    </row>
    <row r="3561" spans="1:14" x14ac:dyDescent="0.45">
      <c r="A3561">
        <v>1997</v>
      </c>
      <c r="B3561" t="s">
        <v>125</v>
      </c>
      <c r="C3561">
        <v>1</v>
      </c>
      <c r="D3561">
        <v>0</v>
      </c>
      <c r="E3561">
        <v>0</v>
      </c>
      <c r="F3561">
        <v>0</v>
      </c>
      <c r="G3561">
        <v>0</v>
      </c>
      <c r="H3561">
        <v>1</v>
      </c>
      <c r="I3561">
        <v>1</v>
      </c>
      <c r="L3561">
        <v>0</v>
      </c>
      <c r="M3561">
        <v>79.096999999999994</v>
      </c>
      <c r="N3561">
        <v>16.373000000000001</v>
      </c>
    </row>
    <row r="3562" spans="1:14" x14ac:dyDescent="0.45">
      <c r="A3562">
        <v>1997</v>
      </c>
      <c r="B3562" t="s">
        <v>126</v>
      </c>
      <c r="C3562">
        <v>0</v>
      </c>
      <c r="D3562">
        <v>0</v>
      </c>
      <c r="E3562">
        <v>1</v>
      </c>
      <c r="F3562">
        <v>0</v>
      </c>
      <c r="G3562">
        <v>0</v>
      </c>
      <c r="H3562">
        <v>0</v>
      </c>
      <c r="I3562">
        <v>0</v>
      </c>
      <c r="J3562">
        <v>2272.4110046395499</v>
      </c>
      <c r="K3562">
        <v>1832.1673025248299</v>
      </c>
      <c r="L3562">
        <v>69.947999999999993</v>
      </c>
      <c r="M3562">
        <v>51.113</v>
      </c>
      <c r="N3562">
        <v>186.53399999999999</v>
      </c>
    </row>
    <row r="3563" spans="1:14" x14ac:dyDescent="0.45">
      <c r="A3563">
        <v>1997</v>
      </c>
      <c r="B3563" t="s">
        <v>127</v>
      </c>
      <c r="C3563">
        <v>0</v>
      </c>
      <c r="D3563">
        <v>0</v>
      </c>
      <c r="E3563">
        <v>1</v>
      </c>
      <c r="F3563">
        <v>0</v>
      </c>
      <c r="G3563">
        <v>0</v>
      </c>
      <c r="H3563">
        <v>0</v>
      </c>
      <c r="I3563">
        <v>0</v>
      </c>
      <c r="J3563">
        <v>2486.9379839652702</v>
      </c>
      <c r="K3563">
        <v>2001.7288359531899</v>
      </c>
      <c r="L3563">
        <v>54.844999999999999</v>
      </c>
      <c r="M3563">
        <v>55.225000000000001</v>
      </c>
      <c r="N3563">
        <v>128.529</v>
      </c>
    </row>
    <row r="3564" spans="1:14" x14ac:dyDescent="0.45">
      <c r="A3564">
        <v>1997</v>
      </c>
      <c r="B3564" t="s">
        <v>128</v>
      </c>
      <c r="C3564">
        <v>0</v>
      </c>
      <c r="D3564">
        <v>0</v>
      </c>
      <c r="E3564">
        <v>1</v>
      </c>
      <c r="F3564">
        <v>0</v>
      </c>
      <c r="G3564">
        <v>0</v>
      </c>
      <c r="H3564">
        <v>0</v>
      </c>
      <c r="I3564">
        <v>0</v>
      </c>
      <c r="J3564">
        <v>2256.3323511613999</v>
      </c>
      <c r="K3564">
        <v>2029.7930828608</v>
      </c>
      <c r="L3564">
        <v>64.885999999999996</v>
      </c>
      <c r="M3564">
        <v>48.033000000000001</v>
      </c>
      <c r="N3564">
        <v>194.00399999999999</v>
      </c>
    </row>
    <row r="3565" spans="1:14" x14ac:dyDescent="0.45">
      <c r="A3565">
        <v>1997</v>
      </c>
      <c r="B3565" t="s">
        <v>129</v>
      </c>
      <c r="C3565">
        <v>0</v>
      </c>
      <c r="D3565">
        <v>0</v>
      </c>
      <c r="E3565">
        <v>1</v>
      </c>
      <c r="F3565">
        <v>1</v>
      </c>
      <c r="G3565">
        <v>0</v>
      </c>
      <c r="H3565">
        <v>0</v>
      </c>
      <c r="I3565">
        <v>0</v>
      </c>
      <c r="J3565">
        <v>7296.10009809843</v>
      </c>
      <c r="K3565">
        <v>6044.9120185504298</v>
      </c>
      <c r="L3565">
        <v>56.106999999999999</v>
      </c>
      <c r="M3565">
        <v>52.365000000000002</v>
      </c>
      <c r="N3565">
        <v>164.9</v>
      </c>
    </row>
    <row r="3566" spans="1:14" x14ac:dyDescent="0.45">
      <c r="A3566">
        <v>1997</v>
      </c>
      <c r="B3566" t="s">
        <v>130</v>
      </c>
      <c r="C3566">
        <v>1</v>
      </c>
      <c r="D3566">
        <v>0</v>
      </c>
      <c r="E3566">
        <v>0</v>
      </c>
      <c r="F3566">
        <v>0</v>
      </c>
      <c r="G3566">
        <v>0</v>
      </c>
      <c r="H3566">
        <v>1</v>
      </c>
      <c r="I3566">
        <v>1</v>
      </c>
      <c r="J3566">
        <v>28768.240147221699</v>
      </c>
      <c r="K3566">
        <v>25753.159198424499</v>
      </c>
      <c r="L3566">
        <v>27.641999999999999</v>
      </c>
      <c r="M3566">
        <v>78.399000000000001</v>
      </c>
      <c r="N3566">
        <v>7.5679999999999996</v>
      </c>
    </row>
    <row r="3567" spans="1:14" x14ac:dyDescent="0.45">
      <c r="A3567">
        <v>1997</v>
      </c>
      <c r="B3567" t="s">
        <v>131</v>
      </c>
      <c r="C3567">
        <v>0</v>
      </c>
      <c r="D3567">
        <v>1</v>
      </c>
      <c r="E3567">
        <v>0</v>
      </c>
      <c r="F3567">
        <v>0</v>
      </c>
      <c r="G3567">
        <v>1</v>
      </c>
      <c r="H3567">
        <v>0</v>
      </c>
      <c r="I3567">
        <v>0</v>
      </c>
      <c r="J3567">
        <v>9473.5786491524505</v>
      </c>
      <c r="K3567">
        <v>8741.3190717728994</v>
      </c>
      <c r="L3567">
        <v>65.040999999999997</v>
      </c>
      <c r="M3567">
        <v>72.599999999999994</v>
      </c>
      <c r="N3567">
        <v>16.661000000000001</v>
      </c>
    </row>
    <row r="3568" spans="1:14" x14ac:dyDescent="0.45">
      <c r="A3568">
        <v>1997</v>
      </c>
      <c r="B3568" t="s">
        <v>132</v>
      </c>
      <c r="C3568">
        <v>1</v>
      </c>
      <c r="D3568">
        <v>0</v>
      </c>
      <c r="E3568">
        <v>0</v>
      </c>
      <c r="F3568">
        <v>0</v>
      </c>
      <c r="G3568">
        <v>0</v>
      </c>
      <c r="H3568">
        <v>1</v>
      </c>
      <c r="I3568">
        <v>1</v>
      </c>
      <c r="J3568">
        <v>38581.215194451797</v>
      </c>
      <c r="K3568">
        <v>34922.487960549697</v>
      </c>
      <c r="L3568">
        <v>18.774000000000001</v>
      </c>
      <c r="M3568">
        <v>64.486999999999995</v>
      </c>
      <c r="N3568">
        <v>25.946999999999999</v>
      </c>
    </row>
    <row r="3569" spans="1:14" x14ac:dyDescent="0.45">
      <c r="A3569">
        <v>1997</v>
      </c>
      <c r="B3569" t="s">
        <v>133</v>
      </c>
      <c r="C3569">
        <v>0</v>
      </c>
      <c r="D3569">
        <v>1</v>
      </c>
      <c r="E3569">
        <v>0</v>
      </c>
      <c r="F3569">
        <v>1</v>
      </c>
      <c r="G3569">
        <v>0</v>
      </c>
      <c r="H3569">
        <v>0</v>
      </c>
      <c r="I3569">
        <v>0</v>
      </c>
      <c r="J3569">
        <v>8364.1610763604895</v>
      </c>
      <c r="K3569">
        <v>7265.7431410814497</v>
      </c>
      <c r="L3569">
        <v>55.677</v>
      </c>
      <c r="M3569">
        <v>65.248999999999995</v>
      </c>
      <c r="N3569">
        <v>58.997</v>
      </c>
    </row>
    <row r="3570" spans="1:14" x14ac:dyDescent="0.45">
      <c r="A3570">
        <v>1997</v>
      </c>
      <c r="B3570" t="s">
        <v>134</v>
      </c>
      <c r="C3570">
        <v>0</v>
      </c>
      <c r="D3570">
        <v>0</v>
      </c>
      <c r="E3570">
        <v>0</v>
      </c>
      <c r="F3570">
        <v>0</v>
      </c>
      <c r="G3570">
        <v>0</v>
      </c>
      <c r="H3570">
        <v>1</v>
      </c>
      <c r="I3570">
        <v>1</v>
      </c>
      <c r="L3570">
        <v>7.4869999999999903</v>
      </c>
      <c r="M3570">
        <v>74.7</v>
      </c>
      <c r="N3570">
        <v>12.052</v>
      </c>
    </row>
    <row r="3571" spans="1:14" x14ac:dyDescent="0.45">
      <c r="A3571">
        <v>1997</v>
      </c>
      <c r="B3571" t="s">
        <v>135</v>
      </c>
      <c r="C3571">
        <v>0</v>
      </c>
      <c r="D3571">
        <v>1</v>
      </c>
      <c r="E3571">
        <v>0</v>
      </c>
      <c r="F3571">
        <v>1</v>
      </c>
      <c r="G3571">
        <v>0</v>
      </c>
      <c r="H3571">
        <v>0</v>
      </c>
      <c r="I3571">
        <v>0</v>
      </c>
      <c r="J3571">
        <v>8064.5671516472503</v>
      </c>
      <c r="K3571">
        <v>7712.7837833255198</v>
      </c>
      <c r="L3571">
        <v>71.040999999999997</v>
      </c>
      <c r="M3571">
        <v>62.878999999999998</v>
      </c>
      <c r="N3571">
        <v>50.298000000000002</v>
      </c>
    </row>
    <row r="3572" spans="1:14" x14ac:dyDescent="0.45">
      <c r="A3572">
        <v>1997</v>
      </c>
      <c r="B3572" t="s">
        <v>136</v>
      </c>
      <c r="C3572">
        <v>0</v>
      </c>
      <c r="D3572">
        <v>0</v>
      </c>
      <c r="E3572">
        <v>0</v>
      </c>
      <c r="F3572">
        <v>0</v>
      </c>
      <c r="G3572">
        <v>0</v>
      </c>
      <c r="H3572">
        <v>1</v>
      </c>
      <c r="I3572">
        <v>1</v>
      </c>
      <c r="J3572">
        <v>39402.653504151298</v>
      </c>
      <c r="K3572">
        <v>35561.030643425198</v>
      </c>
      <c r="L3572">
        <v>0</v>
      </c>
      <c r="M3572">
        <v>79.731999999999999</v>
      </c>
      <c r="N3572">
        <v>5.01</v>
      </c>
    </row>
    <row r="3573" spans="1:14" x14ac:dyDescent="0.45">
      <c r="A3573">
        <v>1997</v>
      </c>
      <c r="B3573" t="s">
        <v>137</v>
      </c>
      <c r="C3573">
        <v>0</v>
      </c>
      <c r="D3573">
        <v>1</v>
      </c>
      <c r="E3573">
        <v>0</v>
      </c>
      <c r="F3573">
        <v>0</v>
      </c>
      <c r="G3573">
        <v>0</v>
      </c>
      <c r="H3573">
        <v>0</v>
      </c>
      <c r="I3573">
        <v>0</v>
      </c>
      <c r="J3573">
        <v>4497.2356980226205</v>
      </c>
      <c r="K3573">
        <v>4144.1039022247496</v>
      </c>
      <c r="L3573">
        <v>56.055999999999997</v>
      </c>
      <c r="M3573">
        <v>67.542000000000002</v>
      </c>
      <c r="N3573">
        <v>42.509</v>
      </c>
    </row>
    <row r="3574" spans="1:14" x14ac:dyDescent="0.45">
      <c r="A3574">
        <v>1997</v>
      </c>
      <c r="B3574" t="s">
        <v>138</v>
      </c>
      <c r="C3574">
        <v>1</v>
      </c>
      <c r="D3574">
        <v>0</v>
      </c>
      <c r="E3574">
        <v>0</v>
      </c>
      <c r="F3574">
        <v>0</v>
      </c>
      <c r="G3574">
        <v>1</v>
      </c>
      <c r="H3574">
        <v>0</v>
      </c>
      <c r="I3574">
        <v>0</v>
      </c>
      <c r="J3574">
        <v>20110.784354125601</v>
      </c>
      <c r="K3574">
        <v>17343.724245571899</v>
      </c>
      <c r="L3574">
        <v>47.261000000000003</v>
      </c>
      <c r="M3574">
        <v>72.989999999999995</v>
      </c>
      <c r="N3574">
        <v>9.1639999999999997</v>
      </c>
    </row>
    <row r="3575" spans="1:14" x14ac:dyDescent="0.45">
      <c r="A3575">
        <v>1997</v>
      </c>
      <c r="B3575" t="s">
        <v>139</v>
      </c>
      <c r="C3575">
        <v>0</v>
      </c>
      <c r="D3575">
        <v>1</v>
      </c>
      <c r="E3575">
        <v>0</v>
      </c>
      <c r="F3575">
        <v>0</v>
      </c>
      <c r="G3575">
        <v>0</v>
      </c>
      <c r="H3575">
        <v>0</v>
      </c>
      <c r="I3575">
        <v>0</v>
      </c>
      <c r="J3575">
        <v>3252.0269476801</v>
      </c>
      <c r="K3575">
        <v>3125.7044320557402</v>
      </c>
      <c r="L3575">
        <v>66.207999999999998</v>
      </c>
      <c r="M3575">
        <v>56.674999999999997</v>
      </c>
      <c r="N3575">
        <v>115.08</v>
      </c>
    </row>
    <row r="3576" spans="1:14" x14ac:dyDescent="0.45">
      <c r="A3576">
        <v>1997</v>
      </c>
      <c r="B3576" t="s">
        <v>140</v>
      </c>
      <c r="C3576">
        <v>1</v>
      </c>
      <c r="D3576">
        <v>0</v>
      </c>
      <c r="E3576">
        <v>0</v>
      </c>
      <c r="F3576">
        <v>0</v>
      </c>
      <c r="G3576">
        <v>1</v>
      </c>
      <c r="H3576">
        <v>0</v>
      </c>
      <c r="I3576">
        <v>0</v>
      </c>
      <c r="J3576">
        <v>19635.294960053699</v>
      </c>
      <c r="K3576">
        <v>17110.539251173999</v>
      </c>
      <c r="L3576">
        <v>35.043999999999997</v>
      </c>
      <c r="M3576">
        <v>71.003</v>
      </c>
      <c r="N3576">
        <v>11.368</v>
      </c>
    </row>
    <row r="3577" spans="1:14" x14ac:dyDescent="0.45">
      <c r="A3577">
        <v>1997</v>
      </c>
      <c r="B3577" t="s">
        <v>141</v>
      </c>
      <c r="C3577">
        <v>0</v>
      </c>
      <c r="D3577">
        <v>0</v>
      </c>
      <c r="E3577">
        <v>0</v>
      </c>
      <c r="F3577">
        <v>1</v>
      </c>
      <c r="G3577">
        <v>0</v>
      </c>
      <c r="H3577">
        <v>0</v>
      </c>
      <c r="I3577">
        <v>0</v>
      </c>
      <c r="J3577">
        <v>6897.0023656333096</v>
      </c>
      <c r="K3577">
        <v>6261.39108865665</v>
      </c>
      <c r="L3577">
        <v>61.594000000000001</v>
      </c>
      <c r="M3577">
        <v>65.774000000000001</v>
      </c>
      <c r="N3577">
        <v>60.13</v>
      </c>
    </row>
    <row r="3578" spans="1:14" x14ac:dyDescent="0.45">
      <c r="A3578">
        <v>1997</v>
      </c>
      <c r="B3578" t="s">
        <v>142</v>
      </c>
      <c r="C3578">
        <v>1</v>
      </c>
      <c r="D3578">
        <v>0</v>
      </c>
      <c r="E3578">
        <v>0</v>
      </c>
      <c r="F3578">
        <v>0</v>
      </c>
      <c r="G3578">
        <v>1</v>
      </c>
      <c r="H3578">
        <v>0</v>
      </c>
      <c r="I3578">
        <v>0</v>
      </c>
      <c r="L3578">
        <v>48.2</v>
      </c>
      <c r="M3578">
        <v>73.900000000000006</v>
      </c>
      <c r="N3578">
        <v>27.657</v>
      </c>
    </row>
    <row r="3579" spans="1:14" x14ac:dyDescent="0.45">
      <c r="A3579">
        <v>1997</v>
      </c>
      <c r="B3579" t="s">
        <v>143</v>
      </c>
      <c r="C3579">
        <v>0</v>
      </c>
      <c r="D3579">
        <v>0</v>
      </c>
      <c r="E3579">
        <v>0</v>
      </c>
      <c r="F3579">
        <v>0</v>
      </c>
      <c r="G3579">
        <v>0</v>
      </c>
      <c r="H3579">
        <v>0</v>
      </c>
      <c r="I3579">
        <v>0</v>
      </c>
      <c r="J3579">
        <v>2734.5208913367201</v>
      </c>
      <c r="K3579">
        <v>2293.40260269895</v>
      </c>
      <c r="L3579">
        <v>72.971999999999994</v>
      </c>
      <c r="M3579">
        <v>61.439</v>
      </c>
      <c r="N3579">
        <v>101.831</v>
      </c>
    </row>
    <row r="3580" spans="1:14" x14ac:dyDescent="0.45">
      <c r="A3580">
        <v>1997</v>
      </c>
      <c r="B3580" t="s">
        <v>144</v>
      </c>
      <c r="C3580">
        <v>1</v>
      </c>
      <c r="D3580">
        <v>0</v>
      </c>
      <c r="E3580">
        <v>0</v>
      </c>
      <c r="F3580">
        <v>0</v>
      </c>
      <c r="G3580">
        <v>0</v>
      </c>
      <c r="H3580">
        <v>1</v>
      </c>
      <c r="I3580">
        <v>1</v>
      </c>
      <c r="J3580">
        <v>42319.919786972299</v>
      </c>
      <c r="K3580">
        <v>38910.958313971802</v>
      </c>
      <c r="L3580">
        <v>41.581000000000003</v>
      </c>
      <c r="M3580">
        <v>75.977000000000004</v>
      </c>
      <c r="N3580">
        <v>7.3959999999999999</v>
      </c>
    </row>
    <row r="3581" spans="1:14" x14ac:dyDescent="0.45">
      <c r="A3581">
        <v>1997</v>
      </c>
      <c r="B3581" t="s">
        <v>145</v>
      </c>
      <c r="C3581">
        <v>0</v>
      </c>
      <c r="D3581">
        <v>0</v>
      </c>
      <c r="E3581">
        <v>0</v>
      </c>
      <c r="F3581">
        <v>1</v>
      </c>
      <c r="G3581">
        <v>0</v>
      </c>
      <c r="H3581">
        <v>0</v>
      </c>
      <c r="I3581">
        <v>0</v>
      </c>
      <c r="J3581">
        <v>10329.857241543599</v>
      </c>
      <c r="K3581">
        <v>10303.9775600502</v>
      </c>
      <c r="L3581">
        <v>38.146999999999998</v>
      </c>
      <c r="M3581">
        <v>68.649000000000001</v>
      </c>
      <c r="N3581">
        <v>42.363999999999997</v>
      </c>
    </row>
    <row r="3582" spans="1:14" x14ac:dyDescent="0.45">
      <c r="A3582">
        <v>1997</v>
      </c>
      <c r="B3582" t="s">
        <v>146</v>
      </c>
      <c r="C3582">
        <v>0</v>
      </c>
      <c r="D3582">
        <v>0</v>
      </c>
      <c r="E3582">
        <v>0</v>
      </c>
      <c r="F3582">
        <v>1</v>
      </c>
      <c r="G3582">
        <v>0</v>
      </c>
      <c r="H3582">
        <v>0</v>
      </c>
      <c r="I3582">
        <v>0</v>
      </c>
      <c r="J3582">
        <v>7545.72976101105</v>
      </c>
      <c r="K3582">
        <v>5333.9916078679198</v>
      </c>
      <c r="L3582">
        <v>31.594999999999999</v>
      </c>
      <c r="M3582">
        <v>64.241</v>
      </c>
      <c r="N3582">
        <v>47.994</v>
      </c>
    </row>
    <row r="3583" spans="1:14" x14ac:dyDescent="0.45">
      <c r="A3583">
        <v>1997</v>
      </c>
      <c r="B3583" t="s">
        <v>147</v>
      </c>
      <c r="C3583">
        <v>1</v>
      </c>
      <c r="D3583">
        <v>0</v>
      </c>
      <c r="E3583">
        <v>0</v>
      </c>
      <c r="F3583">
        <v>0</v>
      </c>
      <c r="G3583">
        <v>0</v>
      </c>
      <c r="H3583">
        <v>1</v>
      </c>
      <c r="I3583">
        <v>1</v>
      </c>
      <c r="J3583">
        <v>42252.469723458198</v>
      </c>
      <c r="K3583">
        <v>36560.592449071701</v>
      </c>
      <c r="L3583">
        <v>8.0400000000000098</v>
      </c>
      <c r="M3583">
        <v>78.671999999999997</v>
      </c>
      <c r="N3583">
        <v>6.0659999999999998</v>
      </c>
    </row>
    <row r="3584" spans="1:14" x14ac:dyDescent="0.45">
      <c r="A3584">
        <v>1997</v>
      </c>
      <c r="B3584" t="s">
        <v>148</v>
      </c>
      <c r="C3584">
        <v>0</v>
      </c>
      <c r="D3584">
        <v>0</v>
      </c>
      <c r="E3584">
        <v>0</v>
      </c>
      <c r="F3584">
        <v>0</v>
      </c>
      <c r="G3584">
        <v>0</v>
      </c>
      <c r="H3584">
        <v>1</v>
      </c>
      <c r="I3584">
        <v>1</v>
      </c>
      <c r="J3584">
        <v>30707.006537314799</v>
      </c>
      <c r="K3584">
        <v>28166.836195549498</v>
      </c>
      <c r="L3584">
        <v>8.9909999999999997</v>
      </c>
      <c r="M3584">
        <v>78.552000000000007</v>
      </c>
      <c r="N3584">
        <v>8.0350000000000001</v>
      </c>
    </row>
    <row r="3585" spans="1:14" x14ac:dyDescent="0.45">
      <c r="A3585">
        <v>1997</v>
      </c>
      <c r="B3585" t="s">
        <v>149</v>
      </c>
      <c r="C3585">
        <v>1</v>
      </c>
      <c r="D3585">
        <v>0</v>
      </c>
      <c r="E3585">
        <v>0</v>
      </c>
      <c r="F3585">
        <v>0</v>
      </c>
      <c r="G3585">
        <v>0</v>
      </c>
      <c r="H3585">
        <v>1</v>
      </c>
      <c r="I3585">
        <v>1</v>
      </c>
      <c r="J3585">
        <v>46869.425608641897</v>
      </c>
      <c r="K3585">
        <v>39921.835481556598</v>
      </c>
      <c r="L3585">
        <v>32.957999999999998</v>
      </c>
      <c r="M3585">
        <v>78.734999999999999</v>
      </c>
      <c r="N3585">
        <v>6.6550000000000002</v>
      </c>
    </row>
    <row r="3586" spans="1:14" x14ac:dyDescent="0.45">
      <c r="A3586">
        <v>1997</v>
      </c>
      <c r="B3586" t="s">
        <v>150</v>
      </c>
      <c r="C3586">
        <v>0</v>
      </c>
      <c r="D3586">
        <v>1</v>
      </c>
      <c r="E3586">
        <v>0</v>
      </c>
      <c r="F3586">
        <v>1</v>
      </c>
      <c r="G3586">
        <v>0</v>
      </c>
      <c r="H3586">
        <v>0</v>
      </c>
      <c r="I3586">
        <v>0</v>
      </c>
      <c r="J3586">
        <v>9785.7613163890201</v>
      </c>
      <c r="K3586">
        <v>9644.1628916695008</v>
      </c>
      <c r="L3586">
        <v>48.905000000000001</v>
      </c>
      <c r="M3586">
        <v>71.215999999999994</v>
      </c>
      <c r="N3586">
        <v>22.620999999999999</v>
      </c>
    </row>
    <row r="3587" spans="1:14" x14ac:dyDescent="0.45">
      <c r="A3587">
        <v>1997</v>
      </c>
      <c r="B3587" t="s">
        <v>151</v>
      </c>
      <c r="C3587">
        <v>0</v>
      </c>
      <c r="D3587">
        <v>0</v>
      </c>
      <c r="E3587">
        <v>0</v>
      </c>
      <c r="F3587">
        <v>1</v>
      </c>
      <c r="G3587">
        <v>0</v>
      </c>
      <c r="H3587">
        <v>0</v>
      </c>
      <c r="I3587">
        <v>0</v>
      </c>
      <c r="J3587">
        <v>7775.5427123949003</v>
      </c>
      <c r="K3587">
        <v>7713.6905338133702</v>
      </c>
      <c r="L3587">
        <v>21.768000000000001</v>
      </c>
      <c r="M3587">
        <v>71.323999999999998</v>
      </c>
      <c r="N3587">
        <v>29.172000000000001</v>
      </c>
    </row>
    <row r="3588" spans="1:14" x14ac:dyDescent="0.45">
      <c r="A3588">
        <v>1997</v>
      </c>
      <c r="B3588" t="s">
        <v>152</v>
      </c>
      <c r="C3588">
        <v>0</v>
      </c>
      <c r="D3588">
        <v>0</v>
      </c>
      <c r="E3588">
        <v>0</v>
      </c>
      <c r="F3588">
        <v>0</v>
      </c>
      <c r="G3588">
        <v>0</v>
      </c>
      <c r="H3588">
        <v>1</v>
      </c>
      <c r="I3588">
        <v>1</v>
      </c>
      <c r="J3588">
        <v>38814.253547812397</v>
      </c>
      <c r="K3588">
        <v>35954.8976685909</v>
      </c>
      <c r="L3588">
        <v>21.728000000000002</v>
      </c>
      <c r="M3588">
        <v>80.584000000000003</v>
      </c>
      <c r="N3588">
        <v>5.0949999999999998</v>
      </c>
    </row>
    <row r="3589" spans="1:14" x14ac:dyDescent="0.45">
      <c r="A3589">
        <v>1997</v>
      </c>
      <c r="B3589" t="s">
        <v>153</v>
      </c>
      <c r="C3589">
        <v>1</v>
      </c>
      <c r="D3589">
        <v>0</v>
      </c>
      <c r="E3589">
        <v>0</v>
      </c>
      <c r="F3589">
        <v>1</v>
      </c>
      <c r="G3589">
        <v>0</v>
      </c>
      <c r="H3589">
        <v>0</v>
      </c>
      <c r="I3589">
        <v>0</v>
      </c>
      <c r="J3589">
        <v>11298.580549709501</v>
      </c>
      <c r="K3589">
        <v>8592.1119193951108</v>
      </c>
      <c r="L3589">
        <v>44.036000000000001</v>
      </c>
      <c r="M3589">
        <v>63.317999999999998</v>
      </c>
      <c r="N3589">
        <v>48.747999999999998</v>
      </c>
    </row>
    <row r="3590" spans="1:14" x14ac:dyDescent="0.45">
      <c r="A3590">
        <v>1997</v>
      </c>
      <c r="B3590" t="s">
        <v>154</v>
      </c>
      <c r="C3590">
        <v>0</v>
      </c>
      <c r="D3590">
        <v>0</v>
      </c>
      <c r="E3590">
        <v>1</v>
      </c>
      <c r="F3590">
        <v>0</v>
      </c>
      <c r="G3590">
        <v>0</v>
      </c>
      <c r="H3590">
        <v>0</v>
      </c>
      <c r="I3590">
        <v>0</v>
      </c>
      <c r="J3590">
        <v>3853.3713928035399</v>
      </c>
      <c r="K3590">
        <v>3321.01364312648</v>
      </c>
      <c r="L3590">
        <v>81.102000000000004</v>
      </c>
      <c r="M3590">
        <v>55.478000000000002</v>
      </c>
      <c r="N3590">
        <v>104.705</v>
      </c>
    </row>
    <row r="3591" spans="1:14" x14ac:dyDescent="0.45">
      <c r="A3591">
        <v>1997</v>
      </c>
      <c r="B3591" t="s">
        <v>155</v>
      </c>
      <c r="C3591">
        <v>1</v>
      </c>
      <c r="D3591">
        <v>0</v>
      </c>
      <c r="E3591">
        <v>0</v>
      </c>
      <c r="F3591">
        <v>0</v>
      </c>
      <c r="G3591">
        <v>0</v>
      </c>
      <c r="H3591">
        <v>0</v>
      </c>
      <c r="I3591">
        <v>0</v>
      </c>
      <c r="J3591">
        <v>3399.9342712666498</v>
      </c>
      <c r="K3591">
        <v>2873.5157688705099</v>
      </c>
      <c r="L3591">
        <v>64.215000000000003</v>
      </c>
      <c r="M3591">
        <v>64.162000000000006</v>
      </c>
      <c r="N3591">
        <v>56.86</v>
      </c>
    </row>
    <row r="3592" spans="1:14" x14ac:dyDescent="0.45">
      <c r="A3592">
        <v>1997</v>
      </c>
      <c r="B3592" t="s">
        <v>156</v>
      </c>
      <c r="C3592">
        <v>0</v>
      </c>
      <c r="D3592">
        <v>0</v>
      </c>
      <c r="E3592">
        <v>0</v>
      </c>
      <c r="F3592">
        <v>0</v>
      </c>
      <c r="G3592">
        <v>0</v>
      </c>
      <c r="H3592">
        <v>0</v>
      </c>
      <c r="I3592">
        <v>0</v>
      </c>
      <c r="J3592">
        <v>1595.17130656884</v>
      </c>
      <c r="K3592">
        <v>1430.33952315133</v>
      </c>
      <c r="L3592">
        <v>81.94</v>
      </c>
      <c r="M3592">
        <v>57.265999999999998</v>
      </c>
      <c r="N3592">
        <v>116.395</v>
      </c>
    </row>
    <row r="3593" spans="1:14" x14ac:dyDescent="0.45">
      <c r="A3593">
        <v>1997</v>
      </c>
      <c r="B3593" t="s">
        <v>157</v>
      </c>
      <c r="C3593">
        <v>0</v>
      </c>
      <c r="D3593">
        <v>0</v>
      </c>
      <c r="E3593">
        <v>0</v>
      </c>
      <c r="F3593">
        <v>1</v>
      </c>
      <c r="G3593">
        <v>0</v>
      </c>
      <c r="H3593">
        <v>0</v>
      </c>
      <c r="I3593">
        <v>0</v>
      </c>
      <c r="J3593">
        <v>2439.4101157848299</v>
      </c>
      <c r="K3593">
        <v>2206.6886767596202</v>
      </c>
      <c r="L3593">
        <v>61.247999999999998</v>
      </c>
      <c r="M3593">
        <v>63.796999999999997</v>
      </c>
      <c r="N3593">
        <v>71.816999999999993</v>
      </c>
    </row>
    <row r="3594" spans="1:14" x14ac:dyDescent="0.45">
      <c r="A3594">
        <v>1997</v>
      </c>
      <c r="B3594" t="s">
        <v>158</v>
      </c>
      <c r="C3594">
        <v>0</v>
      </c>
      <c r="D3594">
        <v>1</v>
      </c>
      <c r="E3594">
        <v>0</v>
      </c>
      <c r="F3594">
        <v>0</v>
      </c>
      <c r="G3594">
        <v>1</v>
      </c>
      <c r="H3594">
        <v>0</v>
      </c>
      <c r="I3594">
        <v>0</v>
      </c>
      <c r="J3594">
        <v>18288.494367165698</v>
      </c>
      <c r="K3594">
        <v>18062.375756065601</v>
      </c>
      <c r="L3594">
        <v>66.661000000000001</v>
      </c>
      <c r="M3594">
        <v>67.811000000000007</v>
      </c>
      <c r="N3594">
        <v>26.376999999999999</v>
      </c>
    </row>
    <row r="3595" spans="1:14" x14ac:dyDescent="0.45">
      <c r="A3595">
        <v>1997</v>
      </c>
      <c r="B3595" t="s">
        <v>159</v>
      </c>
      <c r="C3595">
        <v>0</v>
      </c>
      <c r="D3595">
        <v>0</v>
      </c>
      <c r="E3595">
        <v>0</v>
      </c>
      <c r="F3595">
        <v>0</v>
      </c>
      <c r="G3595">
        <v>0</v>
      </c>
      <c r="H3595">
        <v>1</v>
      </c>
      <c r="I3595">
        <v>1</v>
      </c>
      <c r="J3595">
        <v>22272.733046801401</v>
      </c>
      <c r="K3595">
        <v>20304.324504769102</v>
      </c>
      <c r="L3595">
        <v>21.094999999999999</v>
      </c>
      <c r="M3595">
        <v>74.531000000000006</v>
      </c>
      <c r="N3595">
        <v>9.1690000000000005</v>
      </c>
    </row>
    <row r="3596" spans="1:14" x14ac:dyDescent="0.45">
      <c r="A3596">
        <v>1997</v>
      </c>
      <c r="B3596" t="s">
        <v>160</v>
      </c>
      <c r="C3596">
        <v>0</v>
      </c>
      <c r="D3596">
        <v>0</v>
      </c>
      <c r="E3596">
        <v>0</v>
      </c>
      <c r="F3596">
        <v>0</v>
      </c>
      <c r="G3596">
        <v>0</v>
      </c>
      <c r="H3596">
        <v>1</v>
      </c>
      <c r="I3596">
        <v>1</v>
      </c>
      <c r="J3596">
        <v>62151.951859350098</v>
      </c>
      <c r="K3596">
        <v>55352.536108251203</v>
      </c>
      <c r="L3596">
        <v>1.4730000000000001</v>
      </c>
      <c r="M3596">
        <v>75.564999999999998</v>
      </c>
      <c r="N3596">
        <v>13.901</v>
      </c>
    </row>
    <row r="3597" spans="1:14" x14ac:dyDescent="0.45">
      <c r="A3597">
        <v>1997</v>
      </c>
      <c r="B3597" t="s">
        <v>161</v>
      </c>
      <c r="C3597">
        <v>0</v>
      </c>
      <c r="D3597">
        <v>0</v>
      </c>
      <c r="E3597">
        <v>0</v>
      </c>
      <c r="F3597">
        <v>0</v>
      </c>
      <c r="G3597">
        <v>0</v>
      </c>
      <c r="H3597">
        <v>0</v>
      </c>
      <c r="I3597">
        <v>0</v>
      </c>
      <c r="J3597">
        <v>2589.2076286410102</v>
      </c>
      <c r="K3597">
        <v>2487.9892767459601</v>
      </c>
      <c r="L3597">
        <v>80.88</v>
      </c>
      <c r="M3597">
        <v>57.302</v>
      </c>
      <c r="N3597">
        <v>119.477</v>
      </c>
    </row>
    <row r="3598" spans="1:14" x14ac:dyDescent="0.45">
      <c r="A3598">
        <v>1997</v>
      </c>
      <c r="B3598" t="s">
        <v>162</v>
      </c>
      <c r="C3598">
        <v>0</v>
      </c>
      <c r="D3598">
        <v>0</v>
      </c>
      <c r="E3598">
        <v>0</v>
      </c>
      <c r="F3598">
        <v>0</v>
      </c>
      <c r="G3598">
        <v>1</v>
      </c>
      <c r="H3598">
        <v>0</v>
      </c>
      <c r="I3598">
        <v>0</v>
      </c>
      <c r="J3598">
        <v>11668.4006854372</v>
      </c>
      <c r="K3598">
        <v>15166.5102994443</v>
      </c>
      <c r="L3598">
        <v>14.541</v>
      </c>
      <c r="M3598">
        <v>72.94</v>
      </c>
      <c r="N3598">
        <v>22.945</v>
      </c>
    </row>
    <row r="3599" spans="1:14" x14ac:dyDescent="0.45">
      <c r="A3599">
        <v>1997</v>
      </c>
      <c r="B3599" t="s">
        <v>163</v>
      </c>
      <c r="C3599">
        <v>0</v>
      </c>
      <c r="D3599">
        <v>0</v>
      </c>
      <c r="E3599">
        <v>1</v>
      </c>
      <c r="F3599">
        <v>0</v>
      </c>
      <c r="G3599">
        <v>0</v>
      </c>
      <c r="H3599">
        <v>0</v>
      </c>
      <c r="I3599">
        <v>0</v>
      </c>
      <c r="J3599">
        <v>1111.9376025137101</v>
      </c>
      <c r="K3599">
        <v>1642.8271493766999</v>
      </c>
      <c r="L3599">
        <v>56.695999999999998</v>
      </c>
      <c r="M3599">
        <v>48.302</v>
      </c>
      <c r="N3599">
        <v>220.84</v>
      </c>
    </row>
    <row r="3600" spans="1:14" x14ac:dyDescent="0.45">
      <c r="A3600">
        <v>1997</v>
      </c>
      <c r="B3600" t="s">
        <v>164</v>
      </c>
      <c r="C3600">
        <v>0</v>
      </c>
      <c r="D3600">
        <v>0</v>
      </c>
      <c r="E3600">
        <v>0</v>
      </c>
      <c r="F3600">
        <v>0</v>
      </c>
      <c r="G3600">
        <v>1</v>
      </c>
      <c r="H3600">
        <v>0</v>
      </c>
      <c r="I3600">
        <v>0</v>
      </c>
      <c r="J3600">
        <v>18446.8429620553</v>
      </c>
      <c r="K3600">
        <v>21558.735797874499</v>
      </c>
      <c r="L3600">
        <v>23.885999999999999</v>
      </c>
      <c r="M3600">
        <v>70.72</v>
      </c>
      <c r="N3600">
        <v>31.074000000000002</v>
      </c>
    </row>
    <row r="3601" spans="1:14" x14ac:dyDescent="0.45">
      <c r="A3601">
        <v>1997</v>
      </c>
      <c r="B3601" t="s">
        <v>165</v>
      </c>
      <c r="C3601">
        <v>0</v>
      </c>
      <c r="D3601">
        <v>1</v>
      </c>
      <c r="E3601">
        <v>0</v>
      </c>
      <c r="F3601">
        <v>0</v>
      </c>
      <c r="G3601">
        <v>1</v>
      </c>
      <c r="H3601">
        <v>0</v>
      </c>
      <c r="I3601">
        <v>0</v>
      </c>
      <c r="J3601">
        <v>17920.034113687001</v>
      </c>
      <c r="K3601">
        <v>12891.798113275599</v>
      </c>
      <c r="L3601">
        <v>71.634</v>
      </c>
      <c r="M3601">
        <v>70.778000000000006</v>
      </c>
      <c r="N3601">
        <v>18.616</v>
      </c>
    </row>
    <row r="3602" spans="1:14" x14ac:dyDescent="0.45">
      <c r="A3602">
        <v>1997</v>
      </c>
      <c r="B3602" t="s">
        <v>166</v>
      </c>
      <c r="C3602">
        <v>1</v>
      </c>
      <c r="D3602">
        <v>0</v>
      </c>
      <c r="E3602">
        <v>0</v>
      </c>
      <c r="F3602">
        <v>0</v>
      </c>
      <c r="G3602">
        <v>0</v>
      </c>
      <c r="H3602">
        <v>1</v>
      </c>
      <c r="I3602">
        <v>1</v>
      </c>
      <c r="L3602">
        <v>84.006</v>
      </c>
      <c r="M3602">
        <v>77.596000000000004</v>
      </c>
      <c r="N3602">
        <v>13.573</v>
      </c>
    </row>
    <row r="3603" spans="1:14" x14ac:dyDescent="0.45">
      <c r="A3603">
        <v>1997</v>
      </c>
      <c r="B3603" t="s">
        <v>167</v>
      </c>
      <c r="C3603">
        <v>0</v>
      </c>
      <c r="D3603">
        <v>0</v>
      </c>
      <c r="E3603">
        <v>0</v>
      </c>
      <c r="F3603">
        <v>1</v>
      </c>
      <c r="G3603">
        <v>0</v>
      </c>
      <c r="H3603">
        <v>0</v>
      </c>
      <c r="I3603">
        <v>0</v>
      </c>
      <c r="J3603">
        <v>5871.7229755726803</v>
      </c>
      <c r="K3603">
        <v>5484.0964560132097</v>
      </c>
      <c r="L3603">
        <v>81.572999999999993</v>
      </c>
      <c r="M3603">
        <v>69.933999999999997</v>
      </c>
      <c r="N3603">
        <v>18.960999999999999</v>
      </c>
    </row>
    <row r="3604" spans="1:14" x14ac:dyDescent="0.45">
      <c r="A3604">
        <v>1997</v>
      </c>
      <c r="B3604" t="s">
        <v>168</v>
      </c>
      <c r="C3604">
        <v>0</v>
      </c>
      <c r="D3604">
        <v>0</v>
      </c>
      <c r="E3604">
        <v>1</v>
      </c>
      <c r="F3604">
        <v>0</v>
      </c>
      <c r="G3604">
        <v>0</v>
      </c>
      <c r="H3604">
        <v>0</v>
      </c>
      <c r="I3604">
        <v>0</v>
      </c>
      <c r="J3604">
        <v>1837.6965704996601</v>
      </c>
      <c r="K3604">
        <v>1645.5106228831401</v>
      </c>
      <c r="L3604">
        <v>81.950999999999993</v>
      </c>
      <c r="M3604">
        <v>53.732999999999997</v>
      </c>
      <c r="N3604">
        <v>101.271</v>
      </c>
    </row>
    <row r="3605" spans="1:14" x14ac:dyDescent="0.45">
      <c r="A3605">
        <v>1997</v>
      </c>
      <c r="B3605" t="s">
        <v>169</v>
      </c>
      <c r="C3605">
        <v>1</v>
      </c>
      <c r="D3605">
        <v>0</v>
      </c>
      <c r="E3605">
        <v>0</v>
      </c>
      <c r="F3605">
        <v>1</v>
      </c>
      <c r="G3605">
        <v>0</v>
      </c>
      <c r="H3605">
        <v>0</v>
      </c>
      <c r="I3605">
        <v>0</v>
      </c>
      <c r="J3605">
        <v>14045.0045144544</v>
      </c>
      <c r="K3605">
        <v>12016.437890900301</v>
      </c>
      <c r="L3605">
        <v>32.834000000000003</v>
      </c>
      <c r="M3605">
        <v>71.028999999999996</v>
      </c>
      <c r="N3605">
        <v>12.728</v>
      </c>
    </row>
    <row r="3606" spans="1:14" x14ac:dyDescent="0.45">
      <c r="A3606">
        <v>1997</v>
      </c>
      <c r="B3606" t="s">
        <v>170</v>
      </c>
      <c r="C3606">
        <v>1</v>
      </c>
      <c r="D3606">
        <v>0</v>
      </c>
      <c r="E3606">
        <v>0</v>
      </c>
      <c r="F3606">
        <v>0</v>
      </c>
      <c r="G3606">
        <v>0</v>
      </c>
      <c r="H3606">
        <v>1</v>
      </c>
      <c r="I3606">
        <v>1</v>
      </c>
      <c r="J3606">
        <v>96211.730804036706</v>
      </c>
      <c r="K3606">
        <v>82218.823019466305</v>
      </c>
      <c r="L3606">
        <v>17.221</v>
      </c>
      <c r="M3606">
        <v>76.39</v>
      </c>
      <c r="N3606">
        <v>6.1509999999999998</v>
      </c>
    </row>
    <row r="3607" spans="1:14" x14ac:dyDescent="0.45">
      <c r="A3607">
        <v>1997</v>
      </c>
      <c r="B3607" t="s">
        <v>171</v>
      </c>
      <c r="C3607">
        <v>1</v>
      </c>
      <c r="D3607">
        <v>0</v>
      </c>
      <c r="E3607">
        <v>0</v>
      </c>
      <c r="F3607">
        <v>1</v>
      </c>
      <c r="G3607">
        <v>0</v>
      </c>
      <c r="H3607">
        <v>0</v>
      </c>
      <c r="I3607">
        <v>0</v>
      </c>
      <c r="J3607">
        <v>12215.015194018901</v>
      </c>
      <c r="K3607">
        <v>10597.6162857364</v>
      </c>
      <c r="L3607">
        <v>31.4</v>
      </c>
      <c r="M3607">
        <v>69.224999999999994</v>
      </c>
      <c r="N3607">
        <v>17.792000000000002</v>
      </c>
    </row>
    <row r="3608" spans="1:14" x14ac:dyDescent="0.45">
      <c r="A3608">
        <v>1997</v>
      </c>
      <c r="B3608" t="s">
        <v>172</v>
      </c>
      <c r="C3608">
        <v>0</v>
      </c>
      <c r="D3608">
        <v>0</v>
      </c>
      <c r="E3608">
        <v>0</v>
      </c>
      <c r="F3608">
        <v>0</v>
      </c>
      <c r="G3608">
        <v>0</v>
      </c>
      <c r="H3608">
        <v>1</v>
      </c>
      <c r="I3608">
        <v>1</v>
      </c>
      <c r="J3608">
        <v>58578.4104317987</v>
      </c>
      <c r="K3608">
        <v>53086.185699434202</v>
      </c>
      <c r="L3608">
        <v>0</v>
      </c>
      <c r="M3608">
        <v>78.44</v>
      </c>
      <c r="N3608">
        <v>9.0239999999999991</v>
      </c>
    </row>
    <row r="3609" spans="1:14" x14ac:dyDescent="0.45">
      <c r="A3609">
        <v>1997</v>
      </c>
      <c r="B3609" t="s">
        <v>173</v>
      </c>
      <c r="C3609">
        <v>0</v>
      </c>
      <c r="D3609">
        <v>1</v>
      </c>
      <c r="E3609">
        <v>0</v>
      </c>
      <c r="F3609">
        <v>0</v>
      </c>
      <c r="G3609">
        <v>0</v>
      </c>
      <c r="H3609">
        <v>1</v>
      </c>
      <c r="I3609">
        <v>1</v>
      </c>
      <c r="L3609">
        <v>0</v>
      </c>
      <c r="M3609">
        <v>76.105000000000004</v>
      </c>
      <c r="N3609">
        <v>15.926</v>
      </c>
    </row>
    <row r="3610" spans="1:14" x14ac:dyDescent="0.45">
      <c r="A3610">
        <v>1997</v>
      </c>
      <c r="B3610" t="s">
        <v>174</v>
      </c>
      <c r="C3610">
        <v>0</v>
      </c>
      <c r="D3610">
        <v>0</v>
      </c>
      <c r="E3610">
        <v>0</v>
      </c>
      <c r="F3610">
        <v>1</v>
      </c>
      <c r="G3610">
        <v>0</v>
      </c>
      <c r="H3610">
        <v>0</v>
      </c>
      <c r="I3610">
        <v>0</v>
      </c>
      <c r="J3610">
        <v>4766.1103515625</v>
      </c>
      <c r="K3610">
        <v>4577.22196171833</v>
      </c>
      <c r="L3610">
        <v>47.65</v>
      </c>
      <c r="M3610">
        <v>65.616</v>
      </c>
      <c r="N3610">
        <v>59.161999999999999</v>
      </c>
    </row>
    <row r="3611" spans="1:14" x14ac:dyDescent="0.45">
      <c r="A3611">
        <v>1997</v>
      </c>
      <c r="B3611" t="s">
        <v>175</v>
      </c>
      <c r="C3611">
        <v>1</v>
      </c>
      <c r="D3611">
        <v>0</v>
      </c>
      <c r="E3611">
        <v>0</v>
      </c>
      <c r="F3611">
        <v>0</v>
      </c>
      <c r="G3611">
        <v>0</v>
      </c>
      <c r="H3611">
        <v>1</v>
      </c>
      <c r="I3611">
        <v>1</v>
      </c>
      <c r="L3611">
        <v>0</v>
      </c>
      <c r="M3611">
        <v>81.358000000000004</v>
      </c>
      <c r="N3611">
        <v>8.484</v>
      </c>
    </row>
    <row r="3612" spans="1:14" x14ac:dyDescent="0.45">
      <c r="A3612">
        <v>1997</v>
      </c>
      <c r="B3612" t="s">
        <v>176</v>
      </c>
      <c r="C3612">
        <v>1</v>
      </c>
      <c r="D3612">
        <v>0</v>
      </c>
      <c r="E3612">
        <v>0</v>
      </c>
      <c r="F3612">
        <v>0</v>
      </c>
      <c r="G3612">
        <v>0</v>
      </c>
      <c r="H3612">
        <v>0</v>
      </c>
      <c r="I3612">
        <v>0</v>
      </c>
      <c r="J3612">
        <v>6185.8395247323197</v>
      </c>
      <c r="K3612">
        <v>5305.6418127612797</v>
      </c>
      <c r="L3612">
        <v>54.203000000000003</v>
      </c>
      <c r="M3612">
        <v>66.483999999999995</v>
      </c>
      <c r="N3612">
        <v>35.143999999999998</v>
      </c>
    </row>
    <row r="3613" spans="1:14" x14ac:dyDescent="0.45">
      <c r="A3613">
        <v>1997</v>
      </c>
      <c r="B3613" t="s">
        <v>177</v>
      </c>
      <c r="C3613">
        <v>0</v>
      </c>
      <c r="D3613">
        <v>0</v>
      </c>
      <c r="E3613">
        <v>1</v>
      </c>
      <c r="F3613">
        <v>0</v>
      </c>
      <c r="G3613">
        <v>0</v>
      </c>
      <c r="H3613">
        <v>0</v>
      </c>
      <c r="I3613">
        <v>0</v>
      </c>
      <c r="J3613">
        <v>1649.4480900605599</v>
      </c>
      <c r="K3613">
        <v>1528.09249412182</v>
      </c>
      <c r="L3613">
        <v>73.679000000000002</v>
      </c>
      <c r="M3613">
        <v>56.127000000000002</v>
      </c>
      <c r="N3613">
        <v>119.97799999999999</v>
      </c>
    </row>
    <row r="3614" spans="1:14" x14ac:dyDescent="0.45">
      <c r="A3614">
        <v>1997</v>
      </c>
      <c r="B3614" t="s">
        <v>178</v>
      </c>
      <c r="C3614">
        <v>0</v>
      </c>
      <c r="D3614">
        <v>0</v>
      </c>
      <c r="E3614">
        <v>0</v>
      </c>
      <c r="F3614">
        <v>1</v>
      </c>
      <c r="G3614">
        <v>0</v>
      </c>
      <c r="H3614">
        <v>0</v>
      </c>
      <c r="I3614">
        <v>0</v>
      </c>
      <c r="J3614">
        <v>12210.968713680701</v>
      </c>
      <c r="K3614">
        <v>12047.137791438099</v>
      </c>
      <c r="L3614">
        <v>73.620999999999995</v>
      </c>
      <c r="M3614">
        <v>68.516999999999996</v>
      </c>
      <c r="N3614">
        <v>52.232999999999997</v>
      </c>
    </row>
    <row r="3615" spans="1:14" x14ac:dyDescent="0.45">
      <c r="A3615">
        <v>1997</v>
      </c>
      <c r="B3615" t="s">
        <v>179</v>
      </c>
      <c r="C3615">
        <v>0</v>
      </c>
      <c r="D3615">
        <v>1</v>
      </c>
      <c r="E3615">
        <v>0</v>
      </c>
      <c r="F3615">
        <v>0</v>
      </c>
      <c r="G3615">
        <v>1</v>
      </c>
      <c r="H3615">
        <v>0</v>
      </c>
      <c r="I3615">
        <v>0</v>
      </c>
      <c r="J3615">
        <v>18737.642644224499</v>
      </c>
      <c r="K3615">
        <v>17419.921511585999</v>
      </c>
      <c r="L3615">
        <v>26.071000000000002</v>
      </c>
      <c r="M3615">
        <v>71.471999999999994</v>
      </c>
      <c r="N3615">
        <v>32.406999999999996</v>
      </c>
    </row>
    <row r="3616" spans="1:14" x14ac:dyDescent="0.45">
      <c r="A3616">
        <v>1997</v>
      </c>
      <c r="B3616" t="s">
        <v>180</v>
      </c>
      <c r="C3616">
        <v>0</v>
      </c>
      <c r="D3616">
        <v>0</v>
      </c>
      <c r="E3616">
        <v>0</v>
      </c>
      <c r="F3616">
        <v>1</v>
      </c>
      <c r="G3616">
        <v>0</v>
      </c>
      <c r="H3616">
        <v>0</v>
      </c>
      <c r="I3616">
        <v>0</v>
      </c>
      <c r="J3616">
        <v>3867.3428678169998</v>
      </c>
      <c r="K3616">
        <v>3497.9531765370498</v>
      </c>
      <c r="L3616">
        <v>32.615000000000002</v>
      </c>
      <c r="M3616">
        <v>63.015000000000001</v>
      </c>
      <c r="N3616">
        <v>42.073999999999998</v>
      </c>
    </row>
    <row r="3617" spans="1:14" x14ac:dyDescent="0.45">
      <c r="A3617">
        <v>1997</v>
      </c>
      <c r="B3617" t="s">
        <v>181</v>
      </c>
      <c r="C3617">
        <v>1</v>
      </c>
      <c r="D3617">
        <v>0</v>
      </c>
      <c r="E3617">
        <v>0</v>
      </c>
      <c r="F3617">
        <v>1</v>
      </c>
      <c r="G3617">
        <v>0</v>
      </c>
      <c r="H3617">
        <v>0</v>
      </c>
      <c r="I3617">
        <v>0</v>
      </c>
      <c r="J3617">
        <v>10786.936521109799</v>
      </c>
      <c r="K3617">
        <v>9106.2010601975508</v>
      </c>
      <c r="L3617">
        <v>40.828000000000003</v>
      </c>
      <c r="M3617">
        <v>71.881</v>
      </c>
      <c r="N3617">
        <v>18.542999999999999</v>
      </c>
    </row>
    <row r="3618" spans="1:14" x14ac:dyDescent="0.45">
      <c r="A3618">
        <v>1997</v>
      </c>
      <c r="B3618" t="s">
        <v>182</v>
      </c>
      <c r="C3618">
        <v>0</v>
      </c>
      <c r="D3618">
        <v>0</v>
      </c>
      <c r="E3618">
        <v>1</v>
      </c>
      <c r="F3618">
        <v>0</v>
      </c>
      <c r="G3618">
        <v>0</v>
      </c>
      <c r="H3618">
        <v>0</v>
      </c>
      <c r="I3618">
        <v>0</v>
      </c>
      <c r="J3618">
        <v>1827.13268986811</v>
      </c>
      <c r="K3618">
        <v>1691.2118903866501</v>
      </c>
      <c r="L3618">
        <v>73.566000000000003</v>
      </c>
      <c r="M3618">
        <v>49.085999999999999</v>
      </c>
      <c r="N3618">
        <v>202.55600000000001</v>
      </c>
    </row>
    <row r="3619" spans="1:14" x14ac:dyDescent="0.45">
      <c r="A3619">
        <v>1997</v>
      </c>
      <c r="B3619" t="s">
        <v>183</v>
      </c>
      <c r="C3619">
        <v>0</v>
      </c>
      <c r="D3619">
        <v>0</v>
      </c>
      <c r="E3619">
        <v>0</v>
      </c>
      <c r="F3619">
        <v>0</v>
      </c>
      <c r="G3619">
        <v>1</v>
      </c>
      <c r="H3619">
        <v>0</v>
      </c>
      <c r="I3619">
        <v>0</v>
      </c>
      <c r="J3619">
        <v>24006.6204015287</v>
      </c>
      <c r="K3619">
        <v>20766.901669710802</v>
      </c>
      <c r="L3619">
        <v>8.5079999999999991</v>
      </c>
      <c r="M3619">
        <v>77.316000000000003</v>
      </c>
      <c r="N3619">
        <v>9.11</v>
      </c>
    </row>
    <row r="3620" spans="1:14" x14ac:dyDescent="0.45">
      <c r="A3620">
        <v>1997</v>
      </c>
      <c r="B3620" t="s">
        <v>184</v>
      </c>
      <c r="C3620">
        <v>0</v>
      </c>
      <c r="D3620">
        <v>0</v>
      </c>
      <c r="E3620">
        <v>0</v>
      </c>
      <c r="F3620">
        <v>0</v>
      </c>
      <c r="G3620">
        <v>0</v>
      </c>
      <c r="H3620">
        <v>0</v>
      </c>
      <c r="I3620">
        <v>0</v>
      </c>
      <c r="J3620">
        <v>1054.76742791265</v>
      </c>
      <c r="K3620">
        <v>844.555583165862</v>
      </c>
      <c r="L3620">
        <v>73.518000000000001</v>
      </c>
      <c r="M3620">
        <v>59.523000000000003</v>
      </c>
      <c r="N3620">
        <v>96.63</v>
      </c>
    </row>
    <row r="3621" spans="1:14" x14ac:dyDescent="0.45">
      <c r="A3621">
        <v>1997</v>
      </c>
      <c r="B3621" t="s">
        <v>185</v>
      </c>
      <c r="C3621">
        <v>1</v>
      </c>
      <c r="D3621">
        <v>0</v>
      </c>
      <c r="E3621">
        <v>0</v>
      </c>
      <c r="F3621">
        <v>1</v>
      </c>
      <c r="G3621">
        <v>0</v>
      </c>
      <c r="H3621">
        <v>0</v>
      </c>
      <c r="I3621">
        <v>0</v>
      </c>
      <c r="J3621">
        <v>14618.041246255199</v>
      </c>
      <c r="K3621">
        <v>12351.352463347001</v>
      </c>
      <c r="L3621">
        <v>44.548999999999999</v>
      </c>
      <c r="M3621">
        <v>73.504000000000005</v>
      </c>
      <c r="N3621">
        <v>15.234999999999999</v>
      </c>
    </row>
    <row r="3622" spans="1:14" x14ac:dyDescent="0.45">
      <c r="A3622">
        <v>1997</v>
      </c>
      <c r="B3622" t="s">
        <v>186</v>
      </c>
      <c r="C3622">
        <v>0</v>
      </c>
      <c r="D3622">
        <v>0</v>
      </c>
      <c r="E3622">
        <v>0</v>
      </c>
      <c r="F3622">
        <v>0</v>
      </c>
      <c r="G3622">
        <v>0</v>
      </c>
      <c r="H3622">
        <v>0</v>
      </c>
      <c r="I3622">
        <v>0</v>
      </c>
      <c r="J3622">
        <v>5628.1066348422301</v>
      </c>
      <c r="K3622">
        <v>4336.3205334939003</v>
      </c>
      <c r="L3622">
        <v>43.286000000000001</v>
      </c>
      <c r="M3622">
        <v>61.438000000000002</v>
      </c>
      <c r="N3622">
        <v>75.843999999999994</v>
      </c>
    </row>
    <row r="3623" spans="1:14" x14ac:dyDescent="0.45">
      <c r="A3623">
        <v>1997</v>
      </c>
      <c r="B3623" t="s">
        <v>187</v>
      </c>
      <c r="C3623">
        <v>0</v>
      </c>
      <c r="D3623">
        <v>0</v>
      </c>
      <c r="E3623">
        <v>0</v>
      </c>
      <c r="F3623">
        <v>0</v>
      </c>
      <c r="G3623">
        <v>0</v>
      </c>
      <c r="H3623">
        <v>1</v>
      </c>
      <c r="I3623">
        <v>1</v>
      </c>
      <c r="L3623">
        <v>10.215999999999999</v>
      </c>
      <c r="M3623">
        <v>72.947000000000003</v>
      </c>
      <c r="N3623">
        <v>7.6379999999999999</v>
      </c>
    </row>
    <row r="3624" spans="1:14" x14ac:dyDescent="0.45">
      <c r="A3624">
        <v>1997</v>
      </c>
      <c r="B3624" t="s">
        <v>188</v>
      </c>
      <c r="C3624">
        <v>0</v>
      </c>
      <c r="D3624">
        <v>0</v>
      </c>
      <c r="E3624">
        <v>1</v>
      </c>
      <c r="F3624">
        <v>0</v>
      </c>
      <c r="G3624">
        <v>0</v>
      </c>
      <c r="H3624">
        <v>0</v>
      </c>
      <c r="I3624">
        <v>0</v>
      </c>
      <c r="J3624">
        <v>612.37155126591495</v>
      </c>
      <c r="K3624">
        <v>512.73864201572098</v>
      </c>
      <c r="L3624">
        <v>71.465000000000003</v>
      </c>
      <c r="M3624">
        <v>47.8</v>
      </c>
      <c r="N3624">
        <v>198.74799999999999</v>
      </c>
    </row>
    <row r="3625" spans="1:14" x14ac:dyDescent="0.45">
      <c r="A3625">
        <v>1997</v>
      </c>
      <c r="B3625" t="s">
        <v>189</v>
      </c>
      <c r="C3625">
        <v>0</v>
      </c>
      <c r="D3625">
        <v>0</v>
      </c>
      <c r="E3625">
        <v>1</v>
      </c>
      <c r="F3625">
        <v>0</v>
      </c>
      <c r="G3625">
        <v>0</v>
      </c>
      <c r="H3625">
        <v>0</v>
      </c>
      <c r="I3625">
        <v>0</v>
      </c>
      <c r="J3625">
        <v>5302.3666381843796</v>
      </c>
      <c r="K3625">
        <v>4691.0746611066297</v>
      </c>
      <c r="L3625">
        <v>61.540999999999997</v>
      </c>
      <c r="M3625">
        <v>59.417000000000002</v>
      </c>
      <c r="N3625">
        <v>106.709</v>
      </c>
    </row>
    <row r="3626" spans="1:14" x14ac:dyDescent="0.45">
      <c r="A3626">
        <v>1997</v>
      </c>
      <c r="B3626" t="s">
        <v>190</v>
      </c>
      <c r="C3626">
        <v>0</v>
      </c>
      <c r="D3626">
        <v>0</v>
      </c>
      <c r="E3626">
        <v>1</v>
      </c>
      <c r="F3626">
        <v>0</v>
      </c>
      <c r="G3626">
        <v>1</v>
      </c>
      <c r="H3626">
        <v>0</v>
      </c>
      <c r="I3626">
        <v>0</v>
      </c>
      <c r="J3626">
        <v>11692.0970080181</v>
      </c>
      <c r="K3626">
        <v>10974.490851281</v>
      </c>
      <c r="L3626">
        <v>56.962000000000003</v>
      </c>
      <c r="M3626">
        <v>70.683999999999997</v>
      </c>
      <c r="N3626">
        <v>21.689</v>
      </c>
    </row>
    <row r="3627" spans="1:14" x14ac:dyDescent="0.45">
      <c r="A3627">
        <v>1997</v>
      </c>
      <c r="B3627" t="s">
        <v>191</v>
      </c>
      <c r="C3627">
        <v>0</v>
      </c>
      <c r="D3627">
        <v>0</v>
      </c>
      <c r="E3627">
        <v>1</v>
      </c>
      <c r="F3627">
        <v>0</v>
      </c>
      <c r="G3627">
        <v>0</v>
      </c>
      <c r="H3627">
        <v>0</v>
      </c>
      <c r="I3627">
        <v>0</v>
      </c>
      <c r="J3627">
        <v>1221.0940455535299</v>
      </c>
      <c r="K3627">
        <v>1044.8430023420599</v>
      </c>
      <c r="L3627">
        <v>85.998000000000005</v>
      </c>
      <c r="M3627">
        <v>44.2</v>
      </c>
      <c r="N3627">
        <v>195.054</v>
      </c>
    </row>
    <row r="3628" spans="1:14" x14ac:dyDescent="0.45">
      <c r="A3628">
        <v>1997</v>
      </c>
      <c r="B3628" t="s">
        <v>192</v>
      </c>
      <c r="C3628">
        <v>0</v>
      </c>
      <c r="D3628">
        <v>0</v>
      </c>
      <c r="E3628">
        <v>0</v>
      </c>
      <c r="F3628">
        <v>0</v>
      </c>
      <c r="G3628">
        <v>1</v>
      </c>
      <c r="H3628">
        <v>0</v>
      </c>
      <c r="I3628">
        <v>0</v>
      </c>
      <c r="J3628">
        <v>18604.514527464999</v>
      </c>
      <c r="K3628">
        <v>16630.2408160983</v>
      </c>
      <c r="L3628">
        <v>41.762999999999998</v>
      </c>
      <c r="M3628">
        <v>72.296000000000006</v>
      </c>
      <c r="N3628">
        <v>12.173</v>
      </c>
    </row>
    <row r="3629" spans="1:14" x14ac:dyDescent="0.45">
      <c r="A3629">
        <v>1997</v>
      </c>
      <c r="B3629" t="s">
        <v>193</v>
      </c>
      <c r="C3629">
        <v>0</v>
      </c>
      <c r="D3629">
        <v>0</v>
      </c>
      <c r="E3629">
        <v>1</v>
      </c>
      <c r="F3629">
        <v>1</v>
      </c>
      <c r="G3629">
        <v>0</v>
      </c>
      <c r="H3629">
        <v>0</v>
      </c>
      <c r="I3629">
        <v>0</v>
      </c>
      <c r="J3629">
        <v>7656.3251254298602</v>
      </c>
      <c r="K3629">
        <v>6635.7354886897501</v>
      </c>
      <c r="L3629">
        <v>69.177000000000007</v>
      </c>
      <c r="M3629">
        <v>55.844000000000001</v>
      </c>
      <c r="N3629">
        <v>75.230999999999995</v>
      </c>
    </row>
    <row r="3630" spans="1:14" x14ac:dyDescent="0.45">
      <c r="A3630">
        <v>1997</v>
      </c>
      <c r="B3630" t="s">
        <v>194</v>
      </c>
      <c r="C3630">
        <v>0</v>
      </c>
      <c r="D3630">
        <v>0</v>
      </c>
      <c r="E3630">
        <v>0</v>
      </c>
      <c r="F3630">
        <v>0</v>
      </c>
      <c r="G3630">
        <v>0</v>
      </c>
      <c r="H3630">
        <v>1</v>
      </c>
      <c r="I3630">
        <v>1</v>
      </c>
      <c r="L3630">
        <v>39.161999999999999</v>
      </c>
      <c r="M3630">
        <v>72.203999999999994</v>
      </c>
      <c r="N3630">
        <v>24.667000000000002</v>
      </c>
    </row>
    <row r="3631" spans="1:14" x14ac:dyDescent="0.45">
      <c r="A3631">
        <v>1997</v>
      </c>
      <c r="B3631" t="s">
        <v>195</v>
      </c>
      <c r="C3631">
        <v>0</v>
      </c>
      <c r="D3631">
        <v>0</v>
      </c>
      <c r="E3631">
        <v>1</v>
      </c>
      <c r="F3631">
        <v>0</v>
      </c>
      <c r="G3631">
        <v>0</v>
      </c>
      <c r="H3631">
        <v>0</v>
      </c>
      <c r="I3631">
        <v>0</v>
      </c>
      <c r="J3631">
        <v>1217.31253567922</v>
      </c>
      <c r="K3631">
        <v>967.55918126649499</v>
      </c>
      <c r="L3631">
        <v>84.063000000000002</v>
      </c>
      <c r="M3631">
        <v>47.097000000000001</v>
      </c>
      <c r="N3631">
        <v>261.06799999999998</v>
      </c>
    </row>
    <row r="3632" spans="1:14" x14ac:dyDescent="0.45">
      <c r="A3632">
        <v>1997</v>
      </c>
      <c r="B3632" t="s">
        <v>196</v>
      </c>
      <c r="C3632">
        <v>0</v>
      </c>
      <c r="D3632">
        <v>0</v>
      </c>
      <c r="E3632">
        <v>1</v>
      </c>
      <c r="F3632">
        <v>0</v>
      </c>
      <c r="G3632">
        <v>0</v>
      </c>
      <c r="H3632">
        <v>0</v>
      </c>
      <c r="I3632">
        <v>0</v>
      </c>
      <c r="J3632">
        <v>3287.3700047658399</v>
      </c>
      <c r="K3632">
        <v>2906.47814933467</v>
      </c>
      <c r="L3632">
        <v>66.753</v>
      </c>
      <c r="M3632">
        <v>45.96</v>
      </c>
      <c r="N3632">
        <v>195.94499999999999</v>
      </c>
    </row>
    <row r="3633" spans="1:14" x14ac:dyDescent="0.45">
      <c r="A3633">
        <v>1997</v>
      </c>
      <c r="B3633" t="s">
        <v>197</v>
      </c>
      <c r="C3633">
        <v>0</v>
      </c>
      <c r="D3633">
        <v>1</v>
      </c>
      <c r="E3633">
        <v>0</v>
      </c>
      <c r="F3633">
        <v>0</v>
      </c>
      <c r="G3633">
        <v>0</v>
      </c>
      <c r="H3633">
        <v>0</v>
      </c>
      <c r="I3633">
        <v>0</v>
      </c>
      <c r="J3633">
        <v>4408.3288998793596</v>
      </c>
      <c r="K3633">
        <v>3712.9818087888598</v>
      </c>
      <c r="L3633">
        <v>45.262999999999998</v>
      </c>
      <c r="M3633">
        <v>65.522999999999996</v>
      </c>
      <c r="N3633">
        <v>46.02</v>
      </c>
    </row>
    <row r="3634" spans="1:14" x14ac:dyDescent="0.45">
      <c r="A3634">
        <v>1997</v>
      </c>
      <c r="B3634" t="s">
        <v>198</v>
      </c>
      <c r="C3634">
        <v>1</v>
      </c>
      <c r="D3634">
        <v>0</v>
      </c>
      <c r="E3634">
        <v>0</v>
      </c>
      <c r="F3634">
        <v>0</v>
      </c>
      <c r="G3634">
        <v>0</v>
      </c>
      <c r="H3634">
        <v>1</v>
      </c>
      <c r="I3634">
        <v>1</v>
      </c>
      <c r="J3634">
        <v>49881.875832346101</v>
      </c>
      <c r="K3634">
        <v>42107.437556733799</v>
      </c>
      <c r="L3634">
        <v>25.547000000000001</v>
      </c>
      <c r="M3634">
        <v>77.930999999999997</v>
      </c>
      <c r="N3634">
        <v>6.14</v>
      </c>
    </row>
    <row r="3635" spans="1:14" x14ac:dyDescent="0.45">
      <c r="A3635">
        <v>1997</v>
      </c>
      <c r="B3635" t="s">
        <v>199</v>
      </c>
      <c r="C3635">
        <v>1</v>
      </c>
      <c r="D3635">
        <v>0</v>
      </c>
      <c r="E3635">
        <v>0</v>
      </c>
      <c r="F3635">
        <v>0</v>
      </c>
      <c r="G3635">
        <v>0</v>
      </c>
      <c r="H3635">
        <v>1</v>
      </c>
      <c r="I3635">
        <v>1</v>
      </c>
      <c r="J3635">
        <v>73053.965525643405</v>
      </c>
      <c r="K3635">
        <v>53978.669790428197</v>
      </c>
      <c r="L3635">
        <v>25.524000000000001</v>
      </c>
      <c r="M3635">
        <v>78.238</v>
      </c>
      <c r="N3635">
        <v>5.2679999999999998</v>
      </c>
    </row>
    <row r="3636" spans="1:14" x14ac:dyDescent="0.45">
      <c r="A3636">
        <v>1997</v>
      </c>
      <c r="B3636" t="s">
        <v>200</v>
      </c>
      <c r="C3636">
        <v>0</v>
      </c>
      <c r="D3636">
        <v>0</v>
      </c>
      <c r="E3636">
        <v>0</v>
      </c>
      <c r="F3636">
        <v>0</v>
      </c>
      <c r="G3636">
        <v>0</v>
      </c>
      <c r="H3636">
        <v>0</v>
      </c>
      <c r="I3636">
        <v>0</v>
      </c>
      <c r="J3636">
        <v>2166.3126334505</v>
      </c>
      <c r="K3636">
        <v>1917.8515710751799</v>
      </c>
      <c r="L3636">
        <v>88.165999999999997</v>
      </c>
      <c r="M3636">
        <v>60.823</v>
      </c>
      <c r="N3636">
        <v>94.027000000000001</v>
      </c>
    </row>
    <row r="3637" spans="1:14" x14ac:dyDescent="0.45">
      <c r="A3637">
        <v>1997</v>
      </c>
      <c r="B3637" t="s">
        <v>201</v>
      </c>
      <c r="C3637">
        <v>0</v>
      </c>
      <c r="D3637">
        <v>0</v>
      </c>
      <c r="E3637">
        <v>0</v>
      </c>
      <c r="F3637">
        <v>0</v>
      </c>
      <c r="G3637">
        <v>0</v>
      </c>
      <c r="H3637">
        <v>1</v>
      </c>
      <c r="I3637">
        <v>1</v>
      </c>
      <c r="J3637">
        <v>11650.290886320199</v>
      </c>
      <c r="K3637">
        <v>10540.2566393465</v>
      </c>
      <c r="L3637">
        <v>0</v>
      </c>
      <c r="M3637">
        <v>59.984999999999999</v>
      </c>
      <c r="N3637">
        <v>48.375999999999998</v>
      </c>
    </row>
    <row r="3638" spans="1:14" x14ac:dyDescent="0.45">
      <c r="A3638">
        <v>1997</v>
      </c>
      <c r="B3638" t="s">
        <v>202</v>
      </c>
      <c r="C3638">
        <v>0</v>
      </c>
      <c r="D3638">
        <v>0</v>
      </c>
      <c r="E3638">
        <v>0</v>
      </c>
      <c r="F3638">
        <v>0</v>
      </c>
      <c r="G3638">
        <v>0</v>
      </c>
      <c r="H3638">
        <v>1</v>
      </c>
      <c r="I3638">
        <v>1</v>
      </c>
      <c r="J3638">
        <v>33480.1450529262</v>
      </c>
      <c r="K3638">
        <v>30451.932894515001</v>
      </c>
      <c r="L3638">
        <v>14.218999999999999</v>
      </c>
      <c r="M3638">
        <v>77.343999999999994</v>
      </c>
      <c r="N3638">
        <v>8.3230000000000004</v>
      </c>
    </row>
    <row r="3639" spans="1:14" x14ac:dyDescent="0.45">
      <c r="A3639">
        <v>1997</v>
      </c>
      <c r="B3639" t="s">
        <v>203</v>
      </c>
      <c r="C3639">
        <v>0</v>
      </c>
      <c r="D3639">
        <v>0</v>
      </c>
      <c r="E3639">
        <v>0</v>
      </c>
      <c r="F3639">
        <v>0</v>
      </c>
      <c r="G3639">
        <v>1</v>
      </c>
      <c r="H3639">
        <v>0</v>
      </c>
      <c r="I3639">
        <v>0</v>
      </c>
      <c r="J3639">
        <v>41191.031240244403</v>
      </c>
      <c r="K3639">
        <v>35791.735016884501</v>
      </c>
      <c r="L3639">
        <v>28.370999999999999</v>
      </c>
      <c r="M3639">
        <v>72.462999999999994</v>
      </c>
      <c r="N3639">
        <v>20.834</v>
      </c>
    </row>
    <row r="3640" spans="1:14" x14ac:dyDescent="0.45">
      <c r="A3640">
        <v>1997</v>
      </c>
      <c r="B3640" t="s">
        <v>204</v>
      </c>
      <c r="C3640">
        <v>0</v>
      </c>
      <c r="D3640">
        <v>0</v>
      </c>
      <c r="E3640">
        <v>0</v>
      </c>
      <c r="F3640">
        <v>0</v>
      </c>
      <c r="G3640">
        <v>0</v>
      </c>
      <c r="H3640">
        <v>0</v>
      </c>
      <c r="I3640">
        <v>0</v>
      </c>
      <c r="J3640">
        <v>3462.5814560588901</v>
      </c>
      <c r="K3640">
        <v>3296.0270641642301</v>
      </c>
      <c r="L3640">
        <v>67.652000000000001</v>
      </c>
      <c r="M3640">
        <v>60.622999999999998</v>
      </c>
      <c r="N3640">
        <v>117.879</v>
      </c>
    </row>
    <row r="3641" spans="1:14" x14ac:dyDescent="0.45">
      <c r="A3641">
        <v>1997</v>
      </c>
      <c r="B3641" t="s">
        <v>205</v>
      </c>
      <c r="C3641">
        <v>0</v>
      </c>
      <c r="D3641">
        <v>1</v>
      </c>
      <c r="E3641">
        <v>0</v>
      </c>
      <c r="F3641">
        <v>1</v>
      </c>
      <c r="G3641">
        <v>0</v>
      </c>
      <c r="H3641">
        <v>0</v>
      </c>
      <c r="I3641">
        <v>0</v>
      </c>
      <c r="J3641">
        <v>13013.8909583941</v>
      </c>
      <c r="K3641">
        <v>13646.0801648694</v>
      </c>
      <c r="L3641">
        <v>40.192999999999998</v>
      </c>
      <c r="M3641">
        <v>72.540999999999997</v>
      </c>
      <c r="N3641">
        <v>27.084</v>
      </c>
    </row>
    <row r="3642" spans="1:14" x14ac:dyDescent="0.45">
      <c r="A3642">
        <v>1997</v>
      </c>
      <c r="B3642" t="s">
        <v>206</v>
      </c>
      <c r="C3642">
        <v>0</v>
      </c>
      <c r="D3642">
        <v>1</v>
      </c>
      <c r="E3642">
        <v>0</v>
      </c>
      <c r="F3642">
        <v>1</v>
      </c>
      <c r="G3642">
        <v>0</v>
      </c>
      <c r="H3642">
        <v>0</v>
      </c>
      <c r="I3642">
        <v>0</v>
      </c>
      <c r="J3642">
        <v>7773.8270060099203</v>
      </c>
      <c r="K3642">
        <v>6495.6872030936001</v>
      </c>
      <c r="L3642">
        <v>28.202000000000002</v>
      </c>
      <c r="M3642">
        <v>68.323999999999998</v>
      </c>
      <c r="N3642">
        <v>48.823</v>
      </c>
    </row>
    <row r="3643" spans="1:14" x14ac:dyDescent="0.45">
      <c r="A3643">
        <v>1997</v>
      </c>
      <c r="B3643" t="s">
        <v>207</v>
      </c>
      <c r="C3643">
        <v>0</v>
      </c>
      <c r="D3643">
        <v>0</v>
      </c>
      <c r="E3643">
        <v>0</v>
      </c>
      <c r="F3643">
        <v>1</v>
      </c>
      <c r="G3643">
        <v>0</v>
      </c>
      <c r="H3643">
        <v>0</v>
      </c>
      <c r="I3643">
        <v>0</v>
      </c>
      <c r="J3643">
        <v>4758.7084580851497</v>
      </c>
      <c r="K3643">
        <v>4309.4891102256397</v>
      </c>
      <c r="L3643">
        <v>53.61</v>
      </c>
      <c r="M3643">
        <v>66.994</v>
      </c>
      <c r="N3643">
        <v>40.844999999999999</v>
      </c>
    </row>
    <row r="3644" spans="1:14" x14ac:dyDescent="0.45">
      <c r="A3644">
        <v>1997</v>
      </c>
      <c r="B3644" t="s">
        <v>208</v>
      </c>
      <c r="C3644">
        <v>0</v>
      </c>
      <c r="D3644">
        <v>0</v>
      </c>
      <c r="E3644">
        <v>0</v>
      </c>
      <c r="F3644">
        <v>0</v>
      </c>
      <c r="G3644">
        <v>1</v>
      </c>
      <c r="H3644">
        <v>0</v>
      </c>
      <c r="I3644">
        <v>0</v>
      </c>
      <c r="J3644">
        <v>17400.010581673301</v>
      </c>
      <c r="K3644">
        <v>15742.145741058701</v>
      </c>
      <c r="L3644">
        <v>28.934000000000001</v>
      </c>
      <c r="M3644">
        <v>63.707000000000001</v>
      </c>
      <c r="N3644">
        <v>29.306999999999999</v>
      </c>
    </row>
    <row r="3645" spans="1:14" x14ac:dyDescent="0.45">
      <c r="A3645">
        <v>1997</v>
      </c>
      <c r="B3645" t="s">
        <v>209</v>
      </c>
      <c r="C3645">
        <v>0</v>
      </c>
      <c r="D3645">
        <v>0</v>
      </c>
      <c r="E3645">
        <v>0</v>
      </c>
      <c r="F3645">
        <v>1</v>
      </c>
      <c r="G3645">
        <v>0</v>
      </c>
      <c r="H3645">
        <v>0</v>
      </c>
      <c r="I3645">
        <v>0</v>
      </c>
      <c r="J3645">
        <v>3864.23030411237</v>
      </c>
      <c r="K3645">
        <v>3495.5879340145498</v>
      </c>
      <c r="L3645">
        <v>86.275999999999996</v>
      </c>
      <c r="M3645">
        <v>61.27</v>
      </c>
      <c r="N3645">
        <v>75.349000000000004</v>
      </c>
    </row>
    <row r="3646" spans="1:14" x14ac:dyDescent="0.45">
      <c r="A3646">
        <v>1997</v>
      </c>
      <c r="B3646" t="s">
        <v>210</v>
      </c>
      <c r="C3646">
        <v>1</v>
      </c>
      <c r="D3646">
        <v>0</v>
      </c>
      <c r="E3646">
        <v>0</v>
      </c>
      <c r="F3646">
        <v>0</v>
      </c>
      <c r="G3646">
        <v>1</v>
      </c>
      <c r="H3646">
        <v>0</v>
      </c>
      <c r="I3646">
        <v>0</v>
      </c>
      <c r="J3646">
        <v>16031.7211485265</v>
      </c>
      <c r="K3646">
        <v>13838.117793761599</v>
      </c>
      <c r="L3646">
        <v>38.417000000000002</v>
      </c>
      <c r="M3646">
        <v>72.590999999999994</v>
      </c>
      <c r="N3646">
        <v>12.051</v>
      </c>
    </row>
    <row r="3647" spans="1:14" x14ac:dyDescent="0.45">
      <c r="A3647">
        <v>1997</v>
      </c>
      <c r="B3647" t="s">
        <v>211</v>
      </c>
      <c r="C3647">
        <v>0</v>
      </c>
      <c r="D3647">
        <v>1</v>
      </c>
      <c r="E3647">
        <v>0</v>
      </c>
      <c r="F3647">
        <v>0</v>
      </c>
      <c r="G3647">
        <v>1</v>
      </c>
      <c r="H3647">
        <v>0</v>
      </c>
      <c r="I3647">
        <v>0</v>
      </c>
      <c r="J3647">
        <v>32915.790570556797</v>
      </c>
      <c r="K3647">
        <v>25287.251031893498</v>
      </c>
      <c r="L3647">
        <v>5.98</v>
      </c>
      <c r="M3647">
        <v>74.674000000000007</v>
      </c>
      <c r="N3647">
        <v>15.778</v>
      </c>
    </row>
    <row r="3648" spans="1:14" x14ac:dyDescent="0.45">
      <c r="A3648">
        <v>1997</v>
      </c>
      <c r="B3648" t="s">
        <v>212</v>
      </c>
      <c r="C3648">
        <v>0</v>
      </c>
      <c r="D3648">
        <v>0</v>
      </c>
      <c r="E3648">
        <v>0</v>
      </c>
      <c r="F3648">
        <v>1</v>
      </c>
      <c r="G3648">
        <v>0</v>
      </c>
      <c r="H3648">
        <v>0</v>
      </c>
      <c r="I3648">
        <v>0</v>
      </c>
      <c r="L3648">
        <v>40.823999999999998</v>
      </c>
      <c r="M3648">
        <v>60.869</v>
      </c>
      <c r="N3648">
        <v>104.9</v>
      </c>
    </row>
    <row r="3649" spans="1:14" x14ac:dyDescent="0.45">
      <c r="A3649">
        <v>1997</v>
      </c>
      <c r="B3649" t="s">
        <v>213</v>
      </c>
      <c r="C3649">
        <v>1</v>
      </c>
      <c r="D3649">
        <v>0</v>
      </c>
      <c r="E3649">
        <v>0</v>
      </c>
      <c r="F3649">
        <v>0</v>
      </c>
      <c r="G3649">
        <v>0</v>
      </c>
      <c r="H3649">
        <v>1</v>
      </c>
      <c r="I3649">
        <v>1</v>
      </c>
      <c r="J3649">
        <v>31574.4020870575</v>
      </c>
      <c r="K3649">
        <v>27292.379362763299</v>
      </c>
      <c r="L3649">
        <v>47.572000000000003</v>
      </c>
      <c r="M3649">
        <v>75.921999999999997</v>
      </c>
      <c r="N3649">
        <v>8.6159999999999997</v>
      </c>
    </row>
    <row r="3650" spans="1:14" x14ac:dyDescent="0.45">
      <c r="A3650">
        <v>1997</v>
      </c>
      <c r="B3650" t="s">
        <v>214</v>
      </c>
      <c r="C3650">
        <v>0</v>
      </c>
      <c r="D3650">
        <v>1</v>
      </c>
      <c r="E3650">
        <v>0</v>
      </c>
      <c r="F3650">
        <v>1</v>
      </c>
      <c r="G3650">
        <v>0</v>
      </c>
      <c r="H3650">
        <v>0</v>
      </c>
      <c r="I3650">
        <v>0</v>
      </c>
      <c r="J3650">
        <v>11033.0157241302</v>
      </c>
      <c r="K3650">
        <v>10065.850917723301</v>
      </c>
      <c r="L3650">
        <v>46.585999999999999</v>
      </c>
      <c r="M3650">
        <v>69.284000000000006</v>
      </c>
      <c r="N3650">
        <v>36.636000000000003</v>
      </c>
    </row>
    <row r="3651" spans="1:14" x14ac:dyDescent="0.45">
      <c r="A3651">
        <v>1997</v>
      </c>
      <c r="B3651" t="s">
        <v>215</v>
      </c>
      <c r="C3651">
        <v>0</v>
      </c>
      <c r="D3651">
        <v>0</v>
      </c>
      <c r="E3651">
        <v>0</v>
      </c>
      <c r="F3651">
        <v>1</v>
      </c>
      <c r="G3651">
        <v>0</v>
      </c>
      <c r="H3651">
        <v>0</v>
      </c>
      <c r="I3651">
        <v>0</v>
      </c>
      <c r="J3651">
        <v>4311.5387674063604</v>
      </c>
      <c r="K3651">
        <v>3676.3838654375299</v>
      </c>
      <c r="L3651">
        <v>28.812999999999999</v>
      </c>
      <c r="M3651">
        <v>70.328000000000003</v>
      </c>
      <c r="N3651">
        <v>33.378</v>
      </c>
    </row>
    <row r="3652" spans="1:14" x14ac:dyDescent="0.45">
      <c r="A3652">
        <v>1997</v>
      </c>
      <c r="B3652" t="s">
        <v>216</v>
      </c>
      <c r="C3652">
        <v>0</v>
      </c>
      <c r="D3652">
        <v>0</v>
      </c>
      <c r="E3652">
        <v>0</v>
      </c>
      <c r="F3652">
        <v>0</v>
      </c>
      <c r="G3652">
        <v>0</v>
      </c>
      <c r="H3652">
        <v>1</v>
      </c>
      <c r="I3652">
        <v>1</v>
      </c>
      <c r="L3652">
        <v>43.715000000000003</v>
      </c>
      <c r="M3652">
        <v>77.38</v>
      </c>
      <c r="N3652">
        <v>13.015000000000001</v>
      </c>
    </row>
    <row r="3653" spans="1:14" x14ac:dyDescent="0.45">
      <c r="A3653">
        <v>1997</v>
      </c>
      <c r="B3653" t="s">
        <v>217</v>
      </c>
      <c r="C3653">
        <v>0</v>
      </c>
      <c r="D3653">
        <v>0</v>
      </c>
      <c r="E3653">
        <v>0</v>
      </c>
      <c r="F3653">
        <v>0</v>
      </c>
      <c r="G3653">
        <v>0</v>
      </c>
      <c r="H3653">
        <v>1</v>
      </c>
      <c r="I3653">
        <v>1</v>
      </c>
      <c r="J3653">
        <v>87140.1273380481</v>
      </c>
      <c r="K3653">
        <v>75245.313646257797</v>
      </c>
      <c r="L3653">
        <v>4.3409999999999904</v>
      </c>
      <c r="M3653">
        <v>74.712999999999994</v>
      </c>
      <c r="N3653">
        <v>14.074</v>
      </c>
    </row>
    <row r="3654" spans="1:14" x14ac:dyDescent="0.45">
      <c r="A3654">
        <v>1997</v>
      </c>
      <c r="B3654" t="s">
        <v>218</v>
      </c>
      <c r="C3654">
        <v>1</v>
      </c>
      <c r="D3654">
        <v>0</v>
      </c>
      <c r="E3654">
        <v>0</v>
      </c>
      <c r="F3654">
        <v>1</v>
      </c>
      <c r="G3654">
        <v>0</v>
      </c>
      <c r="H3654">
        <v>0</v>
      </c>
      <c r="I3654">
        <v>0</v>
      </c>
      <c r="J3654">
        <v>14778.410596670599</v>
      </c>
      <c r="K3654">
        <v>12012.425118352299</v>
      </c>
      <c r="L3654">
        <v>46.536999999999999</v>
      </c>
      <c r="M3654">
        <v>69.085999999999999</v>
      </c>
      <c r="N3654">
        <v>26.523</v>
      </c>
    </row>
    <row r="3655" spans="1:14" x14ac:dyDescent="0.45">
      <c r="A3655">
        <v>1997</v>
      </c>
      <c r="B3655" t="s">
        <v>219</v>
      </c>
      <c r="C3655">
        <v>1</v>
      </c>
      <c r="D3655">
        <v>0</v>
      </c>
      <c r="E3655">
        <v>0</v>
      </c>
      <c r="F3655">
        <v>1</v>
      </c>
      <c r="G3655">
        <v>0</v>
      </c>
      <c r="H3655">
        <v>0</v>
      </c>
      <c r="I3655">
        <v>0</v>
      </c>
      <c r="J3655">
        <v>17977.3515625</v>
      </c>
      <c r="K3655">
        <v>13028.2075733039</v>
      </c>
      <c r="L3655">
        <v>26.637</v>
      </c>
      <c r="M3655">
        <v>66.593999999999994</v>
      </c>
      <c r="N3655">
        <v>20.888999999999999</v>
      </c>
    </row>
    <row r="3656" spans="1:14" x14ac:dyDescent="0.45">
      <c r="A3656">
        <v>1997</v>
      </c>
      <c r="B3656" t="s">
        <v>220</v>
      </c>
      <c r="C3656">
        <v>0</v>
      </c>
      <c r="D3656">
        <v>0</v>
      </c>
      <c r="E3656">
        <v>1</v>
      </c>
      <c r="F3656">
        <v>0</v>
      </c>
      <c r="G3656">
        <v>0</v>
      </c>
      <c r="H3656">
        <v>0</v>
      </c>
      <c r="I3656">
        <v>0</v>
      </c>
      <c r="J3656">
        <v>874.69472829632195</v>
      </c>
      <c r="K3656">
        <v>731.99165714227695</v>
      </c>
      <c r="L3656">
        <v>87.534000000000006</v>
      </c>
      <c r="M3656">
        <v>41.978000000000002</v>
      </c>
      <c r="N3656">
        <v>213.464</v>
      </c>
    </row>
    <row r="3657" spans="1:14" x14ac:dyDescent="0.45">
      <c r="A3657">
        <v>1997</v>
      </c>
      <c r="B3657" t="s">
        <v>221</v>
      </c>
      <c r="C3657">
        <v>0</v>
      </c>
      <c r="D3657">
        <v>0</v>
      </c>
      <c r="E3657">
        <v>0</v>
      </c>
      <c r="F3657">
        <v>0</v>
      </c>
      <c r="G3657">
        <v>1</v>
      </c>
      <c r="H3657">
        <v>0</v>
      </c>
      <c r="I3657">
        <v>0</v>
      </c>
      <c r="J3657">
        <v>58875.5473738828</v>
      </c>
      <c r="K3657">
        <v>53975.808967372897</v>
      </c>
      <c r="L3657">
        <v>20.853000000000002</v>
      </c>
      <c r="M3657">
        <v>71.623999999999995</v>
      </c>
      <c r="N3657">
        <v>26.861000000000001</v>
      </c>
    </row>
    <row r="3658" spans="1:14" x14ac:dyDescent="0.45">
      <c r="A3658">
        <v>1997</v>
      </c>
      <c r="B3658" t="s">
        <v>222</v>
      </c>
      <c r="C3658">
        <v>0</v>
      </c>
      <c r="D3658">
        <v>0</v>
      </c>
      <c r="E3658">
        <v>1</v>
      </c>
      <c r="F3658">
        <v>0</v>
      </c>
      <c r="G3658">
        <v>0</v>
      </c>
      <c r="H3658">
        <v>0</v>
      </c>
      <c r="I3658">
        <v>0</v>
      </c>
      <c r="J3658">
        <v>3380.18676757813</v>
      </c>
      <c r="K3658">
        <v>3539.5013052623899</v>
      </c>
      <c r="L3658">
        <v>67.662999999999997</v>
      </c>
      <c r="M3658">
        <v>58.058</v>
      </c>
      <c r="N3658">
        <v>113.33199999999999</v>
      </c>
    </row>
    <row r="3659" spans="1:14" x14ac:dyDescent="0.45">
      <c r="A3659">
        <v>1997</v>
      </c>
      <c r="B3659" t="s">
        <v>223</v>
      </c>
      <c r="C3659">
        <v>0</v>
      </c>
      <c r="D3659">
        <v>0</v>
      </c>
      <c r="E3659">
        <v>1</v>
      </c>
      <c r="F3659">
        <v>0</v>
      </c>
      <c r="G3659">
        <v>0</v>
      </c>
      <c r="H3659">
        <v>0</v>
      </c>
      <c r="I3659">
        <v>0</v>
      </c>
      <c r="J3659">
        <v>2840.6080885983201</v>
      </c>
      <c r="K3659">
        <v>2373.1548062326901</v>
      </c>
      <c r="L3659">
        <v>60.109000000000002</v>
      </c>
      <c r="M3659">
        <v>57.106999999999999</v>
      </c>
      <c r="N3659">
        <v>137.03</v>
      </c>
    </row>
    <row r="3660" spans="1:14" x14ac:dyDescent="0.45">
      <c r="A3660">
        <v>1997</v>
      </c>
      <c r="B3660" t="s">
        <v>224</v>
      </c>
      <c r="C3660">
        <v>0</v>
      </c>
      <c r="D3660">
        <v>0</v>
      </c>
      <c r="E3660">
        <v>0</v>
      </c>
      <c r="F3660">
        <v>0</v>
      </c>
      <c r="G3660">
        <v>0</v>
      </c>
      <c r="H3660">
        <v>1</v>
      </c>
      <c r="I3660">
        <v>1</v>
      </c>
      <c r="J3660">
        <v>64291.202469433301</v>
      </c>
      <c r="K3660">
        <v>52849.767338037498</v>
      </c>
      <c r="L3660">
        <v>0</v>
      </c>
      <c r="M3660">
        <v>76.388999999999996</v>
      </c>
      <c r="N3660">
        <v>4.5549999999999997</v>
      </c>
    </row>
    <row r="3661" spans="1:14" x14ac:dyDescent="0.45">
      <c r="A3661">
        <v>1997</v>
      </c>
      <c r="B3661" t="s">
        <v>225</v>
      </c>
      <c r="C3661">
        <v>0</v>
      </c>
      <c r="D3661">
        <v>0</v>
      </c>
      <c r="E3661">
        <v>0</v>
      </c>
      <c r="F3661">
        <v>1</v>
      </c>
      <c r="G3661">
        <v>0</v>
      </c>
      <c r="H3661">
        <v>0</v>
      </c>
      <c r="I3661">
        <v>0</v>
      </c>
      <c r="J3661">
        <v>2848.3445620371399</v>
      </c>
      <c r="K3661">
        <v>2576.5354713835</v>
      </c>
      <c r="L3661">
        <v>84.924000000000007</v>
      </c>
      <c r="M3661">
        <v>66.768000000000001</v>
      </c>
      <c r="N3661">
        <v>32.432000000000002</v>
      </c>
    </row>
    <row r="3662" spans="1:14" x14ac:dyDescent="0.45">
      <c r="A3662">
        <v>1997</v>
      </c>
      <c r="B3662" t="s">
        <v>226</v>
      </c>
      <c r="C3662">
        <v>0</v>
      </c>
      <c r="D3662">
        <v>0</v>
      </c>
      <c r="E3662">
        <v>1</v>
      </c>
      <c r="F3662">
        <v>0</v>
      </c>
      <c r="G3662">
        <v>0</v>
      </c>
      <c r="H3662">
        <v>0</v>
      </c>
      <c r="I3662">
        <v>0</v>
      </c>
      <c r="J3662">
        <v>1938.29873208241</v>
      </c>
      <c r="K3662">
        <v>1759.33673548107</v>
      </c>
      <c r="L3662">
        <v>65.094999999999999</v>
      </c>
      <c r="M3662">
        <v>43.649000000000001</v>
      </c>
      <c r="N3662">
        <v>240.30500000000001</v>
      </c>
    </row>
    <row r="3663" spans="1:14" x14ac:dyDescent="0.45">
      <c r="A3663">
        <v>1997</v>
      </c>
      <c r="B3663" t="s">
        <v>227</v>
      </c>
      <c r="C3663">
        <v>0</v>
      </c>
      <c r="D3663">
        <v>1</v>
      </c>
      <c r="E3663">
        <v>0</v>
      </c>
      <c r="F3663">
        <v>1</v>
      </c>
      <c r="G3663">
        <v>0</v>
      </c>
      <c r="H3663">
        <v>0</v>
      </c>
      <c r="I3663">
        <v>0</v>
      </c>
      <c r="J3663">
        <v>7234.9445622843496</v>
      </c>
      <c r="K3663">
        <v>6444.5297294255097</v>
      </c>
      <c r="L3663">
        <v>43.463000000000001</v>
      </c>
      <c r="M3663">
        <v>66.248000000000005</v>
      </c>
      <c r="N3663">
        <v>39.697000000000003</v>
      </c>
    </row>
    <row r="3664" spans="1:14" x14ac:dyDescent="0.45">
      <c r="A3664">
        <v>1997</v>
      </c>
      <c r="B3664" t="s">
        <v>228</v>
      </c>
      <c r="C3664">
        <v>1</v>
      </c>
      <c r="D3664">
        <v>0</v>
      </c>
      <c r="E3664">
        <v>0</v>
      </c>
      <c r="F3664">
        <v>0</v>
      </c>
      <c r="G3664">
        <v>0</v>
      </c>
      <c r="H3664">
        <v>1</v>
      </c>
      <c r="I3664">
        <v>1</v>
      </c>
      <c r="J3664">
        <v>66923.030342425001</v>
      </c>
      <c r="K3664">
        <v>58984.2411347249</v>
      </c>
      <c r="L3664">
        <v>7.5780000000000003</v>
      </c>
      <c r="M3664">
        <v>79.677000000000007</v>
      </c>
      <c r="N3664">
        <v>6.78</v>
      </c>
    </row>
    <row r="3665" spans="1:14" x14ac:dyDescent="0.45">
      <c r="A3665">
        <v>1997</v>
      </c>
      <c r="B3665" t="s">
        <v>229</v>
      </c>
      <c r="C3665">
        <v>0</v>
      </c>
      <c r="D3665">
        <v>0</v>
      </c>
      <c r="E3665">
        <v>1</v>
      </c>
      <c r="F3665">
        <v>0</v>
      </c>
      <c r="G3665">
        <v>0</v>
      </c>
      <c r="H3665">
        <v>0</v>
      </c>
      <c r="I3665">
        <v>0</v>
      </c>
      <c r="J3665">
        <v>647.78465142472896</v>
      </c>
      <c r="K3665">
        <v>600.842472376253</v>
      </c>
      <c r="L3665">
        <v>67.852999999999994</v>
      </c>
      <c r="M3665">
        <v>50.277999999999999</v>
      </c>
      <c r="N3665">
        <v>176.34299999999999</v>
      </c>
    </row>
    <row r="3666" spans="1:14" x14ac:dyDescent="0.45">
      <c r="A3666">
        <v>1997</v>
      </c>
      <c r="B3666" t="s">
        <v>230</v>
      </c>
      <c r="C3666">
        <v>1</v>
      </c>
      <c r="D3666">
        <v>0</v>
      </c>
      <c r="E3666">
        <v>0</v>
      </c>
      <c r="F3666">
        <v>1</v>
      </c>
      <c r="G3666">
        <v>0</v>
      </c>
      <c r="H3666">
        <v>0</v>
      </c>
      <c r="I3666">
        <v>0</v>
      </c>
      <c r="J3666">
        <v>10964.869911961599</v>
      </c>
      <c r="K3666">
        <v>9641.6706634954407</v>
      </c>
      <c r="L3666">
        <v>47.902000000000001</v>
      </c>
      <c r="M3666">
        <v>72.947000000000003</v>
      </c>
      <c r="N3666">
        <v>13.694000000000001</v>
      </c>
    </row>
    <row r="3667" spans="1:14" x14ac:dyDescent="0.45">
      <c r="A3667">
        <v>1997</v>
      </c>
      <c r="B3667" t="s">
        <v>231</v>
      </c>
      <c r="C3667">
        <v>0</v>
      </c>
      <c r="D3667">
        <v>0</v>
      </c>
      <c r="E3667">
        <v>1</v>
      </c>
      <c r="F3667">
        <v>1</v>
      </c>
      <c r="G3667">
        <v>0</v>
      </c>
      <c r="H3667">
        <v>0</v>
      </c>
      <c r="I3667">
        <v>0</v>
      </c>
      <c r="L3667">
        <v>83.876999999999995</v>
      </c>
      <c r="M3667">
        <v>33.067999999999998</v>
      </c>
      <c r="N3667">
        <v>240.767</v>
      </c>
    </row>
    <row r="3668" spans="1:14" x14ac:dyDescent="0.45">
      <c r="A3668">
        <v>1997</v>
      </c>
      <c r="B3668" t="s">
        <v>232</v>
      </c>
      <c r="C3668">
        <v>0</v>
      </c>
      <c r="D3668">
        <v>0</v>
      </c>
      <c r="E3668">
        <v>1</v>
      </c>
      <c r="F3668">
        <v>0</v>
      </c>
      <c r="G3668">
        <v>0</v>
      </c>
      <c r="H3668">
        <v>0</v>
      </c>
      <c r="I3668">
        <v>0</v>
      </c>
      <c r="J3668">
        <v>3784.7902343177998</v>
      </c>
      <c r="K3668">
        <v>2355.5939512846899</v>
      </c>
      <c r="L3668">
        <v>49.45</v>
      </c>
      <c r="M3668">
        <v>60.648000000000003</v>
      </c>
      <c r="N3668">
        <v>93.852000000000004</v>
      </c>
    </row>
    <row r="3669" spans="1:14" x14ac:dyDescent="0.45">
      <c r="A3669">
        <v>1997</v>
      </c>
      <c r="B3669" t="s">
        <v>233</v>
      </c>
      <c r="C3669">
        <v>0</v>
      </c>
      <c r="D3669">
        <v>1</v>
      </c>
      <c r="E3669">
        <v>0</v>
      </c>
      <c r="F3669">
        <v>1</v>
      </c>
      <c r="G3669">
        <v>0</v>
      </c>
      <c r="H3669">
        <v>0</v>
      </c>
      <c r="I3669">
        <v>0</v>
      </c>
      <c r="J3669">
        <v>16754.3511427064</v>
      </c>
      <c r="K3669">
        <v>13336.122162679299</v>
      </c>
      <c r="L3669">
        <v>33.777000000000001</v>
      </c>
      <c r="M3669">
        <v>63.384999999999998</v>
      </c>
      <c r="N3669">
        <v>34.726999999999997</v>
      </c>
    </row>
    <row r="3670" spans="1:14" x14ac:dyDescent="0.45">
      <c r="A3670">
        <v>1997</v>
      </c>
      <c r="B3670" t="s">
        <v>234</v>
      </c>
      <c r="C3670">
        <v>1</v>
      </c>
      <c r="D3670">
        <v>0</v>
      </c>
      <c r="E3670">
        <v>0</v>
      </c>
      <c r="F3670">
        <v>0</v>
      </c>
      <c r="G3670">
        <v>1</v>
      </c>
      <c r="H3670">
        <v>0</v>
      </c>
      <c r="I3670">
        <v>0</v>
      </c>
      <c r="J3670">
        <v>17622.745225371302</v>
      </c>
      <c r="K3670">
        <v>15178.1679578482</v>
      </c>
      <c r="L3670">
        <v>43.584000000000003</v>
      </c>
      <c r="M3670">
        <v>72.688999999999993</v>
      </c>
      <c r="N3670">
        <v>10.48</v>
      </c>
    </row>
    <row r="3671" spans="1:14" x14ac:dyDescent="0.45">
      <c r="A3671">
        <v>1997</v>
      </c>
      <c r="B3671" t="s">
        <v>235</v>
      </c>
      <c r="C3671">
        <v>1</v>
      </c>
      <c r="D3671">
        <v>0</v>
      </c>
      <c r="E3671">
        <v>0</v>
      </c>
      <c r="F3671">
        <v>0</v>
      </c>
      <c r="G3671">
        <v>0</v>
      </c>
      <c r="H3671">
        <v>1</v>
      </c>
      <c r="I3671">
        <v>1</v>
      </c>
      <c r="J3671">
        <v>26813.192984630401</v>
      </c>
      <c r="K3671">
        <v>23080.9223135348</v>
      </c>
      <c r="L3671">
        <v>49.325000000000003</v>
      </c>
      <c r="M3671">
        <v>74.989000000000004</v>
      </c>
      <c r="N3671">
        <v>6.1849999999999996</v>
      </c>
    </row>
    <row r="3672" spans="1:14" x14ac:dyDescent="0.45">
      <c r="A3672">
        <v>1997</v>
      </c>
      <c r="B3672" t="s">
        <v>236</v>
      </c>
      <c r="C3672">
        <v>1</v>
      </c>
      <c r="D3672">
        <v>0</v>
      </c>
      <c r="E3672">
        <v>0</v>
      </c>
      <c r="F3672">
        <v>0</v>
      </c>
      <c r="G3672">
        <v>0</v>
      </c>
      <c r="H3672">
        <v>1</v>
      </c>
      <c r="I3672">
        <v>1</v>
      </c>
      <c r="J3672">
        <v>42246.928157214301</v>
      </c>
      <c r="K3672">
        <v>36088.105566236503</v>
      </c>
      <c r="L3672">
        <v>16.058</v>
      </c>
      <c r="M3672">
        <v>79.272000000000006</v>
      </c>
      <c r="N3672">
        <v>4.4089999999999998</v>
      </c>
    </row>
    <row r="3673" spans="1:14" x14ac:dyDescent="0.45">
      <c r="A3673">
        <v>1997</v>
      </c>
      <c r="B3673" t="s">
        <v>237</v>
      </c>
      <c r="C3673">
        <v>0</v>
      </c>
      <c r="D3673">
        <v>0</v>
      </c>
      <c r="E3673">
        <v>1</v>
      </c>
      <c r="F3673">
        <v>1</v>
      </c>
      <c r="G3673">
        <v>0</v>
      </c>
      <c r="H3673">
        <v>0</v>
      </c>
      <c r="I3673">
        <v>0</v>
      </c>
      <c r="J3673">
        <v>5957.23563505531</v>
      </c>
      <c r="K3673">
        <v>5275.1332462017799</v>
      </c>
      <c r="L3673">
        <v>76.918999999999997</v>
      </c>
      <c r="M3673">
        <v>51.698999999999998</v>
      </c>
      <c r="N3673">
        <v>96.944999999999993</v>
      </c>
    </row>
    <row r="3674" spans="1:14" x14ac:dyDescent="0.45">
      <c r="A3674">
        <v>1997</v>
      </c>
      <c r="B3674" t="s">
        <v>238</v>
      </c>
      <c r="C3674">
        <v>0</v>
      </c>
      <c r="D3674">
        <v>1</v>
      </c>
      <c r="E3674">
        <v>0</v>
      </c>
      <c r="F3674">
        <v>0</v>
      </c>
      <c r="G3674">
        <v>0</v>
      </c>
      <c r="H3674">
        <v>1</v>
      </c>
      <c r="I3674">
        <v>1</v>
      </c>
      <c r="L3674">
        <v>0</v>
      </c>
      <c r="M3674">
        <v>73.551000000000002</v>
      </c>
      <c r="N3674">
        <v>21.582999999999998</v>
      </c>
    </row>
    <row r="3675" spans="1:14" x14ac:dyDescent="0.45">
      <c r="A3675">
        <v>1997</v>
      </c>
      <c r="B3675" t="s">
        <v>239</v>
      </c>
      <c r="C3675">
        <v>0</v>
      </c>
      <c r="D3675">
        <v>0</v>
      </c>
      <c r="E3675">
        <v>1</v>
      </c>
      <c r="F3675">
        <v>0</v>
      </c>
      <c r="G3675">
        <v>1</v>
      </c>
      <c r="H3675">
        <v>0</v>
      </c>
      <c r="I3675">
        <v>0</v>
      </c>
      <c r="J3675">
        <v>19895.142218843099</v>
      </c>
      <c r="K3675">
        <v>19315.196435073201</v>
      </c>
      <c r="L3675">
        <v>50.098999999999997</v>
      </c>
      <c r="M3675">
        <v>70.759</v>
      </c>
      <c r="N3675">
        <v>15.468999999999999</v>
      </c>
    </row>
    <row r="3676" spans="1:14" x14ac:dyDescent="0.45">
      <c r="A3676">
        <v>1997</v>
      </c>
      <c r="B3676" t="s">
        <v>240</v>
      </c>
      <c r="C3676">
        <v>0</v>
      </c>
      <c r="D3676">
        <v>0</v>
      </c>
      <c r="E3676">
        <v>0</v>
      </c>
      <c r="F3676">
        <v>1</v>
      </c>
      <c r="G3676">
        <v>0</v>
      </c>
      <c r="H3676">
        <v>0</v>
      </c>
      <c r="I3676">
        <v>0</v>
      </c>
      <c r="J3676">
        <v>8126.3657764713098</v>
      </c>
      <c r="K3676">
        <v>5330.3062065670902</v>
      </c>
      <c r="L3676">
        <v>49.158999999999999</v>
      </c>
      <c r="M3676">
        <v>70.158000000000001</v>
      </c>
      <c r="N3676">
        <v>26.669</v>
      </c>
    </row>
    <row r="3677" spans="1:14" x14ac:dyDescent="0.45">
      <c r="A3677">
        <v>1997</v>
      </c>
      <c r="B3677" t="s">
        <v>241</v>
      </c>
      <c r="C3677">
        <v>0</v>
      </c>
      <c r="D3677">
        <v>1</v>
      </c>
      <c r="E3677">
        <v>0</v>
      </c>
      <c r="F3677">
        <v>0</v>
      </c>
      <c r="G3677">
        <v>0</v>
      </c>
      <c r="H3677">
        <v>1</v>
      </c>
      <c r="I3677">
        <v>1</v>
      </c>
      <c r="L3677">
        <v>18.11</v>
      </c>
      <c r="M3677">
        <v>72.712999999999994</v>
      </c>
      <c r="N3677">
        <v>12.462</v>
      </c>
    </row>
    <row r="3678" spans="1:14" x14ac:dyDescent="0.45">
      <c r="A3678">
        <v>1997</v>
      </c>
      <c r="B3678" t="s">
        <v>242</v>
      </c>
      <c r="C3678">
        <v>0</v>
      </c>
      <c r="D3678">
        <v>0</v>
      </c>
      <c r="E3678">
        <v>1</v>
      </c>
      <c r="F3678">
        <v>0</v>
      </c>
      <c r="G3678">
        <v>0</v>
      </c>
      <c r="H3678">
        <v>0</v>
      </c>
      <c r="I3678">
        <v>0</v>
      </c>
      <c r="J3678">
        <v>1582.22676776802</v>
      </c>
      <c r="K3678">
        <v>1329.1277277079</v>
      </c>
      <c r="L3678">
        <v>78.462000000000003</v>
      </c>
      <c r="M3678">
        <v>47.762</v>
      </c>
      <c r="N3678">
        <v>193.62299999999999</v>
      </c>
    </row>
    <row r="3679" spans="1:14" x14ac:dyDescent="0.45">
      <c r="A3679">
        <v>1997</v>
      </c>
      <c r="B3679" t="s">
        <v>243</v>
      </c>
      <c r="C3679">
        <v>0</v>
      </c>
      <c r="D3679">
        <v>0</v>
      </c>
      <c r="E3679">
        <v>1</v>
      </c>
      <c r="F3679">
        <v>0</v>
      </c>
      <c r="G3679">
        <v>0</v>
      </c>
      <c r="H3679">
        <v>0</v>
      </c>
      <c r="I3679">
        <v>0</v>
      </c>
      <c r="J3679">
        <v>2296.1765640189101</v>
      </c>
      <c r="K3679">
        <v>1908.20938952492</v>
      </c>
      <c r="L3679">
        <v>68.424000000000007</v>
      </c>
      <c r="M3679">
        <v>53.844999999999999</v>
      </c>
      <c r="N3679">
        <v>130.18899999999999</v>
      </c>
    </row>
    <row r="3680" spans="1:14" x14ac:dyDescent="0.45">
      <c r="A3680">
        <v>1997</v>
      </c>
      <c r="B3680" t="s">
        <v>244</v>
      </c>
      <c r="C3680">
        <v>0</v>
      </c>
      <c r="D3680">
        <v>0</v>
      </c>
      <c r="E3680">
        <v>0</v>
      </c>
      <c r="F3680">
        <v>1</v>
      </c>
      <c r="G3680">
        <v>0</v>
      </c>
      <c r="H3680">
        <v>0</v>
      </c>
      <c r="I3680">
        <v>0</v>
      </c>
      <c r="J3680">
        <v>11952.849123837201</v>
      </c>
      <c r="K3680">
        <v>10453.090181727899</v>
      </c>
      <c r="L3680">
        <v>69.378</v>
      </c>
      <c r="M3680">
        <v>70.361999999999995</v>
      </c>
      <c r="N3680">
        <v>25.175000000000001</v>
      </c>
    </row>
    <row r="3681" spans="1:14" x14ac:dyDescent="0.45">
      <c r="A3681">
        <v>1997</v>
      </c>
      <c r="B3681" t="s">
        <v>245</v>
      </c>
      <c r="C3681">
        <v>1</v>
      </c>
      <c r="D3681">
        <v>0</v>
      </c>
      <c r="E3681">
        <v>0</v>
      </c>
      <c r="F3681">
        <v>0</v>
      </c>
      <c r="G3681">
        <v>0</v>
      </c>
      <c r="H3681">
        <v>0</v>
      </c>
      <c r="I3681">
        <v>0</v>
      </c>
      <c r="J3681">
        <v>1181.28110133633</v>
      </c>
      <c r="K3681">
        <v>1075.83428306013</v>
      </c>
      <c r="L3681">
        <v>72.194000000000003</v>
      </c>
      <c r="M3681">
        <v>61.927999999999997</v>
      </c>
      <c r="N3681">
        <v>101.39400000000001</v>
      </c>
    </row>
    <row r="3682" spans="1:14" x14ac:dyDescent="0.45">
      <c r="A3682">
        <v>1997</v>
      </c>
      <c r="B3682" t="s">
        <v>246</v>
      </c>
      <c r="C3682">
        <v>1</v>
      </c>
      <c r="D3682">
        <v>0</v>
      </c>
      <c r="E3682">
        <v>0</v>
      </c>
      <c r="F3682">
        <v>0</v>
      </c>
      <c r="G3682">
        <v>0</v>
      </c>
      <c r="H3682">
        <v>0</v>
      </c>
      <c r="I3682">
        <v>0</v>
      </c>
      <c r="J3682">
        <v>4105.3690230442799</v>
      </c>
      <c r="K3682">
        <v>3864.0510085798001</v>
      </c>
      <c r="L3682">
        <v>54.759</v>
      </c>
      <c r="M3682">
        <v>63.667000000000002</v>
      </c>
      <c r="N3682">
        <v>75.875</v>
      </c>
    </row>
    <row r="3683" spans="1:14" x14ac:dyDescent="0.45">
      <c r="A3683">
        <v>1997</v>
      </c>
      <c r="B3683" t="s">
        <v>247</v>
      </c>
      <c r="C3683">
        <v>0</v>
      </c>
      <c r="D3683">
        <v>0</v>
      </c>
      <c r="E3683">
        <v>0</v>
      </c>
      <c r="F3683">
        <v>0</v>
      </c>
      <c r="G3683">
        <v>0</v>
      </c>
      <c r="H3683">
        <v>0</v>
      </c>
      <c r="I3683">
        <v>0</v>
      </c>
      <c r="J3683">
        <v>3075.4400234979498</v>
      </c>
      <c r="K3683">
        <v>2481.4576708805598</v>
      </c>
      <c r="L3683">
        <v>76.784999999999997</v>
      </c>
      <c r="M3683">
        <v>48.968000000000004</v>
      </c>
      <c r="N3683">
        <v>183.792</v>
      </c>
    </row>
    <row r="3684" spans="1:14" x14ac:dyDescent="0.45">
      <c r="A3684">
        <v>1997</v>
      </c>
      <c r="B3684" t="s">
        <v>248</v>
      </c>
      <c r="C3684">
        <v>0</v>
      </c>
      <c r="D3684">
        <v>0</v>
      </c>
      <c r="E3684">
        <v>0</v>
      </c>
      <c r="F3684">
        <v>1</v>
      </c>
      <c r="G3684">
        <v>0</v>
      </c>
      <c r="H3684">
        <v>0</v>
      </c>
      <c r="I3684">
        <v>0</v>
      </c>
      <c r="J3684">
        <v>5455.9051757382003</v>
      </c>
      <c r="K3684">
        <v>4938.8559738169797</v>
      </c>
      <c r="L3684">
        <v>77.072999999999993</v>
      </c>
      <c r="M3684">
        <v>69.012</v>
      </c>
      <c r="N3684">
        <v>18.117000000000001</v>
      </c>
    </row>
    <row r="3685" spans="1:14" x14ac:dyDescent="0.45">
      <c r="A3685">
        <v>1997</v>
      </c>
      <c r="B3685" t="s">
        <v>249</v>
      </c>
      <c r="C3685">
        <v>0</v>
      </c>
      <c r="D3685">
        <v>1</v>
      </c>
      <c r="E3685">
        <v>0</v>
      </c>
      <c r="F3685">
        <v>0</v>
      </c>
      <c r="G3685">
        <v>1</v>
      </c>
      <c r="H3685">
        <v>0</v>
      </c>
      <c r="I3685">
        <v>0</v>
      </c>
      <c r="J3685">
        <v>15915.637521667901</v>
      </c>
      <c r="K3685">
        <v>13283.0800657123</v>
      </c>
      <c r="L3685">
        <v>44.594000000000001</v>
      </c>
      <c r="M3685">
        <v>68.143000000000001</v>
      </c>
      <c r="N3685">
        <v>28.074999999999999</v>
      </c>
    </row>
    <row r="3686" spans="1:14" x14ac:dyDescent="0.45">
      <c r="A3686">
        <v>1997</v>
      </c>
      <c r="B3686" t="s">
        <v>250</v>
      </c>
      <c r="C3686">
        <v>0</v>
      </c>
      <c r="D3686">
        <v>0</v>
      </c>
      <c r="E3686">
        <v>0</v>
      </c>
      <c r="F3686">
        <v>1</v>
      </c>
      <c r="G3686">
        <v>0</v>
      </c>
      <c r="H3686">
        <v>0</v>
      </c>
      <c r="I3686">
        <v>0</v>
      </c>
      <c r="J3686">
        <v>8136.3286752578997</v>
      </c>
      <c r="K3686">
        <v>7090.6745284142698</v>
      </c>
      <c r="L3686">
        <v>37.738</v>
      </c>
      <c r="M3686">
        <v>71.67</v>
      </c>
      <c r="N3686">
        <v>36.570999999999998</v>
      </c>
    </row>
    <row r="3687" spans="1:14" x14ac:dyDescent="0.45">
      <c r="A3687">
        <v>1997</v>
      </c>
      <c r="B3687" t="s">
        <v>251</v>
      </c>
      <c r="C3687">
        <v>1</v>
      </c>
      <c r="D3687">
        <v>0</v>
      </c>
      <c r="E3687">
        <v>0</v>
      </c>
      <c r="F3687">
        <v>0</v>
      </c>
      <c r="G3687">
        <v>1</v>
      </c>
      <c r="H3687">
        <v>0</v>
      </c>
      <c r="I3687">
        <v>0</v>
      </c>
      <c r="J3687">
        <v>14481.8582871826</v>
      </c>
      <c r="K3687">
        <v>14520.5995824314</v>
      </c>
      <c r="L3687">
        <v>36.820999999999998</v>
      </c>
      <c r="M3687">
        <v>70.668000000000006</v>
      </c>
      <c r="N3687">
        <v>46.57</v>
      </c>
    </row>
    <row r="3688" spans="1:14" x14ac:dyDescent="0.45">
      <c r="A3688">
        <v>1997</v>
      </c>
      <c r="B3688" t="s">
        <v>252</v>
      </c>
      <c r="C3688">
        <v>0</v>
      </c>
      <c r="D3688">
        <v>0</v>
      </c>
      <c r="E3688">
        <v>0</v>
      </c>
      <c r="F3688">
        <v>1</v>
      </c>
      <c r="G3688">
        <v>0</v>
      </c>
      <c r="H3688">
        <v>0</v>
      </c>
      <c r="I3688">
        <v>0</v>
      </c>
      <c r="J3688">
        <v>3356.3070596411599</v>
      </c>
      <c r="K3688">
        <v>3036.2980025994898</v>
      </c>
      <c r="L3688">
        <v>55.213000000000001</v>
      </c>
      <c r="M3688">
        <v>62.942</v>
      </c>
      <c r="N3688">
        <v>46.41</v>
      </c>
    </row>
    <row r="3689" spans="1:14" x14ac:dyDescent="0.45">
      <c r="A3689">
        <v>1997</v>
      </c>
      <c r="B3689" t="s">
        <v>253</v>
      </c>
      <c r="C3689">
        <v>0</v>
      </c>
      <c r="D3689">
        <v>0</v>
      </c>
      <c r="E3689">
        <v>0</v>
      </c>
      <c r="F3689">
        <v>0</v>
      </c>
      <c r="G3689">
        <v>0</v>
      </c>
      <c r="H3689">
        <v>1</v>
      </c>
      <c r="I3689">
        <v>1</v>
      </c>
      <c r="L3689">
        <v>67.117000000000004</v>
      </c>
      <c r="M3689">
        <v>75.322000000000003</v>
      </c>
      <c r="N3689">
        <v>8.9120000000000008</v>
      </c>
    </row>
    <row r="3690" spans="1:14" x14ac:dyDescent="0.45">
      <c r="A3690">
        <v>1997</v>
      </c>
      <c r="B3690" t="s">
        <v>254</v>
      </c>
      <c r="C3690">
        <v>0</v>
      </c>
      <c r="D3690">
        <v>0</v>
      </c>
      <c r="E3690">
        <v>1</v>
      </c>
      <c r="F3690">
        <v>0</v>
      </c>
      <c r="G3690">
        <v>0</v>
      </c>
      <c r="H3690">
        <v>0</v>
      </c>
      <c r="I3690">
        <v>0</v>
      </c>
      <c r="J3690">
        <v>1755.8037109375</v>
      </c>
      <c r="K3690">
        <v>1307.8397807259901</v>
      </c>
      <c r="L3690">
        <v>78.763000000000005</v>
      </c>
      <c r="M3690">
        <v>51.246000000000002</v>
      </c>
      <c r="N3690">
        <v>146.934</v>
      </c>
    </row>
    <row r="3691" spans="1:14" x14ac:dyDescent="0.45">
      <c r="A3691">
        <v>1997</v>
      </c>
      <c r="B3691" t="s">
        <v>255</v>
      </c>
      <c r="C3691">
        <v>0</v>
      </c>
      <c r="D3691">
        <v>0</v>
      </c>
      <c r="E3691">
        <v>1</v>
      </c>
      <c r="F3691">
        <v>0</v>
      </c>
      <c r="G3691">
        <v>0</v>
      </c>
      <c r="H3691">
        <v>0</v>
      </c>
      <c r="I3691">
        <v>0</v>
      </c>
      <c r="J3691">
        <v>1396.6310691521801</v>
      </c>
      <c r="K3691">
        <v>1184.76849120216</v>
      </c>
      <c r="L3691">
        <v>86.406000000000006</v>
      </c>
      <c r="M3691">
        <v>48.026000000000003</v>
      </c>
      <c r="N3691">
        <v>158.66399999999999</v>
      </c>
    </row>
    <row r="3692" spans="1:14" x14ac:dyDescent="0.45">
      <c r="A3692">
        <v>1997</v>
      </c>
      <c r="B3692" t="s">
        <v>256</v>
      </c>
      <c r="C3692">
        <v>1</v>
      </c>
      <c r="D3692">
        <v>0</v>
      </c>
      <c r="E3692">
        <v>0</v>
      </c>
      <c r="F3692">
        <v>1</v>
      </c>
      <c r="G3692">
        <v>0</v>
      </c>
      <c r="H3692">
        <v>0</v>
      </c>
      <c r="I3692">
        <v>0</v>
      </c>
      <c r="J3692">
        <v>9754.0498046875</v>
      </c>
      <c r="K3692">
        <v>6898.8983168616896</v>
      </c>
      <c r="L3692">
        <v>32.970999999999997</v>
      </c>
      <c r="M3692">
        <v>67.658000000000001</v>
      </c>
      <c r="N3692">
        <v>17.588999999999999</v>
      </c>
    </row>
    <row r="3693" spans="1:14" x14ac:dyDescent="0.45">
      <c r="A3693">
        <v>1997</v>
      </c>
      <c r="B3693" t="s">
        <v>257</v>
      </c>
      <c r="C3693">
        <v>0</v>
      </c>
      <c r="D3693">
        <v>1</v>
      </c>
      <c r="E3693">
        <v>0</v>
      </c>
      <c r="F3693">
        <v>0</v>
      </c>
      <c r="G3693">
        <v>1</v>
      </c>
      <c r="H3693">
        <v>0</v>
      </c>
      <c r="I3693">
        <v>0</v>
      </c>
      <c r="J3693">
        <v>18823.941917064501</v>
      </c>
      <c r="K3693">
        <v>14930.5592621743</v>
      </c>
      <c r="L3693">
        <v>8.8529999999999909</v>
      </c>
      <c r="M3693">
        <v>73.92</v>
      </c>
      <c r="N3693">
        <v>20.065000000000001</v>
      </c>
    </row>
    <row r="3694" spans="1:14" x14ac:dyDescent="0.45">
      <c r="A3694">
        <v>1997</v>
      </c>
      <c r="B3694" t="s">
        <v>258</v>
      </c>
      <c r="C3694">
        <v>0</v>
      </c>
      <c r="D3694">
        <v>0</v>
      </c>
      <c r="E3694">
        <v>0</v>
      </c>
      <c r="F3694">
        <v>0</v>
      </c>
      <c r="G3694">
        <v>0</v>
      </c>
      <c r="H3694">
        <v>1</v>
      </c>
      <c r="I3694">
        <v>1</v>
      </c>
      <c r="J3694">
        <v>49984.269650061702</v>
      </c>
      <c r="K3694">
        <v>45369.452326100902</v>
      </c>
      <c r="L3694">
        <v>21.992000000000001</v>
      </c>
      <c r="M3694">
        <v>76.498000000000005</v>
      </c>
      <c r="N3694">
        <v>8.8409999999999993</v>
      </c>
    </row>
    <row r="3695" spans="1:14" x14ac:dyDescent="0.45">
      <c r="A3695">
        <v>1997</v>
      </c>
      <c r="B3695" t="s">
        <v>259</v>
      </c>
      <c r="C3695">
        <v>1</v>
      </c>
      <c r="D3695">
        <v>0</v>
      </c>
      <c r="E3695">
        <v>0</v>
      </c>
      <c r="F3695">
        <v>1</v>
      </c>
      <c r="G3695">
        <v>0</v>
      </c>
      <c r="H3695">
        <v>0</v>
      </c>
      <c r="I3695">
        <v>0</v>
      </c>
      <c r="J3695">
        <v>3150.0853013379001</v>
      </c>
      <c r="K3695">
        <v>3060.4244293833099</v>
      </c>
      <c r="L3695">
        <v>55.314999999999998</v>
      </c>
      <c r="M3695">
        <v>65.028000000000006</v>
      </c>
      <c r="N3695">
        <v>66.435000000000002</v>
      </c>
    </row>
    <row r="3696" spans="1:14" x14ac:dyDescent="0.45">
      <c r="A3696">
        <v>1997</v>
      </c>
      <c r="B3696" t="s">
        <v>260</v>
      </c>
      <c r="C3696">
        <v>0</v>
      </c>
      <c r="D3696">
        <v>1</v>
      </c>
      <c r="E3696">
        <v>0</v>
      </c>
      <c r="F3696">
        <v>1</v>
      </c>
      <c r="G3696">
        <v>0</v>
      </c>
      <c r="H3696">
        <v>0</v>
      </c>
      <c r="I3696">
        <v>0</v>
      </c>
      <c r="J3696">
        <v>9234.6988836876408</v>
      </c>
      <c r="K3696">
        <v>8070.7683188586498</v>
      </c>
      <c r="L3696">
        <v>55.9</v>
      </c>
      <c r="M3696">
        <v>70.382000000000005</v>
      </c>
      <c r="N3696">
        <v>21.922999999999998</v>
      </c>
    </row>
    <row r="3697" spans="1:14" x14ac:dyDescent="0.45">
      <c r="A3697">
        <v>1997</v>
      </c>
      <c r="B3697" t="s">
        <v>261</v>
      </c>
      <c r="C3697">
        <v>0</v>
      </c>
      <c r="D3697">
        <v>1</v>
      </c>
      <c r="E3697">
        <v>0</v>
      </c>
      <c r="F3697">
        <v>0</v>
      </c>
      <c r="G3697">
        <v>1</v>
      </c>
      <c r="H3697">
        <v>0</v>
      </c>
      <c r="I3697">
        <v>0</v>
      </c>
      <c r="L3697">
        <v>13.35</v>
      </c>
      <c r="M3697">
        <v>72.56</v>
      </c>
      <c r="N3697">
        <v>24.260999999999999</v>
      </c>
    </row>
    <row r="3698" spans="1:14" x14ac:dyDescent="0.45">
      <c r="A3698">
        <v>1997</v>
      </c>
      <c r="B3698" t="s">
        <v>262</v>
      </c>
      <c r="C3698">
        <v>0</v>
      </c>
      <c r="D3698">
        <v>1</v>
      </c>
      <c r="E3698">
        <v>0</v>
      </c>
      <c r="F3698">
        <v>0</v>
      </c>
      <c r="G3698">
        <v>0</v>
      </c>
      <c r="H3698">
        <v>1</v>
      </c>
      <c r="I3698">
        <v>1</v>
      </c>
      <c r="L3698">
        <v>59.045000000000002</v>
      </c>
      <c r="M3698">
        <v>74.468999999999994</v>
      </c>
      <c r="N3698">
        <v>18.077999999999999</v>
      </c>
    </row>
    <row r="3699" spans="1:14" x14ac:dyDescent="0.45">
      <c r="A3699">
        <v>1997</v>
      </c>
      <c r="B3699" t="s">
        <v>263</v>
      </c>
      <c r="C3699">
        <v>0</v>
      </c>
      <c r="D3699">
        <v>1</v>
      </c>
      <c r="E3699">
        <v>0</v>
      </c>
      <c r="F3699">
        <v>0</v>
      </c>
      <c r="G3699">
        <v>0</v>
      </c>
      <c r="H3699">
        <v>1</v>
      </c>
      <c r="I3699">
        <v>1</v>
      </c>
      <c r="L3699">
        <v>8.6259999999999994</v>
      </c>
      <c r="M3699">
        <v>70.908000000000001</v>
      </c>
      <c r="N3699">
        <v>12.936999999999999</v>
      </c>
    </row>
    <row r="3700" spans="1:14" x14ac:dyDescent="0.45">
      <c r="A3700">
        <v>1997</v>
      </c>
      <c r="B3700" t="s">
        <v>264</v>
      </c>
      <c r="C3700">
        <v>0</v>
      </c>
      <c r="D3700">
        <v>0</v>
      </c>
      <c r="E3700">
        <v>0</v>
      </c>
      <c r="F3700">
        <v>0</v>
      </c>
      <c r="G3700">
        <v>0</v>
      </c>
      <c r="H3700">
        <v>0</v>
      </c>
      <c r="I3700">
        <v>0</v>
      </c>
      <c r="J3700">
        <v>3820.3024948543398</v>
      </c>
      <c r="K3700">
        <v>3404.2061917863898</v>
      </c>
      <c r="L3700">
        <v>77.034999999999997</v>
      </c>
      <c r="M3700">
        <v>71.67</v>
      </c>
      <c r="N3700">
        <v>35.686</v>
      </c>
    </row>
    <row r="3701" spans="1:14" x14ac:dyDescent="0.45">
      <c r="A3701">
        <v>1997</v>
      </c>
      <c r="B3701" t="s">
        <v>265</v>
      </c>
      <c r="C3701">
        <v>0</v>
      </c>
      <c r="D3701">
        <v>0</v>
      </c>
      <c r="E3701">
        <v>0</v>
      </c>
      <c r="F3701">
        <v>1</v>
      </c>
      <c r="G3701">
        <v>0</v>
      </c>
      <c r="H3701">
        <v>0</v>
      </c>
      <c r="I3701">
        <v>0</v>
      </c>
      <c r="J3701">
        <v>3315.4813724077899</v>
      </c>
      <c r="K3701">
        <v>2999.18891182674</v>
      </c>
      <c r="L3701">
        <v>79.233999999999995</v>
      </c>
      <c r="M3701">
        <v>68.308999999999997</v>
      </c>
      <c r="N3701">
        <v>30.396999999999998</v>
      </c>
    </row>
    <row r="3702" spans="1:14" x14ac:dyDescent="0.45">
      <c r="A3702">
        <v>1997</v>
      </c>
      <c r="B3702" t="s">
        <v>266</v>
      </c>
      <c r="C3702">
        <v>0</v>
      </c>
      <c r="D3702">
        <v>0</v>
      </c>
      <c r="E3702">
        <v>0</v>
      </c>
      <c r="F3702">
        <v>1</v>
      </c>
      <c r="G3702">
        <v>0</v>
      </c>
      <c r="H3702">
        <v>0</v>
      </c>
      <c r="I3702">
        <v>0</v>
      </c>
      <c r="J3702">
        <v>4325.1382222132897</v>
      </c>
      <c r="K3702">
        <v>3912.5258570702099</v>
      </c>
      <c r="L3702">
        <v>78.295000000000002</v>
      </c>
      <c r="M3702">
        <v>70.045000000000002</v>
      </c>
      <c r="N3702">
        <v>23.577000000000002</v>
      </c>
    </row>
    <row r="3703" spans="1:14" x14ac:dyDescent="0.45">
      <c r="A3703">
        <v>1997</v>
      </c>
      <c r="B3703" t="s">
        <v>267</v>
      </c>
      <c r="C3703">
        <v>1</v>
      </c>
      <c r="D3703">
        <v>0</v>
      </c>
      <c r="E3703">
        <v>0</v>
      </c>
      <c r="F3703">
        <v>1</v>
      </c>
      <c r="G3703">
        <v>0</v>
      </c>
      <c r="H3703">
        <v>0</v>
      </c>
      <c r="I3703">
        <v>0</v>
      </c>
      <c r="L3703">
        <v>47.902000000000001</v>
      </c>
      <c r="M3703">
        <v>69.861999999999995</v>
      </c>
      <c r="N3703">
        <v>62.036000000000001</v>
      </c>
    </row>
    <row r="3704" spans="1:14" x14ac:dyDescent="0.45">
      <c r="A3704">
        <v>1997</v>
      </c>
      <c r="B3704" t="s">
        <v>268</v>
      </c>
      <c r="C3704">
        <v>0</v>
      </c>
      <c r="D3704">
        <v>0</v>
      </c>
      <c r="E3704">
        <v>0</v>
      </c>
      <c r="F3704">
        <v>0</v>
      </c>
      <c r="G3704">
        <v>0</v>
      </c>
      <c r="H3704">
        <v>0</v>
      </c>
      <c r="I3704">
        <v>0</v>
      </c>
      <c r="L3704">
        <v>75.257000000000005</v>
      </c>
      <c r="M3704">
        <v>61.34</v>
      </c>
      <c r="N3704">
        <v>103.646</v>
      </c>
    </row>
    <row r="3705" spans="1:14" x14ac:dyDescent="0.45">
      <c r="A3705">
        <v>1997</v>
      </c>
      <c r="B3705" t="s">
        <v>269</v>
      </c>
      <c r="C3705">
        <v>0</v>
      </c>
      <c r="D3705">
        <v>0</v>
      </c>
      <c r="E3705">
        <v>1</v>
      </c>
      <c r="F3705">
        <v>0</v>
      </c>
      <c r="G3705">
        <v>1</v>
      </c>
      <c r="H3705">
        <v>0</v>
      </c>
      <c r="I3705">
        <v>0</v>
      </c>
      <c r="J3705">
        <v>10783.461157989601</v>
      </c>
      <c r="K3705">
        <v>10153.072238582001</v>
      </c>
      <c r="L3705">
        <v>44.551000000000002</v>
      </c>
      <c r="M3705">
        <v>60.537999999999997</v>
      </c>
      <c r="N3705">
        <v>64.838999999999999</v>
      </c>
    </row>
    <row r="3706" spans="1:14" x14ac:dyDescent="0.45">
      <c r="A3706">
        <v>1997</v>
      </c>
      <c r="B3706" t="s">
        <v>270</v>
      </c>
      <c r="C3706">
        <v>0</v>
      </c>
      <c r="D3706">
        <v>0</v>
      </c>
      <c r="E3706">
        <v>1</v>
      </c>
      <c r="F3706">
        <v>0</v>
      </c>
      <c r="G3706">
        <v>0</v>
      </c>
      <c r="H3706">
        <v>0</v>
      </c>
      <c r="I3706">
        <v>0</v>
      </c>
      <c r="J3706">
        <v>2223.4574544573102</v>
      </c>
      <c r="K3706">
        <v>2087.5091889669502</v>
      </c>
      <c r="L3706">
        <v>63.823999999999998</v>
      </c>
      <c r="M3706">
        <v>45.743000000000002</v>
      </c>
      <c r="N3706">
        <v>168.30099999999999</v>
      </c>
    </row>
    <row r="3707" spans="1:14" x14ac:dyDescent="0.45">
      <c r="A3707">
        <v>1997</v>
      </c>
      <c r="B3707" t="s">
        <v>271</v>
      </c>
      <c r="C3707">
        <v>0</v>
      </c>
      <c r="D3707">
        <v>0</v>
      </c>
      <c r="E3707">
        <v>1</v>
      </c>
      <c r="F3707">
        <v>0</v>
      </c>
      <c r="G3707">
        <v>0</v>
      </c>
      <c r="H3707">
        <v>0</v>
      </c>
      <c r="I3707">
        <v>0</v>
      </c>
      <c r="J3707">
        <v>4304.40288113727</v>
      </c>
      <c r="K3707">
        <v>2866.02591173783</v>
      </c>
      <c r="L3707">
        <v>67.465999999999994</v>
      </c>
      <c r="M3707">
        <v>48.536000000000001</v>
      </c>
      <c r="N3707">
        <v>97.661000000000001</v>
      </c>
    </row>
    <row r="3708" spans="1:14" x14ac:dyDescent="0.45">
      <c r="A3708">
        <v>1998</v>
      </c>
      <c r="B3708" t="s">
        <v>54</v>
      </c>
      <c r="C3708">
        <v>0</v>
      </c>
      <c r="D3708">
        <v>1</v>
      </c>
      <c r="E3708">
        <v>0</v>
      </c>
      <c r="F3708">
        <v>0</v>
      </c>
      <c r="G3708">
        <v>0</v>
      </c>
      <c r="H3708">
        <v>1</v>
      </c>
      <c r="I3708">
        <v>1</v>
      </c>
      <c r="J3708">
        <v>36889.423195158699</v>
      </c>
      <c r="K3708">
        <v>35901.055905627298</v>
      </c>
      <c r="L3708">
        <v>52.463999999999999</v>
      </c>
      <c r="M3708">
        <v>72.94</v>
      </c>
      <c r="N3708">
        <v>21.475999999999999</v>
      </c>
    </row>
    <row r="3709" spans="1:14" x14ac:dyDescent="0.45">
      <c r="A3709">
        <v>1998</v>
      </c>
      <c r="B3709" t="s">
        <v>55</v>
      </c>
      <c r="C3709">
        <v>0</v>
      </c>
      <c r="D3709">
        <v>0</v>
      </c>
      <c r="E3709">
        <v>0</v>
      </c>
      <c r="F3709">
        <v>0</v>
      </c>
      <c r="G3709">
        <v>0</v>
      </c>
      <c r="H3709">
        <v>0</v>
      </c>
      <c r="I3709">
        <v>0</v>
      </c>
      <c r="L3709">
        <v>78.105000000000004</v>
      </c>
      <c r="M3709">
        <v>52.487000000000002</v>
      </c>
      <c r="N3709">
        <v>144.09299999999999</v>
      </c>
    </row>
    <row r="3710" spans="1:14" x14ac:dyDescent="0.45">
      <c r="A3710">
        <v>1998</v>
      </c>
      <c r="B3710" t="s">
        <v>56</v>
      </c>
      <c r="C3710">
        <v>0</v>
      </c>
      <c r="D3710">
        <v>0</v>
      </c>
      <c r="E3710">
        <v>1</v>
      </c>
      <c r="F3710">
        <v>0</v>
      </c>
      <c r="G3710">
        <v>0</v>
      </c>
      <c r="H3710">
        <v>0</v>
      </c>
      <c r="I3710">
        <v>0</v>
      </c>
      <c r="J3710">
        <v>6090.0958775853396</v>
      </c>
      <c r="K3710">
        <v>4709.7804913703103</v>
      </c>
      <c r="L3710">
        <v>52.29</v>
      </c>
      <c r="M3710">
        <v>45.451999999999998</v>
      </c>
      <c r="N3710">
        <v>216.506</v>
      </c>
    </row>
    <row r="3711" spans="1:14" x14ac:dyDescent="0.45">
      <c r="A3711">
        <v>1998</v>
      </c>
      <c r="B3711" t="s">
        <v>57</v>
      </c>
      <c r="C3711">
        <v>1</v>
      </c>
      <c r="D3711">
        <v>0</v>
      </c>
      <c r="E3711">
        <v>0</v>
      </c>
      <c r="F3711">
        <v>1</v>
      </c>
      <c r="G3711">
        <v>0</v>
      </c>
      <c r="H3711">
        <v>0</v>
      </c>
      <c r="I3711">
        <v>0</v>
      </c>
      <c r="J3711">
        <v>5387.2592873257199</v>
      </c>
      <c r="K3711">
        <v>4880.6098132447196</v>
      </c>
      <c r="L3711">
        <v>59.399000000000001</v>
      </c>
      <c r="M3711">
        <v>74.356999999999999</v>
      </c>
      <c r="N3711">
        <v>29.617999999999999</v>
      </c>
    </row>
    <row r="3712" spans="1:14" x14ac:dyDescent="0.45">
      <c r="A3712">
        <v>1998</v>
      </c>
      <c r="B3712" t="s">
        <v>58</v>
      </c>
      <c r="C3712">
        <v>1</v>
      </c>
      <c r="D3712">
        <v>0</v>
      </c>
      <c r="E3712">
        <v>0</v>
      </c>
      <c r="F3712">
        <v>0</v>
      </c>
      <c r="G3712">
        <v>0</v>
      </c>
      <c r="H3712">
        <v>1</v>
      </c>
      <c r="I3712">
        <v>1</v>
      </c>
      <c r="J3712">
        <v>51092.222235221801</v>
      </c>
      <c r="K3712">
        <v>42888.018834644601</v>
      </c>
      <c r="L3712">
        <v>7.0729999999999897</v>
      </c>
      <c r="M3712">
        <v>81.28</v>
      </c>
      <c r="N3712">
        <v>8.0809999999999995</v>
      </c>
    </row>
    <row r="3713" spans="1:14" x14ac:dyDescent="0.45">
      <c r="A3713">
        <v>1998</v>
      </c>
      <c r="B3713" t="s">
        <v>59</v>
      </c>
      <c r="C3713">
        <v>0</v>
      </c>
      <c r="D3713">
        <v>0</v>
      </c>
      <c r="E3713">
        <v>0</v>
      </c>
      <c r="F3713">
        <v>0</v>
      </c>
      <c r="G3713">
        <v>0</v>
      </c>
      <c r="H3713">
        <v>1</v>
      </c>
      <c r="I3713">
        <v>1</v>
      </c>
      <c r="J3713">
        <v>93224.219957825204</v>
      </c>
      <c r="K3713">
        <v>92102.610487652506</v>
      </c>
      <c r="L3713">
        <v>20.622</v>
      </c>
      <c r="M3713">
        <v>73.66</v>
      </c>
      <c r="N3713">
        <v>11.894</v>
      </c>
    </row>
    <row r="3714" spans="1:14" x14ac:dyDescent="0.45">
      <c r="A3714">
        <v>1998</v>
      </c>
      <c r="B3714" t="s">
        <v>60</v>
      </c>
      <c r="C3714">
        <v>0</v>
      </c>
      <c r="D3714">
        <v>1</v>
      </c>
      <c r="E3714">
        <v>0</v>
      </c>
      <c r="F3714">
        <v>0</v>
      </c>
      <c r="G3714">
        <v>1</v>
      </c>
      <c r="H3714">
        <v>0</v>
      </c>
      <c r="I3714">
        <v>0</v>
      </c>
      <c r="J3714">
        <v>23783.101718544902</v>
      </c>
      <c r="K3714">
        <v>19628.426707462098</v>
      </c>
      <c r="L3714">
        <v>11.241</v>
      </c>
      <c r="M3714">
        <v>73.412000000000006</v>
      </c>
      <c r="N3714">
        <v>23.053000000000001</v>
      </c>
    </row>
    <row r="3715" spans="1:14" x14ac:dyDescent="0.45">
      <c r="A3715">
        <v>1998</v>
      </c>
      <c r="B3715" t="s">
        <v>61</v>
      </c>
      <c r="C3715">
        <v>1</v>
      </c>
      <c r="D3715">
        <v>0</v>
      </c>
      <c r="E3715">
        <v>0</v>
      </c>
      <c r="F3715">
        <v>0</v>
      </c>
      <c r="G3715">
        <v>0</v>
      </c>
      <c r="H3715">
        <v>0</v>
      </c>
      <c r="I3715">
        <v>0</v>
      </c>
      <c r="J3715">
        <v>4211.51276778797</v>
      </c>
      <c r="K3715">
        <v>3567.57765147485</v>
      </c>
      <c r="L3715">
        <v>34.774000000000001</v>
      </c>
      <c r="M3715">
        <v>70.004999999999995</v>
      </c>
      <c r="N3715">
        <v>33.823</v>
      </c>
    </row>
    <row r="3716" spans="1:14" x14ac:dyDescent="0.45">
      <c r="A3716">
        <v>1998</v>
      </c>
      <c r="B3716" t="s">
        <v>62</v>
      </c>
      <c r="C3716">
        <v>0</v>
      </c>
      <c r="D3716">
        <v>0</v>
      </c>
      <c r="E3716">
        <v>0</v>
      </c>
      <c r="F3716">
        <v>0</v>
      </c>
      <c r="G3716">
        <v>1</v>
      </c>
      <c r="H3716">
        <v>0</v>
      </c>
      <c r="I3716">
        <v>0</v>
      </c>
      <c r="L3716">
        <v>12.532999999999999</v>
      </c>
      <c r="M3716">
        <v>71.542000000000002</v>
      </c>
      <c r="N3716">
        <v>14.513999999999999</v>
      </c>
    </row>
    <row r="3717" spans="1:14" x14ac:dyDescent="0.45">
      <c r="A3717">
        <v>1998</v>
      </c>
      <c r="B3717" t="s">
        <v>63</v>
      </c>
      <c r="C3717">
        <v>0</v>
      </c>
      <c r="D3717">
        <v>1</v>
      </c>
      <c r="E3717">
        <v>0</v>
      </c>
      <c r="F3717">
        <v>0</v>
      </c>
      <c r="G3717">
        <v>1</v>
      </c>
      <c r="H3717">
        <v>0</v>
      </c>
      <c r="I3717">
        <v>0</v>
      </c>
      <c r="J3717">
        <v>23996.114404136701</v>
      </c>
      <c r="K3717">
        <v>18899.263663430302</v>
      </c>
      <c r="L3717">
        <v>67.144999999999996</v>
      </c>
      <c r="M3717">
        <v>74.186999999999998</v>
      </c>
      <c r="N3717">
        <v>15.513999999999999</v>
      </c>
    </row>
    <row r="3718" spans="1:14" x14ac:dyDescent="0.45">
      <c r="A3718">
        <v>1998</v>
      </c>
      <c r="B3718" t="s">
        <v>64</v>
      </c>
      <c r="C3718">
        <v>0</v>
      </c>
      <c r="D3718">
        <v>0</v>
      </c>
      <c r="E3718">
        <v>0</v>
      </c>
      <c r="F3718">
        <v>0</v>
      </c>
      <c r="G3718">
        <v>0</v>
      </c>
      <c r="H3718">
        <v>1</v>
      </c>
      <c r="I3718">
        <v>1</v>
      </c>
      <c r="J3718">
        <v>42174.535237258096</v>
      </c>
      <c r="K3718">
        <v>36529.540793014901</v>
      </c>
      <c r="L3718">
        <v>15.497</v>
      </c>
      <c r="M3718">
        <v>79.02</v>
      </c>
      <c r="N3718">
        <v>6.4580000000000002</v>
      </c>
    </row>
    <row r="3719" spans="1:14" x14ac:dyDescent="0.45">
      <c r="A3719">
        <v>1998</v>
      </c>
      <c r="B3719" t="s">
        <v>65</v>
      </c>
      <c r="C3719">
        <v>1</v>
      </c>
      <c r="D3719">
        <v>0</v>
      </c>
      <c r="E3719">
        <v>0</v>
      </c>
      <c r="F3719">
        <v>0</v>
      </c>
      <c r="G3719">
        <v>0</v>
      </c>
      <c r="H3719">
        <v>1</v>
      </c>
      <c r="I3719">
        <v>1</v>
      </c>
      <c r="J3719">
        <v>50277.921161096201</v>
      </c>
      <c r="K3719">
        <v>42844.608762215998</v>
      </c>
      <c r="L3719">
        <v>39.231999999999999</v>
      </c>
      <c r="M3719">
        <v>77.781999999999996</v>
      </c>
      <c r="N3719">
        <v>5.9160000000000004</v>
      </c>
    </row>
    <row r="3720" spans="1:14" x14ac:dyDescent="0.45">
      <c r="A3720">
        <v>1998</v>
      </c>
      <c r="B3720" t="s">
        <v>66</v>
      </c>
      <c r="C3720">
        <v>1</v>
      </c>
      <c r="D3720">
        <v>0</v>
      </c>
      <c r="E3720">
        <v>0</v>
      </c>
      <c r="F3720">
        <v>0</v>
      </c>
      <c r="G3720">
        <v>0</v>
      </c>
      <c r="H3720">
        <v>0</v>
      </c>
      <c r="I3720">
        <v>0</v>
      </c>
      <c r="J3720">
        <v>4822.1601848701002</v>
      </c>
      <c r="K3720">
        <v>3511.5566254823698</v>
      </c>
      <c r="L3720">
        <v>48.722000000000001</v>
      </c>
      <c r="M3720">
        <v>63.75</v>
      </c>
      <c r="N3720">
        <v>83.521000000000001</v>
      </c>
    </row>
    <row r="3721" spans="1:14" x14ac:dyDescent="0.45">
      <c r="A3721">
        <v>1998</v>
      </c>
      <c r="B3721" t="s">
        <v>67</v>
      </c>
      <c r="C3721">
        <v>0</v>
      </c>
      <c r="D3721">
        <v>0</v>
      </c>
      <c r="E3721">
        <v>1</v>
      </c>
      <c r="F3721">
        <v>0</v>
      </c>
      <c r="G3721">
        <v>0</v>
      </c>
      <c r="H3721">
        <v>0</v>
      </c>
      <c r="I3721">
        <v>0</v>
      </c>
      <c r="J3721">
        <v>1052.8070342297899</v>
      </c>
      <c r="K3721">
        <v>909.73397271064403</v>
      </c>
      <c r="L3721">
        <v>92.17</v>
      </c>
      <c r="M3721">
        <v>46.677999999999997</v>
      </c>
      <c r="N3721">
        <v>160.666</v>
      </c>
    </row>
    <row r="3722" spans="1:14" x14ac:dyDescent="0.45">
      <c r="A3722">
        <v>1998</v>
      </c>
      <c r="B3722" t="s">
        <v>68</v>
      </c>
      <c r="C3722">
        <v>1</v>
      </c>
      <c r="D3722">
        <v>0</v>
      </c>
      <c r="E3722">
        <v>0</v>
      </c>
      <c r="F3722">
        <v>0</v>
      </c>
      <c r="G3722">
        <v>0</v>
      </c>
      <c r="H3722">
        <v>1</v>
      </c>
      <c r="I3722">
        <v>1</v>
      </c>
      <c r="J3722">
        <v>47226.136061581397</v>
      </c>
      <c r="K3722">
        <v>39741.578699903897</v>
      </c>
      <c r="L3722">
        <v>3.004</v>
      </c>
      <c r="M3722">
        <v>77.475999999999999</v>
      </c>
      <c r="N3722">
        <v>6.3559999999999999</v>
      </c>
    </row>
    <row r="3723" spans="1:14" x14ac:dyDescent="0.45">
      <c r="A3723">
        <v>1998</v>
      </c>
      <c r="B3723" t="s">
        <v>69</v>
      </c>
      <c r="C3723">
        <v>0</v>
      </c>
      <c r="D3723">
        <v>0</v>
      </c>
      <c r="E3723">
        <v>1</v>
      </c>
      <c r="F3723">
        <v>0</v>
      </c>
      <c r="G3723">
        <v>0</v>
      </c>
      <c r="H3723">
        <v>0</v>
      </c>
      <c r="I3723">
        <v>0</v>
      </c>
      <c r="J3723">
        <v>2419.1001433854799</v>
      </c>
      <c r="K3723">
        <v>2295.12581990228</v>
      </c>
      <c r="L3723">
        <v>62.301000000000002</v>
      </c>
      <c r="M3723">
        <v>56.154000000000003</v>
      </c>
      <c r="N3723">
        <v>143.00700000000001</v>
      </c>
    </row>
    <row r="3724" spans="1:14" x14ac:dyDescent="0.45">
      <c r="A3724">
        <v>1998</v>
      </c>
      <c r="B3724" t="s">
        <v>70</v>
      </c>
      <c r="C3724">
        <v>0</v>
      </c>
      <c r="D3724">
        <v>0</v>
      </c>
      <c r="E3724">
        <v>1</v>
      </c>
      <c r="F3724">
        <v>0</v>
      </c>
      <c r="G3724">
        <v>0</v>
      </c>
      <c r="H3724">
        <v>0</v>
      </c>
      <c r="I3724">
        <v>0</v>
      </c>
      <c r="J3724">
        <v>1385.0931067909501</v>
      </c>
      <c r="K3724">
        <v>1267.27305210089</v>
      </c>
      <c r="L3724">
        <v>83.49</v>
      </c>
      <c r="M3724">
        <v>50.162999999999997</v>
      </c>
      <c r="N3724">
        <v>185.50800000000001</v>
      </c>
    </row>
    <row r="3725" spans="1:14" x14ac:dyDescent="0.45">
      <c r="A3725">
        <v>1998</v>
      </c>
      <c r="B3725" t="s">
        <v>71</v>
      </c>
      <c r="C3725">
        <v>0</v>
      </c>
      <c r="D3725">
        <v>0</v>
      </c>
      <c r="E3725">
        <v>0</v>
      </c>
      <c r="F3725">
        <v>0</v>
      </c>
      <c r="G3725">
        <v>0</v>
      </c>
      <c r="H3725">
        <v>0</v>
      </c>
      <c r="I3725">
        <v>0</v>
      </c>
      <c r="J3725">
        <v>2555.0611921828199</v>
      </c>
      <c r="K3725">
        <v>2077.2508622888499</v>
      </c>
      <c r="L3725">
        <v>77.182000000000002</v>
      </c>
      <c r="M3725">
        <v>60.429000000000002</v>
      </c>
      <c r="N3725">
        <v>96.537000000000006</v>
      </c>
    </row>
    <row r="3726" spans="1:14" x14ac:dyDescent="0.45">
      <c r="A3726">
        <v>1998</v>
      </c>
      <c r="B3726" t="s">
        <v>72</v>
      </c>
      <c r="C3726">
        <v>1</v>
      </c>
      <c r="D3726">
        <v>0</v>
      </c>
      <c r="E3726">
        <v>0</v>
      </c>
      <c r="F3726">
        <v>1</v>
      </c>
      <c r="G3726">
        <v>0</v>
      </c>
      <c r="H3726">
        <v>0</v>
      </c>
      <c r="I3726">
        <v>0</v>
      </c>
      <c r="J3726">
        <v>12971.245737461701</v>
      </c>
      <c r="K3726">
        <v>10763.5328736962</v>
      </c>
      <c r="L3726">
        <v>31.545999999999999</v>
      </c>
      <c r="M3726">
        <v>70.873000000000005</v>
      </c>
      <c r="N3726">
        <v>18.881</v>
      </c>
    </row>
    <row r="3727" spans="1:14" x14ac:dyDescent="0.45">
      <c r="A3727">
        <v>1998</v>
      </c>
      <c r="B3727" t="s">
        <v>73</v>
      </c>
      <c r="C3727">
        <v>0</v>
      </c>
      <c r="D3727">
        <v>0</v>
      </c>
      <c r="E3727">
        <v>0</v>
      </c>
      <c r="F3727">
        <v>0</v>
      </c>
      <c r="G3727">
        <v>1</v>
      </c>
      <c r="H3727">
        <v>0</v>
      </c>
      <c r="I3727">
        <v>0</v>
      </c>
      <c r="J3727">
        <v>55638.693586068403</v>
      </c>
      <c r="K3727">
        <v>51842.034218525703</v>
      </c>
      <c r="L3727">
        <v>11.621</v>
      </c>
      <c r="M3727">
        <v>74.138000000000005</v>
      </c>
      <c r="N3727">
        <v>14.347</v>
      </c>
    </row>
    <row r="3728" spans="1:14" x14ac:dyDescent="0.45">
      <c r="A3728">
        <v>1998</v>
      </c>
      <c r="B3728" t="s">
        <v>74</v>
      </c>
      <c r="C3728">
        <v>0</v>
      </c>
      <c r="D3728">
        <v>1</v>
      </c>
      <c r="E3728">
        <v>0</v>
      </c>
      <c r="F3728">
        <v>0</v>
      </c>
      <c r="G3728">
        <v>0</v>
      </c>
      <c r="H3728">
        <v>1</v>
      </c>
      <c r="I3728">
        <v>1</v>
      </c>
      <c r="J3728">
        <v>31836.446528527998</v>
      </c>
      <c r="K3728">
        <v>33023.499791461298</v>
      </c>
      <c r="L3728">
        <v>18.388999999999999</v>
      </c>
      <c r="M3728">
        <v>71.84</v>
      </c>
      <c r="N3728">
        <v>16.832000000000001</v>
      </c>
    </row>
    <row r="3729" spans="1:14" x14ac:dyDescent="0.45">
      <c r="A3729">
        <v>1998</v>
      </c>
      <c r="B3729" t="s">
        <v>75</v>
      </c>
      <c r="C3729">
        <v>1</v>
      </c>
      <c r="D3729">
        <v>0</v>
      </c>
      <c r="E3729">
        <v>0</v>
      </c>
      <c r="F3729">
        <v>1</v>
      </c>
      <c r="G3729">
        <v>0</v>
      </c>
      <c r="H3729">
        <v>0</v>
      </c>
      <c r="I3729">
        <v>0</v>
      </c>
      <c r="J3729">
        <v>6897.0063665019597</v>
      </c>
      <c r="K3729">
        <v>5958.05682597539</v>
      </c>
      <c r="L3729">
        <v>58.244999999999997</v>
      </c>
      <c r="M3729">
        <v>74.471999999999994</v>
      </c>
      <c r="N3729">
        <v>11.01</v>
      </c>
    </row>
    <row r="3730" spans="1:14" x14ac:dyDescent="0.45">
      <c r="A3730">
        <v>1998</v>
      </c>
      <c r="B3730" t="s">
        <v>76</v>
      </c>
      <c r="C3730">
        <v>1</v>
      </c>
      <c r="D3730">
        <v>0</v>
      </c>
      <c r="E3730">
        <v>0</v>
      </c>
      <c r="F3730">
        <v>1</v>
      </c>
      <c r="G3730">
        <v>0</v>
      </c>
      <c r="H3730">
        <v>0</v>
      </c>
      <c r="I3730">
        <v>0</v>
      </c>
      <c r="J3730">
        <v>10128.1560529131</v>
      </c>
      <c r="K3730">
        <v>7312.4787209112301</v>
      </c>
      <c r="L3730">
        <v>30.936</v>
      </c>
      <c r="M3730">
        <v>68.272000000000006</v>
      </c>
      <c r="N3730">
        <v>13.811999999999999</v>
      </c>
    </row>
    <row r="3731" spans="1:14" x14ac:dyDescent="0.45">
      <c r="A3731">
        <v>1998</v>
      </c>
      <c r="B3731" t="s">
        <v>77</v>
      </c>
      <c r="C3731">
        <v>0</v>
      </c>
      <c r="D3731">
        <v>1</v>
      </c>
      <c r="E3731">
        <v>0</v>
      </c>
      <c r="F3731">
        <v>1</v>
      </c>
      <c r="G3731">
        <v>0</v>
      </c>
      <c r="H3731">
        <v>0</v>
      </c>
      <c r="I3731">
        <v>0</v>
      </c>
      <c r="J3731">
        <v>9884.9166232029092</v>
      </c>
      <c r="K3731">
        <v>7790.2353487095197</v>
      </c>
      <c r="L3731">
        <v>54.207000000000001</v>
      </c>
      <c r="M3731">
        <v>68.906000000000006</v>
      </c>
      <c r="N3731">
        <v>26.905999999999999</v>
      </c>
    </row>
    <row r="3732" spans="1:14" x14ac:dyDescent="0.45">
      <c r="A3732">
        <v>1998</v>
      </c>
      <c r="B3732" t="s">
        <v>78</v>
      </c>
      <c r="C3732">
        <v>0</v>
      </c>
      <c r="D3732">
        <v>0</v>
      </c>
      <c r="E3732">
        <v>0</v>
      </c>
      <c r="F3732">
        <v>0</v>
      </c>
      <c r="G3732">
        <v>0</v>
      </c>
      <c r="H3732">
        <v>1</v>
      </c>
      <c r="I3732">
        <v>1</v>
      </c>
      <c r="J3732">
        <v>88034.813238588293</v>
      </c>
      <c r="K3732">
        <v>78215.755112240193</v>
      </c>
      <c r="L3732">
        <v>0</v>
      </c>
      <c r="M3732">
        <v>77.388999999999996</v>
      </c>
      <c r="N3732">
        <v>5.4020000000000001</v>
      </c>
    </row>
    <row r="3733" spans="1:14" x14ac:dyDescent="0.45">
      <c r="A3733">
        <v>1998</v>
      </c>
      <c r="B3733" t="s">
        <v>79</v>
      </c>
      <c r="C3733">
        <v>0</v>
      </c>
      <c r="D3733">
        <v>1</v>
      </c>
      <c r="E3733">
        <v>0</v>
      </c>
      <c r="F3733">
        <v>1</v>
      </c>
      <c r="G3733">
        <v>0</v>
      </c>
      <c r="H3733">
        <v>0</v>
      </c>
      <c r="I3733">
        <v>0</v>
      </c>
      <c r="J3733">
        <v>6180.5496891285102</v>
      </c>
      <c r="K3733">
        <v>5454.6454428045099</v>
      </c>
      <c r="L3733">
        <v>39.261000000000003</v>
      </c>
      <c r="M3733">
        <v>61.226999999999997</v>
      </c>
      <c r="N3733">
        <v>108.227</v>
      </c>
    </row>
    <row r="3734" spans="1:14" x14ac:dyDescent="0.45">
      <c r="A3734">
        <v>1998</v>
      </c>
      <c r="B3734" t="s">
        <v>80</v>
      </c>
      <c r="C3734">
        <v>0</v>
      </c>
      <c r="D3734">
        <v>1</v>
      </c>
      <c r="E3734">
        <v>0</v>
      </c>
      <c r="F3734">
        <v>0</v>
      </c>
      <c r="G3734">
        <v>1</v>
      </c>
      <c r="H3734">
        <v>0</v>
      </c>
      <c r="I3734">
        <v>0</v>
      </c>
      <c r="J3734">
        <v>13737.7026433556</v>
      </c>
      <c r="K3734">
        <v>11284.274532842601</v>
      </c>
      <c r="L3734">
        <v>20.219000000000001</v>
      </c>
      <c r="M3734">
        <v>68.847999999999999</v>
      </c>
      <c r="N3734">
        <v>39.430999999999997</v>
      </c>
    </row>
    <row r="3735" spans="1:14" x14ac:dyDescent="0.45">
      <c r="A3735">
        <v>1998</v>
      </c>
      <c r="B3735" t="s">
        <v>81</v>
      </c>
      <c r="C3735">
        <v>0</v>
      </c>
      <c r="D3735">
        <v>1</v>
      </c>
      <c r="E3735">
        <v>0</v>
      </c>
      <c r="F3735">
        <v>0</v>
      </c>
      <c r="G3735">
        <v>1</v>
      </c>
      <c r="H3735">
        <v>0</v>
      </c>
      <c r="I3735">
        <v>0</v>
      </c>
      <c r="J3735">
        <v>17963.139046558099</v>
      </c>
      <c r="K3735">
        <v>17156.586368942299</v>
      </c>
      <c r="L3735">
        <v>65.497</v>
      </c>
      <c r="M3735">
        <v>74.465000000000003</v>
      </c>
      <c r="N3735">
        <v>14.656000000000001</v>
      </c>
    </row>
    <row r="3736" spans="1:14" x14ac:dyDescent="0.45">
      <c r="A3736">
        <v>1998</v>
      </c>
      <c r="B3736" t="s">
        <v>82</v>
      </c>
      <c r="C3736">
        <v>0</v>
      </c>
      <c r="D3736">
        <v>0</v>
      </c>
      <c r="E3736">
        <v>0</v>
      </c>
      <c r="F3736">
        <v>0</v>
      </c>
      <c r="G3736">
        <v>0</v>
      </c>
      <c r="H3736">
        <v>1</v>
      </c>
      <c r="I3736">
        <v>1</v>
      </c>
      <c r="J3736">
        <v>97171.637113515098</v>
      </c>
      <c r="K3736">
        <v>75872.048980437103</v>
      </c>
      <c r="L3736">
        <v>29.83</v>
      </c>
      <c r="M3736">
        <v>73.584000000000003</v>
      </c>
      <c r="N3736">
        <v>11.132</v>
      </c>
    </row>
    <row r="3737" spans="1:14" x14ac:dyDescent="0.45">
      <c r="A3737">
        <v>1998</v>
      </c>
      <c r="B3737" t="s">
        <v>83</v>
      </c>
      <c r="C3737">
        <v>0</v>
      </c>
      <c r="D3737">
        <v>0</v>
      </c>
      <c r="E3737">
        <v>0</v>
      </c>
      <c r="F3737">
        <v>0</v>
      </c>
      <c r="G3737">
        <v>0</v>
      </c>
      <c r="H3737">
        <v>0</v>
      </c>
      <c r="I3737">
        <v>0</v>
      </c>
      <c r="J3737">
        <v>4965.8764603168102</v>
      </c>
      <c r="K3737">
        <v>4301.0770042978202</v>
      </c>
      <c r="L3737">
        <v>76.623000000000005</v>
      </c>
      <c r="M3737">
        <v>61.322000000000003</v>
      </c>
      <c r="N3737">
        <v>87.506</v>
      </c>
    </row>
    <row r="3738" spans="1:14" x14ac:dyDescent="0.45">
      <c r="A3738">
        <v>1998</v>
      </c>
      <c r="B3738" t="s">
        <v>84</v>
      </c>
      <c r="C3738">
        <v>0</v>
      </c>
      <c r="D3738">
        <v>0</v>
      </c>
      <c r="E3738">
        <v>1</v>
      </c>
      <c r="F3738">
        <v>0</v>
      </c>
      <c r="G3738">
        <v>1</v>
      </c>
      <c r="H3738">
        <v>0</v>
      </c>
      <c r="I3738">
        <v>0</v>
      </c>
      <c r="J3738">
        <v>12306.2504761243</v>
      </c>
      <c r="K3738">
        <v>11134.5284961205</v>
      </c>
      <c r="L3738">
        <v>48.475000000000001</v>
      </c>
      <c r="M3738">
        <v>52.968000000000004</v>
      </c>
      <c r="N3738">
        <v>74.182000000000002</v>
      </c>
    </row>
    <row r="3739" spans="1:14" x14ac:dyDescent="0.45">
      <c r="A3739">
        <v>1998</v>
      </c>
      <c r="B3739" t="s">
        <v>85</v>
      </c>
      <c r="C3739">
        <v>0</v>
      </c>
      <c r="D3739">
        <v>0</v>
      </c>
      <c r="E3739">
        <v>1</v>
      </c>
      <c r="F3739">
        <v>0</v>
      </c>
      <c r="G3739">
        <v>0</v>
      </c>
      <c r="H3739">
        <v>0</v>
      </c>
      <c r="I3739">
        <v>0</v>
      </c>
      <c r="J3739">
        <v>1302.7514283078201</v>
      </c>
      <c r="K3739">
        <v>1043.0483528457301</v>
      </c>
      <c r="L3739">
        <v>62.524999999999999</v>
      </c>
      <c r="M3739">
        <v>47.088999999999999</v>
      </c>
      <c r="N3739">
        <v>168.672</v>
      </c>
    </row>
    <row r="3740" spans="1:14" x14ac:dyDescent="0.45">
      <c r="A3740">
        <v>1998</v>
      </c>
      <c r="B3740" t="s">
        <v>86</v>
      </c>
      <c r="C3740">
        <v>0</v>
      </c>
      <c r="D3740">
        <v>0</v>
      </c>
      <c r="E3740">
        <v>0</v>
      </c>
      <c r="F3740">
        <v>0</v>
      </c>
      <c r="G3740">
        <v>0</v>
      </c>
      <c r="H3740">
        <v>1</v>
      </c>
      <c r="I3740">
        <v>1</v>
      </c>
      <c r="J3740">
        <v>44553.282730369698</v>
      </c>
      <c r="K3740">
        <v>38566.060026204097</v>
      </c>
      <c r="L3740">
        <v>21.276</v>
      </c>
      <c r="M3740">
        <v>78.674000000000007</v>
      </c>
      <c r="N3740">
        <v>6.2290000000000001</v>
      </c>
    </row>
    <row r="3741" spans="1:14" x14ac:dyDescent="0.45">
      <c r="A3741">
        <v>1998</v>
      </c>
      <c r="B3741" t="s">
        <v>87</v>
      </c>
      <c r="C3741">
        <v>1</v>
      </c>
      <c r="D3741">
        <v>0</v>
      </c>
      <c r="E3741">
        <v>0</v>
      </c>
      <c r="F3741">
        <v>0</v>
      </c>
      <c r="G3741">
        <v>0</v>
      </c>
      <c r="H3741">
        <v>1</v>
      </c>
      <c r="I3741">
        <v>1</v>
      </c>
      <c r="J3741">
        <v>64418.385759283803</v>
      </c>
      <c r="K3741">
        <v>56041.863461747897</v>
      </c>
      <c r="L3741">
        <v>26.507999999999999</v>
      </c>
      <c r="M3741">
        <v>79.474999999999994</v>
      </c>
      <c r="N3741">
        <v>5.7329999999999997</v>
      </c>
    </row>
    <row r="3742" spans="1:14" x14ac:dyDescent="0.45">
      <c r="A3742">
        <v>1998</v>
      </c>
      <c r="B3742" t="s">
        <v>88</v>
      </c>
      <c r="C3742">
        <v>1</v>
      </c>
      <c r="D3742">
        <v>0</v>
      </c>
      <c r="E3742">
        <v>0</v>
      </c>
      <c r="F3742">
        <v>0</v>
      </c>
      <c r="G3742">
        <v>0</v>
      </c>
      <c r="H3742">
        <v>1</v>
      </c>
      <c r="I3742">
        <v>1</v>
      </c>
      <c r="L3742">
        <v>69.567999999999998</v>
      </c>
      <c r="M3742">
        <v>78.508756197840796</v>
      </c>
      <c r="N3742">
        <v>11.740853266714799</v>
      </c>
    </row>
    <row r="3743" spans="1:14" x14ac:dyDescent="0.45">
      <c r="A3743">
        <v>1998</v>
      </c>
      <c r="B3743" t="s">
        <v>89</v>
      </c>
      <c r="C3743">
        <v>0</v>
      </c>
      <c r="D3743">
        <v>1</v>
      </c>
      <c r="E3743">
        <v>0</v>
      </c>
      <c r="F3743">
        <v>0</v>
      </c>
      <c r="G3743">
        <v>1</v>
      </c>
      <c r="H3743">
        <v>0</v>
      </c>
      <c r="I3743">
        <v>0</v>
      </c>
      <c r="J3743">
        <v>17156.9718740639</v>
      </c>
      <c r="K3743">
        <v>14945.128464739801</v>
      </c>
      <c r="L3743">
        <v>14.523</v>
      </c>
      <c r="M3743">
        <v>76.323999999999998</v>
      </c>
      <c r="N3743">
        <v>12.308</v>
      </c>
    </row>
    <row r="3744" spans="1:14" x14ac:dyDescent="0.45">
      <c r="A3744">
        <v>1998</v>
      </c>
      <c r="B3744" t="s">
        <v>90</v>
      </c>
      <c r="C3744">
        <v>0</v>
      </c>
      <c r="D3744">
        <v>0</v>
      </c>
      <c r="E3744">
        <v>0</v>
      </c>
      <c r="F3744">
        <v>0</v>
      </c>
      <c r="G3744">
        <v>0</v>
      </c>
      <c r="H3744">
        <v>0</v>
      </c>
      <c r="I3744">
        <v>0</v>
      </c>
      <c r="J3744">
        <v>3533.5658702150599</v>
      </c>
      <c r="K3744">
        <v>3167.61300564164</v>
      </c>
      <c r="L3744">
        <v>66.132999999999996</v>
      </c>
      <c r="M3744">
        <v>71.600999999999999</v>
      </c>
      <c r="N3744">
        <v>40.581000000000003</v>
      </c>
    </row>
    <row r="3745" spans="1:14" x14ac:dyDescent="0.45">
      <c r="A3745">
        <v>1998</v>
      </c>
      <c r="B3745" t="s">
        <v>91</v>
      </c>
      <c r="C3745">
        <v>0</v>
      </c>
      <c r="D3745">
        <v>0</v>
      </c>
      <c r="E3745">
        <v>1</v>
      </c>
      <c r="F3745">
        <v>0</v>
      </c>
      <c r="G3745">
        <v>0</v>
      </c>
      <c r="H3745">
        <v>0</v>
      </c>
      <c r="I3745">
        <v>0</v>
      </c>
      <c r="J3745">
        <v>5093.1316943852898</v>
      </c>
      <c r="K3745">
        <v>4299.3532272430102</v>
      </c>
      <c r="L3745">
        <v>57.658000000000001</v>
      </c>
      <c r="M3745">
        <v>51.22</v>
      </c>
      <c r="N3745">
        <v>145.68700000000001</v>
      </c>
    </row>
    <row r="3746" spans="1:14" x14ac:dyDescent="0.45">
      <c r="A3746">
        <v>1998</v>
      </c>
      <c r="B3746" t="s">
        <v>92</v>
      </c>
      <c r="C3746">
        <v>0</v>
      </c>
      <c r="D3746">
        <v>0</v>
      </c>
      <c r="E3746">
        <v>1</v>
      </c>
      <c r="F3746">
        <v>0</v>
      </c>
      <c r="G3746">
        <v>0</v>
      </c>
      <c r="H3746">
        <v>0</v>
      </c>
      <c r="I3746">
        <v>0</v>
      </c>
      <c r="J3746">
        <v>3714.1321260423601</v>
      </c>
      <c r="K3746">
        <v>2916.3832130179298</v>
      </c>
      <c r="L3746">
        <v>55.652000000000001</v>
      </c>
      <c r="M3746">
        <v>53.042999999999999</v>
      </c>
      <c r="N3746">
        <v>146.64500000000001</v>
      </c>
    </row>
    <row r="3747" spans="1:14" x14ac:dyDescent="0.45">
      <c r="A3747">
        <v>1998</v>
      </c>
      <c r="B3747" t="s">
        <v>93</v>
      </c>
      <c r="C3747">
        <v>0</v>
      </c>
      <c r="D3747">
        <v>0</v>
      </c>
      <c r="E3747">
        <v>1</v>
      </c>
      <c r="F3747">
        <v>0</v>
      </c>
      <c r="G3747">
        <v>0</v>
      </c>
      <c r="H3747">
        <v>0</v>
      </c>
      <c r="I3747">
        <v>0</v>
      </c>
      <c r="J3747">
        <v>1062.5687069478799</v>
      </c>
      <c r="K3747">
        <v>850.65480206099301</v>
      </c>
      <c r="L3747">
        <v>65.801000000000002</v>
      </c>
      <c r="M3747">
        <v>49.664000000000001</v>
      </c>
      <c r="N3747">
        <v>166.18799999999999</v>
      </c>
    </row>
    <row r="3748" spans="1:14" x14ac:dyDescent="0.45">
      <c r="A3748">
        <v>1998</v>
      </c>
      <c r="B3748" t="s">
        <v>94</v>
      </c>
      <c r="C3748">
        <v>0</v>
      </c>
      <c r="D3748">
        <v>0</v>
      </c>
      <c r="E3748">
        <v>1</v>
      </c>
      <c r="F3748">
        <v>0</v>
      </c>
      <c r="G3748">
        <v>0</v>
      </c>
      <c r="H3748">
        <v>0</v>
      </c>
      <c r="I3748">
        <v>0</v>
      </c>
      <c r="J3748">
        <v>7711.6321257604995</v>
      </c>
      <c r="K3748">
        <v>4648.9205011453496</v>
      </c>
      <c r="L3748">
        <v>42.234000000000002</v>
      </c>
      <c r="M3748">
        <v>52.551000000000002</v>
      </c>
      <c r="N3748">
        <v>115.536</v>
      </c>
    </row>
    <row r="3749" spans="1:14" x14ac:dyDescent="0.45">
      <c r="A3749">
        <v>1998</v>
      </c>
      <c r="B3749" t="s">
        <v>95</v>
      </c>
      <c r="C3749">
        <v>0</v>
      </c>
      <c r="D3749">
        <v>1</v>
      </c>
      <c r="E3749">
        <v>0</v>
      </c>
      <c r="F3749">
        <v>1</v>
      </c>
      <c r="G3749">
        <v>0</v>
      </c>
      <c r="H3749">
        <v>0</v>
      </c>
      <c r="I3749">
        <v>0</v>
      </c>
      <c r="J3749">
        <v>11343.8799115733</v>
      </c>
      <c r="K3749">
        <v>9445.0220079881292</v>
      </c>
      <c r="L3749">
        <v>26.902000000000001</v>
      </c>
      <c r="M3749">
        <v>70.924000000000007</v>
      </c>
      <c r="N3749">
        <v>26.981999999999999</v>
      </c>
    </row>
    <row r="3750" spans="1:14" x14ac:dyDescent="0.45">
      <c r="A3750">
        <v>1998</v>
      </c>
      <c r="B3750" t="s">
        <v>96</v>
      </c>
      <c r="C3750">
        <v>0</v>
      </c>
      <c r="D3750">
        <v>0</v>
      </c>
      <c r="E3750">
        <v>1</v>
      </c>
      <c r="F3750">
        <v>0</v>
      </c>
      <c r="G3750">
        <v>0</v>
      </c>
      <c r="H3750">
        <v>0</v>
      </c>
      <c r="I3750">
        <v>0</v>
      </c>
      <c r="J3750">
        <v>2212.0951877021298</v>
      </c>
      <c r="K3750">
        <v>2287.5887345607398</v>
      </c>
      <c r="L3750">
        <v>71.831999999999994</v>
      </c>
      <c r="M3750">
        <v>58.301000000000002</v>
      </c>
      <c r="N3750">
        <v>102.42100000000001</v>
      </c>
    </row>
    <row r="3751" spans="1:14" x14ac:dyDescent="0.45">
      <c r="A3751">
        <v>1998</v>
      </c>
      <c r="B3751" t="s">
        <v>97</v>
      </c>
      <c r="C3751">
        <v>0</v>
      </c>
      <c r="D3751">
        <v>0</v>
      </c>
      <c r="E3751">
        <v>1</v>
      </c>
      <c r="F3751">
        <v>1</v>
      </c>
      <c r="G3751">
        <v>0</v>
      </c>
      <c r="H3751">
        <v>0</v>
      </c>
      <c r="I3751">
        <v>0</v>
      </c>
      <c r="J3751">
        <v>3657.3811899377602</v>
      </c>
      <c r="K3751">
        <v>3524.6698454552002</v>
      </c>
      <c r="L3751">
        <v>48.427999999999997</v>
      </c>
      <c r="M3751">
        <v>66.713999999999999</v>
      </c>
      <c r="N3751">
        <v>41.844999999999999</v>
      </c>
    </row>
    <row r="3752" spans="1:14" x14ac:dyDescent="0.45">
      <c r="A3752">
        <v>1998</v>
      </c>
      <c r="B3752" t="s">
        <v>98</v>
      </c>
      <c r="C3752">
        <v>0</v>
      </c>
      <c r="D3752">
        <v>1</v>
      </c>
      <c r="E3752">
        <v>0</v>
      </c>
      <c r="F3752">
        <v>1</v>
      </c>
      <c r="G3752">
        <v>0</v>
      </c>
      <c r="H3752">
        <v>0</v>
      </c>
      <c r="I3752">
        <v>0</v>
      </c>
      <c r="J3752">
        <v>13481.059479973401</v>
      </c>
      <c r="K3752">
        <v>12070.3264884648</v>
      </c>
      <c r="L3752">
        <v>42.735999999999997</v>
      </c>
      <c r="M3752">
        <v>76.869</v>
      </c>
      <c r="N3752">
        <v>13.957000000000001</v>
      </c>
    </row>
    <row r="3753" spans="1:14" x14ac:dyDescent="0.45">
      <c r="A3753">
        <v>1998</v>
      </c>
      <c r="B3753" t="s">
        <v>99</v>
      </c>
      <c r="C3753">
        <v>0</v>
      </c>
      <c r="D3753">
        <v>1</v>
      </c>
      <c r="E3753">
        <v>0</v>
      </c>
      <c r="F3753">
        <v>1</v>
      </c>
      <c r="G3753">
        <v>0</v>
      </c>
      <c r="H3753">
        <v>0</v>
      </c>
      <c r="I3753">
        <v>0</v>
      </c>
      <c r="L3753">
        <v>25.145</v>
      </c>
      <c r="M3753">
        <v>75.412000000000006</v>
      </c>
      <c r="N3753">
        <v>9.3810000000000002</v>
      </c>
    </row>
    <row r="3754" spans="1:14" x14ac:dyDescent="0.45">
      <c r="A3754">
        <v>1998</v>
      </c>
      <c r="B3754" t="s">
        <v>100</v>
      </c>
      <c r="C3754">
        <v>0</v>
      </c>
      <c r="D3754">
        <v>1</v>
      </c>
      <c r="E3754">
        <v>0</v>
      </c>
      <c r="F3754">
        <v>0</v>
      </c>
      <c r="G3754">
        <v>0</v>
      </c>
      <c r="H3754">
        <v>1</v>
      </c>
      <c r="I3754">
        <v>1</v>
      </c>
      <c r="L3754">
        <v>10.385</v>
      </c>
      <c r="M3754">
        <v>73.084000000000003</v>
      </c>
      <c r="N3754">
        <v>17.725999999999999</v>
      </c>
    </row>
    <row r="3755" spans="1:14" x14ac:dyDescent="0.45">
      <c r="A3755">
        <v>1998</v>
      </c>
      <c r="B3755" t="s">
        <v>101</v>
      </c>
      <c r="C3755">
        <v>0</v>
      </c>
      <c r="D3755">
        <v>1</v>
      </c>
      <c r="E3755">
        <v>0</v>
      </c>
      <c r="F3755">
        <v>0</v>
      </c>
      <c r="G3755">
        <v>0</v>
      </c>
      <c r="H3755">
        <v>1</v>
      </c>
      <c r="I3755">
        <v>1</v>
      </c>
      <c r="L3755">
        <v>0</v>
      </c>
      <c r="M3755">
        <v>74.08</v>
      </c>
      <c r="N3755">
        <v>6.66</v>
      </c>
    </row>
    <row r="3756" spans="1:14" x14ac:dyDescent="0.45">
      <c r="A3756">
        <v>1998</v>
      </c>
      <c r="B3756" t="s">
        <v>102</v>
      </c>
      <c r="C3756">
        <v>1</v>
      </c>
      <c r="D3756">
        <v>0</v>
      </c>
      <c r="E3756">
        <v>0</v>
      </c>
      <c r="F3756">
        <v>0</v>
      </c>
      <c r="G3756">
        <v>0</v>
      </c>
      <c r="H3756">
        <v>1</v>
      </c>
      <c r="I3756">
        <v>1</v>
      </c>
      <c r="J3756">
        <v>33182.94140625</v>
      </c>
      <c r="K3756">
        <v>29560.762940593999</v>
      </c>
      <c r="L3756">
        <v>31.594999999999999</v>
      </c>
      <c r="M3756">
        <v>77.164000000000001</v>
      </c>
      <c r="N3756">
        <v>7.734</v>
      </c>
    </row>
    <row r="3757" spans="1:14" x14ac:dyDescent="0.45">
      <c r="A3757">
        <v>1998</v>
      </c>
      <c r="B3757" t="s">
        <v>103</v>
      </c>
      <c r="C3757">
        <v>1</v>
      </c>
      <c r="D3757">
        <v>0</v>
      </c>
      <c r="E3757">
        <v>0</v>
      </c>
      <c r="F3757">
        <v>0</v>
      </c>
      <c r="G3757">
        <v>1</v>
      </c>
      <c r="H3757">
        <v>0</v>
      </c>
      <c r="I3757">
        <v>0</v>
      </c>
      <c r="J3757">
        <v>27801.438780140801</v>
      </c>
      <c r="K3757">
        <v>23147.548627005101</v>
      </c>
      <c r="L3757">
        <v>25.748999999999999</v>
      </c>
      <c r="M3757">
        <v>74.552999999999997</v>
      </c>
      <c r="N3757">
        <v>6.3789999999999996</v>
      </c>
    </row>
    <row r="3758" spans="1:14" x14ac:dyDescent="0.45">
      <c r="A3758">
        <v>1998</v>
      </c>
      <c r="B3758" t="s">
        <v>104</v>
      </c>
      <c r="C3758">
        <v>1</v>
      </c>
      <c r="D3758">
        <v>0</v>
      </c>
      <c r="E3758">
        <v>0</v>
      </c>
      <c r="F3758">
        <v>0</v>
      </c>
      <c r="G3758">
        <v>0</v>
      </c>
      <c r="H3758">
        <v>1</v>
      </c>
      <c r="I3758">
        <v>1</v>
      </c>
      <c r="J3758">
        <v>47663.336269938802</v>
      </c>
      <c r="K3758">
        <v>41326.597381326297</v>
      </c>
      <c r="L3758">
        <v>25.449000000000002</v>
      </c>
      <c r="M3758">
        <v>77.575999999999993</v>
      </c>
      <c r="N3758">
        <v>5.6520000000000001</v>
      </c>
    </row>
    <row r="3759" spans="1:14" x14ac:dyDescent="0.45">
      <c r="A3759">
        <v>1998</v>
      </c>
      <c r="B3759" t="s">
        <v>105</v>
      </c>
      <c r="C3759">
        <v>0</v>
      </c>
      <c r="D3759">
        <v>0</v>
      </c>
      <c r="E3759">
        <v>0</v>
      </c>
      <c r="F3759">
        <v>1</v>
      </c>
      <c r="G3759">
        <v>0</v>
      </c>
      <c r="H3759">
        <v>0</v>
      </c>
      <c r="I3759">
        <v>0</v>
      </c>
      <c r="J3759">
        <v>3923.3411407394101</v>
      </c>
      <c r="K3759">
        <v>3384.0812170273598</v>
      </c>
      <c r="L3759">
        <v>23.561</v>
      </c>
      <c r="M3759">
        <v>56.426000000000002</v>
      </c>
      <c r="N3759">
        <v>103.508</v>
      </c>
    </row>
    <row r="3760" spans="1:14" x14ac:dyDescent="0.45">
      <c r="A3760">
        <v>1998</v>
      </c>
      <c r="B3760" t="s">
        <v>106</v>
      </c>
      <c r="C3760">
        <v>0</v>
      </c>
      <c r="D3760">
        <v>1</v>
      </c>
      <c r="E3760">
        <v>0</v>
      </c>
      <c r="F3760">
        <v>1</v>
      </c>
      <c r="G3760">
        <v>0</v>
      </c>
      <c r="H3760">
        <v>0</v>
      </c>
      <c r="I3760">
        <v>0</v>
      </c>
      <c r="J3760">
        <v>13563.4528192982</v>
      </c>
      <c r="K3760">
        <v>10555.463241682401</v>
      </c>
      <c r="L3760">
        <v>34.908000000000001</v>
      </c>
      <c r="M3760">
        <v>71.352000000000004</v>
      </c>
      <c r="N3760">
        <v>17.138999999999999</v>
      </c>
    </row>
    <row r="3761" spans="1:14" x14ac:dyDescent="0.45">
      <c r="A3761">
        <v>1998</v>
      </c>
      <c r="B3761" t="s">
        <v>107</v>
      </c>
      <c r="C3761">
        <v>1</v>
      </c>
      <c r="D3761">
        <v>0</v>
      </c>
      <c r="E3761">
        <v>0</v>
      </c>
      <c r="F3761">
        <v>0</v>
      </c>
      <c r="G3761">
        <v>0</v>
      </c>
      <c r="H3761">
        <v>1</v>
      </c>
      <c r="I3761">
        <v>1</v>
      </c>
      <c r="J3761">
        <v>54133.194602828902</v>
      </c>
      <c r="K3761">
        <v>45750.511813001001</v>
      </c>
      <c r="L3761">
        <v>14.94</v>
      </c>
      <c r="M3761">
        <v>76.436000000000007</v>
      </c>
      <c r="N3761">
        <v>5.9329999999999998</v>
      </c>
    </row>
    <row r="3762" spans="1:14" x14ac:dyDescent="0.45">
      <c r="A3762">
        <v>1998</v>
      </c>
      <c r="B3762" t="s">
        <v>108</v>
      </c>
      <c r="C3762">
        <v>0</v>
      </c>
      <c r="D3762">
        <v>1</v>
      </c>
      <c r="E3762">
        <v>0</v>
      </c>
      <c r="F3762">
        <v>1</v>
      </c>
      <c r="G3762">
        <v>0</v>
      </c>
      <c r="H3762">
        <v>0</v>
      </c>
      <c r="I3762">
        <v>0</v>
      </c>
      <c r="J3762">
        <v>10150.446017899299</v>
      </c>
      <c r="K3762">
        <v>8768.2089997407293</v>
      </c>
      <c r="L3762">
        <v>39.893000000000001</v>
      </c>
      <c r="M3762">
        <v>69.875</v>
      </c>
      <c r="N3762">
        <v>45.774999999999999</v>
      </c>
    </row>
    <row r="3763" spans="1:14" x14ac:dyDescent="0.45">
      <c r="A3763">
        <v>1998</v>
      </c>
      <c r="B3763" t="s">
        <v>109</v>
      </c>
      <c r="C3763">
        <v>0</v>
      </c>
      <c r="D3763">
        <v>0</v>
      </c>
      <c r="E3763">
        <v>0</v>
      </c>
      <c r="F3763">
        <v>1</v>
      </c>
      <c r="G3763">
        <v>0</v>
      </c>
      <c r="H3763">
        <v>0</v>
      </c>
      <c r="I3763">
        <v>0</v>
      </c>
      <c r="J3763">
        <v>11094.8875368585</v>
      </c>
      <c r="K3763">
        <v>9703.9672282865795</v>
      </c>
      <c r="L3763">
        <v>41.686999999999998</v>
      </c>
      <c r="M3763">
        <v>69.326999999999998</v>
      </c>
      <c r="N3763">
        <v>44.225000000000001</v>
      </c>
    </row>
    <row r="3764" spans="1:14" x14ac:dyDescent="0.45">
      <c r="A3764">
        <v>1998</v>
      </c>
      <c r="B3764" t="s">
        <v>110</v>
      </c>
      <c r="C3764">
        <v>0</v>
      </c>
      <c r="D3764">
        <v>1</v>
      </c>
      <c r="E3764">
        <v>0</v>
      </c>
      <c r="F3764">
        <v>1</v>
      </c>
      <c r="G3764">
        <v>0</v>
      </c>
      <c r="H3764">
        <v>0</v>
      </c>
      <c r="I3764">
        <v>0</v>
      </c>
      <c r="J3764">
        <v>9876.7507512592001</v>
      </c>
      <c r="K3764">
        <v>8214.9654733701791</v>
      </c>
      <c r="L3764">
        <v>40.709000000000003</v>
      </c>
      <c r="M3764">
        <v>71.948999999999998</v>
      </c>
      <c r="N3764">
        <v>33.668999999999997</v>
      </c>
    </row>
    <row r="3765" spans="1:14" x14ac:dyDescent="0.45">
      <c r="A3765">
        <v>1998</v>
      </c>
      <c r="B3765" t="s">
        <v>111</v>
      </c>
      <c r="C3765">
        <v>0</v>
      </c>
      <c r="D3765">
        <v>0</v>
      </c>
      <c r="E3765">
        <v>0</v>
      </c>
      <c r="F3765">
        <v>1</v>
      </c>
      <c r="G3765">
        <v>0</v>
      </c>
      <c r="H3765">
        <v>0</v>
      </c>
      <c r="I3765">
        <v>0</v>
      </c>
      <c r="J3765">
        <v>9245.4789046979495</v>
      </c>
      <c r="K3765">
        <v>7337.0562851459299</v>
      </c>
      <c r="L3765">
        <v>57.295999999999999</v>
      </c>
      <c r="M3765">
        <v>66.635000000000005</v>
      </c>
      <c r="N3765">
        <v>53.164000000000001</v>
      </c>
    </row>
    <row r="3766" spans="1:14" x14ac:dyDescent="0.45">
      <c r="A3766">
        <v>1998</v>
      </c>
      <c r="B3766" t="s">
        <v>112</v>
      </c>
      <c r="C3766">
        <v>0</v>
      </c>
      <c r="D3766">
        <v>0</v>
      </c>
      <c r="E3766">
        <v>1</v>
      </c>
      <c r="F3766">
        <v>0</v>
      </c>
      <c r="G3766">
        <v>0</v>
      </c>
      <c r="H3766">
        <v>0</v>
      </c>
      <c r="I3766">
        <v>0</v>
      </c>
      <c r="L3766">
        <v>75.096999999999994</v>
      </c>
      <c r="M3766">
        <v>49.997</v>
      </c>
      <c r="N3766">
        <v>95.872</v>
      </c>
    </row>
    <row r="3767" spans="1:14" x14ac:dyDescent="0.45">
      <c r="A3767">
        <v>1998</v>
      </c>
      <c r="B3767" t="s">
        <v>113</v>
      </c>
      <c r="C3767">
        <v>1</v>
      </c>
      <c r="D3767">
        <v>0</v>
      </c>
      <c r="E3767">
        <v>0</v>
      </c>
      <c r="F3767">
        <v>0</v>
      </c>
      <c r="G3767">
        <v>0</v>
      </c>
      <c r="H3767">
        <v>1</v>
      </c>
      <c r="I3767">
        <v>1</v>
      </c>
      <c r="J3767">
        <v>36679.094233469797</v>
      </c>
      <c r="K3767">
        <v>32278.578446684998</v>
      </c>
      <c r="L3767">
        <v>23.9</v>
      </c>
      <c r="M3767">
        <v>78.938999999999993</v>
      </c>
      <c r="N3767">
        <v>5.8739999999999997</v>
      </c>
    </row>
    <row r="3768" spans="1:14" x14ac:dyDescent="0.45">
      <c r="A3768">
        <v>1998</v>
      </c>
      <c r="B3768" t="s">
        <v>114</v>
      </c>
      <c r="C3768">
        <v>1</v>
      </c>
      <c r="D3768">
        <v>0</v>
      </c>
      <c r="E3768">
        <v>0</v>
      </c>
      <c r="F3768">
        <v>0</v>
      </c>
      <c r="G3768">
        <v>1</v>
      </c>
      <c r="H3768">
        <v>0</v>
      </c>
      <c r="I3768">
        <v>0</v>
      </c>
      <c r="J3768">
        <v>19067.197932238301</v>
      </c>
      <c r="K3768">
        <v>16176.7227481461</v>
      </c>
      <c r="L3768">
        <v>30.266999999999999</v>
      </c>
      <c r="M3768">
        <v>69.84</v>
      </c>
      <c r="N3768">
        <v>12.224</v>
      </c>
    </row>
    <row r="3769" spans="1:14" x14ac:dyDescent="0.45">
      <c r="A3769">
        <v>1998</v>
      </c>
      <c r="B3769" t="s">
        <v>115</v>
      </c>
      <c r="C3769">
        <v>0</v>
      </c>
      <c r="D3769">
        <v>0</v>
      </c>
      <c r="E3769">
        <v>1</v>
      </c>
      <c r="F3769">
        <v>0</v>
      </c>
      <c r="G3769">
        <v>0</v>
      </c>
      <c r="H3769">
        <v>0</v>
      </c>
      <c r="I3769">
        <v>0</v>
      </c>
      <c r="J3769">
        <v>772.78664647315804</v>
      </c>
      <c r="K3769">
        <v>696.96885993187595</v>
      </c>
      <c r="L3769">
        <v>85.631</v>
      </c>
      <c r="M3769">
        <v>49.784999999999997</v>
      </c>
      <c r="N3769">
        <v>153.49100000000001</v>
      </c>
    </row>
    <row r="3770" spans="1:14" x14ac:dyDescent="0.45">
      <c r="A3770">
        <v>1998</v>
      </c>
      <c r="B3770" t="s">
        <v>116</v>
      </c>
      <c r="C3770">
        <v>1</v>
      </c>
      <c r="D3770">
        <v>0</v>
      </c>
      <c r="E3770">
        <v>0</v>
      </c>
      <c r="F3770">
        <v>0</v>
      </c>
      <c r="G3770">
        <v>0</v>
      </c>
      <c r="H3770">
        <v>1</v>
      </c>
      <c r="I3770">
        <v>1</v>
      </c>
      <c r="J3770">
        <v>42733.445571289703</v>
      </c>
      <c r="K3770">
        <v>35925.2731832586</v>
      </c>
      <c r="L3770">
        <v>18.292999999999999</v>
      </c>
      <c r="M3770">
        <v>77.259</v>
      </c>
      <c r="N3770">
        <v>4.8529999999999998</v>
      </c>
    </row>
    <row r="3771" spans="1:14" x14ac:dyDescent="0.45">
      <c r="A3771">
        <v>1998</v>
      </c>
      <c r="B3771" t="s">
        <v>117</v>
      </c>
      <c r="C3771">
        <v>0</v>
      </c>
      <c r="D3771">
        <v>0</v>
      </c>
      <c r="E3771">
        <v>0</v>
      </c>
      <c r="F3771">
        <v>1</v>
      </c>
      <c r="G3771">
        <v>0</v>
      </c>
      <c r="H3771">
        <v>0</v>
      </c>
      <c r="I3771">
        <v>0</v>
      </c>
      <c r="J3771">
        <v>9013.4521432582496</v>
      </c>
      <c r="K3771">
        <v>8826.8980006130496</v>
      </c>
      <c r="L3771">
        <v>52.877000000000002</v>
      </c>
      <c r="M3771">
        <v>66.536000000000001</v>
      </c>
      <c r="N3771">
        <v>23.312999999999999</v>
      </c>
    </row>
    <row r="3772" spans="1:14" x14ac:dyDescent="0.45">
      <c r="A3772">
        <v>1998</v>
      </c>
      <c r="B3772" t="s">
        <v>118</v>
      </c>
      <c r="C3772">
        <v>1</v>
      </c>
      <c r="D3772">
        <v>0</v>
      </c>
      <c r="E3772">
        <v>0</v>
      </c>
      <c r="F3772">
        <v>0</v>
      </c>
      <c r="G3772">
        <v>0</v>
      </c>
      <c r="H3772">
        <v>1</v>
      </c>
      <c r="I3772">
        <v>1</v>
      </c>
      <c r="J3772">
        <v>43162.5423856938</v>
      </c>
      <c r="K3772">
        <v>36036.3543162891</v>
      </c>
      <c r="L3772">
        <v>24.582999999999998</v>
      </c>
      <c r="M3772">
        <v>78.587999999999994</v>
      </c>
      <c r="N3772">
        <v>5.6719999999999997</v>
      </c>
    </row>
    <row r="3773" spans="1:14" x14ac:dyDescent="0.45">
      <c r="A3773">
        <v>1998</v>
      </c>
      <c r="B3773" t="s">
        <v>119</v>
      </c>
      <c r="C3773">
        <v>1</v>
      </c>
      <c r="D3773">
        <v>0</v>
      </c>
      <c r="E3773">
        <v>0</v>
      </c>
      <c r="F3773">
        <v>0</v>
      </c>
      <c r="G3773">
        <v>0</v>
      </c>
      <c r="H3773">
        <v>1</v>
      </c>
      <c r="I3773">
        <v>1</v>
      </c>
      <c r="L3773">
        <v>64.346000000000004</v>
      </c>
      <c r="M3773">
        <v>78.022999999999996</v>
      </c>
      <c r="N3773">
        <v>10.064</v>
      </c>
    </row>
    <row r="3774" spans="1:14" x14ac:dyDescent="0.45">
      <c r="A3774">
        <v>1998</v>
      </c>
      <c r="B3774" t="s">
        <v>120</v>
      </c>
      <c r="C3774">
        <v>0</v>
      </c>
      <c r="D3774">
        <v>0</v>
      </c>
      <c r="E3774">
        <v>0</v>
      </c>
      <c r="F3774">
        <v>1</v>
      </c>
      <c r="G3774">
        <v>0</v>
      </c>
      <c r="H3774">
        <v>0</v>
      </c>
      <c r="I3774">
        <v>0</v>
      </c>
      <c r="J3774">
        <v>3418.56959837557</v>
      </c>
      <c r="K3774">
        <v>3094.2772170998801</v>
      </c>
      <c r="L3774">
        <v>76.686000000000007</v>
      </c>
      <c r="M3774">
        <v>64.509</v>
      </c>
      <c r="N3774">
        <v>40.027000000000001</v>
      </c>
    </row>
    <row r="3775" spans="1:14" x14ac:dyDescent="0.45">
      <c r="A3775">
        <v>1998</v>
      </c>
      <c r="B3775" t="s">
        <v>121</v>
      </c>
      <c r="C3775">
        <v>0</v>
      </c>
      <c r="D3775">
        <v>0</v>
      </c>
      <c r="E3775">
        <v>1</v>
      </c>
      <c r="F3775">
        <v>0</v>
      </c>
      <c r="G3775">
        <v>1</v>
      </c>
      <c r="H3775">
        <v>0</v>
      </c>
      <c r="I3775">
        <v>0</v>
      </c>
      <c r="J3775">
        <v>25585.507796403799</v>
      </c>
      <c r="K3775">
        <v>19359.016521026901</v>
      </c>
      <c r="L3775">
        <v>22.693999999999999</v>
      </c>
      <c r="M3775">
        <v>61.506</v>
      </c>
      <c r="N3775">
        <v>85.606999999999999</v>
      </c>
    </row>
    <row r="3776" spans="1:14" x14ac:dyDescent="0.45">
      <c r="A3776">
        <v>1998</v>
      </c>
      <c r="B3776" t="s">
        <v>122</v>
      </c>
      <c r="C3776">
        <v>1</v>
      </c>
      <c r="D3776">
        <v>0</v>
      </c>
      <c r="E3776">
        <v>0</v>
      </c>
      <c r="F3776">
        <v>0</v>
      </c>
      <c r="G3776">
        <v>0</v>
      </c>
      <c r="H3776">
        <v>1</v>
      </c>
      <c r="I3776">
        <v>1</v>
      </c>
      <c r="J3776">
        <v>40496.861954373097</v>
      </c>
      <c r="K3776">
        <v>34889.267832073601</v>
      </c>
      <c r="L3776">
        <v>21.468</v>
      </c>
      <c r="M3776">
        <v>77.275000000000006</v>
      </c>
      <c r="N3776">
        <v>6.7850000000000001</v>
      </c>
    </row>
    <row r="3777" spans="1:14" x14ac:dyDescent="0.45">
      <c r="A3777">
        <v>1998</v>
      </c>
      <c r="B3777" t="s">
        <v>123</v>
      </c>
      <c r="C3777">
        <v>1</v>
      </c>
      <c r="D3777">
        <v>0</v>
      </c>
      <c r="E3777">
        <v>0</v>
      </c>
      <c r="F3777">
        <v>1</v>
      </c>
      <c r="G3777">
        <v>0</v>
      </c>
      <c r="H3777">
        <v>0</v>
      </c>
      <c r="I3777">
        <v>0</v>
      </c>
      <c r="J3777">
        <v>5233.2883767281601</v>
      </c>
      <c r="K3777">
        <v>4421.5304076699804</v>
      </c>
      <c r="L3777">
        <v>46.88</v>
      </c>
      <c r="M3777">
        <v>69.787000000000006</v>
      </c>
      <c r="N3777">
        <v>39.9</v>
      </c>
    </row>
    <row r="3778" spans="1:14" x14ac:dyDescent="0.45">
      <c r="A3778">
        <v>1998</v>
      </c>
      <c r="B3778" t="s">
        <v>124</v>
      </c>
      <c r="C3778">
        <v>0</v>
      </c>
      <c r="D3778">
        <v>0</v>
      </c>
      <c r="E3778">
        <v>1</v>
      </c>
      <c r="F3778">
        <v>0</v>
      </c>
      <c r="G3778">
        <v>0</v>
      </c>
      <c r="H3778">
        <v>0</v>
      </c>
      <c r="I3778">
        <v>0</v>
      </c>
      <c r="J3778">
        <v>3229.4822827263101</v>
      </c>
      <c r="K3778">
        <v>2786.2123498137498</v>
      </c>
      <c r="L3778">
        <v>57.582000000000001</v>
      </c>
      <c r="M3778">
        <v>57.524999999999999</v>
      </c>
      <c r="N3778">
        <v>106.369</v>
      </c>
    </row>
    <row r="3779" spans="1:14" x14ac:dyDescent="0.45">
      <c r="A3779">
        <v>1998</v>
      </c>
      <c r="B3779" t="s">
        <v>125</v>
      </c>
      <c r="C3779">
        <v>1</v>
      </c>
      <c r="D3779">
        <v>0</v>
      </c>
      <c r="E3779">
        <v>0</v>
      </c>
      <c r="F3779">
        <v>0</v>
      </c>
      <c r="G3779">
        <v>0</v>
      </c>
      <c r="H3779">
        <v>1</v>
      </c>
      <c r="I3779">
        <v>1</v>
      </c>
      <c r="L3779">
        <v>0</v>
      </c>
      <c r="M3779">
        <v>79.477000000000004</v>
      </c>
      <c r="N3779">
        <v>15.807</v>
      </c>
    </row>
    <row r="3780" spans="1:14" x14ac:dyDescent="0.45">
      <c r="A3780">
        <v>1998</v>
      </c>
      <c r="B3780" t="s">
        <v>126</v>
      </c>
      <c r="C3780">
        <v>0</v>
      </c>
      <c r="D3780">
        <v>0</v>
      </c>
      <c r="E3780">
        <v>1</v>
      </c>
      <c r="F3780">
        <v>0</v>
      </c>
      <c r="G3780">
        <v>0</v>
      </c>
      <c r="H3780">
        <v>0</v>
      </c>
      <c r="I3780">
        <v>0</v>
      </c>
      <c r="J3780">
        <v>2311.327353403</v>
      </c>
      <c r="K3780">
        <v>1863.54422403792</v>
      </c>
      <c r="L3780">
        <v>69.677000000000007</v>
      </c>
      <c r="M3780">
        <v>51.61</v>
      </c>
      <c r="N3780">
        <v>179.726</v>
      </c>
    </row>
    <row r="3781" spans="1:14" x14ac:dyDescent="0.45">
      <c r="A3781">
        <v>1998</v>
      </c>
      <c r="B3781" t="s">
        <v>127</v>
      </c>
      <c r="C3781">
        <v>0</v>
      </c>
      <c r="D3781">
        <v>0</v>
      </c>
      <c r="E3781">
        <v>1</v>
      </c>
      <c r="F3781">
        <v>0</v>
      </c>
      <c r="G3781">
        <v>0</v>
      </c>
      <c r="H3781">
        <v>0</v>
      </c>
      <c r="I3781">
        <v>0</v>
      </c>
      <c r="J3781">
        <v>2502.7647712429798</v>
      </c>
      <c r="K3781">
        <v>2014.4677690020101</v>
      </c>
      <c r="L3781">
        <v>53.942999999999998</v>
      </c>
      <c r="M3781">
        <v>56.006999999999998</v>
      </c>
      <c r="N3781">
        <v>122.676</v>
      </c>
    </row>
    <row r="3782" spans="1:14" x14ac:dyDescent="0.45">
      <c r="A3782">
        <v>1998</v>
      </c>
      <c r="B3782" t="s">
        <v>128</v>
      </c>
      <c r="C3782">
        <v>0</v>
      </c>
      <c r="D3782">
        <v>0</v>
      </c>
      <c r="E3782">
        <v>1</v>
      </c>
      <c r="F3782">
        <v>0</v>
      </c>
      <c r="G3782">
        <v>0</v>
      </c>
      <c r="H3782">
        <v>0</v>
      </c>
      <c r="I3782">
        <v>0</v>
      </c>
      <c r="J3782">
        <v>1717.56864403023</v>
      </c>
      <c r="K3782">
        <v>1545.1220877086901</v>
      </c>
      <c r="L3782">
        <v>64.512</v>
      </c>
      <c r="M3782">
        <v>48.122999999999998</v>
      </c>
      <c r="N3782">
        <v>183.214</v>
      </c>
    </row>
    <row r="3783" spans="1:14" x14ac:dyDescent="0.45">
      <c r="A3783">
        <v>1998</v>
      </c>
      <c r="B3783" t="s">
        <v>129</v>
      </c>
      <c r="C3783">
        <v>0</v>
      </c>
      <c r="D3783">
        <v>0</v>
      </c>
      <c r="E3783">
        <v>1</v>
      </c>
      <c r="F3783">
        <v>1</v>
      </c>
      <c r="G3783">
        <v>0</v>
      </c>
      <c r="H3783">
        <v>0</v>
      </c>
      <c r="I3783">
        <v>0</v>
      </c>
      <c r="J3783">
        <v>8684.6573083063995</v>
      </c>
      <c r="K3783">
        <v>7195.3493831116302</v>
      </c>
      <c r="L3783">
        <v>54.384</v>
      </c>
      <c r="M3783">
        <v>52.646000000000001</v>
      </c>
      <c r="N3783">
        <v>161.89400000000001</v>
      </c>
    </row>
    <row r="3784" spans="1:14" x14ac:dyDescent="0.45">
      <c r="A3784">
        <v>1998</v>
      </c>
      <c r="B3784" t="s">
        <v>130</v>
      </c>
      <c r="C3784">
        <v>1</v>
      </c>
      <c r="D3784">
        <v>0</v>
      </c>
      <c r="E3784">
        <v>0</v>
      </c>
      <c r="F3784">
        <v>0</v>
      </c>
      <c r="G3784">
        <v>0</v>
      </c>
      <c r="H3784">
        <v>1</v>
      </c>
      <c r="I3784">
        <v>1</v>
      </c>
      <c r="J3784">
        <v>29592.525483114001</v>
      </c>
      <c r="K3784">
        <v>26491.054577896</v>
      </c>
      <c r="L3784">
        <v>27.521999999999998</v>
      </c>
      <c r="M3784">
        <v>78.302999999999997</v>
      </c>
      <c r="N3784">
        <v>7.15</v>
      </c>
    </row>
    <row r="3785" spans="1:14" x14ac:dyDescent="0.45">
      <c r="A3785">
        <v>1998</v>
      </c>
      <c r="B3785" t="s">
        <v>131</v>
      </c>
      <c r="C3785">
        <v>0</v>
      </c>
      <c r="D3785">
        <v>1</v>
      </c>
      <c r="E3785">
        <v>0</v>
      </c>
      <c r="F3785">
        <v>0</v>
      </c>
      <c r="G3785">
        <v>1</v>
      </c>
      <c r="H3785">
        <v>0</v>
      </c>
      <c r="I3785">
        <v>0</v>
      </c>
      <c r="J3785">
        <v>10515.5495034912</v>
      </c>
      <c r="K3785">
        <v>9702.7508641904005</v>
      </c>
      <c r="L3785">
        <v>64.796000000000006</v>
      </c>
      <c r="M3785">
        <v>72.762</v>
      </c>
      <c r="N3785">
        <v>16.204999999999998</v>
      </c>
    </row>
    <row r="3786" spans="1:14" x14ac:dyDescent="0.45">
      <c r="A3786">
        <v>1998</v>
      </c>
      <c r="B3786" t="s">
        <v>132</v>
      </c>
      <c r="C3786">
        <v>1</v>
      </c>
      <c r="D3786">
        <v>0</v>
      </c>
      <c r="E3786">
        <v>0</v>
      </c>
      <c r="F3786">
        <v>0</v>
      </c>
      <c r="G3786">
        <v>0</v>
      </c>
      <c r="H3786">
        <v>1</v>
      </c>
      <c r="I3786">
        <v>1</v>
      </c>
      <c r="J3786">
        <v>41500.231270329401</v>
      </c>
      <c r="K3786">
        <v>37564.688400652602</v>
      </c>
      <c r="L3786">
        <v>18.649000000000001</v>
      </c>
      <c r="M3786">
        <v>64.659000000000006</v>
      </c>
      <c r="N3786">
        <v>24.154</v>
      </c>
    </row>
    <row r="3787" spans="1:14" x14ac:dyDescent="0.45">
      <c r="A3787">
        <v>1998</v>
      </c>
      <c r="B3787" t="s">
        <v>133</v>
      </c>
      <c r="C3787">
        <v>0</v>
      </c>
      <c r="D3787">
        <v>1</v>
      </c>
      <c r="E3787">
        <v>0</v>
      </c>
      <c r="F3787">
        <v>1</v>
      </c>
      <c r="G3787">
        <v>0</v>
      </c>
      <c r="H3787">
        <v>0</v>
      </c>
      <c r="I3787">
        <v>0</v>
      </c>
      <c r="J3787">
        <v>8559.9860457942596</v>
      </c>
      <c r="K3787">
        <v>7435.8515255956099</v>
      </c>
      <c r="L3787">
        <v>55.341000000000001</v>
      </c>
      <c r="M3787">
        <v>65.968999999999994</v>
      </c>
      <c r="N3787">
        <v>57.015000000000001</v>
      </c>
    </row>
    <row r="3788" spans="1:14" x14ac:dyDescent="0.45">
      <c r="A3788">
        <v>1998</v>
      </c>
      <c r="B3788" t="s">
        <v>134</v>
      </c>
      <c r="C3788">
        <v>0</v>
      </c>
      <c r="D3788">
        <v>0</v>
      </c>
      <c r="E3788">
        <v>0</v>
      </c>
      <c r="F3788">
        <v>0</v>
      </c>
      <c r="G3788">
        <v>0</v>
      </c>
      <c r="H3788">
        <v>1</v>
      </c>
      <c r="I3788">
        <v>1</v>
      </c>
      <c r="L3788">
        <v>7.2670000000000003</v>
      </c>
      <c r="M3788">
        <v>74.753</v>
      </c>
      <c r="N3788">
        <v>11.99</v>
      </c>
    </row>
    <row r="3789" spans="1:14" x14ac:dyDescent="0.45">
      <c r="A3789">
        <v>1998</v>
      </c>
      <c r="B3789" t="s">
        <v>135</v>
      </c>
      <c r="C3789">
        <v>0</v>
      </c>
      <c r="D3789">
        <v>1</v>
      </c>
      <c r="E3789">
        <v>0</v>
      </c>
      <c r="F3789">
        <v>1</v>
      </c>
      <c r="G3789">
        <v>0</v>
      </c>
      <c r="H3789">
        <v>0</v>
      </c>
      <c r="I3789">
        <v>0</v>
      </c>
      <c r="J3789">
        <v>7915.2295620395098</v>
      </c>
      <c r="K3789">
        <v>7569.9604280593603</v>
      </c>
      <c r="L3789">
        <v>71.129000000000005</v>
      </c>
      <c r="M3789">
        <v>63.429000000000002</v>
      </c>
      <c r="N3789">
        <v>48.997</v>
      </c>
    </row>
    <row r="3790" spans="1:14" x14ac:dyDescent="0.45">
      <c r="A3790">
        <v>1998</v>
      </c>
      <c r="B3790" t="s">
        <v>136</v>
      </c>
      <c r="C3790">
        <v>0</v>
      </c>
      <c r="D3790">
        <v>0</v>
      </c>
      <c r="E3790">
        <v>0</v>
      </c>
      <c r="F3790">
        <v>0</v>
      </c>
      <c r="G3790">
        <v>0</v>
      </c>
      <c r="H3790">
        <v>1</v>
      </c>
      <c r="I3790">
        <v>1</v>
      </c>
      <c r="J3790">
        <v>36776.430967754102</v>
      </c>
      <c r="K3790">
        <v>33190.855749406001</v>
      </c>
      <c r="L3790">
        <v>0</v>
      </c>
      <c r="M3790">
        <v>80.072000000000003</v>
      </c>
      <c r="N3790">
        <v>4.4820000000000002</v>
      </c>
    </row>
    <row r="3791" spans="1:14" x14ac:dyDescent="0.45">
      <c r="A3791">
        <v>1998</v>
      </c>
      <c r="B3791" t="s">
        <v>137</v>
      </c>
      <c r="C3791">
        <v>0</v>
      </c>
      <c r="D3791">
        <v>1</v>
      </c>
      <c r="E3791">
        <v>0</v>
      </c>
      <c r="F3791">
        <v>0</v>
      </c>
      <c r="G3791">
        <v>0</v>
      </c>
      <c r="H3791">
        <v>0</v>
      </c>
      <c r="I3791">
        <v>0</v>
      </c>
      <c r="J3791">
        <v>4536.9118960545802</v>
      </c>
      <c r="K3791">
        <v>4180.6646471201002</v>
      </c>
      <c r="L3791">
        <v>55.552999999999997</v>
      </c>
      <c r="M3791">
        <v>62.432000000000002</v>
      </c>
      <c r="N3791">
        <v>66.168999999999997</v>
      </c>
    </row>
    <row r="3792" spans="1:14" x14ac:dyDescent="0.45">
      <c r="A3792">
        <v>1998</v>
      </c>
      <c r="B3792" t="s">
        <v>138</v>
      </c>
      <c r="C3792">
        <v>1</v>
      </c>
      <c r="D3792">
        <v>0</v>
      </c>
      <c r="E3792">
        <v>0</v>
      </c>
      <c r="F3792">
        <v>0</v>
      </c>
      <c r="G3792">
        <v>1</v>
      </c>
      <c r="H3792">
        <v>0</v>
      </c>
      <c r="I3792">
        <v>0</v>
      </c>
      <c r="J3792">
        <v>20576.2507863266</v>
      </c>
      <c r="K3792">
        <v>17745.1467512042</v>
      </c>
      <c r="L3792">
        <v>47.031999999999996</v>
      </c>
      <c r="M3792">
        <v>73.192999999999998</v>
      </c>
      <c r="N3792">
        <v>8.8290000000000006</v>
      </c>
    </row>
    <row r="3793" spans="1:14" x14ac:dyDescent="0.45">
      <c r="A3793">
        <v>1998</v>
      </c>
      <c r="B3793" t="s">
        <v>139</v>
      </c>
      <c r="C3793">
        <v>0</v>
      </c>
      <c r="D3793">
        <v>1</v>
      </c>
      <c r="E3793">
        <v>0</v>
      </c>
      <c r="F3793">
        <v>0</v>
      </c>
      <c r="G3793">
        <v>0</v>
      </c>
      <c r="H3793">
        <v>0</v>
      </c>
      <c r="I3793">
        <v>0</v>
      </c>
      <c r="J3793">
        <v>3261.5866637246399</v>
      </c>
      <c r="K3793">
        <v>3134.8928081947902</v>
      </c>
      <c r="L3793">
        <v>65.611000000000004</v>
      </c>
      <c r="M3793">
        <v>57.137</v>
      </c>
      <c r="N3793">
        <v>111.39100000000001</v>
      </c>
    </row>
    <row r="3794" spans="1:14" x14ac:dyDescent="0.45">
      <c r="A3794">
        <v>1998</v>
      </c>
      <c r="B3794" t="s">
        <v>140</v>
      </c>
      <c r="C3794">
        <v>1</v>
      </c>
      <c r="D3794">
        <v>0</v>
      </c>
      <c r="E3794">
        <v>0</v>
      </c>
      <c r="F3794">
        <v>0</v>
      </c>
      <c r="G3794">
        <v>1</v>
      </c>
      <c r="H3794">
        <v>0</v>
      </c>
      <c r="I3794">
        <v>0</v>
      </c>
      <c r="J3794">
        <v>20438.382955050602</v>
      </c>
      <c r="K3794">
        <v>17810.364167911801</v>
      </c>
      <c r="L3794">
        <v>35.170999999999999</v>
      </c>
      <c r="M3794">
        <v>70.918999999999997</v>
      </c>
      <c r="N3794">
        <v>11.443</v>
      </c>
    </row>
    <row r="3795" spans="1:14" x14ac:dyDescent="0.45">
      <c r="A3795">
        <v>1998</v>
      </c>
      <c r="B3795" t="s">
        <v>141</v>
      </c>
      <c r="C3795">
        <v>0</v>
      </c>
      <c r="D3795">
        <v>0</v>
      </c>
      <c r="E3795">
        <v>0</v>
      </c>
      <c r="F3795">
        <v>0</v>
      </c>
      <c r="G3795">
        <v>0</v>
      </c>
      <c r="H3795">
        <v>0</v>
      </c>
      <c r="I3795">
        <v>0</v>
      </c>
      <c r="J3795">
        <v>5897.6853085920702</v>
      </c>
      <c r="K3795">
        <v>5354.16870652744</v>
      </c>
      <c r="L3795">
        <v>60.406999999999996</v>
      </c>
      <c r="M3795">
        <v>65.941999999999993</v>
      </c>
      <c r="N3795">
        <v>57.308999999999997</v>
      </c>
    </row>
    <row r="3796" spans="1:14" x14ac:dyDescent="0.45">
      <c r="A3796">
        <v>1998</v>
      </c>
      <c r="B3796" t="s">
        <v>142</v>
      </c>
      <c r="C3796">
        <v>1</v>
      </c>
      <c r="D3796">
        <v>0</v>
      </c>
      <c r="E3796">
        <v>0</v>
      </c>
      <c r="F3796">
        <v>0</v>
      </c>
      <c r="G3796">
        <v>1</v>
      </c>
      <c r="H3796">
        <v>0</v>
      </c>
      <c r="I3796">
        <v>0</v>
      </c>
      <c r="L3796">
        <v>48.192</v>
      </c>
      <c r="M3796">
        <v>74.203999999999994</v>
      </c>
      <c r="N3796">
        <v>26.585000000000001</v>
      </c>
    </row>
    <row r="3797" spans="1:14" x14ac:dyDescent="0.45">
      <c r="A3797">
        <v>1998</v>
      </c>
      <c r="B3797" t="s">
        <v>143</v>
      </c>
      <c r="C3797">
        <v>0</v>
      </c>
      <c r="D3797">
        <v>0</v>
      </c>
      <c r="E3797">
        <v>0</v>
      </c>
      <c r="F3797">
        <v>0</v>
      </c>
      <c r="G3797">
        <v>0</v>
      </c>
      <c r="H3797">
        <v>0</v>
      </c>
      <c r="I3797">
        <v>0</v>
      </c>
      <c r="J3797">
        <v>2847.9623498866299</v>
      </c>
      <c r="K3797">
        <v>2388.5442917299501</v>
      </c>
      <c r="L3797">
        <v>72.760000000000005</v>
      </c>
      <c r="M3797">
        <v>61.851999999999997</v>
      </c>
      <c r="N3797">
        <v>98.326999999999998</v>
      </c>
    </row>
    <row r="3798" spans="1:14" x14ac:dyDescent="0.45">
      <c r="A3798">
        <v>1998</v>
      </c>
      <c r="B3798" t="s">
        <v>144</v>
      </c>
      <c r="C3798">
        <v>1</v>
      </c>
      <c r="D3798">
        <v>0</v>
      </c>
      <c r="E3798">
        <v>0</v>
      </c>
      <c r="F3798">
        <v>0</v>
      </c>
      <c r="G3798">
        <v>0</v>
      </c>
      <c r="H3798">
        <v>1</v>
      </c>
      <c r="I3798">
        <v>1</v>
      </c>
      <c r="J3798">
        <v>45552.107202113497</v>
      </c>
      <c r="K3798">
        <v>41882.7860113442</v>
      </c>
      <c r="L3798">
        <v>41.335999999999999</v>
      </c>
      <c r="M3798">
        <v>76.185000000000002</v>
      </c>
      <c r="N3798">
        <v>7.1120000000000001</v>
      </c>
    </row>
    <row r="3799" spans="1:14" x14ac:dyDescent="0.45">
      <c r="A3799">
        <v>1998</v>
      </c>
      <c r="B3799" t="s">
        <v>145</v>
      </c>
      <c r="C3799">
        <v>0</v>
      </c>
      <c r="D3799">
        <v>0</v>
      </c>
      <c r="E3799">
        <v>0</v>
      </c>
      <c r="F3799">
        <v>1</v>
      </c>
      <c r="G3799">
        <v>0</v>
      </c>
      <c r="H3799">
        <v>0</v>
      </c>
      <c r="I3799">
        <v>0</v>
      </c>
      <c r="J3799">
        <v>10400.861711354401</v>
      </c>
      <c r="K3799">
        <v>10374.8041403684</v>
      </c>
      <c r="L3799">
        <v>37.411999999999999</v>
      </c>
      <c r="M3799">
        <v>69.213999999999999</v>
      </c>
      <c r="N3799">
        <v>40.134999999999998</v>
      </c>
    </row>
    <row r="3800" spans="1:14" x14ac:dyDescent="0.45">
      <c r="A3800">
        <v>1998</v>
      </c>
      <c r="B3800" t="s">
        <v>146</v>
      </c>
      <c r="C3800">
        <v>0</v>
      </c>
      <c r="D3800">
        <v>0</v>
      </c>
      <c r="E3800">
        <v>0</v>
      </c>
      <c r="F3800">
        <v>1</v>
      </c>
      <c r="G3800">
        <v>0</v>
      </c>
      <c r="H3800">
        <v>0</v>
      </c>
      <c r="I3800">
        <v>0</v>
      </c>
      <c r="J3800">
        <v>9871.7339803053292</v>
      </c>
      <c r="K3800">
        <v>6978.21786278732</v>
      </c>
      <c r="L3800">
        <v>31.611999999999998</v>
      </c>
      <c r="M3800">
        <v>64.405000000000001</v>
      </c>
      <c r="N3800">
        <v>46.308999999999997</v>
      </c>
    </row>
    <row r="3801" spans="1:14" x14ac:dyDescent="0.45">
      <c r="A3801">
        <v>1998</v>
      </c>
      <c r="B3801" t="s">
        <v>147</v>
      </c>
      <c r="C3801">
        <v>1</v>
      </c>
      <c r="D3801">
        <v>0</v>
      </c>
      <c r="E3801">
        <v>0</v>
      </c>
      <c r="F3801">
        <v>0</v>
      </c>
      <c r="G3801">
        <v>0</v>
      </c>
      <c r="H3801">
        <v>1</v>
      </c>
      <c r="I3801">
        <v>1</v>
      </c>
      <c r="J3801">
        <v>44880.495671357297</v>
      </c>
      <c r="K3801">
        <v>38834.594093368003</v>
      </c>
      <c r="L3801">
        <v>7.8789999999999996</v>
      </c>
      <c r="M3801">
        <v>79.396000000000001</v>
      </c>
      <c r="N3801">
        <v>4.8970000000000002</v>
      </c>
    </row>
    <row r="3802" spans="1:14" x14ac:dyDescent="0.45">
      <c r="A3802">
        <v>1998</v>
      </c>
      <c r="B3802" t="s">
        <v>148</v>
      </c>
      <c r="C3802">
        <v>0</v>
      </c>
      <c r="D3802">
        <v>0</v>
      </c>
      <c r="E3802">
        <v>0</v>
      </c>
      <c r="F3802">
        <v>0</v>
      </c>
      <c r="G3802">
        <v>0</v>
      </c>
      <c r="H3802">
        <v>1</v>
      </c>
      <c r="I3802">
        <v>1</v>
      </c>
      <c r="J3802">
        <v>31246.8564724838</v>
      </c>
      <c r="K3802">
        <v>28662.028218764299</v>
      </c>
      <c r="L3802">
        <v>8.9260000000000002</v>
      </c>
      <c r="M3802">
        <v>78.587999999999994</v>
      </c>
      <c r="N3802">
        <v>7.649</v>
      </c>
    </row>
    <row r="3803" spans="1:14" x14ac:dyDescent="0.45">
      <c r="A3803">
        <v>1998</v>
      </c>
      <c r="B3803" t="s">
        <v>149</v>
      </c>
      <c r="C3803">
        <v>1</v>
      </c>
      <c r="D3803">
        <v>0</v>
      </c>
      <c r="E3803">
        <v>0</v>
      </c>
      <c r="F3803">
        <v>0</v>
      </c>
      <c r="G3803">
        <v>0</v>
      </c>
      <c r="H3803">
        <v>1</v>
      </c>
      <c r="I3803">
        <v>1</v>
      </c>
      <c r="J3803">
        <v>47701.397419126501</v>
      </c>
      <c r="K3803">
        <v>40630.4817112073</v>
      </c>
      <c r="L3803">
        <v>32.898000000000003</v>
      </c>
      <c r="M3803">
        <v>78.807000000000002</v>
      </c>
      <c r="N3803">
        <v>6.2169999999999996</v>
      </c>
    </row>
    <row r="3804" spans="1:14" x14ac:dyDescent="0.45">
      <c r="A3804">
        <v>1998</v>
      </c>
      <c r="B3804" t="s">
        <v>150</v>
      </c>
      <c r="C3804">
        <v>0</v>
      </c>
      <c r="D3804">
        <v>1</v>
      </c>
      <c r="E3804">
        <v>0</v>
      </c>
      <c r="F3804">
        <v>1</v>
      </c>
      <c r="G3804">
        <v>0</v>
      </c>
      <c r="H3804">
        <v>0</v>
      </c>
      <c r="I3804">
        <v>0</v>
      </c>
      <c r="J3804">
        <v>9475.9020947381105</v>
      </c>
      <c r="K3804">
        <v>9338.7872841444605</v>
      </c>
      <c r="L3804">
        <v>48.664999999999999</v>
      </c>
      <c r="M3804">
        <v>71.17</v>
      </c>
      <c r="N3804">
        <v>21.919</v>
      </c>
    </row>
    <row r="3805" spans="1:14" x14ac:dyDescent="0.45">
      <c r="A3805">
        <v>1998</v>
      </c>
      <c r="B3805" t="s">
        <v>151</v>
      </c>
      <c r="C3805">
        <v>0</v>
      </c>
      <c r="D3805">
        <v>0</v>
      </c>
      <c r="E3805">
        <v>0</v>
      </c>
      <c r="F3805">
        <v>1</v>
      </c>
      <c r="G3805">
        <v>0</v>
      </c>
      <c r="H3805">
        <v>0</v>
      </c>
      <c r="I3805">
        <v>0</v>
      </c>
      <c r="J3805">
        <v>7826.7401570593402</v>
      </c>
      <c r="K3805">
        <v>7764.4807177106304</v>
      </c>
      <c r="L3805">
        <v>21.754999999999999</v>
      </c>
      <c r="M3805">
        <v>71.521000000000001</v>
      </c>
      <c r="N3805">
        <v>28.378</v>
      </c>
    </row>
    <row r="3806" spans="1:14" x14ac:dyDescent="0.45">
      <c r="A3806">
        <v>1998</v>
      </c>
      <c r="B3806" t="s">
        <v>152</v>
      </c>
      <c r="C3806">
        <v>0</v>
      </c>
      <c r="D3806">
        <v>0</v>
      </c>
      <c r="E3806">
        <v>0</v>
      </c>
      <c r="F3806">
        <v>0</v>
      </c>
      <c r="G3806">
        <v>0</v>
      </c>
      <c r="H3806">
        <v>1</v>
      </c>
      <c r="I3806">
        <v>1</v>
      </c>
      <c r="J3806">
        <v>38217.195592095297</v>
      </c>
      <c r="K3806">
        <v>35401.823585288403</v>
      </c>
      <c r="L3806">
        <v>21.602</v>
      </c>
      <c r="M3806">
        <v>80.649000000000001</v>
      </c>
      <c r="N3806">
        <v>5.101</v>
      </c>
    </row>
    <row r="3807" spans="1:14" x14ac:dyDescent="0.45">
      <c r="A3807">
        <v>1998</v>
      </c>
      <c r="B3807" t="s">
        <v>153</v>
      </c>
      <c r="C3807">
        <v>1</v>
      </c>
      <c r="D3807">
        <v>0</v>
      </c>
      <c r="E3807">
        <v>0</v>
      </c>
      <c r="F3807">
        <v>1</v>
      </c>
      <c r="G3807">
        <v>0</v>
      </c>
      <c r="H3807">
        <v>0</v>
      </c>
      <c r="I3807">
        <v>0</v>
      </c>
      <c r="J3807">
        <v>11364.0307809315</v>
      </c>
      <c r="K3807">
        <v>8641.8841637346104</v>
      </c>
      <c r="L3807">
        <v>44.014000000000003</v>
      </c>
      <c r="M3807">
        <v>63.348999999999997</v>
      </c>
      <c r="N3807">
        <v>46.789000000000001</v>
      </c>
    </row>
    <row r="3808" spans="1:14" x14ac:dyDescent="0.45">
      <c r="A3808">
        <v>1998</v>
      </c>
      <c r="B3808" t="s">
        <v>154</v>
      </c>
      <c r="C3808">
        <v>0</v>
      </c>
      <c r="D3808">
        <v>0</v>
      </c>
      <c r="E3808">
        <v>1</v>
      </c>
      <c r="F3808">
        <v>0</v>
      </c>
      <c r="G3808">
        <v>0</v>
      </c>
      <c r="H3808">
        <v>0</v>
      </c>
      <c r="I3808">
        <v>0</v>
      </c>
      <c r="J3808">
        <v>3871.82176322447</v>
      </c>
      <c r="K3808">
        <v>3336.9150254855899</v>
      </c>
      <c r="L3808">
        <v>80.778000000000006</v>
      </c>
      <c r="M3808">
        <v>55.567999999999998</v>
      </c>
      <c r="N3808">
        <v>102.241</v>
      </c>
    </row>
    <row r="3809" spans="1:14" x14ac:dyDescent="0.45">
      <c r="A3809">
        <v>1998</v>
      </c>
      <c r="B3809" t="s">
        <v>155</v>
      </c>
      <c r="C3809">
        <v>1</v>
      </c>
      <c r="D3809">
        <v>0</v>
      </c>
      <c r="E3809">
        <v>0</v>
      </c>
      <c r="F3809">
        <v>0</v>
      </c>
      <c r="G3809">
        <v>0</v>
      </c>
      <c r="H3809">
        <v>0</v>
      </c>
      <c r="I3809">
        <v>0</v>
      </c>
      <c r="J3809">
        <v>3419.2233073621501</v>
      </c>
      <c r="K3809">
        <v>2889.8182456139998</v>
      </c>
      <c r="L3809">
        <v>64.495999999999995</v>
      </c>
      <c r="M3809">
        <v>64.578999999999994</v>
      </c>
      <c r="N3809">
        <v>54.286999999999999</v>
      </c>
    </row>
    <row r="3810" spans="1:14" x14ac:dyDescent="0.45">
      <c r="A3810">
        <v>1998</v>
      </c>
      <c r="B3810" t="s">
        <v>156</v>
      </c>
      <c r="C3810">
        <v>0</v>
      </c>
      <c r="D3810">
        <v>0</v>
      </c>
      <c r="E3810">
        <v>0</v>
      </c>
      <c r="F3810">
        <v>0</v>
      </c>
      <c r="G3810">
        <v>0</v>
      </c>
      <c r="H3810">
        <v>0</v>
      </c>
      <c r="I3810">
        <v>0</v>
      </c>
      <c r="J3810">
        <v>1602.3837120887899</v>
      </c>
      <c r="K3810">
        <v>1436.80665845504</v>
      </c>
      <c r="L3810">
        <v>81.644999999999996</v>
      </c>
      <c r="M3810">
        <v>57.859000000000002</v>
      </c>
      <c r="N3810">
        <v>113.108</v>
      </c>
    </row>
    <row r="3811" spans="1:14" x14ac:dyDescent="0.45">
      <c r="A3811">
        <v>1998</v>
      </c>
      <c r="B3811" t="s">
        <v>157</v>
      </c>
      <c r="C3811">
        <v>0</v>
      </c>
      <c r="D3811">
        <v>0</v>
      </c>
      <c r="E3811">
        <v>0</v>
      </c>
      <c r="F3811">
        <v>1</v>
      </c>
      <c r="G3811">
        <v>0</v>
      </c>
      <c r="H3811">
        <v>0</v>
      </c>
      <c r="I3811">
        <v>0</v>
      </c>
      <c r="J3811">
        <v>2502.8620699394301</v>
      </c>
      <c r="K3811">
        <v>2264.0872699052402</v>
      </c>
      <c r="L3811">
        <v>59.862000000000002</v>
      </c>
      <c r="M3811">
        <v>64.099999999999994</v>
      </c>
      <c r="N3811">
        <v>69.834999999999994</v>
      </c>
    </row>
    <row r="3812" spans="1:14" x14ac:dyDescent="0.45">
      <c r="A3812">
        <v>1998</v>
      </c>
      <c r="B3812" t="s">
        <v>158</v>
      </c>
      <c r="C3812">
        <v>0</v>
      </c>
      <c r="D3812">
        <v>1</v>
      </c>
      <c r="E3812">
        <v>0</v>
      </c>
      <c r="F3812">
        <v>0</v>
      </c>
      <c r="G3812">
        <v>1</v>
      </c>
      <c r="H3812">
        <v>0</v>
      </c>
      <c r="I3812">
        <v>0</v>
      </c>
      <c r="J3812">
        <v>17963.699237934699</v>
      </c>
      <c r="K3812">
        <v>17741.5963878939</v>
      </c>
      <c r="L3812">
        <v>66.849000000000004</v>
      </c>
      <c r="M3812">
        <v>67.891000000000005</v>
      </c>
      <c r="N3812">
        <v>26.898</v>
      </c>
    </row>
    <row r="3813" spans="1:14" x14ac:dyDescent="0.45">
      <c r="A3813">
        <v>1998</v>
      </c>
      <c r="B3813" t="s">
        <v>159</v>
      </c>
      <c r="C3813">
        <v>0</v>
      </c>
      <c r="D3813">
        <v>0</v>
      </c>
      <c r="E3813">
        <v>0</v>
      </c>
      <c r="F3813">
        <v>0</v>
      </c>
      <c r="G3813">
        <v>1</v>
      </c>
      <c r="H3813">
        <v>0</v>
      </c>
      <c r="I3813">
        <v>0</v>
      </c>
      <c r="J3813">
        <v>20978.281976044898</v>
      </c>
      <c r="K3813">
        <v>19124.273788004499</v>
      </c>
      <c r="L3813">
        <v>20.855</v>
      </c>
      <c r="M3813">
        <v>75.034999999999997</v>
      </c>
      <c r="N3813">
        <v>8.8109999999999999</v>
      </c>
    </row>
    <row r="3814" spans="1:14" x14ac:dyDescent="0.45">
      <c r="A3814">
        <v>1998</v>
      </c>
      <c r="B3814" t="s">
        <v>160</v>
      </c>
      <c r="C3814">
        <v>0</v>
      </c>
      <c r="D3814">
        <v>0</v>
      </c>
      <c r="E3814">
        <v>0</v>
      </c>
      <c r="F3814">
        <v>0</v>
      </c>
      <c r="G3814">
        <v>0</v>
      </c>
      <c r="H3814">
        <v>1</v>
      </c>
      <c r="I3814">
        <v>1</v>
      </c>
      <c r="J3814">
        <v>62450.088474948301</v>
      </c>
      <c r="K3814">
        <v>55618.056615433903</v>
      </c>
      <c r="L3814">
        <v>1.2949999999999999</v>
      </c>
      <c r="M3814">
        <v>75.611999999999995</v>
      </c>
      <c r="N3814">
        <v>13.504</v>
      </c>
    </row>
    <row r="3815" spans="1:14" x14ac:dyDescent="0.45">
      <c r="A3815">
        <v>1998</v>
      </c>
      <c r="B3815" t="s">
        <v>161</v>
      </c>
      <c r="C3815">
        <v>0</v>
      </c>
      <c r="D3815">
        <v>0</v>
      </c>
      <c r="E3815">
        <v>0</v>
      </c>
      <c r="F3815">
        <v>0</v>
      </c>
      <c r="G3815">
        <v>0</v>
      </c>
      <c r="H3815">
        <v>0</v>
      </c>
      <c r="I3815">
        <v>0</v>
      </c>
      <c r="J3815">
        <v>2642.5661869958499</v>
      </c>
      <c r="K3815">
        <v>2539.2619207552498</v>
      </c>
      <c r="L3815">
        <v>79.960999999999999</v>
      </c>
      <c r="M3815">
        <v>57.548999999999999</v>
      </c>
      <c r="N3815">
        <v>115.127</v>
      </c>
    </row>
    <row r="3816" spans="1:14" x14ac:dyDescent="0.45">
      <c r="A3816">
        <v>1998</v>
      </c>
      <c r="B3816" t="s">
        <v>162</v>
      </c>
      <c r="C3816">
        <v>0</v>
      </c>
      <c r="D3816">
        <v>0</v>
      </c>
      <c r="E3816">
        <v>0</v>
      </c>
      <c r="F3816">
        <v>0</v>
      </c>
      <c r="G3816">
        <v>1</v>
      </c>
      <c r="H3816">
        <v>0</v>
      </c>
      <c r="I3816">
        <v>0</v>
      </c>
      <c r="J3816">
        <v>11885.3072278409</v>
      </c>
      <c r="K3816">
        <v>15448.4439935356</v>
      </c>
      <c r="L3816">
        <v>14.23</v>
      </c>
      <c r="M3816">
        <v>73.200999999999993</v>
      </c>
      <c r="N3816">
        <v>21.917999999999999</v>
      </c>
    </row>
    <row r="3817" spans="1:14" x14ac:dyDescent="0.45">
      <c r="A3817">
        <v>1998</v>
      </c>
      <c r="B3817" t="s">
        <v>163</v>
      </c>
      <c r="C3817">
        <v>0</v>
      </c>
      <c r="D3817">
        <v>0</v>
      </c>
      <c r="E3817">
        <v>1</v>
      </c>
      <c r="F3817">
        <v>0</v>
      </c>
      <c r="G3817">
        <v>0</v>
      </c>
      <c r="H3817">
        <v>0</v>
      </c>
      <c r="I3817">
        <v>0</v>
      </c>
      <c r="J3817">
        <v>1308.40568305294</v>
      </c>
      <c r="K3817">
        <v>1933.0980206613101</v>
      </c>
      <c r="L3817">
        <v>56.353999999999999</v>
      </c>
      <c r="M3817">
        <v>49.366999999999997</v>
      </c>
      <c r="N3817">
        <v>209.91300000000001</v>
      </c>
    </row>
    <row r="3818" spans="1:14" x14ac:dyDescent="0.45">
      <c r="A3818">
        <v>1998</v>
      </c>
      <c r="B3818" t="s">
        <v>164</v>
      </c>
      <c r="C3818">
        <v>0</v>
      </c>
      <c r="D3818">
        <v>0</v>
      </c>
      <c r="E3818">
        <v>0</v>
      </c>
      <c r="F3818">
        <v>0</v>
      </c>
      <c r="G3818">
        <v>1</v>
      </c>
      <c r="H3818">
        <v>0</v>
      </c>
      <c r="I3818">
        <v>0</v>
      </c>
      <c r="J3818">
        <v>17528.311062247099</v>
      </c>
      <c r="K3818">
        <v>20485.252026661299</v>
      </c>
      <c r="L3818">
        <v>23.806999999999999</v>
      </c>
      <c r="M3818">
        <v>70.656999999999996</v>
      </c>
      <c r="N3818">
        <v>29.997</v>
      </c>
    </row>
    <row r="3819" spans="1:14" x14ac:dyDescent="0.45">
      <c r="A3819">
        <v>1998</v>
      </c>
      <c r="B3819" t="s">
        <v>165</v>
      </c>
      <c r="C3819">
        <v>0</v>
      </c>
      <c r="D3819">
        <v>1</v>
      </c>
      <c r="E3819">
        <v>0</v>
      </c>
      <c r="F3819">
        <v>0</v>
      </c>
      <c r="G3819">
        <v>1</v>
      </c>
      <c r="H3819">
        <v>0</v>
      </c>
      <c r="I3819">
        <v>0</v>
      </c>
      <c r="J3819">
        <v>18786.997602801799</v>
      </c>
      <c r="K3819">
        <v>13515.4977224583</v>
      </c>
      <c r="L3819">
        <v>71.831999999999994</v>
      </c>
      <c r="M3819">
        <v>70.680000000000007</v>
      </c>
      <c r="N3819">
        <v>18.472999999999999</v>
      </c>
    </row>
    <row r="3820" spans="1:14" x14ac:dyDescent="0.45">
      <c r="A3820">
        <v>1998</v>
      </c>
      <c r="B3820" t="s">
        <v>166</v>
      </c>
      <c r="C3820">
        <v>1</v>
      </c>
      <c r="D3820">
        <v>0</v>
      </c>
      <c r="E3820">
        <v>0</v>
      </c>
      <c r="F3820">
        <v>0</v>
      </c>
      <c r="G3820">
        <v>0</v>
      </c>
      <c r="H3820">
        <v>1</v>
      </c>
      <c r="I3820">
        <v>1</v>
      </c>
      <c r="L3820">
        <v>84.298000000000002</v>
      </c>
      <c r="M3820">
        <v>77.805999999999997</v>
      </c>
      <c r="N3820">
        <v>13.198</v>
      </c>
    </row>
    <row r="3821" spans="1:14" x14ac:dyDescent="0.45">
      <c r="A3821">
        <v>1998</v>
      </c>
      <c r="B3821" t="s">
        <v>167</v>
      </c>
      <c r="C3821">
        <v>0</v>
      </c>
      <c r="D3821">
        <v>0</v>
      </c>
      <c r="E3821">
        <v>0</v>
      </c>
      <c r="F3821">
        <v>1</v>
      </c>
      <c r="G3821">
        <v>0</v>
      </c>
      <c r="H3821">
        <v>0</v>
      </c>
      <c r="I3821">
        <v>0</v>
      </c>
      <c r="J3821">
        <v>6032.6221263049802</v>
      </c>
      <c r="K3821">
        <v>5634.3737197699302</v>
      </c>
      <c r="L3821">
        <v>81.588999999999999</v>
      </c>
      <c r="M3821">
        <v>70.134</v>
      </c>
      <c r="N3821">
        <v>18.271000000000001</v>
      </c>
    </row>
    <row r="3822" spans="1:14" x14ac:dyDescent="0.45">
      <c r="A3822">
        <v>1998</v>
      </c>
      <c r="B3822" t="s">
        <v>168</v>
      </c>
      <c r="C3822">
        <v>0</v>
      </c>
      <c r="D3822">
        <v>0</v>
      </c>
      <c r="E3822">
        <v>1</v>
      </c>
      <c r="F3822">
        <v>0</v>
      </c>
      <c r="G3822">
        <v>0</v>
      </c>
      <c r="H3822">
        <v>0</v>
      </c>
      <c r="I3822">
        <v>0</v>
      </c>
      <c r="J3822">
        <v>1856.6907848871399</v>
      </c>
      <c r="K3822">
        <v>1662.5184260480701</v>
      </c>
      <c r="L3822">
        <v>81.462000000000003</v>
      </c>
      <c r="M3822">
        <v>52.029000000000003</v>
      </c>
      <c r="N3822">
        <v>104.3</v>
      </c>
    </row>
    <row r="3823" spans="1:14" x14ac:dyDescent="0.45">
      <c r="A3823">
        <v>1998</v>
      </c>
      <c r="B3823" t="s">
        <v>169</v>
      </c>
      <c r="C3823">
        <v>1</v>
      </c>
      <c r="D3823">
        <v>0</v>
      </c>
      <c r="E3823">
        <v>0</v>
      </c>
      <c r="F3823">
        <v>1</v>
      </c>
      <c r="G3823">
        <v>0</v>
      </c>
      <c r="H3823">
        <v>0</v>
      </c>
      <c r="I3823">
        <v>0</v>
      </c>
      <c r="J3823">
        <v>15202.9118027933</v>
      </c>
      <c r="K3823">
        <v>13007.104785982199</v>
      </c>
      <c r="L3823">
        <v>32.893999999999998</v>
      </c>
      <c r="M3823">
        <v>71.33</v>
      </c>
      <c r="N3823">
        <v>11.707000000000001</v>
      </c>
    </row>
    <row r="3824" spans="1:14" x14ac:dyDescent="0.45">
      <c r="A3824">
        <v>1998</v>
      </c>
      <c r="B3824" t="s">
        <v>170</v>
      </c>
      <c r="C3824">
        <v>1</v>
      </c>
      <c r="D3824">
        <v>0</v>
      </c>
      <c r="E3824">
        <v>0</v>
      </c>
      <c r="F3824">
        <v>0</v>
      </c>
      <c r="G3824">
        <v>0</v>
      </c>
      <c r="H3824">
        <v>1</v>
      </c>
      <c r="I3824">
        <v>1</v>
      </c>
      <c r="J3824">
        <v>101364.675334086</v>
      </c>
      <c r="K3824">
        <v>86622.330063822199</v>
      </c>
      <c r="L3824">
        <v>17.106999999999999</v>
      </c>
      <c r="M3824">
        <v>76.570999999999998</v>
      </c>
      <c r="N3824">
        <v>7.3289999999999997</v>
      </c>
    </row>
    <row r="3825" spans="1:14" x14ac:dyDescent="0.45">
      <c r="A3825">
        <v>1998</v>
      </c>
      <c r="B3825" t="s">
        <v>171</v>
      </c>
      <c r="C3825">
        <v>1</v>
      </c>
      <c r="D3825">
        <v>0</v>
      </c>
      <c r="E3825">
        <v>0</v>
      </c>
      <c r="F3825">
        <v>1</v>
      </c>
      <c r="G3825">
        <v>0</v>
      </c>
      <c r="H3825">
        <v>0</v>
      </c>
      <c r="I3825">
        <v>0</v>
      </c>
      <c r="J3825">
        <v>13138.401252425499</v>
      </c>
      <c r="K3825">
        <v>11398.736134967799</v>
      </c>
      <c r="L3825">
        <v>31.548999999999999</v>
      </c>
      <c r="M3825">
        <v>68.850999999999999</v>
      </c>
      <c r="N3825">
        <v>18.782</v>
      </c>
    </row>
    <row r="3826" spans="1:14" x14ac:dyDescent="0.45">
      <c r="A3826">
        <v>1998</v>
      </c>
      <c r="B3826" t="s">
        <v>172</v>
      </c>
      <c r="C3826">
        <v>0</v>
      </c>
      <c r="D3826">
        <v>0</v>
      </c>
      <c r="E3826">
        <v>0</v>
      </c>
      <c r="F3826">
        <v>0</v>
      </c>
      <c r="G3826">
        <v>0</v>
      </c>
      <c r="H3826">
        <v>1</v>
      </c>
      <c r="I3826">
        <v>1</v>
      </c>
      <c r="J3826">
        <v>55238.974441626298</v>
      </c>
      <c r="K3826">
        <v>50059.850266312998</v>
      </c>
      <c r="L3826">
        <v>0</v>
      </c>
      <c r="M3826">
        <v>78.745000000000005</v>
      </c>
      <c r="N3826">
        <v>8.5310000000000006</v>
      </c>
    </row>
    <row r="3827" spans="1:14" x14ac:dyDescent="0.45">
      <c r="A3827">
        <v>1998</v>
      </c>
      <c r="B3827" t="s">
        <v>173</v>
      </c>
      <c r="C3827">
        <v>0</v>
      </c>
      <c r="D3827">
        <v>1</v>
      </c>
      <c r="E3827">
        <v>0</v>
      </c>
      <c r="F3827">
        <v>0</v>
      </c>
      <c r="G3827">
        <v>0</v>
      </c>
      <c r="H3827">
        <v>1</v>
      </c>
      <c r="I3827">
        <v>1</v>
      </c>
      <c r="L3827">
        <v>0</v>
      </c>
      <c r="M3827">
        <v>76.337999999999994</v>
      </c>
      <c r="N3827">
        <v>15.471</v>
      </c>
    </row>
    <row r="3828" spans="1:14" x14ac:dyDescent="0.45">
      <c r="A3828">
        <v>1998</v>
      </c>
      <c r="B3828" t="s">
        <v>174</v>
      </c>
      <c r="C3828">
        <v>0</v>
      </c>
      <c r="D3828">
        <v>0</v>
      </c>
      <c r="E3828">
        <v>0</v>
      </c>
      <c r="F3828">
        <v>1</v>
      </c>
      <c r="G3828">
        <v>0</v>
      </c>
      <c r="H3828">
        <v>0</v>
      </c>
      <c r="I3828">
        <v>0</v>
      </c>
      <c r="J3828">
        <v>5033.92333984375</v>
      </c>
      <c r="K3828">
        <v>4834.4211034025902</v>
      </c>
      <c r="L3828">
        <v>47.322000000000003</v>
      </c>
      <c r="M3828">
        <v>66.007999999999996</v>
      </c>
      <c r="N3828">
        <v>56.695</v>
      </c>
    </row>
    <row r="3829" spans="1:14" x14ac:dyDescent="0.45">
      <c r="A3829">
        <v>1998</v>
      </c>
      <c r="B3829" t="s">
        <v>175</v>
      </c>
      <c r="C3829">
        <v>1</v>
      </c>
      <c r="D3829">
        <v>0</v>
      </c>
      <c r="E3829">
        <v>0</v>
      </c>
      <c r="F3829">
        <v>0</v>
      </c>
      <c r="G3829">
        <v>0</v>
      </c>
      <c r="H3829">
        <v>1</v>
      </c>
      <c r="I3829">
        <v>1</v>
      </c>
      <c r="L3829">
        <v>0</v>
      </c>
      <c r="M3829">
        <v>81.605000000000004</v>
      </c>
      <c r="N3829">
        <v>8.234</v>
      </c>
    </row>
    <row r="3830" spans="1:14" x14ac:dyDescent="0.45">
      <c r="A3830">
        <v>1998</v>
      </c>
      <c r="B3830" t="s">
        <v>176</v>
      </c>
      <c r="C3830">
        <v>1</v>
      </c>
      <c r="D3830">
        <v>0</v>
      </c>
      <c r="E3830">
        <v>0</v>
      </c>
      <c r="F3830">
        <v>0</v>
      </c>
      <c r="G3830">
        <v>0</v>
      </c>
      <c r="H3830">
        <v>0</v>
      </c>
      <c r="I3830">
        <v>0</v>
      </c>
      <c r="J3830">
        <v>5783.4859375148299</v>
      </c>
      <c r="K3830">
        <v>4960.5400675057799</v>
      </c>
      <c r="L3830">
        <v>54.606000000000002</v>
      </c>
      <c r="M3830">
        <v>66.84</v>
      </c>
      <c r="N3830">
        <v>33.823</v>
      </c>
    </row>
    <row r="3831" spans="1:14" x14ac:dyDescent="0.45">
      <c r="A3831">
        <v>1998</v>
      </c>
      <c r="B3831" t="s">
        <v>177</v>
      </c>
      <c r="C3831">
        <v>0</v>
      </c>
      <c r="D3831">
        <v>0</v>
      </c>
      <c r="E3831">
        <v>1</v>
      </c>
      <c r="F3831">
        <v>0</v>
      </c>
      <c r="G3831">
        <v>0</v>
      </c>
      <c r="H3831">
        <v>0</v>
      </c>
      <c r="I3831">
        <v>0</v>
      </c>
      <c r="J3831">
        <v>1658.88849252814</v>
      </c>
      <c r="K3831">
        <v>1536.8383335569199</v>
      </c>
      <c r="L3831">
        <v>73.414000000000001</v>
      </c>
      <c r="M3831">
        <v>56.802999999999997</v>
      </c>
      <c r="N3831">
        <v>114.867</v>
      </c>
    </row>
    <row r="3832" spans="1:14" x14ac:dyDescent="0.45">
      <c r="A3832">
        <v>1998</v>
      </c>
      <c r="B3832" t="s">
        <v>178</v>
      </c>
      <c r="C3832">
        <v>0</v>
      </c>
      <c r="D3832">
        <v>0</v>
      </c>
      <c r="E3832">
        <v>0</v>
      </c>
      <c r="F3832">
        <v>1</v>
      </c>
      <c r="G3832">
        <v>0</v>
      </c>
      <c r="H3832">
        <v>0</v>
      </c>
      <c r="I3832">
        <v>0</v>
      </c>
      <c r="J3832">
        <v>12884.7223409413</v>
      </c>
      <c r="K3832">
        <v>12711.851867398</v>
      </c>
      <c r="L3832">
        <v>73.245000000000005</v>
      </c>
      <c r="M3832">
        <v>69.302999999999997</v>
      </c>
      <c r="N3832">
        <v>47.58</v>
      </c>
    </row>
    <row r="3833" spans="1:14" x14ac:dyDescent="0.45">
      <c r="A3833">
        <v>1998</v>
      </c>
      <c r="B3833" t="s">
        <v>179</v>
      </c>
      <c r="C3833">
        <v>0</v>
      </c>
      <c r="D3833">
        <v>1</v>
      </c>
      <c r="E3833">
        <v>0</v>
      </c>
      <c r="F3833">
        <v>0</v>
      </c>
      <c r="G3833">
        <v>1</v>
      </c>
      <c r="H3833">
        <v>0</v>
      </c>
      <c r="I3833">
        <v>0</v>
      </c>
      <c r="J3833">
        <v>19573.065453829699</v>
      </c>
      <c r="K3833">
        <v>18196.593372002699</v>
      </c>
      <c r="L3833">
        <v>25.814</v>
      </c>
      <c r="M3833">
        <v>71.792000000000002</v>
      </c>
      <c r="N3833">
        <v>30.92</v>
      </c>
    </row>
    <row r="3834" spans="1:14" x14ac:dyDescent="0.45">
      <c r="A3834">
        <v>1998</v>
      </c>
      <c r="B3834" t="s">
        <v>180</v>
      </c>
      <c r="C3834">
        <v>0</v>
      </c>
      <c r="D3834">
        <v>0</v>
      </c>
      <c r="E3834">
        <v>0</v>
      </c>
      <c r="F3834">
        <v>1</v>
      </c>
      <c r="G3834">
        <v>0</v>
      </c>
      <c r="H3834">
        <v>0</v>
      </c>
      <c r="I3834">
        <v>0</v>
      </c>
      <c r="J3834">
        <v>3805.8869149883399</v>
      </c>
      <c r="K3834">
        <v>3442.3671959913199</v>
      </c>
      <c r="L3834">
        <v>32.287999999999997</v>
      </c>
      <c r="M3834">
        <v>63.218000000000004</v>
      </c>
      <c r="N3834">
        <v>41.997999999999998</v>
      </c>
    </row>
    <row r="3835" spans="1:14" x14ac:dyDescent="0.45">
      <c r="A3835">
        <v>1998</v>
      </c>
      <c r="B3835" t="s">
        <v>181</v>
      </c>
      <c r="C3835">
        <v>1</v>
      </c>
      <c r="D3835">
        <v>0</v>
      </c>
      <c r="E3835">
        <v>0</v>
      </c>
      <c r="F3835">
        <v>1</v>
      </c>
      <c r="G3835">
        <v>0</v>
      </c>
      <c r="H3835">
        <v>0</v>
      </c>
      <c r="I3835">
        <v>0</v>
      </c>
      <c r="J3835">
        <v>11092.2176992184</v>
      </c>
      <c r="K3835">
        <v>9363.9157303738793</v>
      </c>
      <c r="L3835">
        <v>41.034999999999997</v>
      </c>
      <c r="M3835">
        <v>71.802000000000007</v>
      </c>
      <c r="N3835">
        <v>20.123000000000001</v>
      </c>
    </row>
    <row r="3836" spans="1:14" x14ac:dyDescent="0.45">
      <c r="A3836">
        <v>1998</v>
      </c>
      <c r="B3836" t="s">
        <v>182</v>
      </c>
      <c r="C3836">
        <v>0</v>
      </c>
      <c r="D3836">
        <v>0</v>
      </c>
      <c r="E3836">
        <v>1</v>
      </c>
      <c r="F3836">
        <v>0</v>
      </c>
      <c r="G3836">
        <v>0</v>
      </c>
      <c r="H3836">
        <v>0</v>
      </c>
      <c r="I3836">
        <v>0</v>
      </c>
      <c r="J3836">
        <v>1916.32421574666</v>
      </c>
      <c r="K3836">
        <v>1773.7684391934199</v>
      </c>
      <c r="L3836">
        <v>73.052000000000007</v>
      </c>
      <c r="M3836">
        <v>49.591999999999999</v>
      </c>
      <c r="N3836">
        <v>197.67</v>
      </c>
    </row>
    <row r="3837" spans="1:14" x14ac:dyDescent="0.45">
      <c r="A3837">
        <v>1998</v>
      </c>
      <c r="B3837" t="s">
        <v>183</v>
      </c>
      <c r="C3837">
        <v>0</v>
      </c>
      <c r="D3837">
        <v>0</v>
      </c>
      <c r="E3837">
        <v>0</v>
      </c>
      <c r="F3837">
        <v>0</v>
      </c>
      <c r="G3837">
        <v>0</v>
      </c>
      <c r="H3837">
        <v>1</v>
      </c>
      <c r="I3837">
        <v>1</v>
      </c>
      <c r="J3837">
        <v>25073.610752025099</v>
      </c>
      <c r="K3837">
        <v>21689.900547548601</v>
      </c>
      <c r="L3837">
        <v>8.2069999999999901</v>
      </c>
      <c r="M3837">
        <v>77.799000000000007</v>
      </c>
      <c r="N3837">
        <v>9.0220000000000002</v>
      </c>
    </row>
    <row r="3838" spans="1:14" x14ac:dyDescent="0.45">
      <c r="A3838">
        <v>1998</v>
      </c>
      <c r="B3838" t="s">
        <v>184</v>
      </c>
      <c r="C3838">
        <v>0</v>
      </c>
      <c r="D3838">
        <v>0</v>
      </c>
      <c r="E3838">
        <v>0</v>
      </c>
      <c r="F3838">
        <v>0</v>
      </c>
      <c r="G3838">
        <v>0</v>
      </c>
      <c r="H3838">
        <v>0</v>
      </c>
      <c r="I3838">
        <v>0</v>
      </c>
      <c r="J3838">
        <v>1102.7909636939901</v>
      </c>
      <c r="K3838">
        <v>883.00817868045897</v>
      </c>
      <c r="L3838">
        <v>73.337000000000003</v>
      </c>
      <c r="M3838">
        <v>59.896000000000001</v>
      </c>
      <c r="N3838">
        <v>94.058999999999997</v>
      </c>
    </row>
    <row r="3839" spans="1:14" x14ac:dyDescent="0.45">
      <c r="A3839">
        <v>1998</v>
      </c>
      <c r="B3839" t="s">
        <v>185</v>
      </c>
      <c r="C3839">
        <v>1</v>
      </c>
      <c r="D3839">
        <v>0</v>
      </c>
      <c r="E3839">
        <v>0</v>
      </c>
      <c r="F3839">
        <v>1</v>
      </c>
      <c r="G3839">
        <v>0</v>
      </c>
      <c r="H3839">
        <v>0</v>
      </c>
      <c r="I3839">
        <v>0</v>
      </c>
      <c r="J3839">
        <v>15381.212677187999</v>
      </c>
      <c r="K3839">
        <v>12996.1857330453</v>
      </c>
      <c r="L3839">
        <v>43.512</v>
      </c>
      <c r="M3839">
        <v>73.441999999999993</v>
      </c>
      <c r="N3839">
        <v>15.13</v>
      </c>
    </row>
    <row r="3840" spans="1:14" x14ac:dyDescent="0.45">
      <c r="A3840">
        <v>1998</v>
      </c>
      <c r="B3840" t="s">
        <v>186</v>
      </c>
      <c r="C3840">
        <v>0</v>
      </c>
      <c r="D3840">
        <v>0</v>
      </c>
      <c r="E3840">
        <v>0</v>
      </c>
      <c r="F3840">
        <v>0</v>
      </c>
      <c r="G3840">
        <v>0</v>
      </c>
      <c r="H3840">
        <v>0</v>
      </c>
      <c r="I3840">
        <v>0</v>
      </c>
      <c r="J3840">
        <v>5735.8438364577096</v>
      </c>
      <c r="K3840">
        <v>4419.3294510389496</v>
      </c>
      <c r="L3840">
        <v>43.331000000000003</v>
      </c>
      <c r="M3840">
        <v>62.121000000000002</v>
      </c>
      <c r="N3840">
        <v>71.210999999999999</v>
      </c>
    </row>
    <row r="3841" spans="1:14" x14ac:dyDescent="0.45">
      <c r="A3841">
        <v>1998</v>
      </c>
      <c r="B3841" t="s">
        <v>187</v>
      </c>
      <c r="C3841">
        <v>0</v>
      </c>
      <c r="D3841">
        <v>0</v>
      </c>
      <c r="E3841">
        <v>0</v>
      </c>
      <c r="F3841">
        <v>0</v>
      </c>
      <c r="G3841">
        <v>0</v>
      </c>
      <c r="H3841">
        <v>1</v>
      </c>
      <c r="I3841">
        <v>1</v>
      </c>
      <c r="L3841">
        <v>10.087999999999999</v>
      </c>
      <c r="M3841">
        <v>73.572999999999993</v>
      </c>
      <c r="N3841">
        <v>7.4489999999999998</v>
      </c>
    </row>
    <row r="3842" spans="1:14" x14ac:dyDescent="0.45">
      <c r="A3842">
        <v>1998</v>
      </c>
      <c r="B3842" t="s">
        <v>188</v>
      </c>
      <c r="C3842">
        <v>0</v>
      </c>
      <c r="D3842">
        <v>0</v>
      </c>
      <c r="E3842">
        <v>1</v>
      </c>
      <c r="F3842">
        <v>0</v>
      </c>
      <c r="G3842">
        <v>0</v>
      </c>
      <c r="H3842">
        <v>0</v>
      </c>
      <c r="I3842">
        <v>0</v>
      </c>
      <c r="J3842">
        <v>660.65017782074801</v>
      </c>
      <c r="K3842">
        <v>553.16233146853097</v>
      </c>
      <c r="L3842">
        <v>71.257999999999996</v>
      </c>
      <c r="M3842">
        <v>48.212000000000003</v>
      </c>
      <c r="N3842">
        <v>190.458</v>
      </c>
    </row>
    <row r="3843" spans="1:14" x14ac:dyDescent="0.45">
      <c r="A3843">
        <v>1998</v>
      </c>
      <c r="B3843" t="s">
        <v>189</v>
      </c>
      <c r="C3843">
        <v>0</v>
      </c>
      <c r="D3843">
        <v>0</v>
      </c>
      <c r="E3843">
        <v>1</v>
      </c>
      <c r="F3843">
        <v>0</v>
      </c>
      <c r="G3843">
        <v>0</v>
      </c>
      <c r="H3843">
        <v>0</v>
      </c>
      <c r="I3843">
        <v>0</v>
      </c>
      <c r="J3843">
        <v>5310.1581962026703</v>
      </c>
      <c r="K3843">
        <v>4697.9679566639197</v>
      </c>
      <c r="L3843">
        <v>61.662999999999997</v>
      </c>
      <c r="M3843">
        <v>59.89</v>
      </c>
      <c r="N3843">
        <v>103.917</v>
      </c>
    </row>
    <row r="3844" spans="1:14" x14ac:dyDescent="0.45">
      <c r="A3844">
        <v>1998</v>
      </c>
      <c r="B3844" t="s">
        <v>190</v>
      </c>
      <c r="C3844">
        <v>0</v>
      </c>
      <c r="D3844">
        <v>0</v>
      </c>
      <c r="E3844">
        <v>1</v>
      </c>
      <c r="F3844">
        <v>0</v>
      </c>
      <c r="G3844">
        <v>1</v>
      </c>
      <c r="H3844">
        <v>0</v>
      </c>
      <c r="I3844">
        <v>0</v>
      </c>
      <c r="J3844">
        <v>12272.319593349101</v>
      </c>
      <c r="K3844">
        <v>11519.1020916817</v>
      </c>
      <c r="L3844">
        <v>57.084000000000003</v>
      </c>
      <c r="M3844">
        <v>70.894000000000005</v>
      </c>
      <c r="N3844">
        <v>21.123999999999999</v>
      </c>
    </row>
    <row r="3845" spans="1:14" x14ac:dyDescent="0.45">
      <c r="A3845">
        <v>1998</v>
      </c>
      <c r="B3845" t="s">
        <v>191</v>
      </c>
      <c r="C3845">
        <v>0</v>
      </c>
      <c r="D3845">
        <v>0</v>
      </c>
      <c r="E3845">
        <v>1</v>
      </c>
      <c r="F3845">
        <v>0</v>
      </c>
      <c r="G3845">
        <v>0</v>
      </c>
      <c r="H3845">
        <v>0</v>
      </c>
      <c r="I3845">
        <v>0</v>
      </c>
      <c r="J3845">
        <v>1241.52433181826</v>
      </c>
      <c r="K3845">
        <v>1062.32440905047</v>
      </c>
      <c r="L3845">
        <v>85.616</v>
      </c>
      <c r="M3845">
        <v>44.3</v>
      </c>
      <c r="N3845">
        <v>187.35900000000001</v>
      </c>
    </row>
    <row r="3846" spans="1:14" x14ac:dyDescent="0.45">
      <c r="A3846">
        <v>1998</v>
      </c>
      <c r="B3846" t="s">
        <v>192</v>
      </c>
      <c r="C3846">
        <v>0</v>
      </c>
      <c r="D3846">
        <v>0</v>
      </c>
      <c r="E3846">
        <v>0</v>
      </c>
      <c r="F3846">
        <v>0</v>
      </c>
      <c r="G3846">
        <v>1</v>
      </c>
      <c r="H3846">
        <v>0</v>
      </c>
      <c r="I3846">
        <v>0</v>
      </c>
      <c r="J3846">
        <v>16817.171919040102</v>
      </c>
      <c r="K3846">
        <v>15032.567415101999</v>
      </c>
      <c r="L3846">
        <v>40.503999999999998</v>
      </c>
      <c r="M3846">
        <v>72.385000000000005</v>
      </c>
      <c r="N3846">
        <v>11.539</v>
      </c>
    </row>
    <row r="3847" spans="1:14" x14ac:dyDescent="0.45">
      <c r="A3847">
        <v>1998</v>
      </c>
      <c r="B3847" t="s">
        <v>193</v>
      </c>
      <c r="C3847">
        <v>0</v>
      </c>
      <c r="D3847">
        <v>0</v>
      </c>
      <c r="E3847">
        <v>1</v>
      </c>
      <c r="F3847">
        <v>1</v>
      </c>
      <c r="G3847">
        <v>0</v>
      </c>
      <c r="H3847">
        <v>0</v>
      </c>
      <c r="I3847">
        <v>0</v>
      </c>
      <c r="J3847">
        <v>7709.8900437013399</v>
      </c>
      <c r="K3847">
        <v>6682.1601928787404</v>
      </c>
      <c r="L3847">
        <v>68.665000000000006</v>
      </c>
      <c r="M3847">
        <v>54.767000000000003</v>
      </c>
      <c r="N3847">
        <v>76.091999999999999</v>
      </c>
    </row>
    <row r="3848" spans="1:14" x14ac:dyDescent="0.45">
      <c r="A3848">
        <v>1998</v>
      </c>
      <c r="B3848" t="s">
        <v>194</v>
      </c>
      <c r="C3848">
        <v>0</v>
      </c>
      <c r="D3848">
        <v>0</v>
      </c>
      <c r="E3848">
        <v>0</v>
      </c>
      <c r="F3848">
        <v>0</v>
      </c>
      <c r="G3848">
        <v>0</v>
      </c>
      <c r="H3848">
        <v>1</v>
      </c>
      <c r="I3848">
        <v>1</v>
      </c>
      <c r="L3848">
        <v>38.801000000000002</v>
      </c>
      <c r="M3848">
        <v>72.677000000000007</v>
      </c>
      <c r="N3848">
        <v>23.81</v>
      </c>
    </row>
    <row r="3849" spans="1:14" x14ac:dyDescent="0.45">
      <c r="A3849">
        <v>1998</v>
      </c>
      <c r="B3849" t="s">
        <v>195</v>
      </c>
      <c r="C3849">
        <v>0</v>
      </c>
      <c r="D3849">
        <v>0</v>
      </c>
      <c r="E3849">
        <v>1</v>
      </c>
      <c r="F3849">
        <v>0</v>
      </c>
      <c r="G3849">
        <v>0</v>
      </c>
      <c r="H3849">
        <v>0</v>
      </c>
      <c r="I3849">
        <v>0</v>
      </c>
      <c r="J3849">
        <v>1294.16191156539</v>
      </c>
      <c r="K3849">
        <v>1028.64153853621</v>
      </c>
      <c r="L3849">
        <v>83.98</v>
      </c>
      <c r="M3849">
        <v>47.807000000000002</v>
      </c>
      <c r="N3849">
        <v>250.154</v>
      </c>
    </row>
    <row r="3850" spans="1:14" x14ac:dyDescent="0.45">
      <c r="A3850">
        <v>1998</v>
      </c>
      <c r="B3850" t="s">
        <v>196</v>
      </c>
      <c r="C3850">
        <v>0</v>
      </c>
      <c r="D3850">
        <v>0</v>
      </c>
      <c r="E3850">
        <v>1</v>
      </c>
      <c r="F3850">
        <v>0</v>
      </c>
      <c r="G3850">
        <v>0</v>
      </c>
      <c r="H3850">
        <v>0</v>
      </c>
      <c r="I3850">
        <v>0</v>
      </c>
      <c r="J3850">
        <v>3285.2380398064101</v>
      </c>
      <c r="K3850">
        <v>2904.5932049685798</v>
      </c>
      <c r="L3850">
        <v>66.227000000000004</v>
      </c>
      <c r="M3850">
        <v>46.148000000000003</v>
      </c>
      <c r="N3850">
        <v>191.749</v>
      </c>
    </row>
    <row r="3851" spans="1:14" x14ac:dyDescent="0.45">
      <c r="A3851">
        <v>1998</v>
      </c>
      <c r="B3851" t="s">
        <v>197</v>
      </c>
      <c r="C3851">
        <v>0</v>
      </c>
      <c r="D3851">
        <v>1</v>
      </c>
      <c r="E3851">
        <v>0</v>
      </c>
      <c r="F3851">
        <v>0</v>
      </c>
      <c r="G3851">
        <v>0</v>
      </c>
      <c r="H3851">
        <v>0</v>
      </c>
      <c r="I3851">
        <v>0</v>
      </c>
      <c r="J3851">
        <v>4502.5983661988703</v>
      </c>
      <c r="K3851">
        <v>3792.38169512179</v>
      </c>
      <c r="L3851">
        <v>45.113999999999997</v>
      </c>
      <c r="M3851">
        <v>64.111000000000004</v>
      </c>
      <c r="N3851">
        <v>50.930999999999997</v>
      </c>
    </row>
    <row r="3852" spans="1:14" x14ac:dyDescent="0.45">
      <c r="A3852">
        <v>1998</v>
      </c>
      <c r="B3852" t="s">
        <v>198</v>
      </c>
      <c r="C3852">
        <v>1</v>
      </c>
      <c r="D3852">
        <v>0</v>
      </c>
      <c r="E3852">
        <v>0</v>
      </c>
      <c r="F3852">
        <v>0</v>
      </c>
      <c r="G3852">
        <v>0</v>
      </c>
      <c r="H3852">
        <v>1</v>
      </c>
      <c r="I3852">
        <v>1</v>
      </c>
      <c r="J3852">
        <v>51879.380325907303</v>
      </c>
      <c r="K3852">
        <v>43793.617042337297</v>
      </c>
      <c r="L3852">
        <v>24.75</v>
      </c>
      <c r="M3852">
        <v>78.004000000000005</v>
      </c>
      <c r="N3852">
        <v>6.359</v>
      </c>
    </row>
    <row r="3853" spans="1:14" x14ac:dyDescent="0.45">
      <c r="A3853">
        <v>1998</v>
      </c>
      <c r="B3853" t="s">
        <v>199</v>
      </c>
      <c r="C3853">
        <v>1</v>
      </c>
      <c r="D3853">
        <v>0</v>
      </c>
      <c r="E3853">
        <v>0</v>
      </c>
      <c r="F3853">
        <v>0</v>
      </c>
      <c r="G3853">
        <v>0</v>
      </c>
      <c r="H3853">
        <v>1</v>
      </c>
      <c r="I3853">
        <v>1</v>
      </c>
      <c r="J3853">
        <v>74558.294898956199</v>
      </c>
      <c r="K3853">
        <v>55090.200121654198</v>
      </c>
      <c r="L3853">
        <v>24.972999999999999</v>
      </c>
      <c r="M3853">
        <v>78.408000000000001</v>
      </c>
      <c r="N3853">
        <v>4.9059999999999997</v>
      </c>
    </row>
    <row r="3854" spans="1:14" x14ac:dyDescent="0.45">
      <c r="A3854">
        <v>1998</v>
      </c>
      <c r="B3854" t="s">
        <v>200</v>
      </c>
      <c r="C3854">
        <v>0</v>
      </c>
      <c r="D3854">
        <v>0</v>
      </c>
      <c r="E3854">
        <v>0</v>
      </c>
      <c r="F3854">
        <v>0</v>
      </c>
      <c r="G3854">
        <v>0</v>
      </c>
      <c r="H3854">
        <v>0</v>
      </c>
      <c r="I3854">
        <v>0</v>
      </c>
      <c r="J3854">
        <v>2188.2220157022998</v>
      </c>
      <c r="K3854">
        <v>1937.24809885426</v>
      </c>
      <c r="L3854">
        <v>87.664000000000001</v>
      </c>
      <c r="M3854">
        <v>61.531999999999996</v>
      </c>
      <c r="N3854">
        <v>89.001999999999995</v>
      </c>
    </row>
    <row r="3855" spans="1:14" x14ac:dyDescent="0.45">
      <c r="A3855">
        <v>1998</v>
      </c>
      <c r="B3855" t="s">
        <v>201</v>
      </c>
      <c r="C3855">
        <v>0</v>
      </c>
      <c r="D3855">
        <v>0</v>
      </c>
      <c r="E3855">
        <v>0</v>
      </c>
      <c r="F3855">
        <v>0</v>
      </c>
      <c r="G3855">
        <v>0</v>
      </c>
      <c r="H3855">
        <v>1</v>
      </c>
      <c r="I3855">
        <v>1</v>
      </c>
      <c r="J3855">
        <v>10275.9497159898</v>
      </c>
      <c r="K3855">
        <v>9296.8620506060797</v>
      </c>
      <c r="L3855">
        <v>0</v>
      </c>
      <c r="M3855">
        <v>59.86</v>
      </c>
      <c r="N3855">
        <v>46.51</v>
      </c>
    </row>
    <row r="3856" spans="1:14" x14ac:dyDescent="0.45">
      <c r="A3856">
        <v>1998</v>
      </c>
      <c r="B3856" t="s">
        <v>202</v>
      </c>
      <c r="C3856">
        <v>0</v>
      </c>
      <c r="D3856">
        <v>0</v>
      </c>
      <c r="E3856">
        <v>0</v>
      </c>
      <c r="F3856">
        <v>0</v>
      </c>
      <c r="G3856">
        <v>0</v>
      </c>
      <c r="H3856">
        <v>1</v>
      </c>
      <c r="I3856">
        <v>1</v>
      </c>
      <c r="J3856">
        <v>33469.253425493698</v>
      </c>
      <c r="K3856">
        <v>30442.026393000098</v>
      </c>
      <c r="L3856">
        <v>14.138999999999999</v>
      </c>
      <c r="M3856">
        <v>78.167000000000002</v>
      </c>
      <c r="N3856">
        <v>6.7389999999999999</v>
      </c>
    </row>
    <row r="3857" spans="1:14" x14ac:dyDescent="0.45">
      <c r="A3857">
        <v>1998</v>
      </c>
      <c r="B3857" t="s">
        <v>203</v>
      </c>
      <c r="C3857">
        <v>0</v>
      </c>
      <c r="D3857">
        <v>0</v>
      </c>
      <c r="E3857">
        <v>0</v>
      </c>
      <c r="F3857">
        <v>0</v>
      </c>
      <c r="G3857">
        <v>1</v>
      </c>
      <c r="H3857">
        <v>0</v>
      </c>
      <c r="I3857">
        <v>0</v>
      </c>
      <c r="J3857">
        <v>40574.674486188997</v>
      </c>
      <c r="K3857">
        <v>35256.169944761103</v>
      </c>
      <c r="L3857">
        <v>28.390999999999998</v>
      </c>
      <c r="M3857">
        <v>72.882000000000005</v>
      </c>
      <c r="N3857">
        <v>19.280999999999999</v>
      </c>
    </row>
    <row r="3858" spans="1:14" x14ac:dyDescent="0.45">
      <c r="A3858">
        <v>1998</v>
      </c>
      <c r="B3858" t="s">
        <v>204</v>
      </c>
      <c r="C3858">
        <v>0</v>
      </c>
      <c r="D3858">
        <v>0</v>
      </c>
      <c r="E3858">
        <v>0</v>
      </c>
      <c r="F3858">
        <v>0</v>
      </c>
      <c r="G3858">
        <v>0</v>
      </c>
      <c r="H3858">
        <v>0</v>
      </c>
      <c r="I3858">
        <v>0</v>
      </c>
      <c r="J3858">
        <v>3454.1766533054401</v>
      </c>
      <c r="K3858">
        <v>3288.0265426758901</v>
      </c>
      <c r="L3858">
        <v>67.415000000000006</v>
      </c>
      <c r="M3858">
        <v>61.134</v>
      </c>
      <c r="N3858">
        <v>114.748</v>
      </c>
    </row>
    <row r="3859" spans="1:14" x14ac:dyDescent="0.45">
      <c r="A3859">
        <v>1998</v>
      </c>
      <c r="B3859" t="s">
        <v>205</v>
      </c>
      <c r="C3859">
        <v>0</v>
      </c>
      <c r="D3859">
        <v>1</v>
      </c>
      <c r="E3859">
        <v>0</v>
      </c>
      <c r="F3859">
        <v>0</v>
      </c>
      <c r="G3859">
        <v>1</v>
      </c>
      <c r="H3859">
        <v>0</v>
      </c>
      <c r="I3859">
        <v>0</v>
      </c>
      <c r="J3859">
        <v>13826.5323286559</v>
      </c>
      <c r="K3859">
        <v>14498.1980533114</v>
      </c>
      <c r="L3859">
        <v>39.368000000000002</v>
      </c>
      <c r="M3859">
        <v>72.784999999999997</v>
      </c>
      <c r="N3859">
        <v>26.603000000000002</v>
      </c>
    </row>
    <row r="3860" spans="1:14" x14ac:dyDescent="0.45">
      <c r="A3860">
        <v>1998</v>
      </c>
      <c r="B3860" t="s">
        <v>206</v>
      </c>
      <c r="C3860">
        <v>0</v>
      </c>
      <c r="D3860">
        <v>1</v>
      </c>
      <c r="E3860">
        <v>0</v>
      </c>
      <c r="F3860">
        <v>1</v>
      </c>
      <c r="G3860">
        <v>0</v>
      </c>
      <c r="H3860">
        <v>0</v>
      </c>
      <c r="I3860">
        <v>0</v>
      </c>
      <c r="J3860">
        <v>7603.8092896886701</v>
      </c>
      <c r="K3860">
        <v>6353.6230816057696</v>
      </c>
      <c r="L3860">
        <v>27.783999999999999</v>
      </c>
      <c r="M3860">
        <v>68.724000000000004</v>
      </c>
      <c r="N3860">
        <v>45.222000000000001</v>
      </c>
    </row>
    <row r="3861" spans="1:14" x14ac:dyDescent="0.45">
      <c r="A3861">
        <v>1998</v>
      </c>
      <c r="B3861" t="s">
        <v>207</v>
      </c>
      <c r="C3861">
        <v>0</v>
      </c>
      <c r="D3861">
        <v>0</v>
      </c>
      <c r="E3861">
        <v>0</v>
      </c>
      <c r="F3861">
        <v>1</v>
      </c>
      <c r="G3861">
        <v>0</v>
      </c>
      <c r="H3861">
        <v>0</v>
      </c>
      <c r="I3861">
        <v>0</v>
      </c>
      <c r="J3861">
        <v>4616.6729290061703</v>
      </c>
      <c r="K3861">
        <v>4180.8616535906303</v>
      </c>
      <c r="L3861">
        <v>53.695</v>
      </c>
      <c r="M3861">
        <v>67.212000000000003</v>
      </c>
      <c r="N3861">
        <v>39.692999999999998</v>
      </c>
    </row>
    <row r="3862" spans="1:14" x14ac:dyDescent="0.45">
      <c r="A3862">
        <v>1998</v>
      </c>
      <c r="B3862" t="s">
        <v>208</v>
      </c>
      <c r="C3862">
        <v>0</v>
      </c>
      <c r="D3862">
        <v>0</v>
      </c>
      <c r="E3862">
        <v>0</v>
      </c>
      <c r="F3862">
        <v>0</v>
      </c>
      <c r="G3862">
        <v>1</v>
      </c>
      <c r="H3862">
        <v>0</v>
      </c>
      <c r="I3862">
        <v>0</v>
      </c>
      <c r="J3862">
        <v>17349.434955598499</v>
      </c>
      <c r="K3862">
        <v>15696.388936896001</v>
      </c>
      <c r="L3862">
        <v>29.175000000000001</v>
      </c>
      <c r="M3862">
        <v>63.951000000000001</v>
      </c>
      <c r="N3862">
        <v>28.324000000000002</v>
      </c>
    </row>
    <row r="3863" spans="1:14" x14ac:dyDescent="0.45">
      <c r="A3863">
        <v>1998</v>
      </c>
      <c r="B3863" t="s">
        <v>209</v>
      </c>
      <c r="C3863">
        <v>0</v>
      </c>
      <c r="D3863">
        <v>0</v>
      </c>
      <c r="E3863">
        <v>0</v>
      </c>
      <c r="F3863">
        <v>1</v>
      </c>
      <c r="G3863">
        <v>0</v>
      </c>
      <c r="H3863">
        <v>0</v>
      </c>
      <c r="I3863">
        <v>0</v>
      </c>
      <c r="J3863">
        <v>3590.1001228079299</v>
      </c>
      <c r="K3863">
        <v>3247.60940305142</v>
      </c>
      <c r="L3863">
        <v>86.450999999999993</v>
      </c>
      <c r="M3863">
        <v>60.435000000000002</v>
      </c>
      <c r="N3863">
        <v>77.753</v>
      </c>
    </row>
    <row r="3864" spans="1:14" x14ac:dyDescent="0.45">
      <c r="A3864">
        <v>1998</v>
      </c>
      <c r="B3864" t="s">
        <v>210</v>
      </c>
      <c r="C3864">
        <v>1</v>
      </c>
      <c r="D3864">
        <v>0</v>
      </c>
      <c r="E3864">
        <v>0</v>
      </c>
      <c r="F3864">
        <v>0</v>
      </c>
      <c r="G3864">
        <v>1</v>
      </c>
      <c r="H3864">
        <v>0</v>
      </c>
      <c r="I3864">
        <v>0</v>
      </c>
      <c r="J3864">
        <v>16766.649288326698</v>
      </c>
      <c r="K3864">
        <v>14472.486497800601</v>
      </c>
      <c r="L3864">
        <v>38.372999999999998</v>
      </c>
      <c r="M3864">
        <v>72.846999999999994</v>
      </c>
      <c r="N3864">
        <v>10.811999999999999</v>
      </c>
    </row>
    <row r="3865" spans="1:14" x14ac:dyDescent="0.45">
      <c r="A3865">
        <v>1998</v>
      </c>
      <c r="B3865" t="s">
        <v>211</v>
      </c>
      <c r="C3865">
        <v>0</v>
      </c>
      <c r="D3865">
        <v>1</v>
      </c>
      <c r="E3865">
        <v>0</v>
      </c>
      <c r="F3865">
        <v>0</v>
      </c>
      <c r="G3865">
        <v>1</v>
      </c>
      <c r="H3865">
        <v>0</v>
      </c>
      <c r="I3865">
        <v>0</v>
      </c>
      <c r="J3865">
        <v>34537.185185947201</v>
      </c>
      <c r="K3865">
        <v>26532.872417570099</v>
      </c>
      <c r="L3865">
        <v>5.8390000000000004</v>
      </c>
      <c r="M3865">
        <v>74.555999999999997</v>
      </c>
      <c r="N3865">
        <v>14.403</v>
      </c>
    </row>
    <row r="3866" spans="1:14" x14ac:dyDescent="0.45">
      <c r="A3866">
        <v>1998</v>
      </c>
      <c r="B3866" t="s">
        <v>212</v>
      </c>
      <c r="C3866">
        <v>0</v>
      </c>
      <c r="D3866">
        <v>0</v>
      </c>
      <c r="E3866">
        <v>0</v>
      </c>
      <c r="F3866">
        <v>0</v>
      </c>
      <c r="G3866">
        <v>0</v>
      </c>
      <c r="H3866">
        <v>0</v>
      </c>
      <c r="I3866">
        <v>0</v>
      </c>
      <c r="L3866">
        <v>40.744999999999997</v>
      </c>
      <c r="M3866">
        <v>60.887</v>
      </c>
      <c r="N3866">
        <v>103.458</v>
      </c>
    </row>
    <row r="3867" spans="1:14" x14ac:dyDescent="0.45">
      <c r="A3867">
        <v>1998</v>
      </c>
      <c r="B3867" t="s">
        <v>213</v>
      </c>
      <c r="C3867">
        <v>1</v>
      </c>
      <c r="D3867">
        <v>0</v>
      </c>
      <c r="E3867">
        <v>0</v>
      </c>
      <c r="F3867">
        <v>0</v>
      </c>
      <c r="G3867">
        <v>0</v>
      </c>
      <c r="H3867">
        <v>1</v>
      </c>
      <c r="I3867">
        <v>1</v>
      </c>
      <c r="J3867">
        <v>32925.663748054503</v>
      </c>
      <c r="K3867">
        <v>28460.387097909101</v>
      </c>
      <c r="L3867">
        <v>46.914000000000001</v>
      </c>
      <c r="M3867">
        <v>76.116</v>
      </c>
      <c r="N3867">
        <v>8.1029999999999998</v>
      </c>
    </row>
    <row r="3868" spans="1:14" x14ac:dyDescent="0.45">
      <c r="A3868">
        <v>1998</v>
      </c>
      <c r="B3868" t="s">
        <v>214</v>
      </c>
      <c r="C3868">
        <v>0</v>
      </c>
      <c r="D3868">
        <v>1</v>
      </c>
      <c r="E3868">
        <v>0</v>
      </c>
      <c r="F3868">
        <v>1</v>
      </c>
      <c r="G3868">
        <v>0</v>
      </c>
      <c r="H3868">
        <v>0</v>
      </c>
      <c r="I3868">
        <v>0</v>
      </c>
      <c r="J3868">
        <v>10802.559741064701</v>
      </c>
      <c r="K3868">
        <v>9855.5969285477895</v>
      </c>
      <c r="L3868">
        <v>45.945999999999998</v>
      </c>
      <c r="M3868">
        <v>69.507000000000005</v>
      </c>
      <c r="N3868">
        <v>35.808999999999997</v>
      </c>
    </row>
    <row r="3869" spans="1:14" x14ac:dyDescent="0.45">
      <c r="A3869">
        <v>1998</v>
      </c>
      <c r="B3869" t="s">
        <v>215</v>
      </c>
      <c r="C3869">
        <v>0</v>
      </c>
      <c r="D3869">
        <v>0</v>
      </c>
      <c r="E3869">
        <v>0</v>
      </c>
      <c r="F3869">
        <v>1</v>
      </c>
      <c r="G3869">
        <v>0</v>
      </c>
      <c r="H3869">
        <v>0</v>
      </c>
      <c r="I3869">
        <v>0</v>
      </c>
      <c r="J3869">
        <v>4805.1915687864403</v>
      </c>
      <c r="K3869">
        <v>4097.3141392973903</v>
      </c>
      <c r="L3869">
        <v>28.475999999999999</v>
      </c>
      <c r="M3869">
        <v>70.563999999999993</v>
      </c>
      <c r="N3869">
        <v>32.271000000000001</v>
      </c>
    </row>
    <row r="3870" spans="1:14" x14ac:dyDescent="0.45">
      <c r="A3870">
        <v>1998</v>
      </c>
      <c r="B3870" t="s">
        <v>216</v>
      </c>
      <c r="C3870">
        <v>0</v>
      </c>
      <c r="D3870">
        <v>0</v>
      </c>
      <c r="E3870">
        <v>0</v>
      </c>
      <c r="F3870">
        <v>0</v>
      </c>
      <c r="G3870">
        <v>0</v>
      </c>
      <c r="H3870">
        <v>1</v>
      </c>
      <c r="I3870">
        <v>1</v>
      </c>
      <c r="L3870">
        <v>43.795000000000002</v>
      </c>
      <c r="M3870">
        <v>77.841999999999999</v>
      </c>
      <c r="N3870">
        <v>12.525</v>
      </c>
    </row>
    <row r="3871" spans="1:14" x14ac:dyDescent="0.45">
      <c r="A3871">
        <v>1998</v>
      </c>
      <c r="B3871" t="s">
        <v>217</v>
      </c>
      <c r="C3871">
        <v>0</v>
      </c>
      <c r="D3871">
        <v>0</v>
      </c>
      <c r="E3871">
        <v>0</v>
      </c>
      <c r="F3871">
        <v>0</v>
      </c>
      <c r="G3871">
        <v>0</v>
      </c>
      <c r="H3871">
        <v>1</v>
      </c>
      <c r="I3871">
        <v>1</v>
      </c>
      <c r="J3871">
        <v>91901.160105254705</v>
      </c>
      <c r="K3871">
        <v>79356.455261403797</v>
      </c>
      <c r="L3871">
        <v>4.1119999999999903</v>
      </c>
      <c r="M3871">
        <v>74.872</v>
      </c>
      <c r="N3871">
        <v>13.507</v>
      </c>
    </row>
    <row r="3872" spans="1:14" x14ac:dyDescent="0.45">
      <c r="A3872">
        <v>1998</v>
      </c>
      <c r="B3872" t="s">
        <v>218</v>
      </c>
      <c r="C3872">
        <v>1</v>
      </c>
      <c r="D3872">
        <v>0</v>
      </c>
      <c r="E3872">
        <v>0</v>
      </c>
      <c r="F3872">
        <v>1</v>
      </c>
      <c r="G3872">
        <v>0</v>
      </c>
      <c r="H3872">
        <v>0</v>
      </c>
      <c r="I3872">
        <v>0</v>
      </c>
      <c r="J3872">
        <v>14508.4350488528</v>
      </c>
      <c r="K3872">
        <v>11792.979256381301</v>
      </c>
      <c r="L3872">
        <v>46.689</v>
      </c>
      <c r="M3872">
        <v>69.891999999999996</v>
      </c>
      <c r="N3872">
        <v>24.646000000000001</v>
      </c>
    </row>
    <row r="3873" spans="1:14" x14ac:dyDescent="0.45">
      <c r="A3873">
        <v>1998</v>
      </c>
      <c r="B3873" t="s">
        <v>219</v>
      </c>
      <c r="C3873">
        <v>1</v>
      </c>
      <c r="D3873">
        <v>0</v>
      </c>
      <c r="E3873">
        <v>0</v>
      </c>
      <c r="F3873">
        <v>1</v>
      </c>
      <c r="G3873">
        <v>0</v>
      </c>
      <c r="H3873">
        <v>0</v>
      </c>
      <c r="I3873">
        <v>0</v>
      </c>
      <c r="J3873">
        <v>17052.755859375</v>
      </c>
      <c r="K3873">
        <v>12358.1519925462</v>
      </c>
      <c r="L3873">
        <v>26.640999999999998</v>
      </c>
      <c r="M3873">
        <v>66.915999999999997</v>
      </c>
      <c r="N3873">
        <v>20.367999999999999</v>
      </c>
    </row>
    <row r="3874" spans="1:14" x14ac:dyDescent="0.45">
      <c r="A3874">
        <v>1998</v>
      </c>
      <c r="B3874" t="s">
        <v>220</v>
      </c>
      <c r="C3874">
        <v>0</v>
      </c>
      <c r="D3874">
        <v>0</v>
      </c>
      <c r="E3874">
        <v>1</v>
      </c>
      <c r="F3874">
        <v>0</v>
      </c>
      <c r="G3874">
        <v>0</v>
      </c>
      <c r="H3874">
        <v>0</v>
      </c>
      <c r="I3874">
        <v>0</v>
      </c>
      <c r="J3874">
        <v>913.71963460585005</v>
      </c>
      <c r="K3874">
        <v>764.649800509589</v>
      </c>
      <c r="L3874">
        <v>86.756</v>
      </c>
      <c r="M3874">
        <v>43.098999999999997</v>
      </c>
      <c r="N3874">
        <v>203.43899999999999</v>
      </c>
    </row>
    <row r="3875" spans="1:14" x14ac:dyDescent="0.45">
      <c r="A3875">
        <v>1998</v>
      </c>
      <c r="B3875" t="s">
        <v>221</v>
      </c>
      <c r="C3875">
        <v>0</v>
      </c>
      <c r="D3875">
        <v>0</v>
      </c>
      <c r="E3875">
        <v>0</v>
      </c>
      <c r="F3875">
        <v>0</v>
      </c>
      <c r="G3875">
        <v>1</v>
      </c>
      <c r="H3875">
        <v>0</v>
      </c>
      <c r="I3875">
        <v>0</v>
      </c>
      <c r="J3875">
        <v>58306.622809722998</v>
      </c>
      <c r="K3875">
        <v>53454.231420128599</v>
      </c>
      <c r="L3875">
        <v>20.617000000000001</v>
      </c>
      <c r="M3875">
        <v>71.956999999999994</v>
      </c>
      <c r="N3875">
        <v>25.169</v>
      </c>
    </row>
    <row r="3876" spans="1:14" x14ac:dyDescent="0.45">
      <c r="A3876">
        <v>1998</v>
      </c>
      <c r="B3876" t="s">
        <v>222</v>
      </c>
      <c r="C3876">
        <v>0</v>
      </c>
      <c r="D3876">
        <v>0</v>
      </c>
      <c r="E3876">
        <v>1</v>
      </c>
      <c r="F3876">
        <v>0</v>
      </c>
      <c r="G3876">
        <v>0</v>
      </c>
      <c r="H3876">
        <v>0</v>
      </c>
      <c r="I3876">
        <v>0</v>
      </c>
      <c r="J3876">
        <v>3441.17919921875</v>
      </c>
      <c r="K3876">
        <v>3603.36842452153</v>
      </c>
      <c r="L3876">
        <v>67.61</v>
      </c>
      <c r="M3876">
        <v>58.308</v>
      </c>
      <c r="N3876">
        <v>109.94</v>
      </c>
    </row>
    <row r="3877" spans="1:14" x14ac:dyDescent="0.45">
      <c r="A3877">
        <v>1998</v>
      </c>
      <c r="B3877" t="s">
        <v>223</v>
      </c>
      <c r="C3877">
        <v>0</v>
      </c>
      <c r="D3877">
        <v>0</v>
      </c>
      <c r="E3877">
        <v>1</v>
      </c>
      <c r="F3877">
        <v>0</v>
      </c>
      <c r="G3877">
        <v>0</v>
      </c>
      <c r="H3877">
        <v>0</v>
      </c>
      <c r="I3877">
        <v>0</v>
      </c>
      <c r="J3877">
        <v>2938.6916255152501</v>
      </c>
      <c r="K3877">
        <v>2455.0976191046898</v>
      </c>
      <c r="L3877">
        <v>59.966000000000001</v>
      </c>
      <c r="M3877">
        <v>57.076000000000001</v>
      </c>
      <c r="N3877">
        <v>134.76</v>
      </c>
    </row>
    <row r="3878" spans="1:14" x14ac:dyDescent="0.45">
      <c r="A3878">
        <v>1998</v>
      </c>
      <c r="B3878" t="s">
        <v>224</v>
      </c>
      <c r="C3878">
        <v>0</v>
      </c>
      <c r="D3878">
        <v>0</v>
      </c>
      <c r="E3878">
        <v>0</v>
      </c>
      <c r="F3878">
        <v>0</v>
      </c>
      <c r="G3878">
        <v>0</v>
      </c>
      <c r="H3878">
        <v>1</v>
      </c>
      <c r="I3878">
        <v>1</v>
      </c>
      <c r="J3878">
        <v>60782.197205800199</v>
      </c>
      <c r="K3878">
        <v>49965.234079243201</v>
      </c>
      <c r="L3878">
        <v>0</v>
      </c>
      <c r="M3878">
        <v>76.850999999999999</v>
      </c>
      <c r="N3878">
        <v>4.319</v>
      </c>
    </row>
    <row r="3879" spans="1:14" x14ac:dyDescent="0.45">
      <c r="A3879">
        <v>1998</v>
      </c>
      <c r="B3879" t="s">
        <v>225</v>
      </c>
      <c r="C3879">
        <v>0</v>
      </c>
      <c r="D3879">
        <v>0</v>
      </c>
      <c r="E3879">
        <v>0</v>
      </c>
      <c r="F3879">
        <v>0</v>
      </c>
      <c r="G3879">
        <v>0</v>
      </c>
      <c r="H3879">
        <v>0</v>
      </c>
      <c r="I3879">
        <v>0</v>
      </c>
      <c r="J3879">
        <v>2805.2907110679798</v>
      </c>
      <c r="K3879">
        <v>2537.5901219759198</v>
      </c>
      <c r="L3879">
        <v>84.715000000000003</v>
      </c>
      <c r="M3879">
        <v>66.89</v>
      </c>
      <c r="N3879">
        <v>31.885999999999999</v>
      </c>
    </row>
    <row r="3880" spans="1:14" x14ac:dyDescent="0.45">
      <c r="A3880">
        <v>1998</v>
      </c>
      <c r="B3880" t="s">
        <v>226</v>
      </c>
      <c r="C3880">
        <v>0</v>
      </c>
      <c r="D3880">
        <v>0</v>
      </c>
      <c r="E3880">
        <v>1</v>
      </c>
      <c r="F3880">
        <v>0</v>
      </c>
      <c r="G3880">
        <v>0</v>
      </c>
      <c r="H3880">
        <v>0</v>
      </c>
      <c r="I3880">
        <v>0</v>
      </c>
      <c r="J3880">
        <v>1953.5768498211301</v>
      </c>
      <c r="K3880">
        <v>1773.2042334790999</v>
      </c>
      <c r="L3880">
        <v>64.855999999999995</v>
      </c>
      <c r="M3880">
        <v>42.713999999999999</v>
      </c>
      <c r="N3880">
        <v>238.67599999999999</v>
      </c>
    </row>
    <row r="3881" spans="1:14" x14ac:dyDescent="0.45">
      <c r="A3881">
        <v>1998</v>
      </c>
      <c r="B3881" t="s">
        <v>227</v>
      </c>
      <c r="C3881">
        <v>0</v>
      </c>
      <c r="D3881">
        <v>1</v>
      </c>
      <c r="E3881">
        <v>0</v>
      </c>
      <c r="F3881">
        <v>1</v>
      </c>
      <c r="G3881">
        <v>0</v>
      </c>
      <c r="H3881">
        <v>0</v>
      </c>
      <c r="I3881">
        <v>0</v>
      </c>
      <c r="J3881">
        <v>7381.1146041749998</v>
      </c>
      <c r="K3881">
        <v>6574.7307520326804</v>
      </c>
      <c r="L3881">
        <v>42.2</v>
      </c>
      <c r="M3881">
        <v>66.655000000000001</v>
      </c>
      <c r="N3881">
        <v>38.283999999999999</v>
      </c>
    </row>
    <row r="3882" spans="1:14" x14ac:dyDescent="0.45">
      <c r="A3882">
        <v>1998</v>
      </c>
      <c r="B3882" t="s">
        <v>228</v>
      </c>
      <c r="C3882">
        <v>1</v>
      </c>
      <c r="D3882">
        <v>0</v>
      </c>
      <c r="E3882">
        <v>0</v>
      </c>
      <c r="F3882">
        <v>0</v>
      </c>
      <c r="G3882">
        <v>0</v>
      </c>
      <c r="H3882">
        <v>1</v>
      </c>
      <c r="I3882">
        <v>1</v>
      </c>
      <c r="J3882">
        <v>71024.559499196796</v>
      </c>
      <c r="K3882">
        <v>62599.223653691501</v>
      </c>
      <c r="L3882">
        <v>7.2240000000000002</v>
      </c>
      <c r="M3882">
        <v>79.918000000000006</v>
      </c>
      <c r="N3882">
        <v>6.2309999999999999</v>
      </c>
    </row>
    <row r="3883" spans="1:14" x14ac:dyDescent="0.45">
      <c r="A3883">
        <v>1998</v>
      </c>
      <c r="B3883" t="s">
        <v>229</v>
      </c>
      <c r="C3883">
        <v>0</v>
      </c>
      <c r="D3883">
        <v>0</v>
      </c>
      <c r="E3883">
        <v>1</v>
      </c>
      <c r="F3883">
        <v>0</v>
      </c>
      <c r="G3883">
        <v>0</v>
      </c>
      <c r="H3883">
        <v>0</v>
      </c>
      <c r="I3883">
        <v>0</v>
      </c>
      <c r="J3883">
        <v>662.43708579737199</v>
      </c>
      <c r="K3883">
        <v>614.43310759032704</v>
      </c>
      <c r="L3883">
        <v>67.489000000000004</v>
      </c>
      <c r="M3883">
        <v>50.755000000000003</v>
      </c>
      <c r="N3883">
        <v>172.029</v>
      </c>
    </row>
    <row r="3884" spans="1:14" x14ac:dyDescent="0.45">
      <c r="A3884">
        <v>1998</v>
      </c>
      <c r="B3884" t="s">
        <v>230</v>
      </c>
      <c r="C3884">
        <v>1</v>
      </c>
      <c r="D3884">
        <v>0</v>
      </c>
      <c r="E3884">
        <v>0</v>
      </c>
      <c r="F3884">
        <v>1</v>
      </c>
      <c r="G3884">
        <v>0</v>
      </c>
      <c r="H3884">
        <v>0</v>
      </c>
      <c r="I3884">
        <v>0</v>
      </c>
      <c r="J3884">
        <v>11597.6831702938</v>
      </c>
      <c r="K3884">
        <v>10198.1183986096</v>
      </c>
      <c r="L3884">
        <v>47.677999999999997</v>
      </c>
      <c r="M3884">
        <v>72.299000000000007</v>
      </c>
      <c r="N3884">
        <v>14.246</v>
      </c>
    </row>
    <row r="3885" spans="1:14" x14ac:dyDescent="0.45">
      <c r="A3885">
        <v>1998</v>
      </c>
      <c r="B3885" t="s">
        <v>231</v>
      </c>
      <c r="C3885">
        <v>0</v>
      </c>
      <c r="D3885">
        <v>0</v>
      </c>
      <c r="E3885">
        <v>1</v>
      </c>
      <c r="F3885">
        <v>1</v>
      </c>
      <c r="G3885">
        <v>0</v>
      </c>
      <c r="H3885">
        <v>0</v>
      </c>
      <c r="I3885">
        <v>0</v>
      </c>
      <c r="L3885">
        <v>83.751000000000005</v>
      </c>
      <c r="M3885">
        <v>19.047999999999998</v>
      </c>
      <c r="N3885">
        <v>401.08600000000001</v>
      </c>
    </row>
    <row r="3886" spans="1:14" x14ac:dyDescent="0.45">
      <c r="A3886">
        <v>1998</v>
      </c>
      <c r="B3886" t="s">
        <v>232</v>
      </c>
      <c r="C3886">
        <v>0</v>
      </c>
      <c r="D3886">
        <v>0</v>
      </c>
      <c r="E3886">
        <v>1</v>
      </c>
      <c r="F3886">
        <v>0</v>
      </c>
      <c r="G3886">
        <v>0</v>
      </c>
      <c r="H3886">
        <v>0</v>
      </c>
      <c r="I3886">
        <v>0</v>
      </c>
      <c r="J3886">
        <v>3828.99823839083</v>
      </c>
      <c r="K3886">
        <v>2383.1083181440599</v>
      </c>
      <c r="L3886">
        <v>48.491</v>
      </c>
      <c r="M3886">
        <v>60.784999999999997</v>
      </c>
      <c r="N3886">
        <v>89.555000000000007</v>
      </c>
    </row>
    <row r="3887" spans="1:14" x14ac:dyDescent="0.45">
      <c r="A3887">
        <v>1998</v>
      </c>
      <c r="B3887" t="s">
        <v>233</v>
      </c>
      <c r="C3887">
        <v>0</v>
      </c>
      <c r="D3887">
        <v>1</v>
      </c>
      <c r="E3887">
        <v>0</v>
      </c>
      <c r="F3887">
        <v>1</v>
      </c>
      <c r="G3887">
        <v>0</v>
      </c>
      <c r="H3887">
        <v>0</v>
      </c>
      <c r="I3887">
        <v>0</v>
      </c>
      <c r="J3887">
        <v>16789.754900535601</v>
      </c>
      <c r="K3887">
        <v>13364.3028326084</v>
      </c>
      <c r="L3887">
        <v>33.703000000000003</v>
      </c>
      <c r="M3887">
        <v>63.706000000000003</v>
      </c>
      <c r="N3887">
        <v>33.466000000000001</v>
      </c>
    </row>
    <row r="3888" spans="1:14" x14ac:dyDescent="0.45">
      <c r="A3888">
        <v>1998</v>
      </c>
      <c r="B3888" t="s">
        <v>234</v>
      </c>
      <c r="C3888">
        <v>1</v>
      </c>
      <c r="D3888">
        <v>0</v>
      </c>
      <c r="E3888">
        <v>0</v>
      </c>
      <c r="F3888">
        <v>0</v>
      </c>
      <c r="G3888">
        <v>1</v>
      </c>
      <c r="H3888">
        <v>0</v>
      </c>
      <c r="I3888">
        <v>0</v>
      </c>
      <c r="J3888">
        <v>18272.486650311399</v>
      </c>
      <c r="K3888">
        <v>15737.7790939562</v>
      </c>
      <c r="L3888">
        <v>43.645000000000003</v>
      </c>
      <c r="M3888">
        <v>72.572999999999993</v>
      </c>
      <c r="N3888">
        <v>11.018000000000001</v>
      </c>
    </row>
    <row r="3889" spans="1:14" x14ac:dyDescent="0.45">
      <c r="A3889">
        <v>1998</v>
      </c>
      <c r="B3889" t="s">
        <v>235</v>
      </c>
      <c r="C3889">
        <v>1</v>
      </c>
      <c r="D3889">
        <v>0</v>
      </c>
      <c r="E3889">
        <v>0</v>
      </c>
      <c r="F3889">
        <v>0</v>
      </c>
      <c r="G3889">
        <v>0</v>
      </c>
      <c r="H3889">
        <v>1</v>
      </c>
      <c r="I3889">
        <v>1</v>
      </c>
      <c r="J3889">
        <v>27695.044501418899</v>
      </c>
      <c r="K3889">
        <v>23840.024236335801</v>
      </c>
      <c r="L3889">
        <v>49.298999999999999</v>
      </c>
      <c r="M3889">
        <v>75.138999999999996</v>
      </c>
      <c r="N3889">
        <v>6.0549999999999997</v>
      </c>
    </row>
    <row r="3890" spans="1:14" x14ac:dyDescent="0.45">
      <c r="A3890">
        <v>1998</v>
      </c>
      <c r="B3890" t="s">
        <v>236</v>
      </c>
      <c r="C3890">
        <v>1</v>
      </c>
      <c r="D3890">
        <v>0</v>
      </c>
      <c r="E3890">
        <v>0</v>
      </c>
      <c r="F3890">
        <v>0</v>
      </c>
      <c r="G3890">
        <v>0</v>
      </c>
      <c r="H3890">
        <v>1</v>
      </c>
      <c r="I3890">
        <v>1</v>
      </c>
      <c r="J3890">
        <v>44016.175605740398</v>
      </c>
      <c r="K3890">
        <v>37599.429382671202</v>
      </c>
      <c r="L3890">
        <v>16.03</v>
      </c>
      <c r="M3890">
        <v>79.415999999999997</v>
      </c>
      <c r="N3890">
        <v>4.2809999999999997</v>
      </c>
    </row>
    <row r="3891" spans="1:14" x14ac:dyDescent="0.45">
      <c r="A3891">
        <v>1998</v>
      </c>
      <c r="B3891" t="s">
        <v>237</v>
      </c>
      <c r="C3891">
        <v>0</v>
      </c>
      <c r="D3891">
        <v>0</v>
      </c>
      <c r="E3891">
        <v>1</v>
      </c>
      <c r="F3891">
        <v>1</v>
      </c>
      <c r="G3891">
        <v>0</v>
      </c>
      <c r="H3891">
        <v>0</v>
      </c>
      <c r="I3891">
        <v>0</v>
      </c>
      <c r="J3891">
        <v>6034.3273075835004</v>
      </c>
      <c r="K3891">
        <v>5343.3979363486196</v>
      </c>
      <c r="L3891">
        <v>77.051000000000002</v>
      </c>
      <c r="M3891">
        <v>50.066000000000003</v>
      </c>
      <c r="N3891">
        <v>102.617</v>
      </c>
    </row>
    <row r="3892" spans="1:14" x14ac:dyDescent="0.45">
      <c r="A3892">
        <v>1998</v>
      </c>
      <c r="B3892" t="s">
        <v>238</v>
      </c>
      <c r="C3892">
        <v>0</v>
      </c>
      <c r="D3892">
        <v>1</v>
      </c>
      <c r="E3892">
        <v>0</v>
      </c>
      <c r="F3892">
        <v>0</v>
      </c>
      <c r="G3892">
        <v>0</v>
      </c>
      <c r="H3892">
        <v>1</v>
      </c>
      <c r="I3892">
        <v>1</v>
      </c>
      <c r="L3892">
        <v>0</v>
      </c>
      <c r="M3892">
        <v>73.900000000000006</v>
      </c>
      <c r="N3892">
        <v>20.556999999999999</v>
      </c>
    </row>
    <row r="3893" spans="1:14" x14ac:dyDescent="0.45">
      <c r="A3893">
        <v>1998</v>
      </c>
      <c r="B3893" t="s">
        <v>239</v>
      </c>
      <c r="C3893">
        <v>0</v>
      </c>
      <c r="D3893">
        <v>0</v>
      </c>
      <c r="E3893">
        <v>1</v>
      </c>
      <c r="F3893">
        <v>0</v>
      </c>
      <c r="G3893">
        <v>1</v>
      </c>
      <c r="H3893">
        <v>0</v>
      </c>
      <c r="I3893">
        <v>0</v>
      </c>
      <c r="J3893">
        <v>19991.2293154949</v>
      </c>
      <c r="K3893">
        <v>19408.4825813239</v>
      </c>
      <c r="L3893">
        <v>49.939</v>
      </c>
      <c r="M3893">
        <v>71.091999999999999</v>
      </c>
      <c r="N3893">
        <v>13.944000000000001</v>
      </c>
    </row>
    <row r="3894" spans="1:14" x14ac:dyDescent="0.45">
      <c r="A3894">
        <v>1998</v>
      </c>
      <c r="B3894" t="s">
        <v>240</v>
      </c>
      <c r="C3894">
        <v>0</v>
      </c>
      <c r="D3894">
        <v>0</v>
      </c>
      <c r="E3894">
        <v>0</v>
      </c>
      <c r="F3894">
        <v>1</v>
      </c>
      <c r="G3894">
        <v>0</v>
      </c>
      <c r="H3894">
        <v>0</v>
      </c>
      <c r="I3894">
        <v>0</v>
      </c>
      <c r="J3894">
        <v>8456.7828752505593</v>
      </c>
      <c r="K3894">
        <v>5547.0358444918702</v>
      </c>
      <c r="L3894">
        <v>48.79</v>
      </c>
      <c r="M3894">
        <v>70.236999999999995</v>
      </c>
      <c r="N3894">
        <v>25.497</v>
      </c>
    </row>
    <row r="3895" spans="1:14" x14ac:dyDescent="0.45">
      <c r="A3895">
        <v>1998</v>
      </c>
      <c r="B3895" t="s">
        <v>241</v>
      </c>
      <c r="C3895">
        <v>0</v>
      </c>
      <c r="D3895">
        <v>1</v>
      </c>
      <c r="E3895">
        <v>0</v>
      </c>
      <c r="F3895">
        <v>0</v>
      </c>
      <c r="G3895">
        <v>0</v>
      </c>
      <c r="H3895">
        <v>1</v>
      </c>
      <c r="I3895">
        <v>1</v>
      </c>
      <c r="L3895">
        <v>17.186</v>
      </c>
      <c r="M3895">
        <v>73.113</v>
      </c>
      <c r="N3895">
        <v>11.821</v>
      </c>
    </row>
    <row r="3896" spans="1:14" x14ac:dyDescent="0.45">
      <c r="A3896">
        <v>1998</v>
      </c>
      <c r="B3896" t="s">
        <v>242</v>
      </c>
      <c r="C3896">
        <v>0</v>
      </c>
      <c r="D3896">
        <v>0</v>
      </c>
      <c r="E3896">
        <v>1</v>
      </c>
      <c r="F3896">
        <v>0</v>
      </c>
      <c r="G3896">
        <v>0</v>
      </c>
      <c r="H3896">
        <v>0</v>
      </c>
      <c r="I3896">
        <v>0</v>
      </c>
      <c r="J3896">
        <v>1634.98950794197</v>
      </c>
      <c r="K3896">
        <v>1373.45033833721</v>
      </c>
      <c r="L3896">
        <v>78.429000000000002</v>
      </c>
      <c r="M3896">
        <v>47.802</v>
      </c>
      <c r="N3896">
        <v>190.49700000000001</v>
      </c>
    </row>
    <row r="3897" spans="1:14" x14ac:dyDescent="0.45">
      <c r="A3897">
        <v>1998</v>
      </c>
      <c r="B3897" t="s">
        <v>243</v>
      </c>
      <c r="C3897">
        <v>0</v>
      </c>
      <c r="D3897">
        <v>0</v>
      </c>
      <c r="E3897">
        <v>1</v>
      </c>
      <c r="F3897">
        <v>0</v>
      </c>
      <c r="G3897">
        <v>0</v>
      </c>
      <c r="H3897">
        <v>0</v>
      </c>
      <c r="I3897">
        <v>0</v>
      </c>
      <c r="J3897">
        <v>2180.6557676215498</v>
      </c>
      <c r="K3897">
        <v>1812.20724760557</v>
      </c>
      <c r="L3897">
        <v>67.983999999999995</v>
      </c>
      <c r="M3897">
        <v>53.956000000000003</v>
      </c>
      <c r="N3897">
        <v>127.271</v>
      </c>
    </row>
    <row r="3898" spans="1:14" x14ac:dyDescent="0.45">
      <c r="A3898">
        <v>1998</v>
      </c>
      <c r="B3898" t="s">
        <v>244</v>
      </c>
      <c r="C3898">
        <v>0</v>
      </c>
      <c r="D3898">
        <v>0</v>
      </c>
      <c r="E3898">
        <v>0</v>
      </c>
      <c r="F3898">
        <v>1</v>
      </c>
      <c r="G3898">
        <v>0</v>
      </c>
      <c r="H3898">
        <v>0</v>
      </c>
      <c r="I3898">
        <v>0</v>
      </c>
      <c r="J3898">
        <v>10897.1533831339</v>
      </c>
      <c r="K3898">
        <v>9529.8556735610891</v>
      </c>
      <c r="L3898">
        <v>69.204999999999998</v>
      </c>
      <c r="M3898">
        <v>70.703000000000003</v>
      </c>
      <c r="N3898">
        <v>23.780999999999999</v>
      </c>
    </row>
    <row r="3899" spans="1:14" x14ac:dyDescent="0.45">
      <c r="A3899">
        <v>1998</v>
      </c>
      <c r="B3899" t="s">
        <v>245</v>
      </c>
      <c r="C3899">
        <v>1</v>
      </c>
      <c r="D3899">
        <v>0</v>
      </c>
      <c r="E3899">
        <v>0</v>
      </c>
      <c r="F3899">
        <v>0</v>
      </c>
      <c r="G3899">
        <v>0</v>
      </c>
      <c r="H3899">
        <v>0</v>
      </c>
      <c r="I3899">
        <v>0</v>
      </c>
      <c r="J3899">
        <v>1236.6755289555599</v>
      </c>
      <c r="K3899">
        <v>1126.2839383164801</v>
      </c>
      <c r="L3899">
        <v>72.72</v>
      </c>
      <c r="M3899">
        <v>62.404000000000003</v>
      </c>
      <c r="N3899">
        <v>96.210999999999999</v>
      </c>
    </row>
    <row r="3900" spans="1:14" x14ac:dyDescent="0.45">
      <c r="A3900">
        <v>1998</v>
      </c>
      <c r="B3900" t="s">
        <v>246</v>
      </c>
      <c r="C3900">
        <v>1</v>
      </c>
      <c r="D3900">
        <v>0</v>
      </c>
      <c r="E3900">
        <v>0</v>
      </c>
      <c r="F3900">
        <v>0</v>
      </c>
      <c r="G3900">
        <v>0</v>
      </c>
      <c r="H3900">
        <v>0</v>
      </c>
      <c r="I3900">
        <v>0</v>
      </c>
      <c r="J3900">
        <v>4323.3016820431103</v>
      </c>
      <c r="K3900">
        <v>4069.1733510732602</v>
      </c>
      <c r="L3900">
        <v>54.534999999999997</v>
      </c>
      <c r="M3900">
        <v>63.966000000000001</v>
      </c>
      <c r="N3900">
        <v>73.882999999999996</v>
      </c>
    </row>
    <row r="3901" spans="1:14" x14ac:dyDescent="0.45">
      <c r="A3901">
        <v>1998</v>
      </c>
      <c r="B3901" t="s">
        <v>247</v>
      </c>
      <c r="C3901">
        <v>0</v>
      </c>
      <c r="D3901">
        <v>0</v>
      </c>
      <c r="E3901">
        <v>0</v>
      </c>
      <c r="F3901">
        <v>0</v>
      </c>
      <c r="G3901">
        <v>0</v>
      </c>
      <c r="H3901">
        <v>0</v>
      </c>
      <c r="I3901">
        <v>0</v>
      </c>
      <c r="J3901">
        <v>2932.8823520282699</v>
      </c>
      <c r="K3901">
        <v>2366.4332110606802</v>
      </c>
      <c r="L3901">
        <v>76.438999999999993</v>
      </c>
      <c r="M3901">
        <v>48.582999999999998</v>
      </c>
      <c r="N3901">
        <v>187.511</v>
      </c>
    </row>
    <row r="3902" spans="1:14" x14ac:dyDescent="0.45">
      <c r="A3902">
        <v>1998</v>
      </c>
      <c r="B3902" t="s">
        <v>248</v>
      </c>
      <c r="C3902">
        <v>0</v>
      </c>
      <c r="D3902">
        <v>0</v>
      </c>
      <c r="E3902">
        <v>0</v>
      </c>
      <c r="F3902">
        <v>1</v>
      </c>
      <c r="G3902">
        <v>0</v>
      </c>
      <c r="H3902">
        <v>0</v>
      </c>
      <c r="I3902">
        <v>0</v>
      </c>
      <c r="J3902">
        <v>5541.6832577384403</v>
      </c>
      <c r="K3902">
        <v>5016.50497596485</v>
      </c>
      <c r="L3902">
        <v>77.045000000000002</v>
      </c>
      <c r="M3902">
        <v>69.224000000000004</v>
      </c>
      <c r="N3902">
        <v>17.678999999999998</v>
      </c>
    </row>
    <row r="3903" spans="1:14" x14ac:dyDescent="0.45">
      <c r="A3903">
        <v>1998</v>
      </c>
      <c r="B3903" t="s">
        <v>249</v>
      </c>
      <c r="C3903">
        <v>0</v>
      </c>
      <c r="D3903">
        <v>1</v>
      </c>
      <c r="E3903">
        <v>0</v>
      </c>
      <c r="F3903">
        <v>0</v>
      </c>
      <c r="G3903">
        <v>1</v>
      </c>
      <c r="H3903">
        <v>0</v>
      </c>
      <c r="I3903">
        <v>0</v>
      </c>
      <c r="J3903">
        <v>17151.067819549</v>
      </c>
      <c r="K3903">
        <v>14314.161575329499</v>
      </c>
      <c r="L3903">
        <v>44.411000000000001</v>
      </c>
      <c r="M3903">
        <v>68.331000000000003</v>
      </c>
      <c r="N3903">
        <v>27.922000000000001</v>
      </c>
    </row>
    <row r="3904" spans="1:14" x14ac:dyDescent="0.45">
      <c r="A3904">
        <v>1998</v>
      </c>
      <c r="B3904" t="s">
        <v>250</v>
      </c>
      <c r="C3904">
        <v>0</v>
      </c>
      <c r="D3904">
        <v>0</v>
      </c>
      <c r="E3904">
        <v>0</v>
      </c>
      <c r="F3904">
        <v>1</v>
      </c>
      <c r="G3904">
        <v>0</v>
      </c>
      <c r="H3904">
        <v>0</v>
      </c>
      <c r="I3904">
        <v>0</v>
      </c>
      <c r="J3904">
        <v>8417.9756874395807</v>
      </c>
      <c r="K3904">
        <v>7336.1251948006502</v>
      </c>
      <c r="L3904">
        <v>37.347000000000001</v>
      </c>
      <c r="M3904">
        <v>72.066999999999993</v>
      </c>
      <c r="N3904">
        <v>34.066000000000003</v>
      </c>
    </row>
    <row r="3905" spans="1:14" x14ac:dyDescent="0.45">
      <c r="A3905">
        <v>1998</v>
      </c>
      <c r="B3905" t="s">
        <v>251</v>
      </c>
      <c r="C3905">
        <v>1</v>
      </c>
      <c r="D3905">
        <v>0</v>
      </c>
      <c r="E3905">
        <v>0</v>
      </c>
      <c r="F3905">
        <v>0</v>
      </c>
      <c r="G3905">
        <v>1</v>
      </c>
      <c r="H3905">
        <v>0</v>
      </c>
      <c r="I3905">
        <v>0</v>
      </c>
      <c r="J3905">
        <v>14624.931557706799</v>
      </c>
      <c r="K3905">
        <v>14664.0555969174</v>
      </c>
      <c r="L3905">
        <v>36.296999999999997</v>
      </c>
      <c r="M3905">
        <v>71.144000000000005</v>
      </c>
      <c r="N3905">
        <v>43.429000000000002</v>
      </c>
    </row>
    <row r="3906" spans="1:14" x14ac:dyDescent="0.45">
      <c r="A3906">
        <v>1998</v>
      </c>
      <c r="B3906" t="s">
        <v>252</v>
      </c>
      <c r="C3906">
        <v>0</v>
      </c>
      <c r="D3906">
        <v>0</v>
      </c>
      <c r="E3906">
        <v>0</v>
      </c>
      <c r="F3906">
        <v>1</v>
      </c>
      <c r="G3906">
        <v>0</v>
      </c>
      <c r="H3906">
        <v>0</v>
      </c>
      <c r="I3906">
        <v>0</v>
      </c>
      <c r="J3906">
        <v>3855.6548144080498</v>
      </c>
      <c r="K3906">
        <v>3488.03515401594</v>
      </c>
      <c r="L3906">
        <v>54.802999999999997</v>
      </c>
      <c r="M3906">
        <v>63.161999999999999</v>
      </c>
      <c r="N3906">
        <v>45.136000000000003</v>
      </c>
    </row>
    <row r="3907" spans="1:14" x14ac:dyDescent="0.45">
      <c r="A3907">
        <v>1998</v>
      </c>
      <c r="B3907" t="s">
        <v>253</v>
      </c>
      <c r="C3907">
        <v>0</v>
      </c>
      <c r="D3907">
        <v>0</v>
      </c>
      <c r="E3907">
        <v>0</v>
      </c>
      <c r="F3907">
        <v>0</v>
      </c>
      <c r="G3907">
        <v>0</v>
      </c>
      <c r="H3907">
        <v>1</v>
      </c>
      <c r="I3907">
        <v>1</v>
      </c>
      <c r="L3907">
        <v>66.132999999999996</v>
      </c>
      <c r="M3907">
        <v>75.474999999999994</v>
      </c>
      <c r="N3907">
        <v>8.8539999999999992</v>
      </c>
    </row>
    <row r="3908" spans="1:14" x14ac:dyDescent="0.45">
      <c r="A3908">
        <v>1998</v>
      </c>
      <c r="B3908" t="s">
        <v>254</v>
      </c>
      <c r="C3908">
        <v>0</v>
      </c>
      <c r="D3908">
        <v>0</v>
      </c>
      <c r="E3908">
        <v>1</v>
      </c>
      <c r="F3908">
        <v>0</v>
      </c>
      <c r="G3908">
        <v>0</v>
      </c>
      <c r="H3908">
        <v>0</v>
      </c>
      <c r="I3908">
        <v>0</v>
      </c>
      <c r="J3908">
        <v>1773.72424316406</v>
      </c>
      <c r="K3908">
        <v>1321.1881890883101</v>
      </c>
      <c r="L3908">
        <v>78.41</v>
      </c>
      <c r="M3908">
        <v>51.807000000000002</v>
      </c>
      <c r="N3908">
        <v>141.089</v>
      </c>
    </row>
    <row r="3909" spans="1:14" x14ac:dyDescent="0.45">
      <c r="A3909">
        <v>1998</v>
      </c>
      <c r="B3909" t="s">
        <v>255</v>
      </c>
      <c r="C3909">
        <v>0</v>
      </c>
      <c r="D3909">
        <v>0</v>
      </c>
      <c r="E3909">
        <v>1</v>
      </c>
      <c r="F3909">
        <v>0</v>
      </c>
      <c r="G3909">
        <v>0</v>
      </c>
      <c r="H3909">
        <v>0</v>
      </c>
      <c r="I3909">
        <v>0</v>
      </c>
      <c r="J3909">
        <v>1422.20789184705</v>
      </c>
      <c r="K3909">
        <v>1206.4654262791801</v>
      </c>
      <c r="L3909">
        <v>86.018000000000001</v>
      </c>
      <c r="M3909">
        <v>48.262999999999998</v>
      </c>
      <c r="N3909">
        <v>154.91</v>
      </c>
    </row>
    <row r="3910" spans="1:14" x14ac:dyDescent="0.45">
      <c r="A3910">
        <v>1998</v>
      </c>
      <c r="B3910" t="s">
        <v>256</v>
      </c>
      <c r="C3910">
        <v>1</v>
      </c>
      <c r="D3910">
        <v>0</v>
      </c>
      <c r="E3910">
        <v>0</v>
      </c>
      <c r="F3910">
        <v>1</v>
      </c>
      <c r="G3910">
        <v>0</v>
      </c>
      <c r="H3910">
        <v>0</v>
      </c>
      <c r="I3910">
        <v>0</v>
      </c>
      <c r="J3910">
        <v>9646.0546875</v>
      </c>
      <c r="K3910">
        <v>6822.5149328199104</v>
      </c>
      <c r="L3910">
        <v>32.933</v>
      </c>
      <c r="M3910">
        <v>67.992999999999995</v>
      </c>
      <c r="N3910">
        <v>16.925999999999998</v>
      </c>
    </row>
    <row r="3911" spans="1:14" x14ac:dyDescent="0.45">
      <c r="A3911">
        <v>1998</v>
      </c>
      <c r="B3911" t="s">
        <v>257</v>
      </c>
      <c r="C3911">
        <v>0</v>
      </c>
      <c r="D3911">
        <v>1</v>
      </c>
      <c r="E3911">
        <v>0</v>
      </c>
      <c r="F3911">
        <v>0</v>
      </c>
      <c r="G3911">
        <v>1</v>
      </c>
      <c r="H3911">
        <v>0</v>
      </c>
      <c r="I3911">
        <v>0</v>
      </c>
      <c r="J3911">
        <v>19577.789966469401</v>
      </c>
      <c r="K3911">
        <v>15528.487848328299</v>
      </c>
      <c r="L3911">
        <v>8.5500000000000007</v>
      </c>
      <c r="M3911">
        <v>74.028999999999996</v>
      </c>
      <c r="N3911">
        <v>18.599</v>
      </c>
    </row>
    <row r="3912" spans="1:14" x14ac:dyDescent="0.45">
      <c r="A3912">
        <v>1998</v>
      </c>
      <c r="B3912" t="s">
        <v>258</v>
      </c>
      <c r="C3912">
        <v>0</v>
      </c>
      <c r="D3912">
        <v>0</v>
      </c>
      <c r="E3912">
        <v>0</v>
      </c>
      <c r="F3912">
        <v>0</v>
      </c>
      <c r="G3912">
        <v>0</v>
      </c>
      <c r="H3912">
        <v>1</v>
      </c>
      <c r="I3912">
        <v>1</v>
      </c>
      <c r="J3912">
        <v>51619.869836145997</v>
      </c>
      <c r="K3912">
        <v>46854.0450827147</v>
      </c>
      <c r="L3912">
        <v>21.623000000000001</v>
      </c>
      <c r="M3912">
        <v>76.659000000000006</v>
      </c>
      <c r="N3912">
        <v>8.8529999999999998</v>
      </c>
    </row>
    <row r="3913" spans="1:14" x14ac:dyDescent="0.45">
      <c r="A3913">
        <v>1998</v>
      </c>
      <c r="B3913" t="s">
        <v>259</v>
      </c>
      <c r="C3913">
        <v>1</v>
      </c>
      <c r="D3913">
        <v>0</v>
      </c>
      <c r="E3913">
        <v>0</v>
      </c>
      <c r="F3913">
        <v>1</v>
      </c>
      <c r="G3913">
        <v>0</v>
      </c>
      <c r="H3913">
        <v>0</v>
      </c>
      <c r="I3913">
        <v>0</v>
      </c>
      <c r="J3913">
        <v>3234.3575135740698</v>
      </c>
      <c r="K3913">
        <v>3142.29800180251</v>
      </c>
      <c r="L3913">
        <v>54.835999999999999</v>
      </c>
      <c r="M3913">
        <v>65.168999999999997</v>
      </c>
      <c r="N3913">
        <v>64.881</v>
      </c>
    </row>
    <row r="3914" spans="1:14" x14ac:dyDescent="0.45">
      <c r="A3914">
        <v>1998</v>
      </c>
      <c r="B3914" t="s">
        <v>260</v>
      </c>
      <c r="C3914">
        <v>0</v>
      </c>
      <c r="D3914">
        <v>1</v>
      </c>
      <c r="E3914">
        <v>0</v>
      </c>
      <c r="F3914">
        <v>1</v>
      </c>
      <c r="G3914">
        <v>0</v>
      </c>
      <c r="H3914">
        <v>0</v>
      </c>
      <c r="I3914">
        <v>0</v>
      </c>
      <c r="J3914">
        <v>9609.1037862050198</v>
      </c>
      <c r="K3914">
        <v>8397.9836686737108</v>
      </c>
      <c r="L3914">
        <v>55.539000000000001</v>
      </c>
      <c r="M3914">
        <v>70.263000000000005</v>
      </c>
      <c r="N3914">
        <v>22.254999999999999</v>
      </c>
    </row>
    <row r="3915" spans="1:14" x14ac:dyDescent="0.45">
      <c r="A3915">
        <v>1998</v>
      </c>
      <c r="B3915" t="s">
        <v>261</v>
      </c>
      <c r="C3915">
        <v>0</v>
      </c>
      <c r="D3915">
        <v>1</v>
      </c>
      <c r="E3915">
        <v>0</v>
      </c>
      <c r="F3915">
        <v>0</v>
      </c>
      <c r="G3915">
        <v>1</v>
      </c>
      <c r="H3915">
        <v>0</v>
      </c>
      <c r="I3915">
        <v>0</v>
      </c>
      <c r="L3915">
        <v>13.041</v>
      </c>
      <c r="M3915">
        <v>72.445999999999998</v>
      </c>
      <c r="N3915">
        <v>23.393999999999998</v>
      </c>
    </row>
    <row r="3916" spans="1:14" x14ac:dyDescent="0.45">
      <c r="A3916">
        <v>1998</v>
      </c>
      <c r="B3916" t="s">
        <v>262</v>
      </c>
      <c r="C3916">
        <v>0</v>
      </c>
      <c r="D3916">
        <v>1</v>
      </c>
      <c r="E3916">
        <v>0</v>
      </c>
      <c r="F3916">
        <v>0</v>
      </c>
      <c r="G3916">
        <v>0</v>
      </c>
      <c r="H3916">
        <v>1</v>
      </c>
      <c r="I3916">
        <v>1</v>
      </c>
      <c r="L3916">
        <v>58.771999999999998</v>
      </c>
      <c r="M3916">
        <v>74.569000000000003</v>
      </c>
      <c r="N3916">
        <v>17.678999999999998</v>
      </c>
    </row>
    <row r="3917" spans="1:14" x14ac:dyDescent="0.45">
      <c r="A3917">
        <v>1998</v>
      </c>
      <c r="B3917" t="s">
        <v>263</v>
      </c>
      <c r="C3917">
        <v>0</v>
      </c>
      <c r="D3917">
        <v>1</v>
      </c>
      <c r="E3917">
        <v>0</v>
      </c>
      <c r="F3917">
        <v>0</v>
      </c>
      <c r="G3917">
        <v>0</v>
      </c>
      <c r="H3917">
        <v>1</v>
      </c>
      <c r="I3917">
        <v>1</v>
      </c>
      <c r="L3917">
        <v>8.1889999999999894</v>
      </c>
      <c r="M3917">
        <v>71.263999999999996</v>
      </c>
      <c r="N3917">
        <v>12.324</v>
      </c>
    </row>
    <row r="3918" spans="1:14" x14ac:dyDescent="0.45">
      <c r="A3918">
        <v>1998</v>
      </c>
      <c r="B3918" t="s">
        <v>264</v>
      </c>
      <c r="C3918">
        <v>0</v>
      </c>
      <c r="D3918">
        <v>0</v>
      </c>
      <c r="E3918">
        <v>0</v>
      </c>
      <c r="F3918">
        <v>0</v>
      </c>
      <c r="G3918">
        <v>0</v>
      </c>
      <c r="H3918">
        <v>0</v>
      </c>
      <c r="I3918">
        <v>0</v>
      </c>
      <c r="J3918">
        <v>3982.9580596560299</v>
      </c>
      <c r="K3918">
        <v>3549.1457827146501</v>
      </c>
      <c r="L3918">
        <v>76.629000000000005</v>
      </c>
      <c r="M3918">
        <v>72.283000000000001</v>
      </c>
      <c r="N3918">
        <v>33.347000000000001</v>
      </c>
    </row>
    <row r="3919" spans="1:14" x14ac:dyDescent="0.45">
      <c r="A3919">
        <v>1998</v>
      </c>
      <c r="B3919" t="s">
        <v>265</v>
      </c>
      <c r="C3919">
        <v>0</v>
      </c>
      <c r="D3919">
        <v>0</v>
      </c>
      <c r="E3919">
        <v>0</v>
      </c>
      <c r="F3919">
        <v>1</v>
      </c>
      <c r="G3919">
        <v>0</v>
      </c>
      <c r="H3919">
        <v>0</v>
      </c>
      <c r="I3919">
        <v>0</v>
      </c>
      <c r="J3919">
        <v>3285.1383522680298</v>
      </c>
      <c r="K3919">
        <v>2971.7405749692698</v>
      </c>
      <c r="L3919">
        <v>78.927000000000007</v>
      </c>
      <c r="M3919">
        <v>68.372</v>
      </c>
      <c r="N3919">
        <v>29.89</v>
      </c>
    </row>
    <row r="3920" spans="1:14" x14ac:dyDescent="0.45">
      <c r="A3920">
        <v>1998</v>
      </c>
      <c r="B3920" t="s">
        <v>266</v>
      </c>
      <c r="C3920">
        <v>0</v>
      </c>
      <c r="D3920">
        <v>0</v>
      </c>
      <c r="E3920">
        <v>0</v>
      </c>
      <c r="F3920">
        <v>1</v>
      </c>
      <c r="G3920">
        <v>0</v>
      </c>
      <c r="H3920">
        <v>0</v>
      </c>
      <c r="I3920">
        <v>0</v>
      </c>
      <c r="J3920">
        <v>4386.5191596141103</v>
      </c>
      <c r="K3920">
        <v>3968.0511356563402</v>
      </c>
      <c r="L3920">
        <v>78.203999999999994</v>
      </c>
      <c r="M3920">
        <v>70.308000000000007</v>
      </c>
      <c r="N3920">
        <v>22.779</v>
      </c>
    </row>
    <row r="3921" spans="1:14" x14ac:dyDescent="0.45">
      <c r="A3921">
        <v>1998</v>
      </c>
      <c r="B3921" t="s">
        <v>267</v>
      </c>
      <c r="C3921">
        <v>1</v>
      </c>
      <c r="D3921">
        <v>0</v>
      </c>
      <c r="E3921">
        <v>0</v>
      </c>
      <c r="F3921">
        <v>1</v>
      </c>
      <c r="G3921">
        <v>0</v>
      </c>
      <c r="H3921">
        <v>0</v>
      </c>
      <c r="I3921">
        <v>0</v>
      </c>
      <c r="L3921">
        <v>47.677999999999997</v>
      </c>
      <c r="M3921">
        <v>68.58</v>
      </c>
      <c r="N3921">
        <v>58.606999999999999</v>
      </c>
    </row>
    <row r="3922" spans="1:14" x14ac:dyDescent="0.45">
      <c r="A3922">
        <v>1998</v>
      </c>
      <c r="B3922" t="s">
        <v>268</v>
      </c>
      <c r="C3922">
        <v>0</v>
      </c>
      <c r="D3922">
        <v>0</v>
      </c>
      <c r="E3922">
        <v>0</v>
      </c>
      <c r="F3922">
        <v>0</v>
      </c>
      <c r="G3922">
        <v>0</v>
      </c>
      <c r="H3922">
        <v>0</v>
      </c>
      <c r="I3922">
        <v>0</v>
      </c>
      <c r="L3922">
        <v>74.756</v>
      </c>
      <c r="M3922">
        <v>61.787999999999997</v>
      </c>
      <c r="N3922">
        <v>100.13200000000001</v>
      </c>
    </row>
    <row r="3923" spans="1:14" x14ac:dyDescent="0.45">
      <c r="A3923">
        <v>1998</v>
      </c>
      <c r="B3923" t="s">
        <v>269</v>
      </c>
      <c r="C3923">
        <v>0</v>
      </c>
      <c r="D3923">
        <v>0</v>
      </c>
      <c r="E3923">
        <v>1</v>
      </c>
      <c r="F3923">
        <v>1</v>
      </c>
      <c r="G3923">
        <v>0</v>
      </c>
      <c r="H3923">
        <v>0</v>
      </c>
      <c r="I3923">
        <v>0</v>
      </c>
      <c r="J3923">
        <v>10706.777679671</v>
      </c>
      <c r="K3923">
        <v>10080.8715895077</v>
      </c>
      <c r="L3923">
        <v>44.07</v>
      </c>
      <c r="M3923">
        <v>59.911999999999999</v>
      </c>
      <c r="N3923">
        <v>66.557000000000002</v>
      </c>
    </row>
    <row r="3924" spans="1:14" x14ac:dyDescent="0.45">
      <c r="A3924">
        <v>1998</v>
      </c>
      <c r="B3924" t="s">
        <v>270</v>
      </c>
      <c r="C3924">
        <v>0</v>
      </c>
      <c r="D3924">
        <v>0</v>
      </c>
      <c r="E3924">
        <v>1</v>
      </c>
      <c r="F3924">
        <v>0</v>
      </c>
      <c r="G3924">
        <v>0</v>
      </c>
      <c r="H3924">
        <v>0</v>
      </c>
      <c r="I3924">
        <v>0</v>
      </c>
      <c r="J3924">
        <v>2157.5733933566698</v>
      </c>
      <c r="K3924">
        <v>2025.6534594236</v>
      </c>
      <c r="L3924">
        <v>64.284000000000006</v>
      </c>
      <c r="M3924">
        <v>45.709000000000003</v>
      </c>
      <c r="N3924">
        <v>163.61199999999999</v>
      </c>
    </row>
    <row r="3925" spans="1:14" x14ac:dyDescent="0.45">
      <c r="A3925">
        <v>1998</v>
      </c>
      <c r="B3925" t="s">
        <v>271</v>
      </c>
      <c r="C3925">
        <v>0</v>
      </c>
      <c r="D3925">
        <v>0</v>
      </c>
      <c r="E3925">
        <v>1</v>
      </c>
      <c r="F3925">
        <v>0</v>
      </c>
      <c r="G3925">
        <v>0</v>
      </c>
      <c r="H3925">
        <v>0</v>
      </c>
      <c r="I3925">
        <v>0</v>
      </c>
      <c r="J3925">
        <v>4342.85475608862</v>
      </c>
      <c r="K3925">
        <v>2891.6285500151198</v>
      </c>
      <c r="L3925">
        <v>67.061000000000007</v>
      </c>
      <c r="M3925">
        <v>47.551000000000002</v>
      </c>
      <c r="N3925">
        <v>97.218999999999994</v>
      </c>
    </row>
    <row r="3926" spans="1:14" x14ac:dyDescent="0.45">
      <c r="A3926">
        <v>1999</v>
      </c>
      <c r="B3926" t="s">
        <v>54</v>
      </c>
      <c r="C3926">
        <v>0</v>
      </c>
      <c r="D3926">
        <v>1</v>
      </c>
      <c r="E3926">
        <v>0</v>
      </c>
      <c r="F3926">
        <v>0</v>
      </c>
      <c r="G3926">
        <v>0</v>
      </c>
      <c r="H3926">
        <v>1</v>
      </c>
      <c r="I3926">
        <v>1</v>
      </c>
      <c r="J3926">
        <v>36842.955165415799</v>
      </c>
      <c r="K3926">
        <v>35855.832879916103</v>
      </c>
      <c r="L3926">
        <v>52.872999999999998</v>
      </c>
      <c r="M3926">
        <v>72.856999999999999</v>
      </c>
      <c r="N3926">
        <v>21.327999999999999</v>
      </c>
    </row>
    <row r="3927" spans="1:14" x14ac:dyDescent="0.45">
      <c r="A3927">
        <v>1999</v>
      </c>
      <c r="B3927" t="s">
        <v>55</v>
      </c>
      <c r="C3927">
        <v>0</v>
      </c>
      <c r="D3927">
        <v>0</v>
      </c>
      <c r="E3927">
        <v>0</v>
      </c>
      <c r="F3927">
        <v>0</v>
      </c>
      <c r="G3927">
        <v>0</v>
      </c>
      <c r="H3927">
        <v>0</v>
      </c>
      <c r="I3927">
        <v>0</v>
      </c>
      <c r="L3927">
        <v>78.013999999999996</v>
      </c>
      <c r="M3927">
        <v>54.531999999999996</v>
      </c>
      <c r="N3927">
        <v>136.398</v>
      </c>
    </row>
    <row r="3928" spans="1:14" x14ac:dyDescent="0.45">
      <c r="A3928">
        <v>1999</v>
      </c>
      <c r="B3928" t="s">
        <v>56</v>
      </c>
      <c r="C3928">
        <v>0</v>
      </c>
      <c r="D3928">
        <v>0</v>
      </c>
      <c r="E3928">
        <v>1</v>
      </c>
      <c r="F3928">
        <v>0</v>
      </c>
      <c r="G3928">
        <v>0</v>
      </c>
      <c r="H3928">
        <v>0</v>
      </c>
      <c r="I3928">
        <v>0</v>
      </c>
      <c r="J3928">
        <v>6021.2291477647696</v>
      </c>
      <c r="K3928">
        <v>4656.5223510827</v>
      </c>
      <c r="L3928">
        <v>51.103000000000002</v>
      </c>
      <c r="M3928">
        <v>45.808</v>
      </c>
      <c r="N3928">
        <v>208.40299999999999</v>
      </c>
    </row>
    <row r="3929" spans="1:14" x14ac:dyDescent="0.45">
      <c r="A3929">
        <v>1999</v>
      </c>
      <c r="B3929" t="s">
        <v>57</v>
      </c>
      <c r="C3929">
        <v>1</v>
      </c>
      <c r="D3929">
        <v>0</v>
      </c>
      <c r="E3929">
        <v>0</v>
      </c>
      <c r="F3929">
        <v>1</v>
      </c>
      <c r="G3929">
        <v>0</v>
      </c>
      <c r="H3929">
        <v>0</v>
      </c>
      <c r="I3929">
        <v>0</v>
      </c>
      <c r="J3929">
        <v>6085.6596423011397</v>
      </c>
      <c r="K3929">
        <v>5513.3285008501098</v>
      </c>
      <c r="L3929">
        <v>58.831000000000003</v>
      </c>
      <c r="M3929">
        <v>74.567999999999998</v>
      </c>
      <c r="N3929">
        <v>28.277999999999999</v>
      </c>
    </row>
    <row r="3930" spans="1:14" x14ac:dyDescent="0.45">
      <c r="A3930">
        <v>1999</v>
      </c>
      <c r="B3930" t="s">
        <v>58</v>
      </c>
      <c r="C3930">
        <v>1</v>
      </c>
      <c r="D3930">
        <v>0</v>
      </c>
      <c r="E3930">
        <v>0</v>
      </c>
      <c r="F3930">
        <v>0</v>
      </c>
      <c r="G3930">
        <v>0</v>
      </c>
      <c r="H3930">
        <v>1</v>
      </c>
      <c r="I3930">
        <v>1</v>
      </c>
      <c r="J3930">
        <v>52921.045260984603</v>
      </c>
      <c r="K3930">
        <v>44423.176104043501</v>
      </c>
      <c r="L3930">
        <v>7.3339999999999996</v>
      </c>
      <c r="M3930">
        <v>81.55</v>
      </c>
      <c r="N3930">
        <v>7.8540000000000001</v>
      </c>
    </row>
    <row r="3931" spans="1:14" x14ac:dyDescent="0.45">
      <c r="A3931">
        <v>1999</v>
      </c>
      <c r="B3931" t="s">
        <v>59</v>
      </c>
      <c r="C3931">
        <v>0</v>
      </c>
      <c r="D3931">
        <v>0</v>
      </c>
      <c r="E3931">
        <v>0</v>
      </c>
      <c r="F3931">
        <v>0</v>
      </c>
      <c r="G3931">
        <v>0</v>
      </c>
      <c r="H3931">
        <v>1</v>
      </c>
      <c r="I3931">
        <v>1</v>
      </c>
      <c r="J3931">
        <v>89303.775903233196</v>
      </c>
      <c r="K3931">
        <v>88229.334509992696</v>
      </c>
      <c r="L3931">
        <v>20.190000000000001</v>
      </c>
      <c r="M3931">
        <v>74.981999999999999</v>
      </c>
      <c r="N3931">
        <v>11.544</v>
      </c>
    </row>
    <row r="3932" spans="1:14" x14ac:dyDescent="0.45">
      <c r="A3932">
        <v>1999</v>
      </c>
      <c r="B3932" t="s">
        <v>60</v>
      </c>
      <c r="C3932">
        <v>0</v>
      </c>
      <c r="D3932">
        <v>1</v>
      </c>
      <c r="E3932">
        <v>0</v>
      </c>
      <c r="F3932">
        <v>0</v>
      </c>
      <c r="G3932">
        <v>1</v>
      </c>
      <c r="H3932">
        <v>0</v>
      </c>
      <c r="I3932">
        <v>0</v>
      </c>
      <c r="J3932">
        <v>22714.511130270101</v>
      </c>
      <c r="K3932">
        <v>18746.508432442501</v>
      </c>
      <c r="L3932">
        <v>11.048</v>
      </c>
      <c r="M3932">
        <v>73.683000000000007</v>
      </c>
      <c r="N3932">
        <v>22.221</v>
      </c>
    </row>
    <row r="3933" spans="1:14" x14ac:dyDescent="0.45">
      <c r="A3933">
        <v>1999</v>
      </c>
      <c r="B3933" t="s">
        <v>61</v>
      </c>
      <c r="C3933">
        <v>1</v>
      </c>
      <c r="D3933">
        <v>0</v>
      </c>
      <c r="E3933">
        <v>0</v>
      </c>
      <c r="F3933">
        <v>0</v>
      </c>
      <c r="G3933">
        <v>0</v>
      </c>
      <c r="H3933">
        <v>0</v>
      </c>
      <c r="I3933">
        <v>0</v>
      </c>
      <c r="J3933">
        <v>4406.9670671861804</v>
      </c>
      <c r="K3933">
        <v>3733.1472291693699</v>
      </c>
      <c r="L3933">
        <v>35.052999999999997</v>
      </c>
      <c r="M3933">
        <v>70.418000000000006</v>
      </c>
      <c r="N3933">
        <v>32.234999999999999</v>
      </c>
    </row>
    <row r="3934" spans="1:14" x14ac:dyDescent="0.45">
      <c r="A3934">
        <v>1999</v>
      </c>
      <c r="B3934" t="s">
        <v>62</v>
      </c>
      <c r="C3934">
        <v>0</v>
      </c>
      <c r="D3934">
        <v>0</v>
      </c>
      <c r="E3934">
        <v>0</v>
      </c>
      <c r="F3934">
        <v>0</v>
      </c>
      <c r="G3934">
        <v>1</v>
      </c>
      <c r="H3934">
        <v>0</v>
      </c>
      <c r="I3934">
        <v>0</v>
      </c>
      <c r="L3934">
        <v>11.869</v>
      </c>
      <c r="M3934">
        <v>71.483999999999995</v>
      </c>
      <c r="N3934">
        <v>14.29</v>
      </c>
    </row>
    <row r="3935" spans="1:14" x14ac:dyDescent="0.45">
      <c r="A3935">
        <v>1999</v>
      </c>
      <c r="B3935" t="s">
        <v>63</v>
      </c>
      <c r="C3935">
        <v>0</v>
      </c>
      <c r="D3935">
        <v>1</v>
      </c>
      <c r="E3935">
        <v>0</v>
      </c>
      <c r="F3935">
        <v>0</v>
      </c>
      <c r="G3935">
        <v>1</v>
      </c>
      <c r="H3935">
        <v>0</v>
      </c>
      <c r="I3935">
        <v>0</v>
      </c>
      <c r="J3935">
        <v>24462.203402241201</v>
      </c>
      <c r="K3935">
        <v>19266.353881348299</v>
      </c>
      <c r="L3935">
        <v>67.510000000000005</v>
      </c>
      <c r="M3935">
        <v>74.456000000000003</v>
      </c>
      <c r="N3935">
        <v>15.346</v>
      </c>
    </row>
    <row r="3936" spans="1:14" x14ac:dyDescent="0.45">
      <c r="A3936">
        <v>1999</v>
      </c>
      <c r="B3936" t="s">
        <v>64</v>
      </c>
      <c r="C3936">
        <v>0</v>
      </c>
      <c r="D3936">
        <v>0</v>
      </c>
      <c r="E3936">
        <v>0</v>
      </c>
      <c r="F3936">
        <v>0</v>
      </c>
      <c r="G3936">
        <v>0</v>
      </c>
      <c r="H3936">
        <v>1</v>
      </c>
      <c r="I3936">
        <v>1</v>
      </c>
      <c r="J3936">
        <v>43813.002669565598</v>
      </c>
      <c r="K3936">
        <v>37948.701966215704</v>
      </c>
      <c r="L3936">
        <v>15.63</v>
      </c>
      <c r="M3936">
        <v>79.277000000000001</v>
      </c>
      <c r="N3936">
        <v>6.931</v>
      </c>
    </row>
    <row r="3937" spans="1:14" x14ac:dyDescent="0.45">
      <c r="A3937">
        <v>1999</v>
      </c>
      <c r="B3937" t="s">
        <v>65</v>
      </c>
      <c r="C3937">
        <v>1</v>
      </c>
      <c r="D3937">
        <v>0</v>
      </c>
      <c r="E3937">
        <v>0</v>
      </c>
      <c r="F3937">
        <v>0</v>
      </c>
      <c r="G3937">
        <v>0</v>
      </c>
      <c r="H3937">
        <v>1</v>
      </c>
      <c r="I3937">
        <v>1</v>
      </c>
      <c r="J3937">
        <v>52067.934889862699</v>
      </c>
      <c r="K3937">
        <v>44369.978867361497</v>
      </c>
      <c r="L3937">
        <v>39.509</v>
      </c>
      <c r="M3937">
        <v>77.954999999999998</v>
      </c>
      <c r="N3937">
        <v>5.3840000000000003</v>
      </c>
    </row>
    <row r="3938" spans="1:14" x14ac:dyDescent="0.45">
      <c r="A3938">
        <v>1999</v>
      </c>
      <c r="B3938" t="s">
        <v>66</v>
      </c>
      <c r="C3938">
        <v>1</v>
      </c>
      <c r="D3938">
        <v>0</v>
      </c>
      <c r="E3938">
        <v>0</v>
      </c>
      <c r="F3938">
        <v>0</v>
      </c>
      <c r="G3938">
        <v>0</v>
      </c>
      <c r="H3938">
        <v>0</v>
      </c>
      <c r="I3938">
        <v>0</v>
      </c>
      <c r="J3938">
        <v>5133.7481195005103</v>
      </c>
      <c r="K3938">
        <v>3738.4588092183699</v>
      </c>
      <c r="L3938">
        <v>48.814999999999998</v>
      </c>
      <c r="M3938">
        <v>64.733000000000004</v>
      </c>
      <c r="N3938">
        <v>79.149000000000001</v>
      </c>
    </row>
    <row r="3939" spans="1:14" x14ac:dyDescent="0.45">
      <c r="A3939">
        <v>1999</v>
      </c>
      <c r="B3939" t="s">
        <v>67</v>
      </c>
      <c r="C3939">
        <v>0</v>
      </c>
      <c r="D3939">
        <v>0</v>
      </c>
      <c r="E3939">
        <v>1</v>
      </c>
      <c r="F3939">
        <v>0</v>
      </c>
      <c r="G3939">
        <v>0</v>
      </c>
      <c r="H3939">
        <v>0</v>
      </c>
      <c r="I3939">
        <v>0</v>
      </c>
      <c r="J3939">
        <v>1017.49777823735</v>
      </c>
      <c r="K3939">
        <v>879.22313009363995</v>
      </c>
      <c r="L3939">
        <v>91.963999999999999</v>
      </c>
      <c r="M3939">
        <v>47.627000000000002</v>
      </c>
      <c r="N3939">
        <v>156.71100000000001</v>
      </c>
    </row>
    <row r="3940" spans="1:14" x14ac:dyDescent="0.45">
      <c r="A3940">
        <v>1999</v>
      </c>
      <c r="B3940" t="s">
        <v>68</v>
      </c>
      <c r="C3940">
        <v>1</v>
      </c>
      <c r="D3940">
        <v>0</v>
      </c>
      <c r="E3940">
        <v>0</v>
      </c>
      <c r="F3940">
        <v>0</v>
      </c>
      <c r="G3940">
        <v>0</v>
      </c>
      <c r="H3940">
        <v>1</v>
      </c>
      <c r="I3940">
        <v>1</v>
      </c>
      <c r="J3940">
        <v>48787.281514094699</v>
      </c>
      <c r="K3940">
        <v>41055.308554536801</v>
      </c>
      <c r="L3940">
        <v>2.9350000000000001</v>
      </c>
      <c r="M3940">
        <v>77.647999999999996</v>
      </c>
      <c r="N3940">
        <v>5.97</v>
      </c>
    </row>
    <row r="3941" spans="1:14" x14ac:dyDescent="0.45">
      <c r="A3941">
        <v>1999</v>
      </c>
      <c r="B3941" t="s">
        <v>69</v>
      </c>
      <c r="C3941">
        <v>0</v>
      </c>
      <c r="D3941">
        <v>0</v>
      </c>
      <c r="E3941">
        <v>1</v>
      </c>
      <c r="F3941">
        <v>0</v>
      </c>
      <c r="G3941">
        <v>0</v>
      </c>
      <c r="H3941">
        <v>0</v>
      </c>
      <c r="I3941">
        <v>0</v>
      </c>
      <c r="J3941">
        <v>2470.68504400549</v>
      </c>
      <c r="K3941">
        <v>2344.06709157878</v>
      </c>
      <c r="L3941">
        <v>61.984999999999999</v>
      </c>
      <c r="M3941">
        <v>56.335999999999999</v>
      </c>
      <c r="N3941">
        <v>139.79599999999999</v>
      </c>
    </row>
    <row r="3942" spans="1:14" x14ac:dyDescent="0.45">
      <c r="A3942">
        <v>1999</v>
      </c>
      <c r="B3942" t="s">
        <v>70</v>
      </c>
      <c r="C3942">
        <v>0</v>
      </c>
      <c r="D3942">
        <v>0</v>
      </c>
      <c r="E3942">
        <v>1</v>
      </c>
      <c r="F3942">
        <v>0</v>
      </c>
      <c r="G3942">
        <v>0</v>
      </c>
      <c r="H3942">
        <v>0</v>
      </c>
      <c r="I3942">
        <v>0</v>
      </c>
      <c r="J3942">
        <v>1444.56690170414</v>
      </c>
      <c r="K3942">
        <v>1321.6878327608599</v>
      </c>
      <c r="L3942">
        <v>82.834000000000003</v>
      </c>
      <c r="M3942">
        <v>50.463000000000001</v>
      </c>
      <c r="N3942">
        <v>181.98</v>
      </c>
    </row>
    <row r="3943" spans="1:14" x14ac:dyDescent="0.45">
      <c r="A3943">
        <v>1999</v>
      </c>
      <c r="B3943" t="s">
        <v>71</v>
      </c>
      <c r="C3943">
        <v>0</v>
      </c>
      <c r="D3943">
        <v>0</v>
      </c>
      <c r="E3943">
        <v>0</v>
      </c>
      <c r="F3943">
        <v>0</v>
      </c>
      <c r="G3943">
        <v>0</v>
      </c>
      <c r="H3943">
        <v>0</v>
      </c>
      <c r="I3943">
        <v>0</v>
      </c>
      <c r="J3943">
        <v>2624.0655379763798</v>
      </c>
      <c r="K3943">
        <v>2133.3510203750402</v>
      </c>
      <c r="L3943">
        <v>76.798000000000002</v>
      </c>
      <c r="M3943">
        <v>61.244</v>
      </c>
      <c r="N3943">
        <v>91.037000000000006</v>
      </c>
    </row>
    <row r="3944" spans="1:14" x14ac:dyDescent="0.45">
      <c r="A3944">
        <v>1999</v>
      </c>
      <c r="B3944" t="s">
        <v>72</v>
      </c>
      <c r="C3944">
        <v>1</v>
      </c>
      <c r="D3944">
        <v>0</v>
      </c>
      <c r="E3944">
        <v>0</v>
      </c>
      <c r="F3944">
        <v>1</v>
      </c>
      <c r="G3944">
        <v>0</v>
      </c>
      <c r="H3944">
        <v>0</v>
      </c>
      <c r="I3944">
        <v>0</v>
      </c>
      <c r="J3944">
        <v>11948.972368897799</v>
      </c>
      <c r="K3944">
        <v>9915.2509714681692</v>
      </c>
      <c r="L3944">
        <v>31.323</v>
      </c>
      <c r="M3944">
        <v>71.561000000000007</v>
      </c>
      <c r="N3944">
        <v>18.696999999999999</v>
      </c>
    </row>
    <row r="3945" spans="1:14" x14ac:dyDescent="0.45">
      <c r="A3945">
        <v>1999</v>
      </c>
      <c r="B3945" t="s">
        <v>73</v>
      </c>
      <c r="C3945">
        <v>0</v>
      </c>
      <c r="D3945">
        <v>0</v>
      </c>
      <c r="E3945">
        <v>0</v>
      </c>
      <c r="F3945">
        <v>0</v>
      </c>
      <c r="G3945">
        <v>1</v>
      </c>
      <c r="H3945">
        <v>0</v>
      </c>
      <c r="I3945">
        <v>0</v>
      </c>
      <c r="J3945">
        <v>56522.226189982299</v>
      </c>
      <c r="K3945">
        <v>52665.276543840802</v>
      </c>
      <c r="L3945">
        <v>11.624000000000001</v>
      </c>
      <c r="M3945">
        <v>74.405000000000001</v>
      </c>
      <c r="N3945">
        <v>13.457000000000001</v>
      </c>
    </row>
    <row r="3946" spans="1:14" x14ac:dyDescent="0.45">
      <c r="A3946">
        <v>1999</v>
      </c>
      <c r="B3946" t="s">
        <v>74</v>
      </c>
      <c r="C3946">
        <v>0</v>
      </c>
      <c r="D3946">
        <v>1</v>
      </c>
      <c r="E3946">
        <v>0</v>
      </c>
      <c r="F3946">
        <v>0</v>
      </c>
      <c r="G3946">
        <v>0</v>
      </c>
      <c r="H3946">
        <v>1</v>
      </c>
      <c r="I3946">
        <v>1</v>
      </c>
      <c r="J3946">
        <v>33657.7200528904</v>
      </c>
      <c r="K3946">
        <v>34912.681292860398</v>
      </c>
      <c r="L3946">
        <v>18.175999999999998</v>
      </c>
      <c r="M3946">
        <v>72.147000000000006</v>
      </c>
      <c r="N3946">
        <v>16.582999999999998</v>
      </c>
    </row>
    <row r="3947" spans="1:14" x14ac:dyDescent="0.45">
      <c r="A3947">
        <v>1999</v>
      </c>
      <c r="B3947" t="s">
        <v>75</v>
      </c>
      <c r="C3947">
        <v>1</v>
      </c>
      <c r="D3947">
        <v>0</v>
      </c>
      <c r="E3947">
        <v>0</v>
      </c>
      <c r="F3947">
        <v>1</v>
      </c>
      <c r="G3947">
        <v>0</v>
      </c>
      <c r="H3947">
        <v>0</v>
      </c>
      <c r="I3947">
        <v>0</v>
      </c>
      <c r="J3947">
        <v>7478.8200761826201</v>
      </c>
      <c r="K3947">
        <v>6460.6631685249904</v>
      </c>
      <c r="L3947">
        <v>57.930999999999997</v>
      </c>
      <c r="M3947">
        <v>74.945999999999998</v>
      </c>
      <c r="N3947">
        <v>10.353</v>
      </c>
    </row>
    <row r="3948" spans="1:14" x14ac:dyDescent="0.45">
      <c r="A3948">
        <v>1999</v>
      </c>
      <c r="B3948" t="s">
        <v>76</v>
      </c>
      <c r="C3948">
        <v>1</v>
      </c>
      <c r="D3948">
        <v>0</v>
      </c>
      <c r="E3948">
        <v>0</v>
      </c>
      <c r="F3948">
        <v>1</v>
      </c>
      <c r="G3948">
        <v>0</v>
      </c>
      <c r="H3948">
        <v>0</v>
      </c>
      <c r="I3948">
        <v>0</v>
      </c>
      <c r="J3948">
        <v>10519.748920395999</v>
      </c>
      <c r="K3948">
        <v>7595.2068400051003</v>
      </c>
      <c r="L3948">
        <v>30.518000000000001</v>
      </c>
      <c r="M3948">
        <v>68.418999999999997</v>
      </c>
      <c r="N3948">
        <v>13.163</v>
      </c>
    </row>
    <row r="3949" spans="1:14" x14ac:dyDescent="0.45">
      <c r="A3949">
        <v>1999</v>
      </c>
      <c r="B3949" t="s">
        <v>77</v>
      </c>
      <c r="C3949">
        <v>0</v>
      </c>
      <c r="D3949">
        <v>1</v>
      </c>
      <c r="E3949">
        <v>0</v>
      </c>
      <c r="F3949">
        <v>1</v>
      </c>
      <c r="G3949">
        <v>0</v>
      </c>
      <c r="H3949">
        <v>0</v>
      </c>
      <c r="I3949">
        <v>0</v>
      </c>
      <c r="J3949">
        <v>10450.5526385183</v>
      </c>
      <c r="K3949">
        <v>8236.0092332023705</v>
      </c>
      <c r="L3949">
        <v>54.417999999999999</v>
      </c>
      <c r="M3949">
        <v>68.975999999999999</v>
      </c>
      <c r="N3949">
        <v>25.42</v>
      </c>
    </row>
    <row r="3950" spans="1:14" x14ac:dyDescent="0.45">
      <c r="A3950">
        <v>1999</v>
      </c>
      <c r="B3950" t="s">
        <v>78</v>
      </c>
      <c r="C3950">
        <v>0</v>
      </c>
      <c r="D3950">
        <v>0</v>
      </c>
      <c r="E3950">
        <v>0</v>
      </c>
      <c r="F3950">
        <v>0</v>
      </c>
      <c r="G3950">
        <v>0</v>
      </c>
      <c r="H3950">
        <v>1</v>
      </c>
      <c r="I3950">
        <v>1</v>
      </c>
      <c r="J3950">
        <v>90290.562491312594</v>
      </c>
      <c r="K3950">
        <v>80219.906931901904</v>
      </c>
      <c r="L3950">
        <v>0</v>
      </c>
      <c r="M3950">
        <v>77.853999999999999</v>
      </c>
      <c r="N3950">
        <v>5.0570000000000004</v>
      </c>
    </row>
    <row r="3951" spans="1:14" x14ac:dyDescent="0.45">
      <c r="A3951">
        <v>1999</v>
      </c>
      <c r="B3951" t="s">
        <v>79</v>
      </c>
      <c r="C3951">
        <v>0</v>
      </c>
      <c r="D3951">
        <v>1</v>
      </c>
      <c r="E3951">
        <v>0</v>
      </c>
      <c r="F3951">
        <v>1</v>
      </c>
      <c r="G3951">
        <v>0</v>
      </c>
      <c r="H3951">
        <v>0</v>
      </c>
      <c r="I3951">
        <v>0</v>
      </c>
      <c r="J3951">
        <v>6099.5115222225004</v>
      </c>
      <c r="K3951">
        <v>5383.1251913639899</v>
      </c>
      <c r="L3951">
        <v>38.735999999999997</v>
      </c>
      <c r="M3951">
        <v>61.655000000000001</v>
      </c>
      <c r="N3951">
        <v>102.938</v>
      </c>
    </row>
    <row r="3952" spans="1:14" x14ac:dyDescent="0.45">
      <c r="A3952">
        <v>1999</v>
      </c>
      <c r="B3952" t="s">
        <v>80</v>
      </c>
      <c r="C3952">
        <v>0</v>
      </c>
      <c r="D3952">
        <v>1</v>
      </c>
      <c r="E3952">
        <v>0</v>
      </c>
      <c r="F3952">
        <v>0</v>
      </c>
      <c r="G3952">
        <v>1</v>
      </c>
      <c r="H3952">
        <v>0</v>
      </c>
      <c r="I3952">
        <v>0</v>
      </c>
      <c r="J3952">
        <v>13602.4137067874</v>
      </c>
      <c r="K3952">
        <v>11173.146963617601</v>
      </c>
      <c r="L3952">
        <v>19.504000000000001</v>
      </c>
      <c r="M3952">
        <v>69.210999999999999</v>
      </c>
      <c r="N3952">
        <v>36.938000000000002</v>
      </c>
    </row>
    <row r="3953" spans="1:14" x14ac:dyDescent="0.45">
      <c r="A3953">
        <v>1999</v>
      </c>
      <c r="B3953" t="s">
        <v>81</v>
      </c>
      <c r="C3953">
        <v>0</v>
      </c>
      <c r="D3953">
        <v>1</v>
      </c>
      <c r="E3953">
        <v>0</v>
      </c>
      <c r="F3953">
        <v>0</v>
      </c>
      <c r="G3953">
        <v>1</v>
      </c>
      <c r="H3953">
        <v>0</v>
      </c>
      <c r="I3953">
        <v>0</v>
      </c>
      <c r="J3953">
        <v>18017.692678445499</v>
      </c>
      <c r="K3953">
        <v>17208.690519268599</v>
      </c>
      <c r="L3953">
        <v>65.847999999999999</v>
      </c>
      <c r="M3953">
        <v>74.587000000000003</v>
      </c>
      <c r="N3953">
        <v>14.693</v>
      </c>
    </row>
    <row r="3954" spans="1:14" x14ac:dyDescent="0.45">
      <c r="A3954">
        <v>1999</v>
      </c>
      <c r="B3954" t="s">
        <v>82</v>
      </c>
      <c r="C3954">
        <v>0</v>
      </c>
      <c r="D3954">
        <v>0</v>
      </c>
      <c r="E3954">
        <v>0</v>
      </c>
      <c r="F3954">
        <v>0</v>
      </c>
      <c r="G3954">
        <v>0</v>
      </c>
      <c r="H3954">
        <v>1</v>
      </c>
      <c r="I3954">
        <v>1</v>
      </c>
      <c r="J3954">
        <v>99083.320655661795</v>
      </c>
      <c r="K3954">
        <v>77364.700042551107</v>
      </c>
      <c r="L3954">
        <v>29.331</v>
      </c>
      <c r="M3954">
        <v>73.805999999999997</v>
      </c>
      <c r="N3954">
        <v>10.802</v>
      </c>
    </row>
    <row r="3955" spans="1:14" x14ac:dyDescent="0.45">
      <c r="A3955">
        <v>1999</v>
      </c>
      <c r="B3955" t="s">
        <v>83</v>
      </c>
      <c r="C3955">
        <v>0</v>
      </c>
      <c r="D3955">
        <v>0</v>
      </c>
      <c r="E3955">
        <v>0</v>
      </c>
      <c r="F3955">
        <v>0</v>
      </c>
      <c r="G3955">
        <v>0</v>
      </c>
      <c r="H3955">
        <v>0</v>
      </c>
      <c r="I3955">
        <v>0</v>
      </c>
      <c r="J3955">
        <v>5241.3666379073702</v>
      </c>
      <c r="K3955">
        <v>4539.6863368524</v>
      </c>
      <c r="L3955">
        <v>75.617000000000004</v>
      </c>
      <c r="M3955">
        <v>62.031999999999996</v>
      </c>
      <c r="N3955">
        <v>82.478999999999999</v>
      </c>
    </row>
    <row r="3956" spans="1:14" x14ac:dyDescent="0.45">
      <c r="A3956">
        <v>1999</v>
      </c>
      <c r="B3956" t="s">
        <v>84</v>
      </c>
      <c r="C3956">
        <v>0</v>
      </c>
      <c r="D3956">
        <v>0</v>
      </c>
      <c r="E3956">
        <v>1</v>
      </c>
      <c r="F3956">
        <v>0</v>
      </c>
      <c r="G3956">
        <v>1</v>
      </c>
      <c r="H3956">
        <v>0</v>
      </c>
      <c r="I3956">
        <v>0</v>
      </c>
      <c r="J3956">
        <v>13207.4473453221</v>
      </c>
      <c r="K3956">
        <v>11949.9191986067</v>
      </c>
      <c r="L3956">
        <v>47.628</v>
      </c>
      <c r="M3956">
        <v>52.499000000000002</v>
      </c>
      <c r="N3956">
        <v>75.656000000000006</v>
      </c>
    </row>
    <row r="3957" spans="1:14" x14ac:dyDescent="0.45">
      <c r="A3957">
        <v>1999</v>
      </c>
      <c r="B3957" t="s">
        <v>85</v>
      </c>
      <c r="C3957">
        <v>0</v>
      </c>
      <c r="D3957">
        <v>0</v>
      </c>
      <c r="E3957">
        <v>1</v>
      </c>
      <c r="F3957">
        <v>0</v>
      </c>
      <c r="G3957">
        <v>0</v>
      </c>
      <c r="H3957">
        <v>0</v>
      </c>
      <c r="I3957">
        <v>0</v>
      </c>
      <c r="J3957">
        <v>1313.23570902088</v>
      </c>
      <c r="K3957">
        <v>1051.4425955929701</v>
      </c>
      <c r="L3957">
        <v>62.442999999999998</v>
      </c>
      <c r="M3957">
        <v>46.91</v>
      </c>
      <c r="N3957">
        <v>166.58199999999999</v>
      </c>
    </row>
    <row r="3958" spans="1:14" x14ac:dyDescent="0.45">
      <c r="A3958">
        <v>1999</v>
      </c>
      <c r="B3958" t="s">
        <v>86</v>
      </c>
      <c r="C3958">
        <v>0</v>
      </c>
      <c r="D3958">
        <v>0</v>
      </c>
      <c r="E3958">
        <v>0</v>
      </c>
      <c r="F3958">
        <v>0</v>
      </c>
      <c r="G3958">
        <v>0</v>
      </c>
      <c r="H3958">
        <v>1</v>
      </c>
      <c r="I3958">
        <v>1</v>
      </c>
      <c r="J3958">
        <v>46464.545784155896</v>
      </c>
      <c r="K3958">
        <v>40220.481005781898</v>
      </c>
      <c r="L3958">
        <v>20.896999999999998</v>
      </c>
      <c r="M3958">
        <v>78.885000000000005</v>
      </c>
      <c r="N3958">
        <v>6.2590000000000003</v>
      </c>
    </row>
    <row r="3959" spans="1:14" x14ac:dyDescent="0.45">
      <c r="A3959">
        <v>1999</v>
      </c>
      <c r="B3959" t="s">
        <v>87</v>
      </c>
      <c r="C3959">
        <v>1</v>
      </c>
      <c r="D3959">
        <v>0</v>
      </c>
      <c r="E3959">
        <v>0</v>
      </c>
      <c r="F3959">
        <v>0</v>
      </c>
      <c r="G3959">
        <v>0</v>
      </c>
      <c r="H3959">
        <v>1</v>
      </c>
      <c r="I3959">
        <v>1</v>
      </c>
      <c r="J3959">
        <v>65177.882200507403</v>
      </c>
      <c r="K3959">
        <v>56702.600227456198</v>
      </c>
      <c r="L3959">
        <v>26.562000000000001</v>
      </c>
      <c r="M3959">
        <v>79.724000000000004</v>
      </c>
      <c r="N3959">
        <v>5.6820000000000004</v>
      </c>
    </row>
    <row r="3960" spans="1:14" x14ac:dyDescent="0.45">
      <c r="A3960">
        <v>1999</v>
      </c>
      <c r="B3960" t="s">
        <v>88</v>
      </c>
      <c r="C3960">
        <v>1</v>
      </c>
      <c r="D3960">
        <v>0</v>
      </c>
      <c r="E3960">
        <v>0</v>
      </c>
      <c r="F3960">
        <v>0</v>
      </c>
      <c r="G3960">
        <v>0</v>
      </c>
      <c r="H3960">
        <v>1</v>
      </c>
      <c r="I3960">
        <v>1</v>
      </c>
      <c r="L3960">
        <v>69.551000000000002</v>
      </c>
      <c r="M3960">
        <v>79.051370149233506</v>
      </c>
      <c r="N3960">
        <v>11.0531690635293</v>
      </c>
    </row>
    <row r="3961" spans="1:14" x14ac:dyDescent="0.45">
      <c r="A3961">
        <v>1999</v>
      </c>
      <c r="B3961" t="s">
        <v>89</v>
      </c>
      <c r="C3961">
        <v>0</v>
      </c>
      <c r="D3961">
        <v>1</v>
      </c>
      <c r="E3961">
        <v>0</v>
      </c>
      <c r="F3961">
        <v>0</v>
      </c>
      <c r="G3961">
        <v>1</v>
      </c>
      <c r="H3961">
        <v>0</v>
      </c>
      <c r="I3961">
        <v>0</v>
      </c>
      <c r="J3961">
        <v>16896.124471578602</v>
      </c>
      <c r="K3961">
        <v>14717.9090015121</v>
      </c>
      <c r="L3961">
        <v>14.222</v>
      </c>
      <c r="M3961">
        <v>76.738</v>
      </c>
      <c r="N3961">
        <v>11.798999999999999</v>
      </c>
    </row>
    <row r="3962" spans="1:14" x14ac:dyDescent="0.45">
      <c r="A3962">
        <v>1999</v>
      </c>
      <c r="B3962" t="s">
        <v>90</v>
      </c>
      <c r="C3962">
        <v>0</v>
      </c>
      <c r="D3962">
        <v>0</v>
      </c>
      <c r="E3962">
        <v>0</v>
      </c>
      <c r="F3962">
        <v>1</v>
      </c>
      <c r="G3962">
        <v>0</v>
      </c>
      <c r="H3962">
        <v>0</v>
      </c>
      <c r="I3962">
        <v>0</v>
      </c>
      <c r="J3962">
        <v>3774.1376636264099</v>
      </c>
      <c r="K3962">
        <v>3383.2700415055101</v>
      </c>
      <c r="L3962">
        <v>65.135000000000005</v>
      </c>
      <c r="M3962">
        <v>71.951999999999998</v>
      </c>
      <c r="N3962">
        <v>38.22</v>
      </c>
    </row>
    <row r="3963" spans="1:14" x14ac:dyDescent="0.45">
      <c r="A3963">
        <v>1999</v>
      </c>
      <c r="B3963" t="s">
        <v>91</v>
      </c>
      <c r="C3963">
        <v>0</v>
      </c>
      <c r="D3963">
        <v>0</v>
      </c>
      <c r="E3963">
        <v>1</v>
      </c>
      <c r="F3963">
        <v>0</v>
      </c>
      <c r="G3963">
        <v>0</v>
      </c>
      <c r="H3963">
        <v>0</v>
      </c>
      <c r="I3963">
        <v>0</v>
      </c>
      <c r="J3963">
        <v>4987.3570853026504</v>
      </c>
      <c r="K3963">
        <v>4210.0638795080704</v>
      </c>
      <c r="L3963">
        <v>57.259</v>
      </c>
      <c r="M3963">
        <v>51.273000000000003</v>
      </c>
      <c r="N3963">
        <v>143.05000000000001</v>
      </c>
    </row>
    <row r="3964" spans="1:14" x14ac:dyDescent="0.45">
      <c r="A3964">
        <v>1999</v>
      </c>
      <c r="B3964" t="s">
        <v>92</v>
      </c>
      <c r="C3964">
        <v>0</v>
      </c>
      <c r="D3964">
        <v>0</v>
      </c>
      <c r="E3964">
        <v>1</v>
      </c>
      <c r="F3964">
        <v>0</v>
      </c>
      <c r="G3964">
        <v>0</v>
      </c>
      <c r="H3964">
        <v>0</v>
      </c>
      <c r="I3964">
        <v>0</v>
      </c>
      <c r="J3964">
        <v>3780.0621728219098</v>
      </c>
      <c r="K3964">
        <v>2968.1523141528</v>
      </c>
      <c r="L3964">
        <v>55.055999999999997</v>
      </c>
      <c r="M3964">
        <v>53.165999999999997</v>
      </c>
      <c r="N3964">
        <v>145.239</v>
      </c>
    </row>
    <row r="3965" spans="1:14" x14ac:dyDescent="0.45">
      <c r="A3965">
        <v>1999</v>
      </c>
      <c r="B3965" t="s">
        <v>93</v>
      </c>
      <c r="C3965">
        <v>0</v>
      </c>
      <c r="D3965">
        <v>0</v>
      </c>
      <c r="E3965">
        <v>1</v>
      </c>
      <c r="F3965">
        <v>0</v>
      </c>
      <c r="G3965">
        <v>0</v>
      </c>
      <c r="H3965">
        <v>0</v>
      </c>
      <c r="I3965">
        <v>0</v>
      </c>
      <c r="J3965">
        <v>983.60222578255696</v>
      </c>
      <c r="K3965">
        <v>787.43703932630001</v>
      </c>
      <c r="L3965">
        <v>65.340999999999994</v>
      </c>
      <c r="M3965">
        <v>50.088999999999999</v>
      </c>
      <c r="N3965">
        <v>162.208</v>
      </c>
    </row>
    <row r="3966" spans="1:14" x14ac:dyDescent="0.45">
      <c r="A3966">
        <v>1999</v>
      </c>
      <c r="B3966" t="s">
        <v>94</v>
      </c>
      <c r="C3966">
        <v>0</v>
      </c>
      <c r="D3966">
        <v>0</v>
      </c>
      <c r="E3966">
        <v>1</v>
      </c>
      <c r="F3966">
        <v>0</v>
      </c>
      <c r="G3966">
        <v>0</v>
      </c>
      <c r="H3966">
        <v>0</v>
      </c>
      <c r="I3966">
        <v>0</v>
      </c>
      <c r="J3966">
        <v>7312.3266507162098</v>
      </c>
      <c r="K3966">
        <v>4408.2011075228302</v>
      </c>
      <c r="L3966">
        <v>41.768999999999998</v>
      </c>
      <c r="M3966">
        <v>54.427</v>
      </c>
      <c r="N3966">
        <v>111.43600000000001</v>
      </c>
    </row>
    <row r="3967" spans="1:14" x14ac:dyDescent="0.45">
      <c r="A3967">
        <v>1999</v>
      </c>
      <c r="B3967" t="s">
        <v>95</v>
      </c>
      <c r="C3967">
        <v>0</v>
      </c>
      <c r="D3967">
        <v>1</v>
      </c>
      <c r="E3967">
        <v>0</v>
      </c>
      <c r="F3967">
        <v>1</v>
      </c>
      <c r="G3967">
        <v>0</v>
      </c>
      <c r="H3967">
        <v>0</v>
      </c>
      <c r="I3967">
        <v>0</v>
      </c>
      <c r="J3967">
        <v>10679.7092686089</v>
      </c>
      <c r="K3967">
        <v>8892.0272311782701</v>
      </c>
      <c r="L3967">
        <v>26.47</v>
      </c>
      <c r="M3967">
        <v>70.912999999999997</v>
      </c>
      <c r="N3967">
        <v>26.41</v>
      </c>
    </row>
    <row r="3968" spans="1:14" x14ac:dyDescent="0.45">
      <c r="A3968">
        <v>1999</v>
      </c>
      <c r="B3968" t="s">
        <v>96</v>
      </c>
      <c r="C3968">
        <v>0</v>
      </c>
      <c r="D3968">
        <v>0</v>
      </c>
      <c r="E3968">
        <v>1</v>
      </c>
      <c r="F3968">
        <v>0</v>
      </c>
      <c r="G3968">
        <v>0</v>
      </c>
      <c r="H3968">
        <v>0</v>
      </c>
      <c r="I3968">
        <v>0</v>
      </c>
      <c r="J3968">
        <v>2214.83961185524</v>
      </c>
      <c r="K3968">
        <v>2290.4268193820499</v>
      </c>
      <c r="L3968">
        <v>71.876000000000005</v>
      </c>
      <c r="M3968">
        <v>58.853000000000002</v>
      </c>
      <c r="N3968">
        <v>99.048000000000002</v>
      </c>
    </row>
    <row r="3969" spans="1:14" x14ac:dyDescent="0.45">
      <c r="A3969">
        <v>1999</v>
      </c>
      <c r="B3969" t="s">
        <v>97</v>
      </c>
      <c r="C3969">
        <v>0</v>
      </c>
      <c r="D3969">
        <v>0</v>
      </c>
      <c r="E3969">
        <v>1</v>
      </c>
      <c r="F3969">
        <v>1</v>
      </c>
      <c r="G3969">
        <v>0</v>
      </c>
      <c r="H3969">
        <v>0</v>
      </c>
      <c r="I3969">
        <v>0</v>
      </c>
      <c r="J3969">
        <v>4006.4796471879899</v>
      </c>
      <c r="K3969">
        <v>3861.10095325169</v>
      </c>
      <c r="L3969">
        <v>47.494999999999997</v>
      </c>
      <c r="M3969">
        <v>67.409000000000006</v>
      </c>
      <c r="N3969">
        <v>38.369</v>
      </c>
    </row>
    <row r="3970" spans="1:14" x14ac:dyDescent="0.45">
      <c r="A3970">
        <v>1999</v>
      </c>
      <c r="B3970" t="s">
        <v>98</v>
      </c>
      <c r="C3970">
        <v>0</v>
      </c>
      <c r="D3970">
        <v>1</v>
      </c>
      <c r="E3970">
        <v>0</v>
      </c>
      <c r="F3970">
        <v>1</v>
      </c>
      <c r="G3970">
        <v>0</v>
      </c>
      <c r="H3970">
        <v>0</v>
      </c>
      <c r="I3970">
        <v>0</v>
      </c>
      <c r="J3970">
        <v>13760.923698203</v>
      </c>
      <c r="K3970">
        <v>12320.9041594178</v>
      </c>
      <c r="L3970">
        <v>41.843000000000004</v>
      </c>
      <c r="M3970">
        <v>77.058000000000007</v>
      </c>
      <c r="N3970">
        <v>13.576000000000001</v>
      </c>
    </row>
    <row r="3971" spans="1:14" x14ac:dyDescent="0.45">
      <c r="A3971">
        <v>1999</v>
      </c>
      <c r="B3971" t="s">
        <v>99</v>
      </c>
      <c r="C3971">
        <v>0</v>
      </c>
      <c r="D3971">
        <v>1</v>
      </c>
      <c r="E3971">
        <v>0</v>
      </c>
      <c r="F3971">
        <v>1</v>
      </c>
      <c r="G3971">
        <v>0</v>
      </c>
      <c r="H3971">
        <v>0</v>
      </c>
      <c r="I3971">
        <v>0</v>
      </c>
      <c r="L3971">
        <v>24.911000000000001</v>
      </c>
      <c r="M3971">
        <v>75.718999999999994</v>
      </c>
      <c r="N3971">
        <v>8.9920000000000009</v>
      </c>
    </row>
    <row r="3972" spans="1:14" x14ac:dyDescent="0.45">
      <c r="A3972">
        <v>1999</v>
      </c>
      <c r="B3972" t="s">
        <v>100</v>
      </c>
      <c r="C3972">
        <v>0</v>
      </c>
      <c r="D3972">
        <v>1</v>
      </c>
      <c r="E3972">
        <v>0</v>
      </c>
      <c r="F3972">
        <v>0</v>
      </c>
      <c r="G3972">
        <v>0</v>
      </c>
      <c r="H3972">
        <v>1</v>
      </c>
      <c r="I3972">
        <v>1</v>
      </c>
      <c r="L3972">
        <v>9.8020000000000103</v>
      </c>
      <c r="M3972">
        <v>73.174000000000007</v>
      </c>
      <c r="N3972">
        <v>17.649999999999999</v>
      </c>
    </row>
    <row r="3973" spans="1:14" x14ac:dyDescent="0.45">
      <c r="A3973">
        <v>1999</v>
      </c>
      <c r="B3973" t="s">
        <v>101</v>
      </c>
      <c r="C3973">
        <v>0</v>
      </c>
      <c r="D3973">
        <v>1</v>
      </c>
      <c r="E3973">
        <v>0</v>
      </c>
      <c r="F3973">
        <v>0</v>
      </c>
      <c r="G3973">
        <v>0</v>
      </c>
      <c r="H3973">
        <v>1</v>
      </c>
      <c r="I3973">
        <v>1</v>
      </c>
      <c r="L3973">
        <v>0</v>
      </c>
      <c r="M3973">
        <v>74.231999999999999</v>
      </c>
      <c r="N3973">
        <v>6.4349999999999996</v>
      </c>
    </row>
    <row r="3974" spans="1:14" x14ac:dyDescent="0.45">
      <c r="A3974">
        <v>1999</v>
      </c>
      <c r="B3974" t="s">
        <v>102</v>
      </c>
      <c r="C3974">
        <v>1</v>
      </c>
      <c r="D3974">
        <v>0</v>
      </c>
      <c r="E3974">
        <v>0</v>
      </c>
      <c r="F3974">
        <v>0</v>
      </c>
      <c r="G3974">
        <v>0</v>
      </c>
      <c r="H3974">
        <v>1</v>
      </c>
      <c r="I3974">
        <v>1</v>
      </c>
      <c r="J3974">
        <v>34453.71484375</v>
      </c>
      <c r="K3974">
        <v>30692.8214846888</v>
      </c>
      <c r="L3974">
        <v>31.472999999999999</v>
      </c>
      <c r="M3974">
        <v>77.572000000000003</v>
      </c>
      <c r="N3974">
        <v>6.9710000000000001</v>
      </c>
    </row>
    <row r="3975" spans="1:14" x14ac:dyDescent="0.45">
      <c r="A3975">
        <v>1999</v>
      </c>
      <c r="B3975" t="s">
        <v>103</v>
      </c>
      <c r="C3975">
        <v>1</v>
      </c>
      <c r="D3975">
        <v>0</v>
      </c>
      <c r="E3975">
        <v>0</v>
      </c>
      <c r="F3975">
        <v>0</v>
      </c>
      <c r="G3975">
        <v>1</v>
      </c>
      <c r="H3975">
        <v>0</v>
      </c>
      <c r="I3975">
        <v>0</v>
      </c>
      <c r="J3975">
        <v>28213.455500599699</v>
      </c>
      <c r="K3975">
        <v>23490.594796211699</v>
      </c>
      <c r="L3975">
        <v>25.88</v>
      </c>
      <c r="M3975">
        <v>74.741</v>
      </c>
      <c r="N3975">
        <v>5.6470000000000002</v>
      </c>
    </row>
    <row r="3976" spans="1:14" x14ac:dyDescent="0.45">
      <c r="A3976">
        <v>1999</v>
      </c>
      <c r="B3976" t="s">
        <v>104</v>
      </c>
      <c r="C3976">
        <v>1</v>
      </c>
      <c r="D3976">
        <v>0</v>
      </c>
      <c r="E3976">
        <v>0</v>
      </c>
      <c r="F3976">
        <v>0</v>
      </c>
      <c r="G3976">
        <v>0</v>
      </c>
      <c r="H3976">
        <v>1</v>
      </c>
      <c r="I3976">
        <v>1</v>
      </c>
      <c r="J3976">
        <v>48647.167897379099</v>
      </c>
      <c r="K3976">
        <v>42179.630692464503</v>
      </c>
      <c r="L3976">
        <v>25.242000000000001</v>
      </c>
      <c r="M3976">
        <v>77.798000000000002</v>
      </c>
      <c r="N3976">
        <v>5.4740000000000002</v>
      </c>
    </row>
    <row r="3977" spans="1:14" x14ac:dyDescent="0.45">
      <c r="A3977">
        <v>1999</v>
      </c>
      <c r="B3977" t="s">
        <v>105</v>
      </c>
      <c r="C3977">
        <v>0</v>
      </c>
      <c r="D3977">
        <v>0</v>
      </c>
      <c r="E3977">
        <v>0</v>
      </c>
      <c r="F3977">
        <v>1</v>
      </c>
      <c r="G3977">
        <v>0</v>
      </c>
      <c r="H3977">
        <v>0</v>
      </c>
      <c r="I3977">
        <v>0</v>
      </c>
      <c r="J3977">
        <v>3773.1605421249901</v>
      </c>
      <c r="K3977">
        <v>3254.5428147569901</v>
      </c>
      <c r="L3977">
        <v>23.515000000000001</v>
      </c>
      <c r="M3977">
        <v>56.564</v>
      </c>
      <c r="N3977">
        <v>101.384</v>
      </c>
    </row>
    <row r="3978" spans="1:14" x14ac:dyDescent="0.45">
      <c r="A3978">
        <v>1999</v>
      </c>
      <c r="B3978" t="s">
        <v>106</v>
      </c>
      <c r="C3978">
        <v>0</v>
      </c>
      <c r="D3978">
        <v>1</v>
      </c>
      <c r="E3978">
        <v>0</v>
      </c>
      <c r="F3978">
        <v>0</v>
      </c>
      <c r="G3978">
        <v>1</v>
      </c>
      <c r="H3978">
        <v>0</v>
      </c>
      <c r="I3978">
        <v>0</v>
      </c>
      <c r="J3978">
        <v>13661.678760937501</v>
      </c>
      <c r="K3978">
        <v>10631.9054522438</v>
      </c>
      <c r="L3978">
        <v>34.820999999999998</v>
      </c>
      <c r="M3978">
        <v>71.527000000000001</v>
      </c>
      <c r="N3978">
        <v>17.376000000000001</v>
      </c>
    </row>
    <row r="3979" spans="1:14" x14ac:dyDescent="0.45">
      <c r="A3979">
        <v>1999</v>
      </c>
      <c r="B3979" t="s">
        <v>107</v>
      </c>
      <c r="C3979">
        <v>1</v>
      </c>
      <c r="D3979">
        <v>0</v>
      </c>
      <c r="E3979">
        <v>0</v>
      </c>
      <c r="F3979">
        <v>0</v>
      </c>
      <c r="G3979">
        <v>0</v>
      </c>
      <c r="H3979">
        <v>1</v>
      </c>
      <c r="I3979">
        <v>1</v>
      </c>
      <c r="J3979">
        <v>55555.362274799903</v>
      </c>
      <c r="K3979">
        <v>46952.452680410599</v>
      </c>
      <c r="L3979">
        <v>14.914</v>
      </c>
      <c r="M3979">
        <v>76.578000000000003</v>
      </c>
      <c r="N3979">
        <v>5.1120000000000001</v>
      </c>
    </row>
    <row r="3980" spans="1:14" x14ac:dyDescent="0.45">
      <c r="A3980">
        <v>1999</v>
      </c>
      <c r="B3980" t="s">
        <v>108</v>
      </c>
      <c r="C3980">
        <v>0</v>
      </c>
      <c r="D3980">
        <v>1</v>
      </c>
      <c r="E3980">
        <v>0</v>
      </c>
      <c r="F3980">
        <v>1</v>
      </c>
      <c r="G3980">
        <v>0</v>
      </c>
      <c r="H3980">
        <v>0</v>
      </c>
      <c r="I3980">
        <v>0</v>
      </c>
      <c r="J3980">
        <v>10582.0775939337</v>
      </c>
      <c r="K3980">
        <v>9141.0631445618801</v>
      </c>
      <c r="L3980">
        <v>39.067</v>
      </c>
      <c r="M3980">
        <v>70.177999999999997</v>
      </c>
      <c r="N3980">
        <v>43.837000000000003</v>
      </c>
    </row>
    <row r="3981" spans="1:14" x14ac:dyDescent="0.45">
      <c r="A3981">
        <v>1999</v>
      </c>
      <c r="B3981" t="s">
        <v>109</v>
      </c>
      <c r="C3981">
        <v>0</v>
      </c>
      <c r="D3981">
        <v>0</v>
      </c>
      <c r="E3981">
        <v>0</v>
      </c>
      <c r="F3981">
        <v>1</v>
      </c>
      <c r="G3981">
        <v>0</v>
      </c>
      <c r="H3981">
        <v>0</v>
      </c>
      <c r="I3981">
        <v>0</v>
      </c>
      <c r="J3981">
        <v>11292.0372997165</v>
      </c>
      <c r="K3981">
        <v>9876.4011381827204</v>
      </c>
      <c r="L3981">
        <v>40.881999999999998</v>
      </c>
      <c r="M3981">
        <v>70.087999999999994</v>
      </c>
      <c r="N3981">
        <v>42.908000000000001</v>
      </c>
    </row>
    <row r="3982" spans="1:14" x14ac:dyDescent="0.45">
      <c r="A3982">
        <v>1999</v>
      </c>
      <c r="B3982" t="s">
        <v>110</v>
      </c>
      <c r="C3982">
        <v>0</v>
      </c>
      <c r="D3982">
        <v>1</v>
      </c>
      <c r="E3982">
        <v>0</v>
      </c>
      <c r="F3982">
        <v>1</v>
      </c>
      <c r="G3982">
        <v>0</v>
      </c>
      <c r="H3982">
        <v>0</v>
      </c>
      <c r="I3982">
        <v>0</v>
      </c>
      <c r="J3982">
        <v>9242.9668101958505</v>
      </c>
      <c r="K3982">
        <v>7687.8170898040398</v>
      </c>
      <c r="L3982">
        <v>40.204000000000001</v>
      </c>
      <c r="M3982">
        <v>71.92</v>
      </c>
      <c r="N3982">
        <v>31.494</v>
      </c>
    </row>
    <row r="3983" spans="1:14" x14ac:dyDescent="0.45">
      <c r="A3983">
        <v>1999</v>
      </c>
      <c r="B3983" t="s">
        <v>111</v>
      </c>
      <c r="C3983">
        <v>0</v>
      </c>
      <c r="D3983">
        <v>0</v>
      </c>
      <c r="E3983">
        <v>0</v>
      </c>
      <c r="F3983">
        <v>1</v>
      </c>
      <c r="G3983">
        <v>0</v>
      </c>
      <c r="H3983">
        <v>0</v>
      </c>
      <c r="I3983">
        <v>0</v>
      </c>
      <c r="J3983">
        <v>9588.8593851527403</v>
      </c>
      <c r="K3983">
        <v>7609.5572489453298</v>
      </c>
      <c r="L3983">
        <v>57.25</v>
      </c>
      <c r="M3983">
        <v>67.010000000000005</v>
      </c>
      <c r="N3983">
        <v>49.914999999999999</v>
      </c>
    </row>
    <row r="3984" spans="1:14" x14ac:dyDescent="0.45">
      <c r="A3984">
        <v>1999</v>
      </c>
      <c r="B3984" t="s">
        <v>112</v>
      </c>
      <c r="C3984">
        <v>0</v>
      </c>
      <c r="D3984">
        <v>0</v>
      </c>
      <c r="E3984">
        <v>1</v>
      </c>
      <c r="F3984">
        <v>0</v>
      </c>
      <c r="G3984">
        <v>0</v>
      </c>
      <c r="H3984">
        <v>0</v>
      </c>
      <c r="I3984">
        <v>0</v>
      </c>
      <c r="L3984">
        <v>74.265000000000001</v>
      </c>
      <c r="M3984">
        <v>44.506</v>
      </c>
      <c r="N3984">
        <v>109.024</v>
      </c>
    </row>
    <row r="3985" spans="1:14" x14ac:dyDescent="0.45">
      <c r="A3985">
        <v>1999</v>
      </c>
      <c r="B3985" t="s">
        <v>113</v>
      </c>
      <c r="C3985">
        <v>1</v>
      </c>
      <c r="D3985">
        <v>0</v>
      </c>
      <c r="E3985">
        <v>0</v>
      </c>
      <c r="F3985">
        <v>0</v>
      </c>
      <c r="G3985">
        <v>0</v>
      </c>
      <c r="H3985">
        <v>1</v>
      </c>
      <c r="I3985">
        <v>1</v>
      </c>
      <c r="J3985">
        <v>38141.316878689002</v>
      </c>
      <c r="K3985">
        <v>33565.373263912501</v>
      </c>
      <c r="L3985">
        <v>23.818999999999999</v>
      </c>
      <c r="M3985">
        <v>78.944000000000003</v>
      </c>
      <c r="N3985">
        <v>5.5529999999999999</v>
      </c>
    </row>
    <row r="3986" spans="1:14" x14ac:dyDescent="0.45">
      <c r="A3986">
        <v>1999</v>
      </c>
      <c r="B3986" t="s">
        <v>114</v>
      </c>
      <c r="C3986">
        <v>1</v>
      </c>
      <c r="D3986">
        <v>0</v>
      </c>
      <c r="E3986">
        <v>0</v>
      </c>
      <c r="F3986">
        <v>0</v>
      </c>
      <c r="G3986">
        <v>1</v>
      </c>
      <c r="H3986">
        <v>0</v>
      </c>
      <c r="I3986">
        <v>0</v>
      </c>
      <c r="J3986">
        <v>18930.328877604901</v>
      </c>
      <c r="K3986">
        <v>16060.6022380704</v>
      </c>
      <c r="L3986">
        <v>30.457000000000001</v>
      </c>
      <c r="M3986">
        <v>70.680999999999997</v>
      </c>
      <c r="N3986">
        <v>12.65</v>
      </c>
    </row>
    <row r="3987" spans="1:14" x14ac:dyDescent="0.45">
      <c r="A3987">
        <v>1999</v>
      </c>
      <c r="B3987" t="s">
        <v>115</v>
      </c>
      <c r="C3987">
        <v>0</v>
      </c>
      <c r="D3987">
        <v>0</v>
      </c>
      <c r="E3987">
        <v>1</v>
      </c>
      <c r="F3987">
        <v>0</v>
      </c>
      <c r="G3987">
        <v>0</v>
      </c>
      <c r="H3987">
        <v>0</v>
      </c>
      <c r="I3987">
        <v>0</v>
      </c>
      <c r="J3987">
        <v>787.67957755339398</v>
      </c>
      <c r="K3987">
        <v>710.40065154396905</v>
      </c>
      <c r="L3987">
        <v>85.447000000000003</v>
      </c>
      <c r="M3987">
        <v>49.485999999999997</v>
      </c>
      <c r="N3987">
        <v>148.26400000000001</v>
      </c>
    </row>
    <row r="3988" spans="1:14" x14ac:dyDescent="0.45">
      <c r="A3988">
        <v>1999</v>
      </c>
      <c r="B3988" t="s">
        <v>116</v>
      </c>
      <c r="C3988">
        <v>1</v>
      </c>
      <c r="D3988">
        <v>0</v>
      </c>
      <c r="E3988">
        <v>0</v>
      </c>
      <c r="F3988">
        <v>0</v>
      </c>
      <c r="G3988">
        <v>0</v>
      </c>
      <c r="H3988">
        <v>1</v>
      </c>
      <c r="I3988">
        <v>1</v>
      </c>
      <c r="J3988">
        <v>44505.711477022203</v>
      </c>
      <c r="K3988">
        <v>37415.186668250099</v>
      </c>
      <c r="L3988">
        <v>18.053999999999998</v>
      </c>
      <c r="M3988">
        <v>77.450999999999993</v>
      </c>
      <c r="N3988">
        <v>4.4859999999999998</v>
      </c>
    </row>
    <row r="3989" spans="1:14" x14ac:dyDescent="0.45">
      <c r="A3989">
        <v>1999</v>
      </c>
      <c r="B3989" t="s">
        <v>117</v>
      </c>
      <c r="C3989">
        <v>0</v>
      </c>
      <c r="D3989">
        <v>0</v>
      </c>
      <c r="E3989">
        <v>0</v>
      </c>
      <c r="F3989">
        <v>1</v>
      </c>
      <c r="G3989">
        <v>0</v>
      </c>
      <c r="H3989">
        <v>0</v>
      </c>
      <c r="I3989">
        <v>0</v>
      </c>
      <c r="J3989">
        <v>9693.8126068656093</v>
      </c>
      <c r="K3989">
        <v>9493.1768381174807</v>
      </c>
      <c r="L3989">
        <v>52.484999999999999</v>
      </c>
      <c r="M3989">
        <v>66.727999999999994</v>
      </c>
      <c r="N3989">
        <v>23.225000000000001</v>
      </c>
    </row>
    <row r="3990" spans="1:14" x14ac:dyDescent="0.45">
      <c r="A3990">
        <v>1999</v>
      </c>
      <c r="B3990" t="s">
        <v>118</v>
      </c>
      <c r="C3990">
        <v>1</v>
      </c>
      <c r="D3990">
        <v>0</v>
      </c>
      <c r="E3990">
        <v>0</v>
      </c>
      <c r="F3990">
        <v>0</v>
      </c>
      <c r="G3990">
        <v>0</v>
      </c>
      <c r="H3990">
        <v>1</v>
      </c>
      <c r="I3990">
        <v>1</v>
      </c>
      <c r="J3990">
        <v>44400.135788919099</v>
      </c>
      <c r="K3990">
        <v>37069.619548434202</v>
      </c>
      <c r="L3990">
        <v>24.385999999999999</v>
      </c>
      <c r="M3990">
        <v>78.745999999999995</v>
      </c>
      <c r="N3990">
        <v>5.415</v>
      </c>
    </row>
    <row r="3991" spans="1:14" x14ac:dyDescent="0.45">
      <c r="A3991">
        <v>1999</v>
      </c>
      <c r="B3991" t="s">
        <v>119</v>
      </c>
      <c r="C3991">
        <v>1</v>
      </c>
      <c r="D3991">
        <v>0</v>
      </c>
      <c r="E3991">
        <v>0</v>
      </c>
      <c r="F3991">
        <v>0</v>
      </c>
      <c r="G3991">
        <v>0</v>
      </c>
      <c r="H3991">
        <v>1</v>
      </c>
      <c r="I3991">
        <v>1</v>
      </c>
      <c r="L3991">
        <v>64.14</v>
      </c>
      <c r="M3991">
        <v>78.147999999999996</v>
      </c>
      <c r="N3991">
        <v>9.8710000000000004</v>
      </c>
    </row>
    <row r="3992" spans="1:14" x14ac:dyDescent="0.45">
      <c r="A3992">
        <v>1999</v>
      </c>
      <c r="B3992" t="s">
        <v>120</v>
      </c>
      <c r="C3992">
        <v>0</v>
      </c>
      <c r="D3992">
        <v>0</v>
      </c>
      <c r="E3992">
        <v>0</v>
      </c>
      <c r="F3992">
        <v>1</v>
      </c>
      <c r="G3992">
        <v>0</v>
      </c>
      <c r="H3992">
        <v>0</v>
      </c>
      <c r="I3992">
        <v>0</v>
      </c>
      <c r="J3992">
        <v>3456.15330127377</v>
      </c>
      <c r="K3992">
        <v>3128.2956544215599</v>
      </c>
      <c r="L3992">
        <v>77.251000000000005</v>
      </c>
      <c r="M3992">
        <v>64.626000000000005</v>
      </c>
      <c r="N3992">
        <v>39.006999999999998</v>
      </c>
    </row>
    <row r="3993" spans="1:14" x14ac:dyDescent="0.45">
      <c r="A3993">
        <v>1999</v>
      </c>
      <c r="B3993" t="s">
        <v>121</v>
      </c>
      <c r="C3993">
        <v>0</v>
      </c>
      <c r="D3993">
        <v>0</v>
      </c>
      <c r="E3993">
        <v>1</v>
      </c>
      <c r="F3993">
        <v>0</v>
      </c>
      <c r="G3993">
        <v>1</v>
      </c>
      <c r="H3993">
        <v>0</v>
      </c>
      <c r="I3993">
        <v>0</v>
      </c>
      <c r="J3993">
        <v>22713.714440325999</v>
      </c>
      <c r="K3993">
        <v>17186.103031574901</v>
      </c>
      <c r="L3993">
        <v>21.898</v>
      </c>
      <c r="M3993">
        <v>61.658000000000001</v>
      </c>
      <c r="N3993">
        <v>84.42</v>
      </c>
    </row>
    <row r="3994" spans="1:14" x14ac:dyDescent="0.45">
      <c r="A3994">
        <v>1999</v>
      </c>
      <c r="B3994" t="s">
        <v>122</v>
      </c>
      <c r="C3994">
        <v>1</v>
      </c>
      <c r="D3994">
        <v>0</v>
      </c>
      <c r="E3994">
        <v>0</v>
      </c>
      <c r="F3994">
        <v>0</v>
      </c>
      <c r="G3994">
        <v>0</v>
      </c>
      <c r="H3994">
        <v>1</v>
      </c>
      <c r="I3994">
        <v>1</v>
      </c>
      <c r="J3994">
        <v>41596.470379032697</v>
      </c>
      <c r="K3994">
        <v>35836.613650660103</v>
      </c>
      <c r="L3994">
        <v>21.408999999999999</v>
      </c>
      <c r="M3994">
        <v>77.373000000000005</v>
      </c>
      <c r="N3994">
        <v>6.8310000000000004</v>
      </c>
    </row>
    <row r="3995" spans="1:14" x14ac:dyDescent="0.45">
      <c r="A3995">
        <v>1999</v>
      </c>
      <c r="B3995" t="s">
        <v>123</v>
      </c>
      <c r="C3995">
        <v>1</v>
      </c>
      <c r="D3995">
        <v>0</v>
      </c>
      <c r="E3995">
        <v>0</v>
      </c>
      <c r="F3995">
        <v>0</v>
      </c>
      <c r="G3995">
        <v>0</v>
      </c>
      <c r="H3995">
        <v>0</v>
      </c>
      <c r="I3995">
        <v>0</v>
      </c>
      <c r="J3995">
        <v>5495.2450505286597</v>
      </c>
      <c r="K3995">
        <v>4642.8538500874902</v>
      </c>
      <c r="L3995">
        <v>47.121000000000002</v>
      </c>
      <c r="M3995">
        <v>70.012</v>
      </c>
      <c r="N3995">
        <v>37.895000000000003</v>
      </c>
    </row>
    <row r="3996" spans="1:14" x14ac:dyDescent="0.45">
      <c r="A3996">
        <v>1999</v>
      </c>
      <c r="B3996" t="s">
        <v>124</v>
      </c>
      <c r="C3996">
        <v>0</v>
      </c>
      <c r="D3996">
        <v>0</v>
      </c>
      <c r="E3996">
        <v>1</v>
      </c>
      <c r="F3996">
        <v>0</v>
      </c>
      <c r="G3996">
        <v>0</v>
      </c>
      <c r="H3996">
        <v>0</v>
      </c>
      <c r="I3996">
        <v>0</v>
      </c>
      <c r="J3996">
        <v>3290.2686523574798</v>
      </c>
      <c r="K3996">
        <v>2838.6553480839698</v>
      </c>
      <c r="L3996">
        <v>56.816000000000003</v>
      </c>
      <c r="M3996">
        <v>57.835000000000001</v>
      </c>
      <c r="N3996">
        <v>103.157</v>
      </c>
    </row>
    <row r="3997" spans="1:14" x14ac:dyDescent="0.45">
      <c r="A3997">
        <v>1999</v>
      </c>
      <c r="B3997" t="s">
        <v>125</v>
      </c>
      <c r="C3997">
        <v>1</v>
      </c>
      <c r="D3997">
        <v>0</v>
      </c>
      <c r="E3997">
        <v>0</v>
      </c>
      <c r="F3997">
        <v>0</v>
      </c>
      <c r="G3997">
        <v>0</v>
      </c>
      <c r="H3997">
        <v>1</v>
      </c>
      <c r="I3997">
        <v>1</v>
      </c>
      <c r="L3997">
        <v>0</v>
      </c>
      <c r="M3997">
        <v>79.811999999999998</v>
      </c>
      <c r="N3997">
        <v>15.332000000000001</v>
      </c>
    </row>
    <row r="3998" spans="1:14" x14ac:dyDescent="0.45">
      <c r="A3998">
        <v>1999</v>
      </c>
      <c r="B3998" t="s">
        <v>126</v>
      </c>
      <c r="C3998">
        <v>0</v>
      </c>
      <c r="D3998">
        <v>0</v>
      </c>
      <c r="E3998">
        <v>1</v>
      </c>
      <c r="F3998">
        <v>0</v>
      </c>
      <c r="G3998">
        <v>0</v>
      </c>
      <c r="H3998">
        <v>0</v>
      </c>
      <c r="I3998">
        <v>0</v>
      </c>
      <c r="J3998">
        <v>2346.2701835770999</v>
      </c>
      <c r="K3998">
        <v>1891.71743336139</v>
      </c>
      <c r="L3998">
        <v>69.405000000000001</v>
      </c>
      <c r="M3998">
        <v>51.987000000000002</v>
      </c>
      <c r="N3998">
        <v>172.916</v>
      </c>
    </row>
    <row r="3999" spans="1:14" x14ac:dyDescent="0.45">
      <c r="A3999">
        <v>1999</v>
      </c>
      <c r="B3999" t="s">
        <v>127</v>
      </c>
      <c r="C3999">
        <v>0</v>
      </c>
      <c r="D3999">
        <v>0</v>
      </c>
      <c r="E3999">
        <v>1</v>
      </c>
      <c r="F3999">
        <v>0</v>
      </c>
      <c r="G3999">
        <v>0</v>
      </c>
      <c r="H3999">
        <v>0</v>
      </c>
      <c r="I3999">
        <v>0</v>
      </c>
      <c r="J3999">
        <v>2589.97773860396</v>
      </c>
      <c r="K3999">
        <v>2084.6652217576102</v>
      </c>
      <c r="L3999">
        <v>53.039000000000001</v>
      </c>
      <c r="M3999">
        <v>56.466000000000001</v>
      </c>
      <c r="N3999">
        <v>118.373</v>
      </c>
    </row>
    <row r="4000" spans="1:14" x14ac:dyDescent="0.45">
      <c r="A4000">
        <v>1999</v>
      </c>
      <c r="B4000" t="s">
        <v>128</v>
      </c>
      <c r="C4000">
        <v>0</v>
      </c>
      <c r="D4000">
        <v>0</v>
      </c>
      <c r="E4000">
        <v>1</v>
      </c>
      <c r="F4000">
        <v>0</v>
      </c>
      <c r="G4000">
        <v>0</v>
      </c>
      <c r="H4000">
        <v>0</v>
      </c>
      <c r="I4000">
        <v>0</v>
      </c>
      <c r="J4000">
        <v>1968.6895559805801</v>
      </c>
      <c r="K4000">
        <v>1771.03007053584</v>
      </c>
      <c r="L4000">
        <v>64.135000000000005</v>
      </c>
      <c r="M4000">
        <v>48.491999999999997</v>
      </c>
      <c r="N4000">
        <v>180.607</v>
      </c>
    </row>
    <row r="4001" spans="1:14" x14ac:dyDescent="0.45">
      <c r="A4001">
        <v>1999</v>
      </c>
      <c r="B4001" t="s">
        <v>129</v>
      </c>
      <c r="C4001">
        <v>0</v>
      </c>
      <c r="D4001">
        <v>0</v>
      </c>
      <c r="E4001">
        <v>1</v>
      </c>
      <c r="F4001">
        <v>1</v>
      </c>
      <c r="G4001">
        <v>0</v>
      </c>
      <c r="H4001">
        <v>0</v>
      </c>
      <c r="I4001">
        <v>0</v>
      </c>
      <c r="J4001">
        <v>10492.4649475554</v>
      </c>
      <c r="K4001">
        <v>8693.1410771389201</v>
      </c>
      <c r="L4001">
        <v>52.65</v>
      </c>
      <c r="M4001">
        <v>53.000999999999998</v>
      </c>
      <c r="N4001">
        <v>158.41200000000001</v>
      </c>
    </row>
    <row r="4002" spans="1:14" x14ac:dyDescent="0.45">
      <c r="A4002">
        <v>1999</v>
      </c>
      <c r="B4002" t="s">
        <v>130</v>
      </c>
      <c r="C4002">
        <v>1</v>
      </c>
      <c r="D4002">
        <v>0</v>
      </c>
      <c r="E4002">
        <v>0</v>
      </c>
      <c r="F4002">
        <v>0</v>
      </c>
      <c r="G4002">
        <v>0</v>
      </c>
      <c r="H4002">
        <v>1</v>
      </c>
      <c r="I4002">
        <v>1</v>
      </c>
      <c r="J4002">
        <v>30263.0543705003</v>
      </c>
      <c r="K4002">
        <v>27091.308089950599</v>
      </c>
      <c r="L4002">
        <v>27.402999999999999</v>
      </c>
      <c r="M4002">
        <v>78.423000000000002</v>
      </c>
      <c r="N4002">
        <v>6.8150000000000004</v>
      </c>
    </row>
    <row r="4003" spans="1:14" x14ac:dyDescent="0.45">
      <c r="A4003">
        <v>1999</v>
      </c>
      <c r="B4003" t="s">
        <v>131</v>
      </c>
      <c r="C4003">
        <v>0</v>
      </c>
      <c r="D4003">
        <v>1</v>
      </c>
      <c r="E4003">
        <v>0</v>
      </c>
      <c r="F4003">
        <v>0</v>
      </c>
      <c r="G4003">
        <v>1</v>
      </c>
      <c r="H4003">
        <v>0</v>
      </c>
      <c r="I4003">
        <v>0</v>
      </c>
      <c r="J4003">
        <v>11165.3273481534</v>
      </c>
      <c r="K4003">
        <v>10302.304177284999</v>
      </c>
      <c r="L4003">
        <v>64.55</v>
      </c>
      <c r="M4003">
        <v>72.873000000000005</v>
      </c>
      <c r="N4003">
        <v>15.82</v>
      </c>
    </row>
    <row r="4004" spans="1:14" x14ac:dyDescent="0.45">
      <c r="A4004">
        <v>1999</v>
      </c>
      <c r="B4004" t="s">
        <v>132</v>
      </c>
      <c r="C4004">
        <v>1</v>
      </c>
      <c r="D4004">
        <v>0</v>
      </c>
      <c r="E4004">
        <v>0</v>
      </c>
      <c r="F4004">
        <v>0</v>
      </c>
      <c r="G4004">
        <v>0</v>
      </c>
      <c r="H4004">
        <v>1</v>
      </c>
      <c r="I4004">
        <v>1</v>
      </c>
      <c r="J4004">
        <v>42072.056501741899</v>
      </c>
      <c r="K4004">
        <v>38082.286399028097</v>
      </c>
      <c r="L4004">
        <v>18.524000000000001</v>
      </c>
      <c r="M4004">
        <v>65.120999999999995</v>
      </c>
      <c r="N4004">
        <v>22.385999999999999</v>
      </c>
    </row>
    <row r="4005" spans="1:14" x14ac:dyDescent="0.45">
      <c r="A4005">
        <v>1999</v>
      </c>
      <c r="B4005" t="s">
        <v>133</v>
      </c>
      <c r="C4005">
        <v>0</v>
      </c>
      <c r="D4005">
        <v>1</v>
      </c>
      <c r="E4005">
        <v>0</v>
      </c>
      <c r="F4005">
        <v>1</v>
      </c>
      <c r="G4005">
        <v>0</v>
      </c>
      <c r="H4005">
        <v>0</v>
      </c>
      <c r="I4005">
        <v>0</v>
      </c>
      <c r="J4005">
        <v>8668.4267328003498</v>
      </c>
      <c r="K4005">
        <v>7530.0513109220201</v>
      </c>
      <c r="L4005">
        <v>55.005000000000003</v>
      </c>
      <c r="M4005">
        <v>66.634</v>
      </c>
      <c r="N4005">
        <v>54.295000000000002</v>
      </c>
    </row>
    <row r="4006" spans="1:14" x14ac:dyDescent="0.45">
      <c r="A4006">
        <v>1999</v>
      </c>
      <c r="B4006" t="s">
        <v>134</v>
      </c>
      <c r="C4006">
        <v>0</v>
      </c>
      <c r="D4006">
        <v>0</v>
      </c>
      <c r="E4006">
        <v>0</v>
      </c>
      <c r="F4006">
        <v>0</v>
      </c>
      <c r="G4006">
        <v>0</v>
      </c>
      <c r="H4006">
        <v>1</v>
      </c>
      <c r="I4006">
        <v>1</v>
      </c>
      <c r="L4006">
        <v>7.0540000000000003</v>
      </c>
      <c r="M4006">
        <v>74.789000000000001</v>
      </c>
      <c r="N4006">
        <v>11.956</v>
      </c>
    </row>
    <row r="4007" spans="1:14" x14ac:dyDescent="0.45">
      <c r="A4007">
        <v>1999</v>
      </c>
      <c r="B4007" t="s">
        <v>135</v>
      </c>
      <c r="C4007">
        <v>0</v>
      </c>
      <c r="D4007">
        <v>1</v>
      </c>
      <c r="E4007">
        <v>0</v>
      </c>
      <c r="F4007">
        <v>1</v>
      </c>
      <c r="G4007">
        <v>0</v>
      </c>
      <c r="H4007">
        <v>0</v>
      </c>
      <c r="I4007">
        <v>0</v>
      </c>
      <c r="J4007">
        <v>8139.9701841574197</v>
      </c>
      <c r="K4007">
        <v>7784.8976705834602</v>
      </c>
      <c r="L4007">
        <v>71.218000000000004</v>
      </c>
      <c r="M4007">
        <v>63.771999999999998</v>
      </c>
      <c r="N4007">
        <v>47.747999999999998</v>
      </c>
    </row>
    <row r="4008" spans="1:14" x14ac:dyDescent="0.45">
      <c r="A4008">
        <v>1999</v>
      </c>
      <c r="B4008" t="s">
        <v>136</v>
      </c>
      <c r="C4008">
        <v>0</v>
      </c>
      <c r="D4008">
        <v>0</v>
      </c>
      <c r="E4008">
        <v>0</v>
      </c>
      <c r="F4008">
        <v>0</v>
      </c>
      <c r="G4008">
        <v>0</v>
      </c>
      <c r="H4008">
        <v>1</v>
      </c>
      <c r="I4008">
        <v>1</v>
      </c>
      <c r="J4008">
        <v>37339.951605202397</v>
      </c>
      <c r="K4008">
        <v>33699.435067658997</v>
      </c>
      <c r="L4008">
        <v>0</v>
      </c>
      <c r="M4008">
        <v>80.388999999999996</v>
      </c>
      <c r="N4008">
        <v>4.2640000000000002</v>
      </c>
    </row>
    <row r="4009" spans="1:14" x14ac:dyDescent="0.45">
      <c r="A4009">
        <v>1999</v>
      </c>
      <c r="B4009" t="s">
        <v>137</v>
      </c>
      <c r="C4009">
        <v>0</v>
      </c>
      <c r="D4009">
        <v>1</v>
      </c>
      <c r="E4009">
        <v>0</v>
      </c>
      <c r="F4009">
        <v>1</v>
      </c>
      <c r="G4009">
        <v>0</v>
      </c>
      <c r="H4009">
        <v>0</v>
      </c>
      <c r="I4009">
        <v>0</v>
      </c>
      <c r="J4009">
        <v>4386.7115218777699</v>
      </c>
      <c r="K4009">
        <v>4042.2583018588498</v>
      </c>
      <c r="L4009">
        <v>55.048000000000002</v>
      </c>
      <c r="M4009">
        <v>68.004999999999995</v>
      </c>
      <c r="N4009">
        <v>39.082000000000001</v>
      </c>
    </row>
    <row r="4010" spans="1:14" x14ac:dyDescent="0.45">
      <c r="A4010">
        <v>1999</v>
      </c>
      <c r="B4010" t="s">
        <v>138</v>
      </c>
      <c r="C4010">
        <v>1</v>
      </c>
      <c r="D4010">
        <v>0</v>
      </c>
      <c r="E4010">
        <v>0</v>
      </c>
      <c r="F4010">
        <v>0</v>
      </c>
      <c r="G4010">
        <v>1</v>
      </c>
      <c r="H4010">
        <v>0</v>
      </c>
      <c r="I4010">
        <v>0</v>
      </c>
      <c r="J4010">
        <v>20489.9533495049</v>
      </c>
      <c r="K4010">
        <v>17670.723052904799</v>
      </c>
      <c r="L4010">
        <v>46.802</v>
      </c>
      <c r="M4010">
        <v>73.608999999999995</v>
      </c>
      <c r="N4010">
        <v>8.2609999999999992</v>
      </c>
    </row>
    <row r="4011" spans="1:14" x14ac:dyDescent="0.45">
      <c r="A4011">
        <v>1999</v>
      </c>
      <c r="B4011" t="s">
        <v>139</v>
      </c>
      <c r="C4011">
        <v>0</v>
      </c>
      <c r="D4011">
        <v>1</v>
      </c>
      <c r="E4011">
        <v>0</v>
      </c>
      <c r="F4011">
        <v>0</v>
      </c>
      <c r="G4011">
        <v>0</v>
      </c>
      <c r="H4011">
        <v>0</v>
      </c>
      <c r="I4011">
        <v>0</v>
      </c>
      <c r="J4011">
        <v>3288.6855079593502</v>
      </c>
      <c r="K4011">
        <v>3160.9390184171398</v>
      </c>
      <c r="L4011">
        <v>65.007999999999996</v>
      </c>
      <c r="M4011">
        <v>57.692</v>
      </c>
      <c r="N4011">
        <v>107.38200000000001</v>
      </c>
    </row>
    <row r="4012" spans="1:14" x14ac:dyDescent="0.45">
      <c r="A4012">
        <v>1999</v>
      </c>
      <c r="B4012" t="s">
        <v>140</v>
      </c>
      <c r="C4012">
        <v>1</v>
      </c>
      <c r="D4012">
        <v>0</v>
      </c>
      <c r="E4012">
        <v>0</v>
      </c>
      <c r="F4012">
        <v>0</v>
      </c>
      <c r="G4012">
        <v>1</v>
      </c>
      <c r="H4012">
        <v>0</v>
      </c>
      <c r="I4012">
        <v>0</v>
      </c>
      <c r="J4012">
        <v>21128.888463940199</v>
      </c>
      <c r="K4012">
        <v>18412.082738325102</v>
      </c>
      <c r="L4012">
        <v>35.298000000000002</v>
      </c>
      <c r="M4012">
        <v>71.040000000000006</v>
      </c>
      <c r="N4012">
        <v>9.9819999999999993</v>
      </c>
    </row>
    <row r="4013" spans="1:14" x14ac:dyDescent="0.45">
      <c r="A4013">
        <v>1999</v>
      </c>
      <c r="B4013" t="s">
        <v>141</v>
      </c>
      <c r="C4013">
        <v>0</v>
      </c>
      <c r="D4013">
        <v>0</v>
      </c>
      <c r="E4013">
        <v>0</v>
      </c>
      <c r="F4013">
        <v>0</v>
      </c>
      <c r="G4013">
        <v>0</v>
      </c>
      <c r="H4013">
        <v>0</v>
      </c>
      <c r="I4013">
        <v>0</v>
      </c>
      <c r="J4013">
        <v>5855.6580074499398</v>
      </c>
      <c r="K4013">
        <v>5316.0145411522299</v>
      </c>
      <c r="L4013">
        <v>59.207999999999998</v>
      </c>
      <c r="M4013">
        <v>66.001000000000005</v>
      </c>
      <c r="N4013">
        <v>54.655999999999999</v>
      </c>
    </row>
    <row r="4014" spans="1:14" x14ac:dyDescent="0.45">
      <c r="A4014">
        <v>1999</v>
      </c>
      <c r="B4014" t="s">
        <v>142</v>
      </c>
      <c r="C4014">
        <v>1</v>
      </c>
      <c r="D4014">
        <v>0</v>
      </c>
      <c r="E4014">
        <v>0</v>
      </c>
      <c r="F4014">
        <v>0</v>
      </c>
      <c r="G4014">
        <v>1</v>
      </c>
      <c r="H4014">
        <v>0</v>
      </c>
      <c r="I4014">
        <v>0</v>
      </c>
      <c r="L4014">
        <v>48.185000000000002</v>
      </c>
      <c r="M4014">
        <v>74.468999999999994</v>
      </c>
      <c r="N4014">
        <v>25.692</v>
      </c>
    </row>
    <row r="4015" spans="1:14" x14ac:dyDescent="0.45">
      <c r="A4015">
        <v>1999</v>
      </c>
      <c r="B4015" t="s">
        <v>143</v>
      </c>
      <c r="C4015">
        <v>0</v>
      </c>
      <c r="D4015">
        <v>0</v>
      </c>
      <c r="E4015">
        <v>0</v>
      </c>
      <c r="F4015">
        <v>0</v>
      </c>
      <c r="G4015">
        <v>0</v>
      </c>
      <c r="H4015">
        <v>0</v>
      </c>
      <c r="I4015">
        <v>0</v>
      </c>
      <c r="J4015">
        <v>3041.48258556057</v>
      </c>
      <c r="K4015">
        <v>2550.8468777425801</v>
      </c>
      <c r="L4015">
        <v>72.546999999999997</v>
      </c>
      <c r="M4015">
        <v>62.283999999999999</v>
      </c>
      <c r="N4015">
        <v>94.790999999999997</v>
      </c>
    </row>
    <row r="4016" spans="1:14" x14ac:dyDescent="0.45">
      <c r="A4016">
        <v>1999</v>
      </c>
      <c r="B4016" t="s">
        <v>144</v>
      </c>
      <c r="C4016">
        <v>1</v>
      </c>
      <c r="D4016">
        <v>0</v>
      </c>
      <c r="E4016">
        <v>0</v>
      </c>
      <c r="F4016">
        <v>0</v>
      </c>
      <c r="G4016">
        <v>0</v>
      </c>
      <c r="H4016">
        <v>1</v>
      </c>
      <c r="I4016">
        <v>1</v>
      </c>
      <c r="J4016">
        <v>49784.298140536397</v>
      </c>
      <c r="K4016">
        <v>45774.064775828898</v>
      </c>
      <c r="L4016">
        <v>41.09</v>
      </c>
      <c r="M4016">
        <v>76.088999999999999</v>
      </c>
      <c r="N4016">
        <v>7.3090000000000002</v>
      </c>
    </row>
    <row r="4017" spans="1:14" x14ac:dyDescent="0.45">
      <c r="A4017">
        <v>1999</v>
      </c>
      <c r="B4017" t="s">
        <v>145</v>
      </c>
      <c r="C4017">
        <v>0</v>
      </c>
      <c r="D4017">
        <v>0</v>
      </c>
      <c r="E4017">
        <v>0</v>
      </c>
      <c r="F4017">
        <v>1</v>
      </c>
      <c r="G4017">
        <v>0</v>
      </c>
      <c r="H4017">
        <v>0</v>
      </c>
      <c r="I4017">
        <v>0</v>
      </c>
      <c r="J4017">
        <v>10459.1241133566</v>
      </c>
      <c r="K4017">
        <v>10432.9205759384</v>
      </c>
      <c r="L4017">
        <v>36.682000000000002</v>
      </c>
      <c r="M4017">
        <v>69.686000000000007</v>
      </c>
      <c r="N4017">
        <v>38.127000000000002</v>
      </c>
    </row>
    <row r="4018" spans="1:14" x14ac:dyDescent="0.45">
      <c r="A4018">
        <v>1999</v>
      </c>
      <c r="B4018" t="s">
        <v>146</v>
      </c>
      <c r="C4018">
        <v>0</v>
      </c>
      <c r="D4018">
        <v>0</v>
      </c>
      <c r="E4018">
        <v>0</v>
      </c>
      <c r="F4018">
        <v>1</v>
      </c>
      <c r="G4018">
        <v>0</v>
      </c>
      <c r="H4018">
        <v>0</v>
      </c>
      <c r="I4018">
        <v>0</v>
      </c>
      <c r="J4018">
        <v>11237.853743989401</v>
      </c>
      <c r="K4018">
        <v>7943.91257829182</v>
      </c>
      <c r="L4018">
        <v>31.558</v>
      </c>
      <c r="M4018">
        <v>64.531999999999996</v>
      </c>
      <c r="N4018">
        <v>45.466000000000001</v>
      </c>
    </row>
    <row r="4019" spans="1:14" x14ac:dyDescent="0.45">
      <c r="A4019">
        <v>1999</v>
      </c>
      <c r="B4019" t="s">
        <v>147</v>
      </c>
      <c r="C4019">
        <v>1</v>
      </c>
      <c r="D4019">
        <v>0</v>
      </c>
      <c r="E4019">
        <v>0</v>
      </c>
      <c r="F4019">
        <v>0</v>
      </c>
      <c r="G4019">
        <v>0</v>
      </c>
      <c r="H4019">
        <v>1</v>
      </c>
      <c r="I4019">
        <v>1</v>
      </c>
      <c r="J4019">
        <v>46130.181829196001</v>
      </c>
      <c r="K4019">
        <v>39915.933636476897</v>
      </c>
      <c r="L4019">
        <v>7.7329999999999997</v>
      </c>
      <c r="M4019">
        <v>79.236000000000004</v>
      </c>
      <c r="N4019">
        <v>2.7810000000000001</v>
      </c>
    </row>
    <row r="4020" spans="1:14" x14ac:dyDescent="0.45">
      <c r="A4020">
        <v>1999</v>
      </c>
      <c r="B4020" t="s">
        <v>148</v>
      </c>
      <c r="C4020">
        <v>0</v>
      </c>
      <c r="D4020">
        <v>0</v>
      </c>
      <c r="E4020">
        <v>0</v>
      </c>
      <c r="F4020">
        <v>0</v>
      </c>
      <c r="G4020">
        <v>0</v>
      </c>
      <c r="H4020">
        <v>1</v>
      </c>
      <c r="I4020">
        <v>1</v>
      </c>
      <c r="J4020">
        <v>31465.612920326501</v>
      </c>
      <c r="K4020">
        <v>28862.6885151569</v>
      </c>
      <c r="L4020">
        <v>8.8610000000000007</v>
      </c>
      <c r="M4020">
        <v>78.891000000000005</v>
      </c>
      <c r="N4020">
        <v>7.4029999999999996</v>
      </c>
    </row>
    <row r="4021" spans="1:14" x14ac:dyDescent="0.45">
      <c r="A4021">
        <v>1999</v>
      </c>
      <c r="B4021" t="s">
        <v>149</v>
      </c>
      <c r="C4021">
        <v>1</v>
      </c>
      <c r="D4021">
        <v>0</v>
      </c>
      <c r="E4021">
        <v>0</v>
      </c>
      <c r="F4021">
        <v>0</v>
      </c>
      <c r="G4021">
        <v>0</v>
      </c>
      <c r="H4021">
        <v>1</v>
      </c>
      <c r="I4021">
        <v>1</v>
      </c>
      <c r="J4021">
        <v>48493.665121030797</v>
      </c>
      <c r="K4021">
        <v>41305.309286797303</v>
      </c>
      <c r="L4021">
        <v>32.838000000000001</v>
      </c>
      <c r="M4021">
        <v>79.204999999999998</v>
      </c>
      <c r="N4021">
        <v>5.8929999999999998</v>
      </c>
    </row>
    <row r="4022" spans="1:14" x14ac:dyDescent="0.45">
      <c r="A4022">
        <v>1999</v>
      </c>
      <c r="B4022" t="s">
        <v>150</v>
      </c>
      <c r="C4022">
        <v>0</v>
      </c>
      <c r="D4022">
        <v>1</v>
      </c>
      <c r="E4022">
        <v>0</v>
      </c>
      <c r="F4022">
        <v>1</v>
      </c>
      <c r="G4022">
        <v>0</v>
      </c>
      <c r="H4022">
        <v>0</v>
      </c>
      <c r="I4022">
        <v>0</v>
      </c>
      <c r="J4022">
        <v>9501.0150496434198</v>
      </c>
      <c r="K4022">
        <v>9363.5368585482793</v>
      </c>
      <c r="L4022">
        <v>48.426000000000002</v>
      </c>
      <c r="M4022">
        <v>71.188999999999993</v>
      </c>
      <c r="N4022">
        <v>21.27</v>
      </c>
    </row>
    <row r="4023" spans="1:14" x14ac:dyDescent="0.45">
      <c r="A4023">
        <v>1999</v>
      </c>
      <c r="B4023" t="s">
        <v>151</v>
      </c>
      <c r="C4023">
        <v>0</v>
      </c>
      <c r="D4023">
        <v>0</v>
      </c>
      <c r="E4023">
        <v>0</v>
      </c>
      <c r="F4023">
        <v>1</v>
      </c>
      <c r="G4023">
        <v>0</v>
      </c>
      <c r="H4023">
        <v>0</v>
      </c>
      <c r="I4023">
        <v>0</v>
      </c>
      <c r="J4023">
        <v>7920.0197459578103</v>
      </c>
      <c r="K4023">
        <v>7857.01829463592</v>
      </c>
      <c r="L4023">
        <v>21.742000000000001</v>
      </c>
      <c r="M4023">
        <v>71.736999999999995</v>
      </c>
      <c r="N4023">
        <v>27.594000000000001</v>
      </c>
    </row>
    <row r="4024" spans="1:14" x14ac:dyDescent="0.45">
      <c r="A4024">
        <v>1999</v>
      </c>
      <c r="B4024" t="s">
        <v>152</v>
      </c>
      <c r="C4024">
        <v>0</v>
      </c>
      <c r="D4024">
        <v>0</v>
      </c>
      <c r="E4024">
        <v>0</v>
      </c>
      <c r="F4024">
        <v>0</v>
      </c>
      <c r="G4024">
        <v>0</v>
      </c>
      <c r="H4024">
        <v>1</v>
      </c>
      <c r="I4024">
        <v>1</v>
      </c>
      <c r="J4024">
        <v>38020.094002068799</v>
      </c>
      <c r="K4024">
        <v>35219.242011460403</v>
      </c>
      <c r="L4024">
        <v>21.477</v>
      </c>
      <c r="M4024">
        <v>80.613</v>
      </c>
      <c r="N4024">
        <v>4.6959999999999997</v>
      </c>
    </row>
    <row r="4025" spans="1:14" x14ac:dyDescent="0.45">
      <c r="A4025">
        <v>1999</v>
      </c>
      <c r="B4025" t="s">
        <v>153</v>
      </c>
      <c r="C4025">
        <v>1</v>
      </c>
      <c r="D4025">
        <v>0</v>
      </c>
      <c r="E4025">
        <v>0</v>
      </c>
      <c r="F4025">
        <v>1</v>
      </c>
      <c r="G4025">
        <v>0</v>
      </c>
      <c r="H4025">
        <v>0</v>
      </c>
      <c r="I4025">
        <v>0</v>
      </c>
      <c r="J4025">
        <v>11815.773211542901</v>
      </c>
      <c r="K4025">
        <v>8985.4159468179805</v>
      </c>
      <c r="L4025">
        <v>43.975000000000001</v>
      </c>
      <c r="M4025">
        <v>63.527999999999999</v>
      </c>
      <c r="N4025">
        <v>44.536000000000001</v>
      </c>
    </row>
    <row r="4026" spans="1:14" x14ac:dyDescent="0.45">
      <c r="A4026">
        <v>1999</v>
      </c>
      <c r="B4026" t="s">
        <v>154</v>
      </c>
      <c r="C4026">
        <v>0</v>
      </c>
      <c r="D4026">
        <v>0</v>
      </c>
      <c r="E4026">
        <v>1</v>
      </c>
      <c r="F4026">
        <v>0</v>
      </c>
      <c r="G4026">
        <v>0</v>
      </c>
      <c r="H4026">
        <v>0</v>
      </c>
      <c r="I4026">
        <v>0</v>
      </c>
      <c r="J4026">
        <v>3848.4647061272699</v>
      </c>
      <c r="K4026">
        <v>3316.7848336676002</v>
      </c>
      <c r="L4026">
        <v>80.45</v>
      </c>
      <c r="M4026">
        <v>55.866</v>
      </c>
      <c r="N4026">
        <v>98.516999999999996</v>
      </c>
    </row>
    <row r="4027" spans="1:14" x14ac:dyDescent="0.45">
      <c r="A4027">
        <v>1999</v>
      </c>
      <c r="B4027" t="s">
        <v>155</v>
      </c>
      <c r="C4027">
        <v>1</v>
      </c>
      <c r="D4027">
        <v>0</v>
      </c>
      <c r="E4027">
        <v>0</v>
      </c>
      <c r="F4027">
        <v>0</v>
      </c>
      <c r="G4027">
        <v>0</v>
      </c>
      <c r="H4027">
        <v>0</v>
      </c>
      <c r="I4027">
        <v>0</v>
      </c>
      <c r="J4027">
        <v>3491.9377326874101</v>
      </c>
      <c r="K4027">
        <v>2951.2741536185599</v>
      </c>
      <c r="L4027">
        <v>64.7</v>
      </c>
      <c r="M4027">
        <v>64.915999999999997</v>
      </c>
      <c r="N4027">
        <v>51.725999999999999</v>
      </c>
    </row>
    <row r="4028" spans="1:14" x14ac:dyDescent="0.45">
      <c r="A4028">
        <v>1999</v>
      </c>
      <c r="B4028" t="s">
        <v>156</v>
      </c>
      <c r="C4028">
        <v>0</v>
      </c>
      <c r="D4028">
        <v>0</v>
      </c>
      <c r="E4028">
        <v>0</v>
      </c>
      <c r="F4028">
        <v>0</v>
      </c>
      <c r="G4028">
        <v>0</v>
      </c>
      <c r="H4028">
        <v>0</v>
      </c>
      <c r="I4028">
        <v>0</v>
      </c>
      <c r="J4028">
        <v>1775.4123980198599</v>
      </c>
      <c r="K4028">
        <v>1591.9559938944401</v>
      </c>
      <c r="L4028">
        <v>81.53</v>
      </c>
      <c r="M4028">
        <v>58.610999999999997</v>
      </c>
      <c r="N4028">
        <v>108.108</v>
      </c>
    </row>
    <row r="4029" spans="1:14" x14ac:dyDescent="0.45">
      <c r="A4029">
        <v>1999</v>
      </c>
      <c r="B4029" t="s">
        <v>157</v>
      </c>
      <c r="C4029">
        <v>0</v>
      </c>
      <c r="D4029">
        <v>0</v>
      </c>
      <c r="E4029">
        <v>0</v>
      </c>
      <c r="F4029">
        <v>1</v>
      </c>
      <c r="G4029">
        <v>0</v>
      </c>
      <c r="H4029">
        <v>0</v>
      </c>
      <c r="I4029">
        <v>0</v>
      </c>
      <c r="J4029">
        <v>2364.3461915048401</v>
      </c>
      <c r="K4029">
        <v>2138.7859035973902</v>
      </c>
      <c r="L4029">
        <v>58.46</v>
      </c>
      <c r="M4029">
        <v>64.393000000000001</v>
      </c>
      <c r="N4029">
        <v>67.912999999999997</v>
      </c>
    </row>
    <row r="4030" spans="1:14" x14ac:dyDescent="0.45">
      <c r="A4030">
        <v>1999</v>
      </c>
      <c r="B4030" t="s">
        <v>158</v>
      </c>
      <c r="C4030">
        <v>0</v>
      </c>
      <c r="D4030">
        <v>1</v>
      </c>
      <c r="E4030">
        <v>0</v>
      </c>
      <c r="F4030">
        <v>0</v>
      </c>
      <c r="G4030">
        <v>1</v>
      </c>
      <c r="H4030">
        <v>0</v>
      </c>
      <c r="I4030">
        <v>0</v>
      </c>
      <c r="J4030">
        <v>18291.4229188676</v>
      </c>
      <c r="K4030">
        <v>18065.268099207598</v>
      </c>
      <c r="L4030">
        <v>67.034999999999997</v>
      </c>
      <c r="M4030">
        <v>68.724999999999994</v>
      </c>
      <c r="N4030">
        <v>24.645</v>
      </c>
    </row>
    <row r="4031" spans="1:14" x14ac:dyDescent="0.45">
      <c r="A4031">
        <v>1999</v>
      </c>
      <c r="B4031" t="s">
        <v>159</v>
      </c>
      <c r="C4031">
        <v>0</v>
      </c>
      <c r="D4031">
        <v>0</v>
      </c>
      <c r="E4031">
        <v>0</v>
      </c>
      <c r="F4031">
        <v>0</v>
      </c>
      <c r="G4031">
        <v>1</v>
      </c>
      <c r="H4031">
        <v>0</v>
      </c>
      <c r="I4031">
        <v>0</v>
      </c>
      <c r="J4031">
        <v>23218.227667312301</v>
      </c>
      <c r="K4031">
        <v>21166.258671179101</v>
      </c>
      <c r="L4031">
        <v>20.616</v>
      </c>
      <c r="M4031">
        <v>75.617000000000004</v>
      </c>
      <c r="N4031">
        <v>8.0920000000000005</v>
      </c>
    </row>
    <row r="4032" spans="1:14" x14ac:dyDescent="0.45">
      <c r="A4032">
        <v>1999</v>
      </c>
      <c r="B4032" t="s">
        <v>160</v>
      </c>
      <c r="C4032">
        <v>0</v>
      </c>
      <c r="D4032">
        <v>0</v>
      </c>
      <c r="E4032">
        <v>0</v>
      </c>
      <c r="F4032">
        <v>0</v>
      </c>
      <c r="G4032">
        <v>0</v>
      </c>
      <c r="H4032">
        <v>1</v>
      </c>
      <c r="I4032">
        <v>1</v>
      </c>
      <c r="J4032">
        <v>59533.954306200802</v>
      </c>
      <c r="K4032">
        <v>53020.947159605603</v>
      </c>
      <c r="L4032">
        <v>1.1380000000000099</v>
      </c>
      <c r="M4032">
        <v>75.721999999999994</v>
      </c>
      <c r="N4032">
        <v>13.169</v>
      </c>
    </row>
    <row r="4033" spans="1:14" x14ac:dyDescent="0.45">
      <c r="A4033">
        <v>1999</v>
      </c>
      <c r="B4033" t="s">
        <v>161</v>
      </c>
      <c r="C4033">
        <v>0</v>
      </c>
      <c r="D4033">
        <v>0</v>
      </c>
      <c r="E4033">
        <v>0</v>
      </c>
      <c r="F4033">
        <v>0</v>
      </c>
      <c r="G4033">
        <v>0</v>
      </c>
      <c r="H4033">
        <v>0</v>
      </c>
      <c r="I4033">
        <v>0</v>
      </c>
      <c r="J4033">
        <v>2786.5203970347102</v>
      </c>
      <c r="K4033">
        <v>2677.5886145890399</v>
      </c>
      <c r="L4033">
        <v>79.009</v>
      </c>
      <c r="M4033">
        <v>57.866</v>
      </c>
      <c r="N4033">
        <v>110.815</v>
      </c>
    </row>
    <row r="4034" spans="1:14" x14ac:dyDescent="0.45">
      <c r="A4034">
        <v>1999</v>
      </c>
      <c r="B4034" t="s">
        <v>162</v>
      </c>
      <c r="C4034">
        <v>0</v>
      </c>
      <c r="D4034">
        <v>0</v>
      </c>
      <c r="E4034">
        <v>0</v>
      </c>
      <c r="F4034">
        <v>0</v>
      </c>
      <c r="G4034">
        <v>1</v>
      </c>
      <c r="H4034">
        <v>0</v>
      </c>
      <c r="I4034">
        <v>0</v>
      </c>
      <c r="J4034">
        <v>11617.249770853799</v>
      </c>
      <c r="K4034">
        <v>15100.024677826699</v>
      </c>
      <c r="L4034">
        <v>14.115</v>
      </c>
      <c r="M4034">
        <v>73.513000000000005</v>
      </c>
      <c r="N4034">
        <v>20.881</v>
      </c>
    </row>
    <row r="4035" spans="1:14" x14ac:dyDescent="0.45">
      <c r="A4035">
        <v>1999</v>
      </c>
      <c r="B4035" t="s">
        <v>163</v>
      </c>
      <c r="C4035">
        <v>0</v>
      </c>
      <c r="D4035">
        <v>0</v>
      </c>
      <c r="E4035">
        <v>1</v>
      </c>
      <c r="F4035">
        <v>0</v>
      </c>
      <c r="G4035">
        <v>0</v>
      </c>
      <c r="H4035">
        <v>0</v>
      </c>
      <c r="I4035">
        <v>0</v>
      </c>
      <c r="J4035">
        <v>1507.31470254594</v>
      </c>
      <c r="K4035">
        <v>2226.9752460922</v>
      </c>
      <c r="L4035">
        <v>56.012</v>
      </c>
      <c r="M4035">
        <v>50.411999999999999</v>
      </c>
      <c r="N4035">
        <v>198.25399999999999</v>
      </c>
    </row>
    <row r="4036" spans="1:14" x14ac:dyDescent="0.45">
      <c r="A4036">
        <v>1999</v>
      </c>
      <c r="B4036" t="s">
        <v>164</v>
      </c>
      <c r="C4036">
        <v>0</v>
      </c>
      <c r="D4036">
        <v>0</v>
      </c>
      <c r="E4036">
        <v>0</v>
      </c>
      <c r="F4036">
        <v>0</v>
      </c>
      <c r="G4036">
        <v>1</v>
      </c>
      <c r="H4036">
        <v>0</v>
      </c>
      <c r="I4036">
        <v>0</v>
      </c>
      <c r="J4036">
        <v>17397.987652867399</v>
      </c>
      <c r="K4036">
        <v>20332.943690927401</v>
      </c>
      <c r="L4036">
        <v>23.716000000000001</v>
      </c>
      <c r="M4036">
        <v>70.600999999999999</v>
      </c>
      <c r="N4036">
        <v>28.978999999999999</v>
      </c>
    </row>
    <row r="4037" spans="1:14" x14ac:dyDescent="0.45">
      <c r="A4037">
        <v>1999</v>
      </c>
      <c r="B4037" t="s">
        <v>165</v>
      </c>
      <c r="C4037">
        <v>0</v>
      </c>
      <c r="D4037">
        <v>1</v>
      </c>
      <c r="E4037">
        <v>0</v>
      </c>
      <c r="F4037">
        <v>0</v>
      </c>
      <c r="G4037">
        <v>1</v>
      </c>
      <c r="H4037">
        <v>0</v>
      </c>
      <c r="I4037">
        <v>0</v>
      </c>
      <c r="J4037">
        <v>19039.463021371801</v>
      </c>
      <c r="K4037">
        <v>13697.123113690301</v>
      </c>
      <c r="L4037">
        <v>72.028999999999996</v>
      </c>
      <c r="M4037">
        <v>70.691999999999993</v>
      </c>
      <c r="N4037">
        <v>18.356000000000002</v>
      </c>
    </row>
    <row r="4038" spans="1:14" x14ac:dyDescent="0.45">
      <c r="A4038">
        <v>1999</v>
      </c>
      <c r="B4038" t="s">
        <v>166</v>
      </c>
      <c r="C4038">
        <v>1</v>
      </c>
      <c r="D4038">
        <v>0</v>
      </c>
      <c r="E4038">
        <v>0</v>
      </c>
      <c r="F4038">
        <v>0</v>
      </c>
      <c r="G4038">
        <v>0</v>
      </c>
      <c r="H4038">
        <v>1</v>
      </c>
      <c r="I4038">
        <v>1</v>
      </c>
      <c r="L4038">
        <v>84.585999999999999</v>
      </c>
      <c r="M4038">
        <v>78.150999999999996</v>
      </c>
      <c r="N4038">
        <v>12.542</v>
      </c>
    </row>
    <row r="4039" spans="1:14" x14ac:dyDescent="0.45">
      <c r="A4039">
        <v>1999</v>
      </c>
      <c r="B4039" t="s">
        <v>167</v>
      </c>
      <c r="C4039">
        <v>0</v>
      </c>
      <c r="D4039">
        <v>0</v>
      </c>
      <c r="E4039">
        <v>0</v>
      </c>
      <c r="F4039">
        <v>1</v>
      </c>
      <c r="G4039">
        <v>0</v>
      </c>
      <c r="H4039">
        <v>0</v>
      </c>
      <c r="I4039">
        <v>0</v>
      </c>
      <c r="J4039">
        <v>6176.23548455949</v>
      </c>
      <c r="K4039">
        <v>5768.5063265560902</v>
      </c>
      <c r="L4039">
        <v>81.603999999999999</v>
      </c>
      <c r="M4039">
        <v>70.427000000000007</v>
      </c>
      <c r="N4039">
        <v>17.552</v>
      </c>
    </row>
    <row r="4040" spans="1:14" x14ac:dyDescent="0.45">
      <c r="A4040">
        <v>1999</v>
      </c>
      <c r="B4040" t="s">
        <v>168</v>
      </c>
      <c r="C4040">
        <v>0</v>
      </c>
      <c r="D4040">
        <v>0</v>
      </c>
      <c r="E4040">
        <v>1</v>
      </c>
      <c r="F4040">
        <v>0</v>
      </c>
      <c r="G4040">
        <v>0</v>
      </c>
      <c r="H4040">
        <v>0</v>
      </c>
      <c r="I4040">
        <v>0</v>
      </c>
      <c r="J4040">
        <v>1860.7005217861199</v>
      </c>
      <c r="K4040">
        <v>1666.1088254470501</v>
      </c>
      <c r="L4040">
        <v>80.962000000000003</v>
      </c>
      <c r="M4040">
        <v>50.384999999999998</v>
      </c>
      <c r="N4040">
        <v>107.383</v>
      </c>
    </row>
    <row r="4041" spans="1:14" x14ac:dyDescent="0.45">
      <c r="A4041">
        <v>1999</v>
      </c>
      <c r="B4041" t="s">
        <v>169</v>
      </c>
      <c r="C4041">
        <v>1</v>
      </c>
      <c r="D4041">
        <v>0</v>
      </c>
      <c r="E4041">
        <v>0</v>
      </c>
      <c r="F4041">
        <v>1</v>
      </c>
      <c r="G4041">
        <v>0</v>
      </c>
      <c r="H4041">
        <v>0</v>
      </c>
      <c r="I4041">
        <v>0</v>
      </c>
      <c r="J4041">
        <v>15143.193710293899</v>
      </c>
      <c r="K4041">
        <v>12956.011975813</v>
      </c>
      <c r="L4041">
        <v>32.954000000000001</v>
      </c>
      <c r="M4041">
        <v>71.716999999999999</v>
      </c>
      <c r="N4041">
        <v>10.98</v>
      </c>
    </row>
    <row r="4042" spans="1:14" x14ac:dyDescent="0.45">
      <c r="A4042">
        <v>1999</v>
      </c>
      <c r="B4042" t="s">
        <v>170</v>
      </c>
      <c r="C4042">
        <v>1</v>
      </c>
      <c r="D4042">
        <v>0</v>
      </c>
      <c r="E4042">
        <v>0</v>
      </c>
      <c r="F4042">
        <v>0</v>
      </c>
      <c r="G4042">
        <v>0</v>
      </c>
      <c r="H4042">
        <v>1</v>
      </c>
      <c r="I4042">
        <v>1</v>
      </c>
      <c r="J4042">
        <v>108180.402740212</v>
      </c>
      <c r="K4042">
        <v>92446.7870262957</v>
      </c>
      <c r="L4042">
        <v>16.552</v>
      </c>
      <c r="M4042">
        <v>76.986000000000004</v>
      </c>
      <c r="N4042">
        <v>7.6230000000000002</v>
      </c>
    </row>
    <row r="4043" spans="1:14" x14ac:dyDescent="0.45">
      <c r="A4043">
        <v>1999</v>
      </c>
      <c r="B4043" t="s">
        <v>171</v>
      </c>
      <c r="C4043">
        <v>1</v>
      </c>
      <c r="D4043">
        <v>0</v>
      </c>
      <c r="E4043">
        <v>0</v>
      </c>
      <c r="F4043">
        <v>1</v>
      </c>
      <c r="G4043">
        <v>0</v>
      </c>
      <c r="H4043">
        <v>0</v>
      </c>
      <c r="I4043">
        <v>0</v>
      </c>
      <c r="J4043">
        <v>13619.098799485</v>
      </c>
      <c r="K4043">
        <v>11815.784175622401</v>
      </c>
      <c r="L4043">
        <v>31.78</v>
      </c>
      <c r="M4043">
        <v>69.647999999999996</v>
      </c>
      <c r="N4043">
        <v>14.3</v>
      </c>
    </row>
    <row r="4044" spans="1:14" x14ac:dyDescent="0.45">
      <c r="A4044">
        <v>1999</v>
      </c>
      <c r="B4044" t="s">
        <v>172</v>
      </c>
      <c r="C4044">
        <v>0</v>
      </c>
      <c r="D4044">
        <v>0</v>
      </c>
      <c r="E4044">
        <v>0</v>
      </c>
      <c r="F4044">
        <v>0</v>
      </c>
      <c r="G4044">
        <v>0</v>
      </c>
      <c r="H4044">
        <v>1</v>
      </c>
      <c r="I4044">
        <v>1</v>
      </c>
      <c r="J4044">
        <v>53292.539056972899</v>
      </c>
      <c r="K4044">
        <v>48295.909771513099</v>
      </c>
      <c r="L4044">
        <v>0</v>
      </c>
      <c r="M4044">
        <v>79.125</v>
      </c>
      <c r="N4044">
        <v>8.07</v>
      </c>
    </row>
    <row r="4045" spans="1:14" x14ac:dyDescent="0.45">
      <c r="A4045">
        <v>1999</v>
      </c>
      <c r="B4045" t="s">
        <v>173</v>
      </c>
      <c r="C4045">
        <v>0</v>
      </c>
      <c r="D4045">
        <v>1</v>
      </c>
      <c r="E4045">
        <v>0</v>
      </c>
      <c r="F4045">
        <v>0</v>
      </c>
      <c r="G4045">
        <v>0</v>
      </c>
      <c r="H4045">
        <v>1</v>
      </c>
      <c r="I4045">
        <v>1</v>
      </c>
      <c r="L4045">
        <v>0</v>
      </c>
      <c r="M4045">
        <v>76.564999999999998</v>
      </c>
      <c r="N4045">
        <v>15.039</v>
      </c>
    </row>
    <row r="4046" spans="1:14" x14ac:dyDescent="0.45">
      <c r="A4046">
        <v>1999</v>
      </c>
      <c r="B4046" t="s">
        <v>174</v>
      </c>
      <c r="C4046">
        <v>0</v>
      </c>
      <c r="D4046">
        <v>0</v>
      </c>
      <c r="E4046">
        <v>0</v>
      </c>
      <c r="F4046">
        <v>1</v>
      </c>
      <c r="G4046">
        <v>0</v>
      </c>
      <c r="H4046">
        <v>0</v>
      </c>
      <c r="I4046">
        <v>0</v>
      </c>
      <c r="J4046">
        <v>5043.6650390625</v>
      </c>
      <c r="K4046">
        <v>4843.7767238812303</v>
      </c>
      <c r="L4046">
        <v>46.993000000000002</v>
      </c>
      <c r="M4046">
        <v>66.403999999999996</v>
      </c>
      <c r="N4046">
        <v>54.267000000000003</v>
      </c>
    </row>
    <row r="4047" spans="1:14" x14ac:dyDescent="0.45">
      <c r="A4047">
        <v>1999</v>
      </c>
      <c r="B4047" t="s">
        <v>175</v>
      </c>
      <c r="C4047">
        <v>1</v>
      </c>
      <c r="D4047">
        <v>0</v>
      </c>
      <c r="E4047">
        <v>0</v>
      </c>
      <c r="F4047">
        <v>0</v>
      </c>
      <c r="G4047">
        <v>0</v>
      </c>
      <c r="H4047">
        <v>1</v>
      </c>
      <c r="I4047">
        <v>1</v>
      </c>
      <c r="L4047">
        <v>0</v>
      </c>
      <c r="M4047">
        <v>81.825999999999993</v>
      </c>
      <c r="N4047">
        <v>8.0239999999999991</v>
      </c>
    </row>
    <row r="4048" spans="1:14" x14ac:dyDescent="0.45">
      <c r="A4048">
        <v>1999</v>
      </c>
      <c r="B4048" t="s">
        <v>176</v>
      </c>
      <c r="C4048">
        <v>1</v>
      </c>
      <c r="D4048">
        <v>0</v>
      </c>
      <c r="E4048">
        <v>0</v>
      </c>
      <c r="F4048">
        <v>0</v>
      </c>
      <c r="G4048">
        <v>0</v>
      </c>
      <c r="H4048">
        <v>0</v>
      </c>
      <c r="I4048">
        <v>0</v>
      </c>
      <c r="J4048">
        <v>5597.4651285029504</v>
      </c>
      <c r="K4048">
        <v>4800.9885986403096</v>
      </c>
      <c r="L4048">
        <v>55.008000000000003</v>
      </c>
      <c r="M4048">
        <v>67.204999999999998</v>
      </c>
      <c r="N4048">
        <v>32.134</v>
      </c>
    </row>
    <row r="4049" spans="1:14" x14ac:dyDescent="0.45">
      <c r="A4049">
        <v>1999</v>
      </c>
      <c r="B4049" t="s">
        <v>177</v>
      </c>
      <c r="C4049">
        <v>0</v>
      </c>
      <c r="D4049">
        <v>0</v>
      </c>
      <c r="E4049">
        <v>1</v>
      </c>
      <c r="F4049">
        <v>0</v>
      </c>
      <c r="G4049">
        <v>0</v>
      </c>
      <c r="H4049">
        <v>0</v>
      </c>
      <c r="I4049">
        <v>0</v>
      </c>
      <c r="J4049">
        <v>1681.3593322623799</v>
      </c>
      <c r="K4049">
        <v>1557.6559159600399</v>
      </c>
      <c r="L4049">
        <v>73.147000000000006</v>
      </c>
      <c r="M4049">
        <v>57.433999999999997</v>
      </c>
      <c r="N4049">
        <v>110.10599999999999</v>
      </c>
    </row>
    <row r="4050" spans="1:14" x14ac:dyDescent="0.45">
      <c r="A4050">
        <v>1999</v>
      </c>
      <c r="B4050" t="s">
        <v>178</v>
      </c>
      <c r="C4050">
        <v>0</v>
      </c>
      <c r="D4050">
        <v>0</v>
      </c>
      <c r="E4050">
        <v>0</v>
      </c>
      <c r="F4050">
        <v>1</v>
      </c>
      <c r="G4050">
        <v>0</v>
      </c>
      <c r="H4050">
        <v>0</v>
      </c>
      <c r="I4050">
        <v>0</v>
      </c>
      <c r="J4050">
        <v>13449.2026825633</v>
      </c>
      <c r="K4050">
        <v>13268.758744774501</v>
      </c>
      <c r="L4050">
        <v>72.866</v>
      </c>
      <c r="M4050">
        <v>70.156999999999996</v>
      </c>
      <c r="N4050">
        <v>43.033000000000001</v>
      </c>
    </row>
    <row r="4051" spans="1:14" x14ac:dyDescent="0.45">
      <c r="A4051">
        <v>1999</v>
      </c>
      <c r="B4051" t="s">
        <v>179</v>
      </c>
      <c r="C4051">
        <v>0</v>
      </c>
      <c r="D4051">
        <v>1</v>
      </c>
      <c r="E4051">
        <v>0</v>
      </c>
      <c r="F4051">
        <v>0</v>
      </c>
      <c r="G4051">
        <v>1</v>
      </c>
      <c r="H4051">
        <v>0</v>
      </c>
      <c r="I4051">
        <v>0</v>
      </c>
      <c r="J4051">
        <v>19793.2852840003</v>
      </c>
      <c r="K4051">
        <v>18401.326284765801</v>
      </c>
      <c r="L4051">
        <v>25.559000000000001</v>
      </c>
      <c r="M4051">
        <v>72.203000000000003</v>
      </c>
      <c r="N4051">
        <v>29.516999999999999</v>
      </c>
    </row>
    <row r="4052" spans="1:14" x14ac:dyDescent="0.45">
      <c r="A4052">
        <v>1999</v>
      </c>
      <c r="B4052" t="s">
        <v>180</v>
      </c>
      <c r="C4052">
        <v>0</v>
      </c>
      <c r="D4052">
        <v>0</v>
      </c>
      <c r="E4052">
        <v>0</v>
      </c>
      <c r="F4052">
        <v>1</v>
      </c>
      <c r="G4052">
        <v>0</v>
      </c>
      <c r="H4052">
        <v>0</v>
      </c>
      <c r="I4052">
        <v>0</v>
      </c>
      <c r="J4052">
        <v>3718.8111208627402</v>
      </c>
      <c r="K4052">
        <v>3363.6084561868402</v>
      </c>
      <c r="L4052">
        <v>31.946999999999999</v>
      </c>
      <c r="M4052">
        <v>63.420999999999999</v>
      </c>
      <c r="N4052">
        <v>41.963999999999999</v>
      </c>
    </row>
    <row r="4053" spans="1:14" x14ac:dyDescent="0.45">
      <c r="A4053">
        <v>1999</v>
      </c>
      <c r="B4053" t="s">
        <v>181</v>
      </c>
      <c r="C4053">
        <v>1</v>
      </c>
      <c r="D4053">
        <v>0</v>
      </c>
      <c r="E4053">
        <v>0</v>
      </c>
      <c r="F4053">
        <v>1</v>
      </c>
      <c r="G4053">
        <v>0</v>
      </c>
      <c r="H4053">
        <v>0</v>
      </c>
      <c r="I4053">
        <v>0</v>
      </c>
      <c r="J4053">
        <v>11518.322346380301</v>
      </c>
      <c r="K4053">
        <v>9723.6281085961291</v>
      </c>
      <c r="L4053">
        <v>41.243000000000002</v>
      </c>
      <c r="M4053">
        <v>72.308000000000007</v>
      </c>
      <c r="N4053">
        <v>17.850999999999999</v>
      </c>
    </row>
    <row r="4054" spans="1:14" x14ac:dyDescent="0.45">
      <c r="A4054">
        <v>1999</v>
      </c>
      <c r="B4054" t="s">
        <v>182</v>
      </c>
      <c r="C4054">
        <v>0</v>
      </c>
      <c r="D4054">
        <v>0</v>
      </c>
      <c r="E4054">
        <v>1</v>
      </c>
      <c r="F4054">
        <v>0</v>
      </c>
      <c r="G4054">
        <v>0</v>
      </c>
      <c r="H4054">
        <v>0</v>
      </c>
      <c r="I4054">
        <v>0</v>
      </c>
      <c r="J4054">
        <v>1970.0340490450999</v>
      </c>
      <c r="K4054">
        <v>1823.48278627325</v>
      </c>
      <c r="L4054">
        <v>72.353999999999999</v>
      </c>
      <c r="M4054">
        <v>50.06</v>
      </c>
      <c r="N4054">
        <v>192.589</v>
      </c>
    </row>
    <row r="4055" spans="1:14" x14ac:dyDescent="0.45">
      <c r="A4055">
        <v>1999</v>
      </c>
      <c r="B4055" t="s">
        <v>183</v>
      </c>
      <c r="C4055">
        <v>0</v>
      </c>
      <c r="D4055">
        <v>0</v>
      </c>
      <c r="E4055">
        <v>0</v>
      </c>
      <c r="F4055">
        <v>0</v>
      </c>
      <c r="G4055">
        <v>1</v>
      </c>
      <c r="H4055">
        <v>0</v>
      </c>
      <c r="I4055">
        <v>0</v>
      </c>
      <c r="J4055">
        <v>26101.871763512201</v>
      </c>
      <c r="K4055">
        <v>22579.3966515063</v>
      </c>
      <c r="L4055">
        <v>7.9150000000000098</v>
      </c>
      <c r="M4055">
        <v>77.751999999999995</v>
      </c>
      <c r="N4055">
        <v>8.6850000000000005</v>
      </c>
    </row>
    <row r="4056" spans="1:14" x14ac:dyDescent="0.45">
      <c r="A4056">
        <v>1999</v>
      </c>
      <c r="B4056" t="s">
        <v>184</v>
      </c>
      <c r="C4056">
        <v>0</v>
      </c>
      <c r="D4056">
        <v>0</v>
      </c>
      <c r="E4056">
        <v>0</v>
      </c>
      <c r="F4056">
        <v>0</v>
      </c>
      <c r="G4056">
        <v>0</v>
      </c>
      <c r="H4056">
        <v>0</v>
      </c>
      <c r="I4056">
        <v>0</v>
      </c>
      <c r="J4056">
        <v>1209.01642809997</v>
      </c>
      <c r="K4056">
        <v>968.06324073901703</v>
      </c>
      <c r="L4056">
        <v>73.156999999999996</v>
      </c>
      <c r="M4056">
        <v>60.106999999999999</v>
      </c>
      <c r="N4056">
        <v>91.637</v>
      </c>
    </row>
    <row r="4057" spans="1:14" x14ac:dyDescent="0.45">
      <c r="A4057">
        <v>1999</v>
      </c>
      <c r="B4057" t="s">
        <v>185</v>
      </c>
      <c r="C4057">
        <v>1</v>
      </c>
      <c r="D4057">
        <v>0</v>
      </c>
      <c r="E4057">
        <v>0</v>
      </c>
      <c r="F4057">
        <v>1</v>
      </c>
      <c r="G4057">
        <v>0</v>
      </c>
      <c r="H4057">
        <v>0</v>
      </c>
      <c r="I4057">
        <v>0</v>
      </c>
      <c r="J4057">
        <v>13973.574726967499</v>
      </c>
      <c r="K4057">
        <v>11806.817597392301</v>
      </c>
      <c r="L4057">
        <v>42.481999999999999</v>
      </c>
      <c r="M4057">
        <v>73.293000000000006</v>
      </c>
      <c r="N4057">
        <v>15.404</v>
      </c>
    </row>
    <row r="4058" spans="1:14" x14ac:dyDescent="0.45">
      <c r="A4058">
        <v>1999</v>
      </c>
      <c r="B4058" t="s">
        <v>186</v>
      </c>
      <c r="C4058">
        <v>0</v>
      </c>
      <c r="D4058">
        <v>0</v>
      </c>
      <c r="E4058">
        <v>0</v>
      </c>
      <c r="F4058">
        <v>0</v>
      </c>
      <c r="G4058">
        <v>0</v>
      </c>
      <c r="H4058">
        <v>0</v>
      </c>
      <c r="I4058">
        <v>0</v>
      </c>
      <c r="J4058">
        <v>5829.1664145592904</v>
      </c>
      <c r="K4058">
        <v>4491.2322485366503</v>
      </c>
      <c r="L4058">
        <v>43.377000000000002</v>
      </c>
      <c r="M4058">
        <v>62.835000000000001</v>
      </c>
      <c r="N4058">
        <v>66.524000000000001</v>
      </c>
    </row>
    <row r="4059" spans="1:14" x14ac:dyDescent="0.45">
      <c r="A4059">
        <v>1999</v>
      </c>
      <c r="B4059" t="s">
        <v>187</v>
      </c>
      <c r="C4059">
        <v>0</v>
      </c>
      <c r="D4059">
        <v>0</v>
      </c>
      <c r="E4059">
        <v>0</v>
      </c>
      <c r="F4059">
        <v>0</v>
      </c>
      <c r="G4059">
        <v>0</v>
      </c>
      <c r="H4059">
        <v>1</v>
      </c>
      <c r="I4059">
        <v>1</v>
      </c>
      <c r="L4059">
        <v>9.9619999999999997</v>
      </c>
      <c r="M4059">
        <v>74.262</v>
      </c>
      <c r="N4059">
        <v>7.2089999999999996</v>
      </c>
    </row>
    <row r="4060" spans="1:14" x14ac:dyDescent="0.45">
      <c r="A4060">
        <v>1999</v>
      </c>
      <c r="B4060" t="s">
        <v>188</v>
      </c>
      <c r="C4060">
        <v>0</v>
      </c>
      <c r="D4060">
        <v>0</v>
      </c>
      <c r="E4060">
        <v>1</v>
      </c>
      <c r="F4060">
        <v>0</v>
      </c>
      <c r="G4060">
        <v>0</v>
      </c>
      <c r="H4060">
        <v>0</v>
      </c>
      <c r="I4060">
        <v>0</v>
      </c>
      <c r="J4060">
        <v>722.30556137997905</v>
      </c>
      <c r="K4060">
        <v>604.78637829723698</v>
      </c>
      <c r="L4060">
        <v>71.08</v>
      </c>
      <c r="M4060">
        <v>48.837000000000003</v>
      </c>
      <c r="N4060">
        <v>181.42099999999999</v>
      </c>
    </row>
    <row r="4061" spans="1:14" x14ac:dyDescent="0.45">
      <c r="A4061">
        <v>1999</v>
      </c>
      <c r="B4061" t="s">
        <v>189</v>
      </c>
      <c r="C4061">
        <v>0</v>
      </c>
      <c r="D4061">
        <v>0</v>
      </c>
      <c r="E4061">
        <v>1</v>
      </c>
      <c r="F4061">
        <v>0</v>
      </c>
      <c r="G4061">
        <v>0</v>
      </c>
      <c r="H4061">
        <v>0</v>
      </c>
      <c r="I4061">
        <v>0</v>
      </c>
      <c r="J4061">
        <v>5359.9888248267998</v>
      </c>
      <c r="K4061">
        <v>4742.0537800776201</v>
      </c>
      <c r="L4061">
        <v>61.786000000000001</v>
      </c>
      <c r="M4061">
        <v>60.442999999999998</v>
      </c>
      <c r="N4061">
        <v>100.459</v>
      </c>
    </row>
    <row r="4062" spans="1:14" x14ac:dyDescent="0.45">
      <c r="A4062">
        <v>1999</v>
      </c>
      <c r="B4062" t="s">
        <v>190</v>
      </c>
      <c r="C4062">
        <v>0</v>
      </c>
      <c r="D4062">
        <v>0</v>
      </c>
      <c r="E4062">
        <v>1</v>
      </c>
      <c r="F4062">
        <v>0</v>
      </c>
      <c r="G4062">
        <v>1</v>
      </c>
      <c r="H4062">
        <v>0</v>
      </c>
      <c r="I4062">
        <v>0</v>
      </c>
      <c r="J4062">
        <v>12433.669751621899</v>
      </c>
      <c r="K4062">
        <v>11670.5493328911</v>
      </c>
      <c r="L4062">
        <v>57.207000000000001</v>
      </c>
      <c r="M4062">
        <v>71.39</v>
      </c>
      <c r="N4062">
        <v>20.009</v>
      </c>
    </row>
    <row r="4063" spans="1:14" x14ac:dyDescent="0.45">
      <c r="A4063">
        <v>1999</v>
      </c>
      <c r="B4063" t="s">
        <v>191</v>
      </c>
      <c r="C4063">
        <v>0</v>
      </c>
      <c r="D4063">
        <v>0</v>
      </c>
      <c r="E4063">
        <v>1</v>
      </c>
      <c r="F4063">
        <v>0</v>
      </c>
      <c r="G4063">
        <v>0</v>
      </c>
      <c r="H4063">
        <v>0</v>
      </c>
      <c r="I4063">
        <v>0</v>
      </c>
      <c r="J4063">
        <v>1249.7752329887101</v>
      </c>
      <c r="K4063">
        <v>1069.3843864390701</v>
      </c>
      <c r="L4063">
        <v>85.477999999999994</v>
      </c>
      <c r="M4063">
        <v>45.06</v>
      </c>
      <c r="N4063">
        <v>178.50800000000001</v>
      </c>
    </row>
    <row r="4064" spans="1:14" x14ac:dyDescent="0.45">
      <c r="A4064">
        <v>1999</v>
      </c>
      <c r="B4064" t="s">
        <v>192</v>
      </c>
      <c r="C4064">
        <v>0</v>
      </c>
      <c r="D4064">
        <v>0</v>
      </c>
      <c r="E4064">
        <v>0</v>
      </c>
      <c r="F4064">
        <v>0</v>
      </c>
      <c r="G4064">
        <v>1</v>
      </c>
      <c r="H4064">
        <v>0</v>
      </c>
      <c r="I4064">
        <v>0</v>
      </c>
      <c r="J4064">
        <v>17428.625656304299</v>
      </c>
      <c r="K4064">
        <v>15579.134909975101</v>
      </c>
      <c r="L4064">
        <v>39.258000000000003</v>
      </c>
      <c r="M4064">
        <v>72.427999999999997</v>
      </c>
      <c r="N4064">
        <v>10.894</v>
      </c>
    </row>
    <row r="4065" spans="1:14" x14ac:dyDescent="0.45">
      <c r="A4065">
        <v>1999</v>
      </c>
      <c r="B4065" t="s">
        <v>193</v>
      </c>
      <c r="C4065">
        <v>0</v>
      </c>
      <c r="D4065">
        <v>0</v>
      </c>
      <c r="E4065">
        <v>1</v>
      </c>
      <c r="F4065">
        <v>1</v>
      </c>
      <c r="G4065">
        <v>0</v>
      </c>
      <c r="H4065">
        <v>0</v>
      </c>
      <c r="I4065">
        <v>0</v>
      </c>
      <c r="J4065">
        <v>7773.9435414871396</v>
      </c>
      <c r="K4065">
        <v>6737.6753468813104</v>
      </c>
      <c r="L4065">
        <v>68.149000000000001</v>
      </c>
      <c r="M4065">
        <v>53.982999999999997</v>
      </c>
      <c r="N4065">
        <v>76.456999999999994</v>
      </c>
    </row>
    <row r="4066" spans="1:14" x14ac:dyDescent="0.45">
      <c r="A4066">
        <v>1999</v>
      </c>
      <c r="B4066" t="s">
        <v>194</v>
      </c>
      <c r="C4066">
        <v>0</v>
      </c>
      <c r="D4066">
        <v>0</v>
      </c>
      <c r="E4066">
        <v>0</v>
      </c>
      <c r="F4066">
        <v>0</v>
      </c>
      <c r="G4066">
        <v>0</v>
      </c>
      <c r="H4066">
        <v>1</v>
      </c>
      <c r="I4066">
        <v>1</v>
      </c>
      <c r="L4066">
        <v>38.441000000000003</v>
      </c>
      <c r="M4066">
        <v>73.141000000000005</v>
      </c>
      <c r="N4066">
        <v>23</v>
      </c>
    </row>
    <row r="4067" spans="1:14" x14ac:dyDescent="0.45">
      <c r="A4067">
        <v>1999</v>
      </c>
      <c r="B4067" t="s">
        <v>195</v>
      </c>
      <c r="C4067">
        <v>0</v>
      </c>
      <c r="D4067">
        <v>0</v>
      </c>
      <c r="E4067">
        <v>1</v>
      </c>
      <c r="F4067">
        <v>0</v>
      </c>
      <c r="G4067">
        <v>0</v>
      </c>
      <c r="H4067">
        <v>0</v>
      </c>
      <c r="I4067">
        <v>0</v>
      </c>
      <c r="J4067">
        <v>1247.6471289275601</v>
      </c>
      <c r="K4067">
        <v>991.67009226688106</v>
      </c>
      <c r="L4067">
        <v>83.897000000000006</v>
      </c>
      <c r="M4067">
        <v>48.48</v>
      </c>
      <c r="N4067">
        <v>239.51599999999999</v>
      </c>
    </row>
    <row r="4068" spans="1:14" x14ac:dyDescent="0.45">
      <c r="A4068">
        <v>1999</v>
      </c>
      <c r="B4068" t="s">
        <v>196</v>
      </c>
      <c r="C4068">
        <v>0</v>
      </c>
      <c r="D4068">
        <v>0</v>
      </c>
      <c r="E4068">
        <v>1</v>
      </c>
      <c r="F4068">
        <v>0</v>
      </c>
      <c r="G4068">
        <v>0</v>
      </c>
      <c r="H4068">
        <v>0</v>
      </c>
      <c r="I4068">
        <v>0</v>
      </c>
      <c r="J4068">
        <v>3218.4635736569599</v>
      </c>
      <c r="K4068">
        <v>2845.5555771641398</v>
      </c>
      <c r="L4068">
        <v>65.695999999999998</v>
      </c>
      <c r="M4068">
        <v>46.609000000000002</v>
      </c>
      <c r="N4068">
        <v>187.25200000000001</v>
      </c>
    </row>
    <row r="4069" spans="1:14" x14ac:dyDescent="0.45">
      <c r="A4069">
        <v>1999</v>
      </c>
      <c r="B4069" t="s">
        <v>197</v>
      </c>
      <c r="C4069">
        <v>0</v>
      </c>
      <c r="D4069">
        <v>1</v>
      </c>
      <c r="E4069">
        <v>0</v>
      </c>
      <c r="F4069">
        <v>0</v>
      </c>
      <c r="G4069">
        <v>0</v>
      </c>
      <c r="H4069">
        <v>0</v>
      </c>
      <c r="I4069">
        <v>0</v>
      </c>
      <c r="J4069">
        <v>4750.9488682261799</v>
      </c>
      <c r="K4069">
        <v>4001.5586683408701</v>
      </c>
      <c r="L4069">
        <v>44.963999999999999</v>
      </c>
      <c r="M4069">
        <v>65.891999999999996</v>
      </c>
      <c r="N4069">
        <v>40.819000000000003</v>
      </c>
    </row>
    <row r="4070" spans="1:14" x14ac:dyDescent="0.45">
      <c r="A4070">
        <v>1999</v>
      </c>
      <c r="B4070" t="s">
        <v>198</v>
      </c>
      <c r="C4070">
        <v>1</v>
      </c>
      <c r="D4070">
        <v>0</v>
      </c>
      <c r="E4070">
        <v>0</v>
      </c>
      <c r="F4070">
        <v>0</v>
      </c>
      <c r="G4070">
        <v>0</v>
      </c>
      <c r="H4070">
        <v>1</v>
      </c>
      <c r="I4070">
        <v>1</v>
      </c>
      <c r="J4070">
        <v>54134.362286511299</v>
      </c>
      <c r="K4070">
        <v>45697.1443358342</v>
      </c>
      <c r="L4070">
        <v>23.97</v>
      </c>
      <c r="M4070">
        <v>77.968000000000004</v>
      </c>
      <c r="N4070">
        <v>6.306</v>
      </c>
    </row>
    <row r="4071" spans="1:14" x14ac:dyDescent="0.45">
      <c r="A4071">
        <v>1999</v>
      </c>
      <c r="B4071" t="s">
        <v>199</v>
      </c>
      <c r="C4071">
        <v>1</v>
      </c>
      <c r="D4071">
        <v>0</v>
      </c>
      <c r="E4071">
        <v>0</v>
      </c>
      <c r="F4071">
        <v>0</v>
      </c>
      <c r="G4071">
        <v>0</v>
      </c>
      <c r="H4071">
        <v>1</v>
      </c>
      <c r="I4071">
        <v>1</v>
      </c>
      <c r="J4071">
        <v>75583.834403853994</v>
      </c>
      <c r="K4071">
        <v>55847.958552611497</v>
      </c>
      <c r="L4071">
        <v>24.431000000000001</v>
      </c>
      <c r="M4071">
        <v>78.385999999999996</v>
      </c>
      <c r="N4071">
        <v>5.2880000000000003</v>
      </c>
    </row>
    <row r="4072" spans="1:14" x14ac:dyDescent="0.45">
      <c r="A4072">
        <v>1999</v>
      </c>
      <c r="B4072" t="s">
        <v>200</v>
      </c>
      <c r="C4072">
        <v>0</v>
      </c>
      <c r="D4072">
        <v>0</v>
      </c>
      <c r="E4072">
        <v>0</v>
      </c>
      <c r="F4072">
        <v>0</v>
      </c>
      <c r="G4072">
        <v>0</v>
      </c>
      <c r="H4072">
        <v>0</v>
      </c>
      <c r="I4072">
        <v>0</v>
      </c>
      <c r="J4072">
        <v>2242.6501182209499</v>
      </c>
      <c r="K4072">
        <v>1985.4336748021699</v>
      </c>
      <c r="L4072">
        <v>87.143000000000001</v>
      </c>
      <c r="M4072">
        <v>62.034999999999997</v>
      </c>
      <c r="N4072">
        <v>83.953999999999994</v>
      </c>
    </row>
    <row r="4073" spans="1:14" x14ac:dyDescent="0.45">
      <c r="A4073">
        <v>1999</v>
      </c>
      <c r="B4073" t="s">
        <v>201</v>
      </c>
      <c r="C4073">
        <v>0</v>
      </c>
      <c r="D4073">
        <v>0</v>
      </c>
      <c r="E4073">
        <v>0</v>
      </c>
      <c r="F4073">
        <v>0</v>
      </c>
      <c r="G4073">
        <v>0</v>
      </c>
      <c r="H4073">
        <v>1</v>
      </c>
      <c r="I4073">
        <v>1</v>
      </c>
      <c r="J4073">
        <v>9611.3709966768092</v>
      </c>
      <c r="K4073">
        <v>8695.6040797143596</v>
      </c>
      <c r="L4073">
        <v>0</v>
      </c>
      <c r="M4073">
        <v>59.701000000000001</v>
      </c>
      <c r="N4073">
        <v>44.84</v>
      </c>
    </row>
    <row r="4074" spans="1:14" x14ac:dyDescent="0.45">
      <c r="A4074">
        <v>1999</v>
      </c>
      <c r="B4074" t="s">
        <v>202</v>
      </c>
      <c r="C4074">
        <v>0</v>
      </c>
      <c r="D4074">
        <v>0</v>
      </c>
      <c r="E4074">
        <v>0</v>
      </c>
      <c r="F4074">
        <v>0</v>
      </c>
      <c r="G4074">
        <v>0</v>
      </c>
      <c r="H4074">
        <v>1</v>
      </c>
      <c r="I4074">
        <v>1</v>
      </c>
      <c r="J4074">
        <v>35084.291368525999</v>
      </c>
      <c r="K4074">
        <v>31910.9873842255</v>
      </c>
      <c r="L4074">
        <v>14.058999999999999</v>
      </c>
      <c r="M4074">
        <v>77.911000000000001</v>
      </c>
      <c r="N4074">
        <v>6.9669999999999996</v>
      </c>
    </row>
    <row r="4075" spans="1:14" x14ac:dyDescent="0.45">
      <c r="A4075">
        <v>1999</v>
      </c>
      <c r="B4075" t="s">
        <v>203</v>
      </c>
      <c r="C4075">
        <v>0</v>
      </c>
      <c r="D4075">
        <v>0</v>
      </c>
      <c r="E4075">
        <v>0</v>
      </c>
      <c r="F4075">
        <v>0</v>
      </c>
      <c r="G4075">
        <v>1</v>
      </c>
      <c r="H4075">
        <v>0</v>
      </c>
      <c r="I4075">
        <v>0</v>
      </c>
      <c r="J4075">
        <v>40145.931284169099</v>
      </c>
      <c r="K4075">
        <v>34883.626150276199</v>
      </c>
      <c r="L4075">
        <v>28.411000000000001</v>
      </c>
      <c r="M4075">
        <v>73.275999999999996</v>
      </c>
      <c r="N4075">
        <v>17.928999999999998</v>
      </c>
    </row>
    <row r="4076" spans="1:14" x14ac:dyDescent="0.45">
      <c r="A4076">
        <v>1999</v>
      </c>
      <c r="B4076" t="s">
        <v>204</v>
      </c>
      <c r="C4076">
        <v>0</v>
      </c>
      <c r="D4076">
        <v>0</v>
      </c>
      <c r="E4076">
        <v>0</v>
      </c>
      <c r="F4076">
        <v>0</v>
      </c>
      <c r="G4076">
        <v>0</v>
      </c>
      <c r="H4076">
        <v>0</v>
      </c>
      <c r="I4076">
        <v>0</v>
      </c>
      <c r="J4076">
        <v>3484.4567831981299</v>
      </c>
      <c r="K4076">
        <v>3316.85016138327</v>
      </c>
      <c r="L4076">
        <v>67.216999999999999</v>
      </c>
      <c r="M4076">
        <v>61.54</v>
      </c>
      <c r="N4076">
        <v>111.505</v>
      </c>
    </row>
    <row r="4077" spans="1:14" x14ac:dyDescent="0.45">
      <c r="A4077">
        <v>1999</v>
      </c>
      <c r="B4077" t="s">
        <v>205</v>
      </c>
      <c r="C4077">
        <v>0</v>
      </c>
      <c r="D4077">
        <v>1</v>
      </c>
      <c r="E4077">
        <v>0</v>
      </c>
      <c r="F4077">
        <v>0</v>
      </c>
      <c r="G4077">
        <v>1</v>
      </c>
      <c r="H4077">
        <v>0</v>
      </c>
      <c r="I4077">
        <v>0</v>
      </c>
      <c r="J4077">
        <v>14261.7409419467</v>
      </c>
      <c r="K4077">
        <v>14954.548244379899</v>
      </c>
      <c r="L4077">
        <v>38.548999999999999</v>
      </c>
      <c r="M4077">
        <v>73.123999999999995</v>
      </c>
      <c r="N4077">
        <v>26.029</v>
      </c>
    </row>
    <row r="4078" spans="1:14" x14ac:dyDescent="0.45">
      <c r="A4078">
        <v>1999</v>
      </c>
      <c r="B4078" t="s">
        <v>206</v>
      </c>
      <c r="C4078">
        <v>0</v>
      </c>
      <c r="D4078">
        <v>1</v>
      </c>
      <c r="E4078">
        <v>0</v>
      </c>
      <c r="F4078">
        <v>1</v>
      </c>
      <c r="G4078">
        <v>0</v>
      </c>
      <c r="H4078">
        <v>0</v>
      </c>
      <c r="I4078">
        <v>0</v>
      </c>
      <c r="J4078">
        <v>7585.3278884137399</v>
      </c>
      <c r="K4078">
        <v>6338.1803142707104</v>
      </c>
      <c r="L4078">
        <v>27.369</v>
      </c>
      <c r="M4078">
        <v>69.302000000000007</v>
      </c>
      <c r="N4078">
        <v>41.402000000000001</v>
      </c>
    </row>
    <row r="4079" spans="1:14" x14ac:dyDescent="0.45">
      <c r="A4079">
        <v>1999</v>
      </c>
      <c r="B4079" t="s">
        <v>207</v>
      </c>
      <c r="C4079">
        <v>0</v>
      </c>
      <c r="D4079">
        <v>0</v>
      </c>
      <c r="E4079">
        <v>0</v>
      </c>
      <c r="F4079">
        <v>1</v>
      </c>
      <c r="G4079">
        <v>0</v>
      </c>
      <c r="H4079">
        <v>0</v>
      </c>
      <c r="I4079">
        <v>0</v>
      </c>
      <c r="J4079">
        <v>4650.7592694758896</v>
      </c>
      <c r="K4079">
        <v>4211.73026307902</v>
      </c>
      <c r="L4079">
        <v>53.78</v>
      </c>
      <c r="M4079">
        <v>67.503</v>
      </c>
      <c r="N4079">
        <v>38.534999999999997</v>
      </c>
    </row>
    <row r="4080" spans="1:14" x14ac:dyDescent="0.45">
      <c r="A4080">
        <v>1999</v>
      </c>
      <c r="B4080" t="s">
        <v>208</v>
      </c>
      <c r="C4080">
        <v>0</v>
      </c>
      <c r="D4080">
        <v>0</v>
      </c>
      <c r="E4080">
        <v>0</v>
      </c>
      <c r="F4080">
        <v>0</v>
      </c>
      <c r="G4080">
        <v>1</v>
      </c>
      <c r="H4080">
        <v>0</v>
      </c>
      <c r="I4080">
        <v>0</v>
      </c>
      <c r="J4080">
        <v>16085.1984373332</v>
      </c>
      <c r="K4080">
        <v>14552.6082806554</v>
      </c>
      <c r="L4080">
        <v>29.417999999999999</v>
      </c>
      <c r="M4080">
        <v>64.23</v>
      </c>
      <c r="N4080">
        <v>27.350999999999999</v>
      </c>
    </row>
    <row r="4081" spans="1:14" x14ac:dyDescent="0.45">
      <c r="A4081">
        <v>1999</v>
      </c>
      <c r="B4081" t="s">
        <v>209</v>
      </c>
      <c r="C4081">
        <v>0</v>
      </c>
      <c r="D4081">
        <v>0</v>
      </c>
      <c r="E4081">
        <v>0</v>
      </c>
      <c r="F4081">
        <v>1</v>
      </c>
      <c r="G4081">
        <v>0</v>
      </c>
      <c r="H4081">
        <v>0</v>
      </c>
      <c r="I4081">
        <v>0</v>
      </c>
      <c r="J4081">
        <v>3531.6595324660002</v>
      </c>
      <c r="K4081">
        <v>3194.7439663722098</v>
      </c>
      <c r="L4081">
        <v>86.625</v>
      </c>
      <c r="M4081">
        <v>61.505000000000003</v>
      </c>
      <c r="N4081">
        <v>72.856999999999999</v>
      </c>
    </row>
    <row r="4082" spans="1:14" x14ac:dyDescent="0.45">
      <c r="A4082">
        <v>1999</v>
      </c>
      <c r="B4082" t="s">
        <v>210</v>
      </c>
      <c r="C4082">
        <v>1</v>
      </c>
      <c r="D4082">
        <v>0</v>
      </c>
      <c r="E4082">
        <v>0</v>
      </c>
      <c r="F4082">
        <v>0</v>
      </c>
      <c r="G4082">
        <v>1</v>
      </c>
      <c r="H4082">
        <v>0</v>
      </c>
      <c r="I4082">
        <v>0</v>
      </c>
      <c r="J4082">
        <v>17556.002692798698</v>
      </c>
      <c r="K4082">
        <v>15153.8335154284</v>
      </c>
      <c r="L4082">
        <v>38.328000000000003</v>
      </c>
      <c r="M4082">
        <v>73.224000000000004</v>
      </c>
      <c r="N4082">
        <v>10.076000000000001</v>
      </c>
    </row>
    <row r="4083" spans="1:14" x14ac:dyDescent="0.45">
      <c r="A4083">
        <v>1999</v>
      </c>
      <c r="B4083" t="s">
        <v>211</v>
      </c>
      <c r="C4083">
        <v>0</v>
      </c>
      <c r="D4083">
        <v>1</v>
      </c>
      <c r="E4083">
        <v>0</v>
      </c>
      <c r="F4083">
        <v>0</v>
      </c>
      <c r="G4083">
        <v>1</v>
      </c>
      <c r="H4083">
        <v>0</v>
      </c>
      <c r="I4083">
        <v>0</v>
      </c>
      <c r="J4083">
        <v>36216.838089622499</v>
      </c>
      <c r="K4083">
        <v>27823.250193265401</v>
      </c>
      <c r="L4083">
        <v>5.702</v>
      </c>
      <c r="M4083">
        <v>75.278000000000006</v>
      </c>
      <c r="N4083">
        <v>13.509</v>
      </c>
    </row>
    <row r="4084" spans="1:14" x14ac:dyDescent="0.45">
      <c r="A4084">
        <v>1999</v>
      </c>
      <c r="B4084" t="s">
        <v>212</v>
      </c>
      <c r="C4084">
        <v>0</v>
      </c>
      <c r="D4084">
        <v>0</v>
      </c>
      <c r="E4084">
        <v>0</v>
      </c>
      <c r="F4084">
        <v>0</v>
      </c>
      <c r="G4084">
        <v>0</v>
      </c>
      <c r="H4084">
        <v>0</v>
      </c>
      <c r="I4084">
        <v>0</v>
      </c>
      <c r="L4084">
        <v>40.665999999999997</v>
      </c>
      <c r="M4084">
        <v>60.91</v>
      </c>
      <c r="N4084">
        <v>101.93899999999999</v>
      </c>
    </row>
    <row r="4085" spans="1:14" x14ac:dyDescent="0.45">
      <c r="A4085">
        <v>1999</v>
      </c>
      <c r="B4085" t="s">
        <v>213</v>
      </c>
      <c r="C4085">
        <v>1</v>
      </c>
      <c r="D4085">
        <v>0</v>
      </c>
      <c r="E4085">
        <v>0</v>
      </c>
      <c r="F4085">
        <v>0</v>
      </c>
      <c r="G4085">
        <v>0</v>
      </c>
      <c r="H4085">
        <v>1</v>
      </c>
      <c r="I4085">
        <v>1</v>
      </c>
      <c r="J4085">
        <v>34018.963570767301</v>
      </c>
      <c r="K4085">
        <v>29405.416981181301</v>
      </c>
      <c r="L4085">
        <v>46.256999999999998</v>
      </c>
      <c r="M4085">
        <v>76.322000000000003</v>
      </c>
      <c r="N4085">
        <v>7.4249999999999998</v>
      </c>
    </row>
    <row r="4086" spans="1:14" x14ac:dyDescent="0.45">
      <c r="A4086">
        <v>1999</v>
      </c>
      <c r="B4086" t="s">
        <v>214</v>
      </c>
      <c r="C4086">
        <v>0</v>
      </c>
      <c r="D4086">
        <v>1</v>
      </c>
      <c r="E4086">
        <v>0</v>
      </c>
      <c r="F4086">
        <v>1</v>
      </c>
      <c r="G4086">
        <v>0</v>
      </c>
      <c r="H4086">
        <v>0</v>
      </c>
      <c r="I4086">
        <v>0</v>
      </c>
      <c r="J4086">
        <v>10435.398680709601</v>
      </c>
      <c r="K4086">
        <v>9520.6215610927593</v>
      </c>
      <c r="L4086">
        <v>45.307000000000002</v>
      </c>
      <c r="M4086">
        <v>69.774000000000001</v>
      </c>
      <c r="N4086">
        <v>34.679000000000002</v>
      </c>
    </row>
    <row r="4087" spans="1:14" x14ac:dyDescent="0.45">
      <c r="A4087">
        <v>1999</v>
      </c>
      <c r="B4087" t="s">
        <v>215</v>
      </c>
      <c r="C4087">
        <v>0</v>
      </c>
      <c r="D4087">
        <v>0</v>
      </c>
      <c r="E4087">
        <v>0</v>
      </c>
      <c r="F4087">
        <v>1</v>
      </c>
      <c r="G4087">
        <v>0</v>
      </c>
      <c r="H4087">
        <v>0</v>
      </c>
      <c r="I4087">
        <v>0</v>
      </c>
      <c r="J4087">
        <v>5071.8212171904297</v>
      </c>
      <c r="K4087">
        <v>4324.6652058933596</v>
      </c>
      <c r="L4087">
        <v>28.253</v>
      </c>
      <c r="M4087">
        <v>70.789000000000001</v>
      </c>
      <c r="N4087">
        <v>31.247</v>
      </c>
    </row>
    <row r="4088" spans="1:14" x14ac:dyDescent="0.45">
      <c r="A4088">
        <v>1999</v>
      </c>
      <c r="B4088" t="s">
        <v>216</v>
      </c>
      <c r="C4088">
        <v>0</v>
      </c>
      <c r="D4088">
        <v>0</v>
      </c>
      <c r="E4088">
        <v>0</v>
      </c>
      <c r="F4088">
        <v>0</v>
      </c>
      <c r="G4088">
        <v>0</v>
      </c>
      <c r="H4088">
        <v>1</v>
      </c>
      <c r="I4088">
        <v>1</v>
      </c>
      <c r="L4088">
        <v>43.874000000000002</v>
      </c>
      <c r="M4088">
        <v>78.573999999999998</v>
      </c>
      <c r="N4088">
        <v>11.395</v>
      </c>
    </row>
    <row r="4089" spans="1:14" x14ac:dyDescent="0.45">
      <c r="A4089">
        <v>1999</v>
      </c>
      <c r="B4089" t="s">
        <v>217</v>
      </c>
      <c r="C4089">
        <v>0</v>
      </c>
      <c r="D4089">
        <v>0</v>
      </c>
      <c r="E4089">
        <v>0</v>
      </c>
      <c r="F4089">
        <v>0</v>
      </c>
      <c r="G4089">
        <v>0</v>
      </c>
      <c r="H4089">
        <v>1</v>
      </c>
      <c r="I4089">
        <v>1</v>
      </c>
      <c r="J4089">
        <v>90837.463435817393</v>
      </c>
      <c r="K4089">
        <v>78437.955461583799</v>
      </c>
      <c r="L4089">
        <v>3.895</v>
      </c>
      <c r="M4089">
        <v>75.048000000000002</v>
      </c>
      <c r="N4089">
        <v>12.986000000000001</v>
      </c>
    </row>
    <row r="4090" spans="1:14" x14ac:dyDescent="0.45">
      <c r="A4090">
        <v>1999</v>
      </c>
      <c r="B4090" t="s">
        <v>218</v>
      </c>
      <c r="C4090">
        <v>1</v>
      </c>
      <c r="D4090">
        <v>0</v>
      </c>
      <c r="E4090">
        <v>0</v>
      </c>
      <c r="F4090">
        <v>1</v>
      </c>
      <c r="G4090">
        <v>0</v>
      </c>
      <c r="H4090">
        <v>0</v>
      </c>
      <c r="I4090">
        <v>0</v>
      </c>
      <c r="J4090">
        <v>14476.494648585</v>
      </c>
      <c r="K4090">
        <v>11767.016947108799</v>
      </c>
      <c r="L4090">
        <v>46.841999999999999</v>
      </c>
      <c r="M4090">
        <v>70.581000000000003</v>
      </c>
      <c r="N4090">
        <v>22.51</v>
      </c>
    </row>
    <row r="4091" spans="1:14" x14ac:dyDescent="0.45">
      <c r="A4091">
        <v>1999</v>
      </c>
      <c r="B4091" t="s">
        <v>219</v>
      </c>
      <c r="C4091">
        <v>1</v>
      </c>
      <c r="D4091">
        <v>0</v>
      </c>
      <c r="E4091">
        <v>0</v>
      </c>
      <c r="F4091">
        <v>1</v>
      </c>
      <c r="G4091">
        <v>0</v>
      </c>
      <c r="H4091">
        <v>0</v>
      </c>
      <c r="I4091">
        <v>0</v>
      </c>
      <c r="J4091">
        <v>18200.3203125</v>
      </c>
      <c r="K4091">
        <v>13189.793285596499</v>
      </c>
      <c r="L4091">
        <v>26.646000000000001</v>
      </c>
      <c r="M4091">
        <v>65.594999999999999</v>
      </c>
      <c r="N4091">
        <v>20.678000000000001</v>
      </c>
    </row>
    <row r="4092" spans="1:14" x14ac:dyDescent="0.45">
      <c r="A4092">
        <v>1999</v>
      </c>
      <c r="B4092" t="s">
        <v>220</v>
      </c>
      <c r="C4092">
        <v>0</v>
      </c>
      <c r="D4092">
        <v>0</v>
      </c>
      <c r="E4092">
        <v>1</v>
      </c>
      <c r="F4092">
        <v>0</v>
      </c>
      <c r="G4092">
        <v>0</v>
      </c>
      <c r="H4092">
        <v>0</v>
      </c>
      <c r="I4092">
        <v>0</v>
      </c>
      <c r="J4092">
        <v>945.73321885996904</v>
      </c>
      <c r="K4092">
        <v>791.440491971602</v>
      </c>
      <c r="L4092">
        <v>85.936000000000007</v>
      </c>
      <c r="M4092">
        <v>45.749000000000002</v>
      </c>
      <c r="N4092">
        <v>192.94399999999999</v>
      </c>
    </row>
    <row r="4093" spans="1:14" x14ac:dyDescent="0.45">
      <c r="A4093">
        <v>1999</v>
      </c>
      <c r="B4093" t="s">
        <v>221</v>
      </c>
      <c r="C4093">
        <v>0</v>
      </c>
      <c r="D4093">
        <v>0</v>
      </c>
      <c r="E4093">
        <v>0</v>
      </c>
      <c r="F4093">
        <v>0</v>
      </c>
      <c r="G4093">
        <v>1</v>
      </c>
      <c r="H4093">
        <v>0</v>
      </c>
      <c r="I4093">
        <v>0</v>
      </c>
      <c r="J4093">
        <v>55878.1736494426</v>
      </c>
      <c r="K4093">
        <v>51227.882556994002</v>
      </c>
      <c r="L4093">
        <v>20.384</v>
      </c>
      <c r="M4093">
        <v>72.290000000000006</v>
      </c>
      <c r="N4093">
        <v>23.620999999999999</v>
      </c>
    </row>
    <row r="4094" spans="1:14" x14ac:dyDescent="0.45">
      <c r="A4094">
        <v>1999</v>
      </c>
      <c r="B4094" t="s">
        <v>222</v>
      </c>
      <c r="C4094">
        <v>0</v>
      </c>
      <c r="D4094">
        <v>0</v>
      </c>
      <c r="E4094">
        <v>1</v>
      </c>
      <c r="F4094">
        <v>0</v>
      </c>
      <c r="G4094">
        <v>0</v>
      </c>
      <c r="H4094">
        <v>0</v>
      </c>
      <c r="I4094">
        <v>0</v>
      </c>
      <c r="J4094">
        <v>3459.22998046875</v>
      </c>
      <c r="K4094">
        <v>3622.2699729235901</v>
      </c>
      <c r="L4094">
        <v>67.558000000000007</v>
      </c>
      <c r="M4094">
        <v>58.606999999999999</v>
      </c>
      <c r="N4094">
        <v>107.238</v>
      </c>
    </row>
    <row r="4095" spans="1:14" x14ac:dyDescent="0.45">
      <c r="A4095">
        <v>1999</v>
      </c>
      <c r="B4095" t="s">
        <v>223</v>
      </c>
      <c r="C4095">
        <v>0</v>
      </c>
      <c r="D4095">
        <v>0</v>
      </c>
      <c r="E4095">
        <v>1</v>
      </c>
      <c r="F4095">
        <v>0</v>
      </c>
      <c r="G4095">
        <v>0</v>
      </c>
      <c r="H4095">
        <v>0</v>
      </c>
      <c r="I4095">
        <v>0</v>
      </c>
      <c r="J4095">
        <v>3050.1780099869602</v>
      </c>
      <c r="K4095">
        <v>2548.2376936544001</v>
      </c>
      <c r="L4095">
        <v>59.823</v>
      </c>
      <c r="M4095">
        <v>57.314999999999998</v>
      </c>
      <c r="N4095">
        <v>131.43600000000001</v>
      </c>
    </row>
    <row r="4096" spans="1:14" x14ac:dyDescent="0.45">
      <c r="A4096">
        <v>1999</v>
      </c>
      <c r="B4096" t="s">
        <v>224</v>
      </c>
      <c r="C4096">
        <v>0</v>
      </c>
      <c r="D4096">
        <v>0</v>
      </c>
      <c r="E4096">
        <v>0</v>
      </c>
      <c r="F4096">
        <v>0</v>
      </c>
      <c r="G4096">
        <v>0</v>
      </c>
      <c r="H4096">
        <v>1</v>
      </c>
      <c r="I4096">
        <v>1</v>
      </c>
      <c r="J4096">
        <v>63746.479222704598</v>
      </c>
      <c r="K4096">
        <v>52401.984503878797</v>
      </c>
      <c r="L4096">
        <v>0</v>
      </c>
      <c r="M4096">
        <v>77.271000000000001</v>
      </c>
      <c r="N4096">
        <v>4.085</v>
      </c>
    </row>
    <row r="4097" spans="1:14" x14ac:dyDescent="0.45">
      <c r="A4097">
        <v>1999</v>
      </c>
      <c r="B4097" t="s">
        <v>225</v>
      </c>
      <c r="C4097">
        <v>0</v>
      </c>
      <c r="D4097">
        <v>0</v>
      </c>
      <c r="E4097">
        <v>0</v>
      </c>
      <c r="F4097">
        <v>0</v>
      </c>
      <c r="G4097">
        <v>0</v>
      </c>
      <c r="H4097">
        <v>0</v>
      </c>
      <c r="I4097">
        <v>0</v>
      </c>
      <c r="J4097">
        <v>2717.5508838616802</v>
      </c>
      <c r="K4097">
        <v>2458.2230467761401</v>
      </c>
      <c r="L4097">
        <v>84.504000000000005</v>
      </c>
      <c r="M4097">
        <v>67.001000000000005</v>
      </c>
      <c r="N4097">
        <v>31.404</v>
      </c>
    </row>
    <row r="4098" spans="1:14" x14ac:dyDescent="0.45">
      <c r="A4098">
        <v>1999</v>
      </c>
      <c r="B4098" t="s">
        <v>226</v>
      </c>
      <c r="C4098">
        <v>0</v>
      </c>
      <c r="D4098">
        <v>0</v>
      </c>
      <c r="E4098">
        <v>1</v>
      </c>
      <c r="F4098">
        <v>0</v>
      </c>
      <c r="G4098">
        <v>0</v>
      </c>
      <c r="H4098">
        <v>0</v>
      </c>
      <c r="I4098">
        <v>0</v>
      </c>
      <c r="J4098">
        <v>1905.03927312107</v>
      </c>
      <c r="K4098">
        <v>1729.1481030559501</v>
      </c>
      <c r="L4098">
        <v>64.616</v>
      </c>
      <c r="M4098">
        <v>41.962000000000003</v>
      </c>
      <c r="N4098">
        <v>229.798</v>
      </c>
    </row>
    <row r="4099" spans="1:14" x14ac:dyDescent="0.45">
      <c r="A4099">
        <v>1999</v>
      </c>
      <c r="B4099" t="s">
        <v>227</v>
      </c>
      <c r="C4099">
        <v>0</v>
      </c>
      <c r="D4099">
        <v>1</v>
      </c>
      <c r="E4099">
        <v>0</v>
      </c>
      <c r="F4099">
        <v>1</v>
      </c>
      <c r="G4099">
        <v>0</v>
      </c>
      <c r="H4099">
        <v>0</v>
      </c>
      <c r="I4099">
        <v>0</v>
      </c>
      <c r="J4099">
        <v>7498.46741097206</v>
      </c>
      <c r="K4099">
        <v>6679.2628110864198</v>
      </c>
      <c r="L4099">
        <v>41.643000000000001</v>
      </c>
      <c r="M4099">
        <v>67.284999999999997</v>
      </c>
      <c r="N4099">
        <v>35.228999999999999</v>
      </c>
    </row>
    <row r="4100" spans="1:14" x14ac:dyDescent="0.45">
      <c r="A4100">
        <v>1999</v>
      </c>
      <c r="B4100" t="s">
        <v>228</v>
      </c>
      <c r="C4100">
        <v>1</v>
      </c>
      <c r="D4100">
        <v>0</v>
      </c>
      <c r="E4100">
        <v>0</v>
      </c>
      <c r="F4100">
        <v>0</v>
      </c>
      <c r="G4100">
        <v>0</v>
      </c>
      <c r="H4100">
        <v>1</v>
      </c>
      <c r="I4100">
        <v>1</v>
      </c>
      <c r="J4100">
        <v>76474.129715969902</v>
      </c>
      <c r="K4100">
        <v>67402.334960846201</v>
      </c>
      <c r="L4100">
        <v>6.8850000000000096</v>
      </c>
      <c r="M4100">
        <v>80.2</v>
      </c>
      <c r="N4100">
        <v>5.7320000000000002</v>
      </c>
    </row>
    <row r="4101" spans="1:14" x14ac:dyDescent="0.45">
      <c r="A4101">
        <v>1999</v>
      </c>
      <c r="B4101" t="s">
        <v>229</v>
      </c>
      <c r="C4101">
        <v>0</v>
      </c>
      <c r="D4101">
        <v>0</v>
      </c>
      <c r="E4101">
        <v>1</v>
      </c>
      <c r="F4101">
        <v>0</v>
      </c>
      <c r="G4101">
        <v>0</v>
      </c>
      <c r="H4101">
        <v>0</v>
      </c>
      <c r="I4101">
        <v>0</v>
      </c>
      <c r="J4101">
        <v>682.73406667329596</v>
      </c>
      <c r="K4101">
        <v>633.25925319973896</v>
      </c>
      <c r="L4101">
        <v>67.122</v>
      </c>
      <c r="M4101">
        <v>50.610999999999997</v>
      </c>
      <c r="N4101">
        <v>172.578</v>
      </c>
    </row>
    <row r="4102" spans="1:14" x14ac:dyDescent="0.45">
      <c r="A4102">
        <v>1999</v>
      </c>
      <c r="B4102" t="s">
        <v>230</v>
      </c>
      <c r="C4102">
        <v>1</v>
      </c>
      <c r="D4102">
        <v>0</v>
      </c>
      <c r="E4102">
        <v>0</v>
      </c>
      <c r="F4102">
        <v>1</v>
      </c>
      <c r="G4102">
        <v>0</v>
      </c>
      <c r="H4102">
        <v>0</v>
      </c>
      <c r="I4102">
        <v>0</v>
      </c>
      <c r="J4102">
        <v>10437.878007039701</v>
      </c>
      <c r="K4102">
        <v>9178.2741589877096</v>
      </c>
      <c r="L4102">
        <v>47.454999999999998</v>
      </c>
      <c r="M4102">
        <v>69.994</v>
      </c>
      <c r="N4102">
        <v>16.786999999999999</v>
      </c>
    </row>
    <row r="4103" spans="1:14" x14ac:dyDescent="0.45">
      <c r="A4103">
        <v>1999</v>
      </c>
      <c r="B4103" t="s">
        <v>231</v>
      </c>
      <c r="C4103">
        <v>0</v>
      </c>
      <c r="D4103">
        <v>0</v>
      </c>
      <c r="E4103">
        <v>1</v>
      </c>
      <c r="F4103">
        <v>1</v>
      </c>
      <c r="G4103">
        <v>0</v>
      </c>
      <c r="H4103">
        <v>0</v>
      </c>
      <c r="I4103">
        <v>0</v>
      </c>
      <c r="L4103">
        <v>83.623999999999995</v>
      </c>
      <c r="M4103">
        <v>44.536999999999999</v>
      </c>
      <c r="N4103">
        <v>198.25</v>
      </c>
    </row>
    <row r="4104" spans="1:14" x14ac:dyDescent="0.45">
      <c r="A4104">
        <v>1999</v>
      </c>
      <c r="B4104" t="s">
        <v>232</v>
      </c>
      <c r="C4104">
        <v>0</v>
      </c>
      <c r="D4104">
        <v>0</v>
      </c>
      <c r="E4104">
        <v>1</v>
      </c>
      <c r="F4104">
        <v>0</v>
      </c>
      <c r="G4104">
        <v>0</v>
      </c>
      <c r="H4104">
        <v>0</v>
      </c>
      <c r="I4104">
        <v>0</v>
      </c>
      <c r="J4104">
        <v>3878.1310852524598</v>
      </c>
      <c r="K4104">
        <v>2413.6878297447902</v>
      </c>
      <c r="L4104">
        <v>47.533000000000001</v>
      </c>
      <c r="M4104">
        <v>60.975999999999999</v>
      </c>
      <c r="N4104">
        <v>84.856999999999999</v>
      </c>
    </row>
    <row r="4105" spans="1:14" x14ac:dyDescent="0.45">
      <c r="A4105">
        <v>1999</v>
      </c>
      <c r="B4105" t="s">
        <v>233</v>
      </c>
      <c r="C4105">
        <v>0</v>
      </c>
      <c r="D4105">
        <v>1</v>
      </c>
      <c r="E4105">
        <v>0</v>
      </c>
      <c r="F4105">
        <v>1</v>
      </c>
      <c r="G4105">
        <v>0</v>
      </c>
      <c r="H4105">
        <v>0</v>
      </c>
      <c r="I4105">
        <v>0</v>
      </c>
      <c r="J4105">
        <v>16217.517303143801</v>
      </c>
      <c r="K4105">
        <v>12908.8133636403</v>
      </c>
      <c r="L4105">
        <v>33.628999999999998</v>
      </c>
      <c r="M4105">
        <v>64.034999999999997</v>
      </c>
      <c r="N4105">
        <v>32.268999999999998</v>
      </c>
    </row>
    <row r="4106" spans="1:14" x14ac:dyDescent="0.45">
      <c r="A4106">
        <v>1999</v>
      </c>
      <c r="B4106" t="s">
        <v>234</v>
      </c>
      <c r="C4106">
        <v>1</v>
      </c>
      <c r="D4106">
        <v>0</v>
      </c>
      <c r="E4106">
        <v>0</v>
      </c>
      <c r="F4106">
        <v>0</v>
      </c>
      <c r="G4106">
        <v>1</v>
      </c>
      <c r="H4106">
        <v>0</v>
      </c>
      <c r="I4106">
        <v>0</v>
      </c>
      <c r="J4106">
        <v>18167.460127834402</v>
      </c>
      <c r="K4106">
        <v>15647.3215529887</v>
      </c>
      <c r="L4106">
        <v>43.706000000000003</v>
      </c>
      <c r="M4106">
        <v>72.962999999999994</v>
      </c>
      <c r="N4106">
        <v>9.8829999999999991</v>
      </c>
    </row>
    <row r="4107" spans="1:14" x14ac:dyDescent="0.45">
      <c r="A4107">
        <v>1999</v>
      </c>
      <c r="B4107" t="s">
        <v>235</v>
      </c>
      <c r="C4107">
        <v>1</v>
      </c>
      <c r="D4107">
        <v>0</v>
      </c>
      <c r="E4107">
        <v>0</v>
      </c>
      <c r="F4107">
        <v>0</v>
      </c>
      <c r="G4107">
        <v>0</v>
      </c>
      <c r="H4107">
        <v>1</v>
      </c>
      <c r="I4107">
        <v>1</v>
      </c>
      <c r="J4107">
        <v>29133.203857857701</v>
      </c>
      <c r="K4107">
        <v>25077.998557390201</v>
      </c>
      <c r="L4107">
        <v>49.271999999999998</v>
      </c>
      <c r="M4107">
        <v>75.453999999999994</v>
      </c>
      <c r="N4107">
        <v>5.9269999999999996</v>
      </c>
    </row>
    <row r="4108" spans="1:14" x14ac:dyDescent="0.45">
      <c r="A4108">
        <v>1999</v>
      </c>
      <c r="B4108" t="s">
        <v>236</v>
      </c>
      <c r="C4108">
        <v>1</v>
      </c>
      <c r="D4108">
        <v>0</v>
      </c>
      <c r="E4108">
        <v>0</v>
      </c>
      <c r="F4108">
        <v>0</v>
      </c>
      <c r="G4108">
        <v>0</v>
      </c>
      <c r="H4108">
        <v>1</v>
      </c>
      <c r="I4108">
        <v>1</v>
      </c>
      <c r="J4108">
        <v>45829.599932904399</v>
      </c>
      <c r="K4108">
        <v>39148.4899039839</v>
      </c>
      <c r="L4108">
        <v>16.001999999999999</v>
      </c>
      <c r="M4108">
        <v>79.507999999999996</v>
      </c>
      <c r="N4108">
        <v>3.9060000000000001</v>
      </c>
    </row>
    <row r="4109" spans="1:14" x14ac:dyDescent="0.45">
      <c r="A4109">
        <v>1999</v>
      </c>
      <c r="B4109" t="s">
        <v>237</v>
      </c>
      <c r="C4109">
        <v>0</v>
      </c>
      <c r="D4109">
        <v>0</v>
      </c>
      <c r="E4109">
        <v>1</v>
      </c>
      <c r="F4109">
        <v>1</v>
      </c>
      <c r="G4109">
        <v>0</v>
      </c>
      <c r="H4109">
        <v>0</v>
      </c>
      <c r="I4109">
        <v>0</v>
      </c>
      <c r="J4109">
        <v>6145.3196979225504</v>
      </c>
      <c r="K4109">
        <v>5441.6817183275498</v>
      </c>
      <c r="L4109">
        <v>77.183000000000007</v>
      </c>
      <c r="M4109">
        <v>48.808</v>
      </c>
      <c r="N4109">
        <v>107.512</v>
      </c>
    </row>
    <row r="4110" spans="1:14" x14ac:dyDescent="0.45">
      <c r="A4110">
        <v>1999</v>
      </c>
      <c r="B4110" t="s">
        <v>238</v>
      </c>
      <c r="C4110">
        <v>0</v>
      </c>
      <c r="D4110">
        <v>1</v>
      </c>
      <c r="E4110">
        <v>0</v>
      </c>
      <c r="F4110">
        <v>0</v>
      </c>
      <c r="G4110">
        <v>0</v>
      </c>
      <c r="H4110">
        <v>1</v>
      </c>
      <c r="I4110">
        <v>1</v>
      </c>
      <c r="L4110">
        <v>0</v>
      </c>
      <c r="M4110">
        <v>74.221999999999994</v>
      </c>
      <c r="N4110">
        <v>19.640999999999998</v>
      </c>
    </row>
    <row r="4111" spans="1:14" x14ac:dyDescent="0.45">
      <c r="A4111">
        <v>1999</v>
      </c>
      <c r="B4111" t="s">
        <v>239</v>
      </c>
      <c r="C4111">
        <v>0</v>
      </c>
      <c r="D4111">
        <v>0</v>
      </c>
      <c r="E4111">
        <v>1</v>
      </c>
      <c r="F4111">
        <v>0</v>
      </c>
      <c r="G4111">
        <v>1</v>
      </c>
      <c r="H4111">
        <v>0</v>
      </c>
      <c r="I4111">
        <v>0</v>
      </c>
      <c r="J4111">
        <v>19969.351374617399</v>
      </c>
      <c r="K4111">
        <v>19387.2423850491</v>
      </c>
      <c r="L4111">
        <v>49.762</v>
      </c>
      <c r="M4111">
        <v>71.207999999999998</v>
      </c>
      <c r="N4111">
        <v>13.858000000000001</v>
      </c>
    </row>
    <row r="4112" spans="1:14" x14ac:dyDescent="0.45">
      <c r="A4112">
        <v>1999</v>
      </c>
      <c r="B4112" t="s">
        <v>240</v>
      </c>
      <c r="C4112">
        <v>0</v>
      </c>
      <c r="D4112">
        <v>0</v>
      </c>
      <c r="E4112">
        <v>0</v>
      </c>
      <c r="F4112">
        <v>1</v>
      </c>
      <c r="G4112">
        <v>0</v>
      </c>
      <c r="H4112">
        <v>0</v>
      </c>
      <c r="I4112">
        <v>0</v>
      </c>
      <c r="J4112">
        <v>7951.3901471374902</v>
      </c>
      <c r="K4112">
        <v>5215.5348919732496</v>
      </c>
      <c r="L4112">
        <v>48.421999999999997</v>
      </c>
      <c r="M4112">
        <v>70.507000000000005</v>
      </c>
      <c r="N4112">
        <v>24.402000000000001</v>
      </c>
    </row>
    <row r="4113" spans="1:14" x14ac:dyDescent="0.45">
      <c r="A4113">
        <v>1999</v>
      </c>
      <c r="B4113" t="s">
        <v>241</v>
      </c>
      <c r="C4113">
        <v>0</v>
      </c>
      <c r="D4113">
        <v>1</v>
      </c>
      <c r="E4113">
        <v>0</v>
      </c>
      <c r="F4113">
        <v>0</v>
      </c>
      <c r="G4113">
        <v>0</v>
      </c>
      <c r="H4113">
        <v>1</v>
      </c>
      <c r="I4113">
        <v>1</v>
      </c>
      <c r="L4113">
        <v>16.3</v>
      </c>
      <c r="M4113">
        <v>73.531000000000006</v>
      </c>
      <c r="N4113">
        <v>11.234999999999999</v>
      </c>
    </row>
    <row r="4114" spans="1:14" x14ac:dyDescent="0.45">
      <c r="A4114">
        <v>1999</v>
      </c>
      <c r="B4114" t="s">
        <v>242</v>
      </c>
      <c r="C4114">
        <v>0</v>
      </c>
      <c r="D4114">
        <v>0</v>
      </c>
      <c r="E4114">
        <v>1</v>
      </c>
      <c r="F4114">
        <v>0</v>
      </c>
      <c r="G4114">
        <v>0</v>
      </c>
      <c r="H4114">
        <v>0</v>
      </c>
      <c r="I4114">
        <v>0</v>
      </c>
      <c r="J4114">
        <v>1567.7671389872801</v>
      </c>
      <c r="K4114">
        <v>1316.9811164026501</v>
      </c>
      <c r="L4114">
        <v>78.396000000000001</v>
      </c>
      <c r="M4114">
        <v>47.933999999999997</v>
      </c>
      <c r="N4114">
        <v>187.52600000000001</v>
      </c>
    </row>
    <row r="4115" spans="1:14" x14ac:dyDescent="0.45">
      <c r="A4115">
        <v>1999</v>
      </c>
      <c r="B4115" t="s">
        <v>243</v>
      </c>
      <c r="C4115">
        <v>0</v>
      </c>
      <c r="D4115">
        <v>0</v>
      </c>
      <c r="E4115">
        <v>1</v>
      </c>
      <c r="F4115">
        <v>0</v>
      </c>
      <c r="G4115">
        <v>0</v>
      </c>
      <c r="H4115">
        <v>0</v>
      </c>
      <c r="I4115">
        <v>0</v>
      </c>
      <c r="J4115">
        <v>2172.49173495982</v>
      </c>
      <c r="K4115">
        <v>1805.4226283277601</v>
      </c>
      <c r="L4115">
        <v>67.540000000000006</v>
      </c>
      <c r="M4115">
        <v>54.31</v>
      </c>
      <c r="N4115">
        <v>123.53400000000001</v>
      </c>
    </row>
    <row r="4116" spans="1:14" x14ac:dyDescent="0.45">
      <c r="A4116">
        <v>1999</v>
      </c>
      <c r="B4116" t="s">
        <v>244</v>
      </c>
      <c r="C4116">
        <v>0</v>
      </c>
      <c r="D4116">
        <v>0</v>
      </c>
      <c r="E4116">
        <v>0</v>
      </c>
      <c r="F4116">
        <v>1</v>
      </c>
      <c r="G4116">
        <v>0</v>
      </c>
      <c r="H4116">
        <v>0</v>
      </c>
      <c r="I4116">
        <v>0</v>
      </c>
      <c r="J4116">
        <v>11253.387495590499</v>
      </c>
      <c r="K4116">
        <v>9841.3920499293399</v>
      </c>
      <c r="L4116">
        <v>69.031000000000006</v>
      </c>
      <c r="M4116">
        <v>70.978999999999999</v>
      </c>
      <c r="N4116">
        <v>22.513000000000002</v>
      </c>
    </row>
    <row r="4117" spans="1:14" x14ac:dyDescent="0.45">
      <c r="A4117">
        <v>1999</v>
      </c>
      <c r="B4117" t="s">
        <v>245</v>
      </c>
      <c r="C4117">
        <v>1</v>
      </c>
      <c r="D4117">
        <v>0</v>
      </c>
      <c r="E4117">
        <v>0</v>
      </c>
      <c r="F4117">
        <v>0</v>
      </c>
      <c r="G4117">
        <v>0</v>
      </c>
      <c r="H4117">
        <v>0</v>
      </c>
      <c r="I4117">
        <v>0</v>
      </c>
      <c r="J4117">
        <v>1275.82249026045</v>
      </c>
      <c r="K4117">
        <v>1161.9364540485799</v>
      </c>
      <c r="L4117">
        <v>73.239999999999995</v>
      </c>
      <c r="M4117">
        <v>63.113999999999997</v>
      </c>
      <c r="N4117">
        <v>89.272000000000006</v>
      </c>
    </row>
    <row r="4118" spans="1:14" x14ac:dyDescent="0.45">
      <c r="A4118">
        <v>1999</v>
      </c>
      <c r="B4118" t="s">
        <v>246</v>
      </c>
      <c r="C4118">
        <v>1</v>
      </c>
      <c r="D4118">
        <v>0</v>
      </c>
      <c r="E4118">
        <v>0</v>
      </c>
      <c r="F4118">
        <v>0</v>
      </c>
      <c r="G4118">
        <v>0</v>
      </c>
      <c r="H4118">
        <v>0</v>
      </c>
      <c r="I4118">
        <v>0</v>
      </c>
      <c r="J4118">
        <v>4945.0854198828802</v>
      </c>
      <c r="K4118">
        <v>4654.4079708679601</v>
      </c>
      <c r="L4118">
        <v>54.311</v>
      </c>
      <c r="M4118">
        <v>64.474999999999994</v>
      </c>
      <c r="N4118">
        <v>71.316999999999993</v>
      </c>
    </row>
    <row r="4119" spans="1:14" x14ac:dyDescent="0.45">
      <c r="A4119">
        <v>1999</v>
      </c>
      <c r="B4119" t="s">
        <v>247</v>
      </c>
      <c r="C4119">
        <v>0</v>
      </c>
      <c r="D4119">
        <v>0</v>
      </c>
      <c r="E4119">
        <v>0</v>
      </c>
      <c r="F4119">
        <v>0</v>
      </c>
      <c r="G4119">
        <v>0</v>
      </c>
      <c r="H4119">
        <v>0</v>
      </c>
      <c r="I4119">
        <v>0</v>
      </c>
      <c r="J4119">
        <v>2137.6709774043102</v>
      </c>
      <c r="K4119">
        <v>1724.80685826069</v>
      </c>
      <c r="L4119">
        <v>76.09</v>
      </c>
      <c r="M4119">
        <v>45.246000000000002</v>
      </c>
      <c r="N4119">
        <v>197.28700000000001</v>
      </c>
    </row>
    <row r="4120" spans="1:14" x14ac:dyDescent="0.45">
      <c r="A4120">
        <v>1999</v>
      </c>
      <c r="B4120" t="s">
        <v>248</v>
      </c>
      <c r="C4120">
        <v>0</v>
      </c>
      <c r="D4120">
        <v>0</v>
      </c>
      <c r="E4120">
        <v>0</v>
      </c>
      <c r="F4120">
        <v>1</v>
      </c>
      <c r="G4120">
        <v>0</v>
      </c>
      <c r="H4120">
        <v>0</v>
      </c>
      <c r="I4120">
        <v>0</v>
      </c>
      <c r="J4120">
        <v>5632.7225239660202</v>
      </c>
      <c r="K4120">
        <v>5098.9165665950204</v>
      </c>
      <c r="L4120">
        <v>77.016000000000005</v>
      </c>
      <c r="M4120">
        <v>69.430999999999997</v>
      </c>
      <c r="N4120">
        <v>17.251000000000001</v>
      </c>
    </row>
    <row r="4121" spans="1:14" x14ac:dyDescent="0.45">
      <c r="A4121">
        <v>1999</v>
      </c>
      <c r="B4121" t="s">
        <v>249</v>
      </c>
      <c r="C4121">
        <v>0</v>
      </c>
      <c r="D4121">
        <v>1</v>
      </c>
      <c r="E4121">
        <v>0</v>
      </c>
      <c r="F4121">
        <v>0</v>
      </c>
      <c r="G4121">
        <v>1</v>
      </c>
      <c r="H4121">
        <v>0</v>
      </c>
      <c r="I4121">
        <v>0</v>
      </c>
      <c r="J4121">
        <v>18464.233442958899</v>
      </c>
      <c r="K4121">
        <v>15410.1204454375</v>
      </c>
      <c r="L4121">
        <v>44.228999999999999</v>
      </c>
      <c r="M4121">
        <v>68.509</v>
      </c>
      <c r="N4121">
        <v>27.76</v>
      </c>
    </row>
    <row r="4122" spans="1:14" x14ac:dyDescent="0.45">
      <c r="A4122">
        <v>1999</v>
      </c>
      <c r="B4122" t="s">
        <v>250</v>
      </c>
      <c r="C4122">
        <v>0</v>
      </c>
      <c r="D4122">
        <v>0</v>
      </c>
      <c r="E4122">
        <v>0</v>
      </c>
      <c r="F4122">
        <v>1</v>
      </c>
      <c r="G4122">
        <v>0</v>
      </c>
      <c r="H4122">
        <v>0</v>
      </c>
      <c r="I4122">
        <v>0</v>
      </c>
      <c r="J4122">
        <v>8821.9782239715805</v>
      </c>
      <c r="K4122">
        <v>7688.2066567889597</v>
      </c>
      <c r="L4122">
        <v>36.957000000000001</v>
      </c>
      <c r="M4122">
        <v>72.343999999999994</v>
      </c>
      <c r="N4122">
        <v>31.722999999999999</v>
      </c>
    </row>
    <row r="4123" spans="1:14" x14ac:dyDescent="0.45">
      <c r="A4123">
        <v>1999</v>
      </c>
      <c r="B4123" t="s">
        <v>251</v>
      </c>
      <c r="C4123">
        <v>1</v>
      </c>
      <c r="D4123">
        <v>0</v>
      </c>
      <c r="E4123">
        <v>0</v>
      </c>
      <c r="F4123">
        <v>1</v>
      </c>
      <c r="G4123">
        <v>0</v>
      </c>
      <c r="H4123">
        <v>0</v>
      </c>
      <c r="I4123">
        <v>0</v>
      </c>
      <c r="J4123">
        <v>13959.866745846201</v>
      </c>
      <c r="K4123">
        <v>13997.2116299426</v>
      </c>
      <c r="L4123">
        <v>35.777000000000001</v>
      </c>
      <c r="M4123">
        <v>70.751999999999995</v>
      </c>
      <c r="N4123">
        <v>42.456000000000003</v>
      </c>
    </row>
    <row r="4124" spans="1:14" x14ac:dyDescent="0.45">
      <c r="A4124">
        <v>1999</v>
      </c>
      <c r="B4124" t="s">
        <v>252</v>
      </c>
      <c r="C4124">
        <v>0</v>
      </c>
      <c r="D4124">
        <v>0</v>
      </c>
      <c r="E4124">
        <v>0</v>
      </c>
      <c r="F4124">
        <v>1</v>
      </c>
      <c r="G4124">
        <v>0</v>
      </c>
      <c r="H4124">
        <v>0</v>
      </c>
      <c r="I4124">
        <v>0</v>
      </c>
      <c r="J4124">
        <v>3777.3717722978399</v>
      </c>
      <c r="K4124">
        <v>3417.2160542813499</v>
      </c>
      <c r="L4124">
        <v>54.393000000000001</v>
      </c>
      <c r="M4124">
        <v>63.345999999999997</v>
      </c>
      <c r="N4124">
        <v>43.926000000000002</v>
      </c>
    </row>
    <row r="4125" spans="1:14" x14ac:dyDescent="0.45">
      <c r="A4125">
        <v>1999</v>
      </c>
      <c r="B4125" t="s">
        <v>253</v>
      </c>
      <c r="C4125">
        <v>0</v>
      </c>
      <c r="D4125">
        <v>0</v>
      </c>
      <c r="E4125">
        <v>0</v>
      </c>
      <c r="F4125">
        <v>0</v>
      </c>
      <c r="G4125">
        <v>0</v>
      </c>
      <c r="H4125">
        <v>1</v>
      </c>
      <c r="I4125">
        <v>1</v>
      </c>
      <c r="L4125">
        <v>65.135000000000005</v>
      </c>
      <c r="M4125">
        <v>75.62</v>
      </c>
      <c r="N4125">
        <v>8.6219999999999999</v>
      </c>
    </row>
    <row r="4126" spans="1:14" x14ac:dyDescent="0.45">
      <c r="A4126">
        <v>1999</v>
      </c>
      <c r="B4126" t="s">
        <v>254</v>
      </c>
      <c r="C4126">
        <v>0</v>
      </c>
      <c r="D4126">
        <v>0</v>
      </c>
      <c r="E4126">
        <v>1</v>
      </c>
      <c r="F4126">
        <v>0</v>
      </c>
      <c r="G4126">
        <v>0</v>
      </c>
      <c r="H4126">
        <v>0</v>
      </c>
      <c r="I4126">
        <v>0</v>
      </c>
      <c r="J4126">
        <v>1810.97155761719</v>
      </c>
      <c r="K4126">
        <v>1348.9324746616701</v>
      </c>
      <c r="L4126">
        <v>78.052999999999997</v>
      </c>
      <c r="M4126">
        <v>52.399000000000001</v>
      </c>
      <c r="N4126">
        <v>134.82599999999999</v>
      </c>
    </row>
    <row r="4127" spans="1:14" x14ac:dyDescent="0.45">
      <c r="A4127">
        <v>1999</v>
      </c>
      <c r="B4127" t="s">
        <v>255</v>
      </c>
      <c r="C4127">
        <v>0</v>
      </c>
      <c r="D4127">
        <v>0</v>
      </c>
      <c r="E4127">
        <v>1</v>
      </c>
      <c r="F4127">
        <v>0</v>
      </c>
      <c r="G4127">
        <v>0</v>
      </c>
      <c r="H4127">
        <v>0</v>
      </c>
      <c r="I4127">
        <v>0</v>
      </c>
      <c r="J4127">
        <v>1487.75796178874</v>
      </c>
      <c r="K4127">
        <v>1262.0718488902401</v>
      </c>
      <c r="L4127">
        <v>85.620999999999995</v>
      </c>
      <c r="M4127">
        <v>48.976999999999997</v>
      </c>
      <c r="N4127">
        <v>149.41</v>
      </c>
    </row>
    <row r="4128" spans="1:14" x14ac:dyDescent="0.45">
      <c r="A4128">
        <v>1999</v>
      </c>
      <c r="B4128" t="s">
        <v>256</v>
      </c>
      <c r="C4128">
        <v>1</v>
      </c>
      <c r="D4128">
        <v>0</v>
      </c>
      <c r="E4128">
        <v>0</v>
      </c>
      <c r="F4128">
        <v>0</v>
      </c>
      <c r="G4128">
        <v>0</v>
      </c>
      <c r="H4128">
        <v>0</v>
      </c>
      <c r="I4128">
        <v>0</v>
      </c>
      <c r="J4128">
        <v>9704.4453125</v>
      </c>
      <c r="K4128">
        <v>6863.8137771562797</v>
      </c>
      <c r="L4128">
        <v>32.893999999999998</v>
      </c>
      <c r="M4128">
        <v>68.004000000000005</v>
      </c>
      <c r="N4128">
        <v>16.170999999999999</v>
      </c>
    </row>
    <row r="4129" spans="1:14" x14ac:dyDescent="0.45">
      <c r="A4129">
        <v>1999</v>
      </c>
      <c r="B4129" t="s">
        <v>257</v>
      </c>
      <c r="C4129">
        <v>0</v>
      </c>
      <c r="D4129">
        <v>1</v>
      </c>
      <c r="E4129">
        <v>0</v>
      </c>
      <c r="F4129">
        <v>0</v>
      </c>
      <c r="G4129">
        <v>1</v>
      </c>
      <c r="H4129">
        <v>0</v>
      </c>
      <c r="I4129">
        <v>0</v>
      </c>
      <c r="J4129">
        <v>19192.717568508298</v>
      </c>
      <c r="K4129">
        <v>15223.0605216123</v>
      </c>
      <c r="L4129">
        <v>8.2570000000000103</v>
      </c>
      <c r="M4129">
        <v>74.293000000000006</v>
      </c>
      <c r="N4129">
        <v>17.524000000000001</v>
      </c>
    </row>
    <row r="4130" spans="1:14" x14ac:dyDescent="0.45">
      <c r="A4130">
        <v>1999</v>
      </c>
      <c r="B4130" t="s">
        <v>258</v>
      </c>
      <c r="C4130">
        <v>0</v>
      </c>
      <c r="D4130">
        <v>0</v>
      </c>
      <c r="E4130">
        <v>0</v>
      </c>
      <c r="F4130">
        <v>0</v>
      </c>
      <c r="G4130">
        <v>0</v>
      </c>
      <c r="H4130">
        <v>1</v>
      </c>
      <c r="I4130">
        <v>1</v>
      </c>
      <c r="J4130">
        <v>53474.045429822603</v>
      </c>
      <c r="K4130">
        <v>48537.033186581597</v>
      </c>
      <c r="L4130">
        <v>21.257999999999999</v>
      </c>
      <c r="M4130">
        <v>76.668999999999997</v>
      </c>
      <c r="N4130">
        <v>8.6669999999999998</v>
      </c>
    </row>
    <row r="4131" spans="1:14" x14ac:dyDescent="0.45">
      <c r="A4131">
        <v>1999</v>
      </c>
      <c r="B4131" t="s">
        <v>259</v>
      </c>
      <c r="C4131">
        <v>1</v>
      </c>
      <c r="D4131">
        <v>0</v>
      </c>
      <c r="E4131">
        <v>0</v>
      </c>
      <c r="F4131">
        <v>0</v>
      </c>
      <c r="G4131">
        <v>0</v>
      </c>
      <c r="H4131">
        <v>0</v>
      </c>
      <c r="I4131">
        <v>0</v>
      </c>
      <c r="J4131">
        <v>3326.4252682466999</v>
      </c>
      <c r="K4131">
        <v>3231.7452321485998</v>
      </c>
      <c r="L4131">
        <v>54.356000000000002</v>
      </c>
      <c r="M4131">
        <v>65.307000000000002</v>
      </c>
      <c r="N4131">
        <v>62.932000000000002</v>
      </c>
    </row>
    <row r="4132" spans="1:14" x14ac:dyDescent="0.45">
      <c r="A4132">
        <v>1999</v>
      </c>
      <c r="B4132" t="s">
        <v>260</v>
      </c>
      <c r="C4132">
        <v>0</v>
      </c>
      <c r="D4132">
        <v>1</v>
      </c>
      <c r="E4132">
        <v>0</v>
      </c>
      <c r="F4132">
        <v>1</v>
      </c>
      <c r="G4132">
        <v>0</v>
      </c>
      <c r="H4132">
        <v>0</v>
      </c>
      <c r="I4132">
        <v>0</v>
      </c>
      <c r="J4132">
        <v>9853.3473655196194</v>
      </c>
      <c r="K4132">
        <v>8611.4430750761203</v>
      </c>
      <c r="L4132">
        <v>55.177</v>
      </c>
      <c r="M4132">
        <v>70.311999999999998</v>
      </c>
      <c r="N4132">
        <v>22.291</v>
      </c>
    </row>
    <row r="4133" spans="1:14" x14ac:dyDescent="0.45">
      <c r="A4133">
        <v>1999</v>
      </c>
      <c r="B4133" t="s">
        <v>261</v>
      </c>
      <c r="C4133">
        <v>0</v>
      </c>
      <c r="D4133">
        <v>1</v>
      </c>
      <c r="E4133">
        <v>0</v>
      </c>
      <c r="F4133">
        <v>0</v>
      </c>
      <c r="G4133">
        <v>1</v>
      </c>
      <c r="H4133">
        <v>0</v>
      </c>
      <c r="I4133">
        <v>0</v>
      </c>
      <c r="L4133">
        <v>12.738</v>
      </c>
      <c r="M4133">
        <v>72.087999999999994</v>
      </c>
      <c r="N4133">
        <v>23.36</v>
      </c>
    </row>
    <row r="4134" spans="1:14" x14ac:dyDescent="0.45">
      <c r="A4134">
        <v>1999</v>
      </c>
      <c r="B4134" t="s">
        <v>262</v>
      </c>
      <c r="C4134">
        <v>0</v>
      </c>
      <c r="D4134">
        <v>1</v>
      </c>
      <c r="E4134">
        <v>0</v>
      </c>
      <c r="F4134">
        <v>0</v>
      </c>
      <c r="G4134">
        <v>0</v>
      </c>
      <c r="H4134">
        <v>1</v>
      </c>
      <c r="I4134">
        <v>1</v>
      </c>
      <c r="L4134">
        <v>58.5</v>
      </c>
      <c r="M4134">
        <v>74.652000000000001</v>
      </c>
      <c r="N4134">
        <v>17.331</v>
      </c>
    </row>
    <row r="4135" spans="1:14" x14ac:dyDescent="0.45">
      <c r="A4135">
        <v>1999</v>
      </c>
      <c r="B4135" t="s">
        <v>263</v>
      </c>
      <c r="C4135">
        <v>0</v>
      </c>
      <c r="D4135">
        <v>1</v>
      </c>
      <c r="E4135">
        <v>0</v>
      </c>
      <c r="F4135">
        <v>0</v>
      </c>
      <c r="G4135">
        <v>0</v>
      </c>
      <c r="H4135">
        <v>1</v>
      </c>
      <c r="I4135">
        <v>1</v>
      </c>
      <c r="L4135">
        <v>7.77200000000001</v>
      </c>
      <c r="M4135">
        <v>71.108999999999995</v>
      </c>
      <c r="N4135">
        <v>12.125999999999999</v>
      </c>
    </row>
    <row r="4136" spans="1:14" x14ac:dyDescent="0.45">
      <c r="A4136">
        <v>1999</v>
      </c>
      <c r="B4136" t="s">
        <v>264</v>
      </c>
      <c r="C4136">
        <v>0</v>
      </c>
      <c r="D4136">
        <v>0</v>
      </c>
      <c r="E4136">
        <v>0</v>
      </c>
      <c r="F4136">
        <v>0</v>
      </c>
      <c r="G4136">
        <v>0</v>
      </c>
      <c r="H4136">
        <v>0</v>
      </c>
      <c r="I4136">
        <v>0</v>
      </c>
      <c r="J4136">
        <v>4119.0536720823102</v>
      </c>
      <c r="K4136">
        <v>3670.41825449419</v>
      </c>
      <c r="L4136">
        <v>76.183000000000007</v>
      </c>
      <c r="M4136">
        <v>72.575000000000003</v>
      </c>
      <c r="N4136">
        <v>31.861000000000001</v>
      </c>
    </row>
    <row r="4137" spans="1:14" x14ac:dyDescent="0.45">
      <c r="A4137">
        <v>1999</v>
      </c>
      <c r="B4137" t="s">
        <v>265</v>
      </c>
      <c r="C4137">
        <v>0</v>
      </c>
      <c r="D4137">
        <v>0</v>
      </c>
      <c r="E4137">
        <v>0</v>
      </c>
      <c r="F4137">
        <v>1</v>
      </c>
      <c r="G4137">
        <v>0</v>
      </c>
      <c r="H4137">
        <v>0</v>
      </c>
      <c r="I4137">
        <v>0</v>
      </c>
      <c r="J4137">
        <v>3228.5918051304502</v>
      </c>
      <c r="K4137">
        <v>2920.5884923219301</v>
      </c>
      <c r="L4137">
        <v>78.617999999999995</v>
      </c>
      <c r="M4137">
        <v>67.924000000000007</v>
      </c>
      <c r="N4137">
        <v>31.797000000000001</v>
      </c>
    </row>
    <row r="4138" spans="1:14" x14ac:dyDescent="0.45">
      <c r="A4138">
        <v>1999</v>
      </c>
      <c r="B4138" t="s">
        <v>266</v>
      </c>
      <c r="C4138">
        <v>0</v>
      </c>
      <c r="D4138">
        <v>0</v>
      </c>
      <c r="E4138">
        <v>0</v>
      </c>
      <c r="F4138">
        <v>1</v>
      </c>
      <c r="G4138">
        <v>0</v>
      </c>
      <c r="H4138">
        <v>0</v>
      </c>
      <c r="I4138">
        <v>0</v>
      </c>
      <c r="J4138">
        <v>4448.3197791279399</v>
      </c>
      <c r="K4138">
        <v>4023.9560592467601</v>
      </c>
      <c r="L4138">
        <v>78.114000000000004</v>
      </c>
      <c r="M4138">
        <v>70.555000000000007</v>
      </c>
      <c r="N4138">
        <v>22.030999999999999</v>
      </c>
    </row>
    <row r="4139" spans="1:14" x14ac:dyDescent="0.45">
      <c r="A4139">
        <v>1999</v>
      </c>
      <c r="B4139" t="s">
        <v>267</v>
      </c>
      <c r="C4139">
        <v>1</v>
      </c>
      <c r="D4139">
        <v>0</v>
      </c>
      <c r="E4139">
        <v>0</v>
      </c>
      <c r="F4139">
        <v>1</v>
      </c>
      <c r="G4139">
        <v>0</v>
      </c>
      <c r="H4139">
        <v>0</v>
      </c>
      <c r="I4139">
        <v>0</v>
      </c>
      <c r="L4139">
        <v>47.454999999999998</v>
      </c>
      <c r="M4139">
        <v>58.265000000000001</v>
      </c>
      <c r="N4139">
        <v>79.096000000000004</v>
      </c>
    </row>
    <row r="4140" spans="1:14" x14ac:dyDescent="0.45">
      <c r="A4140">
        <v>1999</v>
      </c>
      <c r="B4140" t="s">
        <v>268</v>
      </c>
      <c r="C4140">
        <v>0</v>
      </c>
      <c r="D4140">
        <v>0</v>
      </c>
      <c r="E4140">
        <v>0</v>
      </c>
      <c r="F4140">
        <v>0</v>
      </c>
      <c r="G4140">
        <v>0</v>
      </c>
      <c r="H4140">
        <v>0</v>
      </c>
      <c r="I4140">
        <v>0</v>
      </c>
      <c r="L4140">
        <v>74.248000000000005</v>
      </c>
      <c r="M4140">
        <v>62.274999999999999</v>
      </c>
      <c r="N4140">
        <v>96.147999999999996</v>
      </c>
    </row>
    <row r="4141" spans="1:14" x14ac:dyDescent="0.45">
      <c r="A4141">
        <v>1999</v>
      </c>
      <c r="B4141" t="s">
        <v>269</v>
      </c>
      <c r="C4141">
        <v>0</v>
      </c>
      <c r="D4141">
        <v>0</v>
      </c>
      <c r="E4141">
        <v>1</v>
      </c>
      <c r="F4141">
        <v>0</v>
      </c>
      <c r="G4141">
        <v>1</v>
      </c>
      <c r="H4141">
        <v>0</v>
      </c>
      <c r="I4141">
        <v>0</v>
      </c>
      <c r="J4141">
        <v>10844.9172897836</v>
      </c>
      <c r="K4141">
        <v>10210.9357145538</v>
      </c>
      <c r="L4141">
        <v>43.588999999999999</v>
      </c>
      <c r="M4141">
        <v>59.19</v>
      </c>
      <c r="N4141">
        <v>68.503</v>
      </c>
    </row>
    <row r="4142" spans="1:14" x14ac:dyDescent="0.45">
      <c r="A4142">
        <v>1999</v>
      </c>
      <c r="B4142" t="s">
        <v>270</v>
      </c>
      <c r="C4142">
        <v>0</v>
      </c>
      <c r="D4142">
        <v>0</v>
      </c>
      <c r="E4142">
        <v>1</v>
      </c>
      <c r="F4142">
        <v>0</v>
      </c>
      <c r="G4142">
        <v>0</v>
      </c>
      <c r="H4142">
        <v>0</v>
      </c>
      <c r="I4142">
        <v>0</v>
      </c>
      <c r="J4142">
        <v>2198.1891299864801</v>
      </c>
      <c r="K4142">
        <v>2063.78583891277</v>
      </c>
      <c r="L4142">
        <v>64.742000000000004</v>
      </c>
      <c r="M4142">
        <v>45.923999999999999</v>
      </c>
      <c r="N4142">
        <v>158.54</v>
      </c>
    </row>
    <row r="4143" spans="1:14" x14ac:dyDescent="0.45">
      <c r="A4143">
        <v>1999</v>
      </c>
      <c r="B4143" t="s">
        <v>271</v>
      </c>
      <c r="C4143">
        <v>0</v>
      </c>
      <c r="D4143">
        <v>0</v>
      </c>
      <c r="E4143">
        <v>1</v>
      </c>
      <c r="F4143">
        <v>0</v>
      </c>
      <c r="G4143">
        <v>0</v>
      </c>
      <c r="H4143">
        <v>0</v>
      </c>
      <c r="I4143">
        <v>0</v>
      </c>
      <c r="J4143">
        <v>4238.1918600160898</v>
      </c>
      <c r="K4143">
        <v>2821.9402377393499</v>
      </c>
      <c r="L4143">
        <v>66.653000000000006</v>
      </c>
      <c r="M4143">
        <v>46.378999999999998</v>
      </c>
      <c r="N4143">
        <v>96.338999999999999</v>
      </c>
    </row>
    <row r="4144" spans="1:14" x14ac:dyDescent="0.45">
      <c r="A4144">
        <v>2000</v>
      </c>
      <c r="B4144" t="s">
        <v>54</v>
      </c>
      <c r="C4144">
        <v>0</v>
      </c>
      <c r="D4144">
        <v>1</v>
      </c>
      <c r="E4144">
        <v>0</v>
      </c>
      <c r="F4144">
        <v>0</v>
      </c>
      <c r="G4144">
        <v>0</v>
      </c>
      <c r="H4144">
        <v>1</v>
      </c>
      <c r="I4144">
        <v>1</v>
      </c>
      <c r="J4144">
        <v>39244.829854580603</v>
      </c>
      <c r="K4144">
        <v>38193.354858447201</v>
      </c>
      <c r="L4144">
        <v>53.283000000000001</v>
      </c>
      <c r="M4144">
        <v>72.938999999999993</v>
      </c>
      <c r="N4144">
        <v>21.151</v>
      </c>
    </row>
    <row r="4145" spans="1:14" x14ac:dyDescent="0.45">
      <c r="A4145">
        <v>2000</v>
      </c>
      <c r="B4145" t="s">
        <v>55</v>
      </c>
      <c r="C4145">
        <v>0</v>
      </c>
      <c r="D4145">
        <v>0</v>
      </c>
      <c r="E4145">
        <v>0</v>
      </c>
      <c r="F4145">
        <v>0</v>
      </c>
      <c r="G4145">
        <v>0</v>
      </c>
      <c r="H4145">
        <v>0</v>
      </c>
      <c r="I4145">
        <v>0</v>
      </c>
      <c r="J4145">
        <v>1617.82647494969</v>
      </c>
      <c r="K4145">
        <v>1279.68638271642</v>
      </c>
      <c r="L4145">
        <v>77.921999999999997</v>
      </c>
      <c r="M4145">
        <v>55.005000000000003</v>
      </c>
      <c r="N4145">
        <v>131.90700000000001</v>
      </c>
    </row>
    <row r="4146" spans="1:14" x14ac:dyDescent="0.45">
      <c r="A4146">
        <v>2000</v>
      </c>
      <c r="B4146" t="s">
        <v>56</v>
      </c>
      <c r="C4146">
        <v>0</v>
      </c>
      <c r="D4146">
        <v>0</v>
      </c>
      <c r="E4146">
        <v>1</v>
      </c>
      <c r="F4146">
        <v>0</v>
      </c>
      <c r="G4146">
        <v>0</v>
      </c>
      <c r="H4146">
        <v>0</v>
      </c>
      <c r="I4146">
        <v>0</v>
      </c>
      <c r="J4146">
        <v>6002.9891401124596</v>
      </c>
      <c r="K4146">
        <v>4642.4164266555599</v>
      </c>
      <c r="L4146">
        <v>49.912999999999997</v>
      </c>
      <c r="M4146">
        <v>46.500999999999998</v>
      </c>
      <c r="N4146">
        <v>206.44399999999999</v>
      </c>
    </row>
    <row r="4147" spans="1:14" x14ac:dyDescent="0.45">
      <c r="A4147">
        <v>2000</v>
      </c>
      <c r="B4147" t="s">
        <v>57</v>
      </c>
      <c r="C4147">
        <v>1</v>
      </c>
      <c r="D4147">
        <v>0</v>
      </c>
      <c r="E4147">
        <v>0</v>
      </c>
      <c r="F4147">
        <v>1</v>
      </c>
      <c r="G4147">
        <v>0</v>
      </c>
      <c r="H4147">
        <v>0</v>
      </c>
      <c r="I4147">
        <v>0</v>
      </c>
      <c r="J4147">
        <v>6581.6389517530097</v>
      </c>
      <c r="K4147">
        <v>5962.6630057944103</v>
      </c>
      <c r="L4147">
        <v>58.259</v>
      </c>
      <c r="M4147">
        <v>74.825999999999993</v>
      </c>
      <c r="N4147">
        <v>26.893000000000001</v>
      </c>
    </row>
    <row r="4148" spans="1:14" x14ac:dyDescent="0.45">
      <c r="A4148">
        <v>2000</v>
      </c>
      <c r="B4148" t="s">
        <v>58</v>
      </c>
      <c r="C4148">
        <v>1</v>
      </c>
      <c r="D4148">
        <v>0</v>
      </c>
      <c r="E4148">
        <v>0</v>
      </c>
      <c r="F4148">
        <v>0</v>
      </c>
      <c r="G4148">
        <v>0</v>
      </c>
      <c r="H4148">
        <v>1</v>
      </c>
      <c r="I4148">
        <v>1</v>
      </c>
      <c r="J4148">
        <v>54809.144167942301</v>
      </c>
      <c r="K4148">
        <v>46008.090949016703</v>
      </c>
      <c r="L4148">
        <v>7.6050000000000004</v>
      </c>
      <c r="M4148">
        <v>81.863</v>
      </c>
      <c r="N4148">
        <v>7.6059999999999999</v>
      </c>
    </row>
    <row r="4149" spans="1:14" x14ac:dyDescent="0.45">
      <c r="A4149">
        <v>2000</v>
      </c>
      <c r="B4149" t="s">
        <v>59</v>
      </c>
      <c r="C4149">
        <v>0</v>
      </c>
      <c r="D4149">
        <v>0</v>
      </c>
      <c r="E4149">
        <v>0</v>
      </c>
      <c r="F4149">
        <v>0</v>
      </c>
      <c r="G4149">
        <v>0</v>
      </c>
      <c r="H4149">
        <v>1</v>
      </c>
      <c r="I4149">
        <v>1</v>
      </c>
      <c r="J4149">
        <v>92547.229034457996</v>
      </c>
      <c r="K4149">
        <v>91433.764651808902</v>
      </c>
      <c r="L4149">
        <v>19.763999999999999</v>
      </c>
      <c r="M4149">
        <v>76.346999999999994</v>
      </c>
      <c r="N4149">
        <v>11.22</v>
      </c>
    </row>
    <row r="4150" spans="1:14" x14ac:dyDescent="0.45">
      <c r="A4150">
        <v>2000</v>
      </c>
      <c r="B4150" t="s">
        <v>60</v>
      </c>
      <c r="C4150">
        <v>0</v>
      </c>
      <c r="D4150">
        <v>1</v>
      </c>
      <c r="E4150">
        <v>0</v>
      </c>
      <c r="F4150">
        <v>0</v>
      </c>
      <c r="G4150">
        <v>1</v>
      </c>
      <c r="H4150">
        <v>0</v>
      </c>
      <c r="I4150">
        <v>0</v>
      </c>
      <c r="J4150">
        <v>22281.381429995799</v>
      </c>
      <c r="K4150">
        <v>18389.042250055099</v>
      </c>
      <c r="L4150">
        <v>10.858000000000001</v>
      </c>
      <c r="M4150">
        <v>73.91</v>
      </c>
      <c r="N4150">
        <v>21.428000000000001</v>
      </c>
    </row>
    <row r="4151" spans="1:14" x14ac:dyDescent="0.45">
      <c r="A4151">
        <v>2000</v>
      </c>
      <c r="B4151" t="s">
        <v>61</v>
      </c>
      <c r="C4151">
        <v>1</v>
      </c>
      <c r="D4151">
        <v>0</v>
      </c>
      <c r="E4151">
        <v>0</v>
      </c>
      <c r="F4151">
        <v>0</v>
      </c>
      <c r="G4151">
        <v>0</v>
      </c>
      <c r="H4151">
        <v>0</v>
      </c>
      <c r="I4151">
        <v>0</v>
      </c>
      <c r="J4151">
        <v>4589.0082503997701</v>
      </c>
      <c r="K4151">
        <v>3887.3545396275399</v>
      </c>
      <c r="L4151">
        <v>35.334000000000003</v>
      </c>
      <c r="M4151">
        <v>70.811999999999998</v>
      </c>
      <c r="N4151">
        <v>30.707000000000001</v>
      </c>
    </row>
    <row r="4152" spans="1:14" x14ac:dyDescent="0.45">
      <c r="A4152">
        <v>2000</v>
      </c>
      <c r="B4152" t="s">
        <v>62</v>
      </c>
      <c r="C4152">
        <v>0</v>
      </c>
      <c r="D4152">
        <v>0</v>
      </c>
      <c r="E4152">
        <v>0</v>
      </c>
      <c r="F4152">
        <v>0</v>
      </c>
      <c r="G4152">
        <v>1</v>
      </c>
      <c r="H4152">
        <v>0</v>
      </c>
      <c r="I4152">
        <v>0</v>
      </c>
      <c r="L4152">
        <v>11.413</v>
      </c>
      <c r="M4152">
        <v>71.442999999999998</v>
      </c>
      <c r="N4152">
        <v>14.028</v>
      </c>
    </row>
    <row r="4153" spans="1:14" x14ac:dyDescent="0.45">
      <c r="A4153">
        <v>2000</v>
      </c>
      <c r="B4153" t="s">
        <v>63</v>
      </c>
      <c r="C4153">
        <v>0</v>
      </c>
      <c r="D4153">
        <v>1</v>
      </c>
      <c r="E4153">
        <v>0</v>
      </c>
      <c r="F4153">
        <v>0</v>
      </c>
      <c r="G4153">
        <v>1</v>
      </c>
      <c r="H4153">
        <v>0</v>
      </c>
      <c r="I4153">
        <v>0</v>
      </c>
      <c r="J4153">
        <v>25547.612027367901</v>
      </c>
      <c r="K4153">
        <v>20121.218274947601</v>
      </c>
      <c r="L4153">
        <v>67.873000000000005</v>
      </c>
      <c r="M4153">
        <v>74.819000000000003</v>
      </c>
      <c r="N4153">
        <v>14.789</v>
      </c>
    </row>
    <row r="4154" spans="1:14" x14ac:dyDescent="0.45">
      <c r="A4154">
        <v>2000</v>
      </c>
      <c r="B4154" t="s">
        <v>64</v>
      </c>
      <c r="C4154">
        <v>0</v>
      </c>
      <c r="D4154">
        <v>0</v>
      </c>
      <c r="E4154">
        <v>0</v>
      </c>
      <c r="F4154">
        <v>0</v>
      </c>
      <c r="G4154">
        <v>0</v>
      </c>
      <c r="H4154">
        <v>1</v>
      </c>
      <c r="I4154">
        <v>1</v>
      </c>
      <c r="J4154">
        <v>45013.009953515197</v>
      </c>
      <c r="K4154">
        <v>38988.090184351298</v>
      </c>
      <c r="L4154">
        <v>15.765000000000001</v>
      </c>
      <c r="M4154">
        <v>79.620999999999995</v>
      </c>
      <c r="N4154">
        <v>6.1660000000000004</v>
      </c>
    </row>
    <row r="4155" spans="1:14" x14ac:dyDescent="0.45">
      <c r="A4155">
        <v>2000</v>
      </c>
      <c r="B4155" t="s">
        <v>65</v>
      </c>
      <c r="C4155">
        <v>1</v>
      </c>
      <c r="D4155">
        <v>0</v>
      </c>
      <c r="E4155">
        <v>0</v>
      </c>
      <c r="F4155">
        <v>0</v>
      </c>
      <c r="G4155">
        <v>0</v>
      </c>
      <c r="H4155">
        <v>1</v>
      </c>
      <c r="I4155">
        <v>1</v>
      </c>
      <c r="J4155">
        <v>53599.609333958397</v>
      </c>
      <c r="K4155">
        <v>45675.203721390302</v>
      </c>
      <c r="L4155">
        <v>39.786999999999999</v>
      </c>
      <c r="M4155">
        <v>78.234999999999999</v>
      </c>
      <c r="N4155">
        <v>5.6840000000000002</v>
      </c>
    </row>
    <row r="4156" spans="1:14" x14ac:dyDescent="0.45">
      <c r="A4156">
        <v>2000</v>
      </c>
      <c r="B4156" t="s">
        <v>66</v>
      </c>
      <c r="C4156">
        <v>1</v>
      </c>
      <c r="D4156">
        <v>0</v>
      </c>
      <c r="E4156">
        <v>0</v>
      </c>
      <c r="F4156">
        <v>0</v>
      </c>
      <c r="G4156">
        <v>0</v>
      </c>
      <c r="H4156">
        <v>0</v>
      </c>
      <c r="I4156">
        <v>0</v>
      </c>
      <c r="J4156">
        <v>5656.9298928775897</v>
      </c>
      <c r="K4156">
        <v>4119.4462406185503</v>
      </c>
      <c r="L4156">
        <v>48.613999999999997</v>
      </c>
      <c r="M4156">
        <v>65.376999999999995</v>
      </c>
      <c r="N4156">
        <v>74.399000000000001</v>
      </c>
    </row>
    <row r="4157" spans="1:14" x14ac:dyDescent="0.45">
      <c r="A4157">
        <v>2000</v>
      </c>
      <c r="B4157" t="s">
        <v>67</v>
      </c>
      <c r="C4157">
        <v>0</v>
      </c>
      <c r="D4157">
        <v>0</v>
      </c>
      <c r="E4157">
        <v>1</v>
      </c>
      <c r="F4157">
        <v>0</v>
      </c>
      <c r="G4157">
        <v>0</v>
      </c>
      <c r="H4157">
        <v>0</v>
      </c>
      <c r="I4157">
        <v>0</v>
      </c>
      <c r="J4157">
        <v>988.03686348600002</v>
      </c>
      <c r="K4157">
        <v>853.76585811023006</v>
      </c>
      <c r="L4157">
        <v>91.754000000000005</v>
      </c>
      <c r="M4157">
        <v>47.616999999999997</v>
      </c>
      <c r="N4157">
        <v>153.64099999999999</v>
      </c>
    </row>
    <row r="4158" spans="1:14" x14ac:dyDescent="0.45">
      <c r="A4158">
        <v>2000</v>
      </c>
      <c r="B4158" t="s">
        <v>68</v>
      </c>
      <c r="C4158">
        <v>1</v>
      </c>
      <c r="D4158">
        <v>0</v>
      </c>
      <c r="E4158">
        <v>0</v>
      </c>
      <c r="F4158">
        <v>0</v>
      </c>
      <c r="G4158">
        <v>0</v>
      </c>
      <c r="H4158">
        <v>1</v>
      </c>
      <c r="I4158">
        <v>1</v>
      </c>
      <c r="J4158">
        <v>50477.994134713597</v>
      </c>
      <c r="K4158">
        <v>42478.0713353756</v>
      </c>
      <c r="L4158">
        <v>2.871</v>
      </c>
      <c r="M4158">
        <v>77.768000000000001</v>
      </c>
      <c r="N4158">
        <v>6.0469999999999997</v>
      </c>
    </row>
    <row r="4159" spans="1:14" x14ac:dyDescent="0.45">
      <c r="A4159">
        <v>2000</v>
      </c>
      <c r="B4159" t="s">
        <v>69</v>
      </c>
      <c r="C4159">
        <v>0</v>
      </c>
      <c r="D4159">
        <v>0</v>
      </c>
      <c r="E4159">
        <v>1</v>
      </c>
      <c r="F4159">
        <v>0</v>
      </c>
      <c r="G4159">
        <v>0</v>
      </c>
      <c r="H4159">
        <v>0</v>
      </c>
      <c r="I4159">
        <v>0</v>
      </c>
      <c r="J4159">
        <v>2536.1688586709702</v>
      </c>
      <c r="K4159">
        <v>2406.1949841488199</v>
      </c>
      <c r="L4159">
        <v>61.667000000000002</v>
      </c>
      <c r="M4159">
        <v>56.594000000000001</v>
      </c>
      <c r="N4159">
        <v>136.589</v>
      </c>
    </row>
    <row r="4160" spans="1:14" x14ac:dyDescent="0.45">
      <c r="A4160">
        <v>2000</v>
      </c>
      <c r="B4160" t="s">
        <v>70</v>
      </c>
      <c r="C4160">
        <v>0</v>
      </c>
      <c r="D4160">
        <v>0</v>
      </c>
      <c r="E4160">
        <v>1</v>
      </c>
      <c r="F4160">
        <v>0</v>
      </c>
      <c r="G4160">
        <v>0</v>
      </c>
      <c r="H4160">
        <v>0</v>
      </c>
      <c r="I4160">
        <v>0</v>
      </c>
      <c r="J4160">
        <v>1428.57400617096</v>
      </c>
      <c r="K4160">
        <v>1307.05533951192</v>
      </c>
      <c r="L4160">
        <v>82.156000000000006</v>
      </c>
      <c r="M4160">
        <v>50.808</v>
      </c>
      <c r="N4160">
        <v>178.08699999999999</v>
      </c>
    </row>
    <row r="4161" spans="1:14" x14ac:dyDescent="0.45">
      <c r="A4161">
        <v>2000</v>
      </c>
      <c r="B4161" t="s">
        <v>71</v>
      </c>
      <c r="C4161">
        <v>0</v>
      </c>
      <c r="D4161">
        <v>0</v>
      </c>
      <c r="E4161">
        <v>0</v>
      </c>
      <c r="F4161">
        <v>0</v>
      </c>
      <c r="G4161">
        <v>0</v>
      </c>
      <c r="H4161">
        <v>0</v>
      </c>
      <c r="I4161">
        <v>0</v>
      </c>
      <c r="J4161">
        <v>2712.9351221572501</v>
      </c>
      <c r="K4161">
        <v>2205.6015093010101</v>
      </c>
      <c r="L4161">
        <v>76.41</v>
      </c>
      <c r="M4161">
        <v>62.048999999999999</v>
      </c>
      <c r="N4161">
        <v>85.933999999999997</v>
      </c>
    </row>
    <row r="4162" spans="1:14" x14ac:dyDescent="0.45">
      <c r="A4162">
        <v>2000</v>
      </c>
      <c r="B4162" t="s">
        <v>72</v>
      </c>
      <c r="C4162">
        <v>1</v>
      </c>
      <c r="D4162">
        <v>0</v>
      </c>
      <c r="E4162">
        <v>0</v>
      </c>
      <c r="F4162">
        <v>1</v>
      </c>
      <c r="G4162">
        <v>0</v>
      </c>
      <c r="H4162">
        <v>0</v>
      </c>
      <c r="I4162">
        <v>0</v>
      </c>
      <c r="J4162">
        <v>12558.9740745904</v>
      </c>
      <c r="K4162">
        <v>10421.430065221</v>
      </c>
      <c r="L4162">
        <v>31.100999999999999</v>
      </c>
      <c r="M4162">
        <v>71.575000000000003</v>
      </c>
      <c r="N4162">
        <v>16.349</v>
      </c>
    </row>
    <row r="4163" spans="1:14" x14ac:dyDescent="0.45">
      <c r="A4163">
        <v>2000</v>
      </c>
      <c r="B4163" t="s">
        <v>73</v>
      </c>
      <c r="C4163">
        <v>0</v>
      </c>
      <c r="D4163">
        <v>0</v>
      </c>
      <c r="E4163">
        <v>0</v>
      </c>
      <c r="F4163">
        <v>0</v>
      </c>
      <c r="G4163">
        <v>1</v>
      </c>
      <c r="H4163">
        <v>0</v>
      </c>
      <c r="I4163">
        <v>0</v>
      </c>
      <c r="J4163">
        <v>57968.995608213503</v>
      </c>
      <c r="K4163">
        <v>54013.321669491299</v>
      </c>
      <c r="L4163">
        <v>11.628</v>
      </c>
      <c r="M4163">
        <v>74.673000000000002</v>
      </c>
      <c r="N4163">
        <v>12.738</v>
      </c>
    </row>
    <row r="4164" spans="1:14" x14ac:dyDescent="0.45">
      <c r="A4164">
        <v>2000</v>
      </c>
      <c r="B4164" t="s">
        <v>74</v>
      </c>
      <c r="C4164">
        <v>0</v>
      </c>
      <c r="D4164">
        <v>1</v>
      </c>
      <c r="E4164">
        <v>0</v>
      </c>
      <c r="F4164">
        <v>0</v>
      </c>
      <c r="G4164">
        <v>0</v>
      </c>
      <c r="H4164">
        <v>1</v>
      </c>
      <c r="I4164">
        <v>1</v>
      </c>
      <c r="J4164">
        <v>34597.075219224404</v>
      </c>
      <c r="K4164">
        <v>35887.061241694901</v>
      </c>
      <c r="L4164">
        <v>17.992999999999999</v>
      </c>
      <c r="M4164">
        <v>72.480999999999995</v>
      </c>
      <c r="N4164">
        <v>16.408000000000001</v>
      </c>
    </row>
    <row r="4165" spans="1:14" x14ac:dyDescent="0.45">
      <c r="A4165">
        <v>2000</v>
      </c>
      <c r="B4165" t="s">
        <v>75</v>
      </c>
      <c r="C4165">
        <v>1</v>
      </c>
      <c r="D4165">
        <v>0</v>
      </c>
      <c r="E4165">
        <v>0</v>
      </c>
      <c r="F4165">
        <v>1</v>
      </c>
      <c r="G4165">
        <v>0</v>
      </c>
      <c r="H4165">
        <v>0</v>
      </c>
      <c r="I4165">
        <v>0</v>
      </c>
      <c r="J4165">
        <v>7827.90200560021</v>
      </c>
      <c r="K4165">
        <v>6762.2215348464697</v>
      </c>
      <c r="L4165">
        <v>57.616</v>
      </c>
      <c r="M4165">
        <v>75.292000000000002</v>
      </c>
      <c r="N4165">
        <v>9.7620000000000005</v>
      </c>
    </row>
    <row r="4166" spans="1:14" x14ac:dyDescent="0.45">
      <c r="A4166">
        <v>2000</v>
      </c>
      <c r="B4166" t="s">
        <v>76</v>
      </c>
      <c r="C4166">
        <v>1</v>
      </c>
      <c r="D4166">
        <v>0</v>
      </c>
      <c r="E4166">
        <v>0</v>
      </c>
      <c r="F4166">
        <v>1</v>
      </c>
      <c r="G4166">
        <v>0</v>
      </c>
      <c r="H4166">
        <v>0</v>
      </c>
      <c r="I4166">
        <v>0</v>
      </c>
      <c r="J4166">
        <v>11182.454839387099</v>
      </c>
      <c r="K4166">
        <v>8073.6772452325604</v>
      </c>
      <c r="L4166">
        <v>30.027000000000001</v>
      </c>
      <c r="M4166">
        <v>68.463999999999999</v>
      </c>
      <c r="N4166">
        <v>12.429</v>
      </c>
    </row>
    <row r="4167" spans="1:14" x14ac:dyDescent="0.45">
      <c r="A4167">
        <v>2000</v>
      </c>
      <c r="B4167" t="s">
        <v>77</v>
      </c>
      <c r="C4167">
        <v>0</v>
      </c>
      <c r="D4167">
        <v>1</v>
      </c>
      <c r="E4167">
        <v>0</v>
      </c>
      <c r="F4167">
        <v>1</v>
      </c>
      <c r="G4167">
        <v>0</v>
      </c>
      <c r="H4167">
        <v>0</v>
      </c>
      <c r="I4167">
        <v>0</v>
      </c>
      <c r="J4167">
        <v>11352.7191202799</v>
      </c>
      <c r="K4167">
        <v>8947.0004822477094</v>
      </c>
      <c r="L4167">
        <v>54.601999999999997</v>
      </c>
      <c r="M4167">
        <v>68.911000000000001</v>
      </c>
      <c r="N4167">
        <v>25.114000000000001</v>
      </c>
    </row>
    <row r="4168" spans="1:14" x14ac:dyDescent="0.45">
      <c r="A4168">
        <v>2000</v>
      </c>
      <c r="B4168" t="s">
        <v>78</v>
      </c>
      <c r="C4168">
        <v>0</v>
      </c>
      <c r="D4168">
        <v>0</v>
      </c>
      <c r="E4168">
        <v>0</v>
      </c>
      <c r="F4168">
        <v>0</v>
      </c>
      <c r="G4168">
        <v>0</v>
      </c>
      <c r="H4168">
        <v>1</v>
      </c>
      <c r="I4168">
        <v>1</v>
      </c>
      <c r="J4168">
        <v>98019.931472750002</v>
      </c>
      <c r="K4168">
        <v>87087.172382738994</v>
      </c>
      <c r="L4168">
        <v>0</v>
      </c>
      <c r="M4168">
        <v>78.251000000000005</v>
      </c>
      <c r="N4168">
        <v>4.8390000000000004</v>
      </c>
    </row>
    <row r="4169" spans="1:14" x14ac:dyDescent="0.45">
      <c r="A4169">
        <v>2000</v>
      </c>
      <c r="B4169" t="s">
        <v>79</v>
      </c>
      <c r="C4169">
        <v>0</v>
      </c>
      <c r="D4169">
        <v>1</v>
      </c>
      <c r="E4169">
        <v>0</v>
      </c>
      <c r="F4169">
        <v>1</v>
      </c>
      <c r="G4169">
        <v>0</v>
      </c>
      <c r="H4169">
        <v>0</v>
      </c>
      <c r="I4169">
        <v>0</v>
      </c>
      <c r="J4169">
        <v>6146.0292937970298</v>
      </c>
      <c r="K4169">
        <v>5424.1794605618798</v>
      </c>
      <c r="L4169">
        <v>38.213000000000001</v>
      </c>
      <c r="M4169">
        <v>62.057000000000002</v>
      </c>
      <c r="N4169">
        <v>98.049000000000007</v>
      </c>
    </row>
    <row r="4170" spans="1:14" x14ac:dyDescent="0.45">
      <c r="A4170">
        <v>2000</v>
      </c>
      <c r="B4170" t="s">
        <v>80</v>
      </c>
      <c r="C4170">
        <v>0</v>
      </c>
      <c r="D4170">
        <v>1</v>
      </c>
      <c r="E4170">
        <v>0</v>
      </c>
      <c r="F4170">
        <v>0</v>
      </c>
      <c r="G4170">
        <v>1</v>
      </c>
      <c r="H4170">
        <v>0</v>
      </c>
      <c r="I4170">
        <v>0</v>
      </c>
      <c r="J4170">
        <v>14005.3471874231</v>
      </c>
      <c r="K4170">
        <v>11504.120207980701</v>
      </c>
      <c r="L4170">
        <v>18.808</v>
      </c>
      <c r="M4170">
        <v>69.584000000000003</v>
      </c>
      <c r="N4170">
        <v>34.579000000000001</v>
      </c>
    </row>
    <row r="4171" spans="1:14" x14ac:dyDescent="0.45">
      <c r="A4171">
        <v>2000</v>
      </c>
      <c r="B4171" t="s">
        <v>81</v>
      </c>
      <c r="C4171">
        <v>0</v>
      </c>
      <c r="D4171">
        <v>1</v>
      </c>
      <c r="E4171">
        <v>0</v>
      </c>
      <c r="F4171">
        <v>0</v>
      </c>
      <c r="G4171">
        <v>0</v>
      </c>
      <c r="H4171">
        <v>1</v>
      </c>
      <c r="I4171">
        <v>1</v>
      </c>
      <c r="J4171">
        <v>18851.5757762871</v>
      </c>
      <c r="K4171">
        <v>18005.1319069704</v>
      </c>
      <c r="L4171">
        <v>66.173000000000002</v>
      </c>
      <c r="M4171">
        <v>74.58</v>
      </c>
      <c r="N4171">
        <v>14.8</v>
      </c>
    </row>
    <row r="4172" spans="1:14" x14ac:dyDescent="0.45">
      <c r="A4172">
        <v>2000</v>
      </c>
      <c r="B4172" t="s">
        <v>82</v>
      </c>
      <c r="C4172">
        <v>0</v>
      </c>
      <c r="D4172">
        <v>0</v>
      </c>
      <c r="E4172">
        <v>0</v>
      </c>
      <c r="F4172">
        <v>0</v>
      </c>
      <c r="G4172">
        <v>0</v>
      </c>
      <c r="H4172">
        <v>1</v>
      </c>
      <c r="I4172">
        <v>1</v>
      </c>
      <c r="J4172">
        <v>100323.44002186399</v>
      </c>
      <c r="K4172">
        <v>78332.990791673394</v>
      </c>
      <c r="L4172">
        <v>28.835999999999999</v>
      </c>
      <c r="M4172">
        <v>74.016999999999996</v>
      </c>
      <c r="N4172">
        <v>10.497</v>
      </c>
    </row>
    <row r="4173" spans="1:14" x14ac:dyDescent="0.45">
      <c r="A4173">
        <v>2000</v>
      </c>
      <c r="B4173" t="s">
        <v>83</v>
      </c>
      <c r="C4173">
        <v>0</v>
      </c>
      <c r="D4173">
        <v>0</v>
      </c>
      <c r="E4173">
        <v>0</v>
      </c>
      <c r="F4173">
        <v>0</v>
      </c>
      <c r="G4173">
        <v>0</v>
      </c>
      <c r="H4173">
        <v>0</v>
      </c>
      <c r="I4173">
        <v>0</v>
      </c>
      <c r="J4173">
        <v>5287.5743472168397</v>
      </c>
      <c r="K4173">
        <v>4579.7080565871602</v>
      </c>
      <c r="L4173">
        <v>74.581999999999994</v>
      </c>
      <c r="M4173">
        <v>61.841999999999999</v>
      </c>
      <c r="N4173">
        <v>84.603999999999999</v>
      </c>
    </row>
    <row r="4174" spans="1:14" x14ac:dyDescent="0.45">
      <c r="A4174">
        <v>2000</v>
      </c>
      <c r="B4174" t="s">
        <v>84</v>
      </c>
      <c r="C4174">
        <v>0</v>
      </c>
      <c r="D4174">
        <v>0</v>
      </c>
      <c r="E4174">
        <v>1</v>
      </c>
      <c r="F4174">
        <v>0</v>
      </c>
      <c r="G4174">
        <v>1</v>
      </c>
      <c r="H4174">
        <v>0</v>
      </c>
      <c r="I4174">
        <v>0</v>
      </c>
      <c r="J4174">
        <v>13185.8171502399</v>
      </c>
      <c r="K4174">
        <v>11930.3484915106</v>
      </c>
      <c r="L4174">
        <v>46.780999999999999</v>
      </c>
      <c r="M4174">
        <v>52.262999999999998</v>
      </c>
      <c r="N4174">
        <v>75.652000000000001</v>
      </c>
    </row>
    <row r="4175" spans="1:14" x14ac:dyDescent="0.45">
      <c r="A4175">
        <v>2000</v>
      </c>
      <c r="B4175" t="s">
        <v>85</v>
      </c>
      <c r="C4175">
        <v>0</v>
      </c>
      <c r="D4175">
        <v>0</v>
      </c>
      <c r="E4175">
        <v>1</v>
      </c>
      <c r="F4175">
        <v>0</v>
      </c>
      <c r="G4175">
        <v>0</v>
      </c>
      <c r="H4175">
        <v>0</v>
      </c>
      <c r="I4175">
        <v>0</v>
      </c>
      <c r="J4175">
        <v>1245.8139956359901</v>
      </c>
      <c r="K4175">
        <v>997.461378943299</v>
      </c>
      <c r="L4175">
        <v>62.360999999999997</v>
      </c>
      <c r="M4175">
        <v>46.609000000000002</v>
      </c>
      <c r="N4175">
        <v>165.20400000000001</v>
      </c>
    </row>
    <row r="4176" spans="1:14" x14ac:dyDescent="0.45">
      <c r="A4176">
        <v>2000</v>
      </c>
      <c r="B4176" t="s">
        <v>86</v>
      </c>
      <c r="C4176">
        <v>0</v>
      </c>
      <c r="D4176">
        <v>0</v>
      </c>
      <c r="E4176">
        <v>0</v>
      </c>
      <c r="F4176">
        <v>0</v>
      </c>
      <c r="G4176">
        <v>0</v>
      </c>
      <c r="H4176">
        <v>1</v>
      </c>
      <c r="I4176">
        <v>1</v>
      </c>
      <c r="J4176">
        <v>48399.3055389359</v>
      </c>
      <c r="K4176">
        <v>41895.241119210397</v>
      </c>
      <c r="L4176">
        <v>20.521999999999998</v>
      </c>
      <c r="M4176">
        <v>79.233000000000004</v>
      </c>
      <c r="N4176">
        <v>5.9390000000000001</v>
      </c>
    </row>
    <row r="4177" spans="1:14" x14ac:dyDescent="0.45">
      <c r="A4177">
        <v>2000</v>
      </c>
      <c r="B4177" t="s">
        <v>87</v>
      </c>
      <c r="C4177">
        <v>1</v>
      </c>
      <c r="D4177">
        <v>0</v>
      </c>
      <c r="E4177">
        <v>0</v>
      </c>
      <c r="F4177">
        <v>0</v>
      </c>
      <c r="G4177">
        <v>0</v>
      </c>
      <c r="H4177">
        <v>1</v>
      </c>
      <c r="I4177">
        <v>1</v>
      </c>
      <c r="J4177">
        <v>67378.390147287704</v>
      </c>
      <c r="K4177">
        <v>58616.969307749103</v>
      </c>
      <c r="L4177">
        <v>26.617000000000001</v>
      </c>
      <c r="M4177">
        <v>79.834000000000003</v>
      </c>
      <c r="N4177">
        <v>5.8179999999999996</v>
      </c>
    </row>
    <row r="4178" spans="1:14" x14ac:dyDescent="0.45">
      <c r="A4178">
        <v>2000</v>
      </c>
      <c r="B4178" t="s">
        <v>88</v>
      </c>
      <c r="C4178">
        <v>1</v>
      </c>
      <c r="D4178">
        <v>0</v>
      </c>
      <c r="E4178">
        <v>0</v>
      </c>
      <c r="F4178">
        <v>0</v>
      </c>
      <c r="G4178">
        <v>0</v>
      </c>
      <c r="H4178">
        <v>1</v>
      </c>
      <c r="I4178">
        <v>1</v>
      </c>
      <c r="L4178">
        <v>69.534999999999997</v>
      </c>
      <c r="M4178">
        <v>78.815864472351606</v>
      </c>
      <c r="N4178">
        <v>11.289487745594499</v>
      </c>
    </row>
    <row r="4179" spans="1:14" x14ac:dyDescent="0.45">
      <c r="A4179">
        <v>2000</v>
      </c>
      <c r="B4179" t="s">
        <v>89</v>
      </c>
      <c r="C4179">
        <v>0</v>
      </c>
      <c r="D4179">
        <v>1</v>
      </c>
      <c r="E4179">
        <v>0</v>
      </c>
      <c r="F4179">
        <v>0</v>
      </c>
      <c r="G4179">
        <v>1</v>
      </c>
      <c r="H4179">
        <v>0</v>
      </c>
      <c r="I4179">
        <v>0</v>
      </c>
      <c r="J4179">
        <v>17525.271727347899</v>
      </c>
      <c r="K4179">
        <v>15265.9478180194</v>
      </c>
      <c r="L4179">
        <v>13.927</v>
      </c>
      <c r="M4179">
        <v>77.128</v>
      </c>
      <c r="N4179">
        <v>11.372999999999999</v>
      </c>
    </row>
    <row r="4180" spans="1:14" x14ac:dyDescent="0.45">
      <c r="A4180">
        <v>2000</v>
      </c>
      <c r="B4180" t="s">
        <v>90</v>
      </c>
      <c r="C4180">
        <v>0</v>
      </c>
      <c r="D4180">
        <v>0</v>
      </c>
      <c r="E4180">
        <v>0</v>
      </c>
      <c r="F4180">
        <v>1</v>
      </c>
      <c r="G4180">
        <v>0</v>
      </c>
      <c r="H4180">
        <v>0</v>
      </c>
      <c r="I4180">
        <v>0</v>
      </c>
      <c r="J4180">
        <v>4066.03627019859</v>
      </c>
      <c r="K4180">
        <v>3644.93824197702</v>
      </c>
      <c r="L4180">
        <v>64.123000000000005</v>
      </c>
      <c r="M4180">
        <v>72.287999999999997</v>
      </c>
      <c r="N4180">
        <v>35.813000000000002</v>
      </c>
    </row>
    <row r="4181" spans="1:14" x14ac:dyDescent="0.45">
      <c r="A4181">
        <v>2000</v>
      </c>
      <c r="B4181" t="s">
        <v>91</v>
      </c>
      <c r="C4181">
        <v>0</v>
      </c>
      <c r="D4181">
        <v>0</v>
      </c>
      <c r="E4181">
        <v>1</v>
      </c>
      <c r="F4181">
        <v>0</v>
      </c>
      <c r="G4181">
        <v>0</v>
      </c>
      <c r="H4181">
        <v>0</v>
      </c>
      <c r="I4181">
        <v>0</v>
      </c>
      <c r="J4181">
        <v>4838.3402372993796</v>
      </c>
      <c r="K4181">
        <v>4084.2717137404502</v>
      </c>
      <c r="L4181">
        <v>56.844999999999999</v>
      </c>
      <c r="M4181">
        <v>51.393000000000001</v>
      </c>
      <c r="N4181">
        <v>140.053</v>
      </c>
    </row>
    <row r="4182" spans="1:14" x14ac:dyDescent="0.45">
      <c r="A4182">
        <v>2000</v>
      </c>
      <c r="B4182" t="s">
        <v>92</v>
      </c>
      <c r="C4182">
        <v>0</v>
      </c>
      <c r="D4182">
        <v>0</v>
      </c>
      <c r="E4182">
        <v>1</v>
      </c>
      <c r="F4182">
        <v>0</v>
      </c>
      <c r="G4182">
        <v>0</v>
      </c>
      <c r="H4182">
        <v>0</v>
      </c>
      <c r="I4182">
        <v>0</v>
      </c>
      <c r="J4182">
        <v>3822.9442535892599</v>
      </c>
      <c r="K4182">
        <v>3001.82386277981</v>
      </c>
      <c r="L4182">
        <v>54.457999999999998</v>
      </c>
      <c r="M4182">
        <v>53.338000000000001</v>
      </c>
      <c r="N4182">
        <v>143.24100000000001</v>
      </c>
    </row>
    <row r="4183" spans="1:14" x14ac:dyDescent="0.45">
      <c r="A4183">
        <v>2000</v>
      </c>
      <c r="B4183" t="s">
        <v>93</v>
      </c>
      <c r="C4183">
        <v>0</v>
      </c>
      <c r="D4183">
        <v>0</v>
      </c>
      <c r="E4183">
        <v>1</v>
      </c>
      <c r="F4183">
        <v>0</v>
      </c>
      <c r="G4183">
        <v>0</v>
      </c>
      <c r="H4183">
        <v>0</v>
      </c>
      <c r="I4183">
        <v>0</v>
      </c>
      <c r="J4183">
        <v>886.72075931129905</v>
      </c>
      <c r="K4183">
        <v>709.87717506000797</v>
      </c>
      <c r="L4183">
        <v>64.878</v>
      </c>
      <c r="M4183">
        <v>51.887</v>
      </c>
      <c r="N4183">
        <v>158.42099999999999</v>
      </c>
    </row>
    <row r="4184" spans="1:14" x14ac:dyDescent="0.45">
      <c r="A4184">
        <v>2000</v>
      </c>
      <c r="B4184" t="s">
        <v>94</v>
      </c>
      <c r="C4184">
        <v>0</v>
      </c>
      <c r="D4184">
        <v>0</v>
      </c>
      <c r="E4184">
        <v>1</v>
      </c>
      <c r="F4184">
        <v>0</v>
      </c>
      <c r="G4184">
        <v>0</v>
      </c>
      <c r="H4184">
        <v>0</v>
      </c>
      <c r="I4184">
        <v>0</v>
      </c>
      <c r="J4184">
        <v>7570.5827929734196</v>
      </c>
      <c r="K4184">
        <v>4563.8895862659501</v>
      </c>
      <c r="L4184">
        <v>41.305</v>
      </c>
      <c r="M4184">
        <v>55.371000000000002</v>
      </c>
      <c r="N4184">
        <v>109.265</v>
      </c>
    </row>
    <row r="4185" spans="1:14" x14ac:dyDescent="0.45">
      <c r="A4185">
        <v>2000</v>
      </c>
      <c r="B4185" t="s">
        <v>95</v>
      </c>
      <c r="C4185">
        <v>0</v>
      </c>
      <c r="D4185">
        <v>1</v>
      </c>
      <c r="E4185">
        <v>0</v>
      </c>
      <c r="F4185">
        <v>1</v>
      </c>
      <c r="G4185">
        <v>0</v>
      </c>
      <c r="H4185">
        <v>0</v>
      </c>
      <c r="I4185">
        <v>0</v>
      </c>
      <c r="J4185">
        <v>10813.494225001101</v>
      </c>
      <c r="K4185">
        <v>9003.4178547843003</v>
      </c>
      <c r="L4185">
        <v>26.042999999999999</v>
      </c>
      <c r="M4185">
        <v>70.905000000000001</v>
      </c>
      <c r="N4185">
        <v>25.741</v>
      </c>
    </row>
    <row r="4186" spans="1:14" x14ac:dyDescent="0.45">
      <c r="A4186">
        <v>2000</v>
      </c>
      <c r="B4186" t="s">
        <v>96</v>
      </c>
      <c r="C4186">
        <v>0</v>
      </c>
      <c r="D4186">
        <v>0</v>
      </c>
      <c r="E4186">
        <v>1</v>
      </c>
      <c r="F4186">
        <v>0</v>
      </c>
      <c r="G4186">
        <v>0</v>
      </c>
      <c r="H4186">
        <v>0</v>
      </c>
      <c r="I4186">
        <v>0</v>
      </c>
      <c r="J4186">
        <v>2408.4169365973999</v>
      </c>
      <c r="K4186">
        <v>2490.6104777564301</v>
      </c>
      <c r="L4186">
        <v>71.92</v>
      </c>
      <c r="M4186">
        <v>58.941000000000003</v>
      </c>
      <c r="N4186">
        <v>97.531000000000006</v>
      </c>
    </row>
    <row r="4187" spans="1:14" x14ac:dyDescent="0.45">
      <c r="A4187">
        <v>2000</v>
      </c>
      <c r="B4187" t="s">
        <v>97</v>
      </c>
      <c r="C4187">
        <v>0</v>
      </c>
      <c r="D4187">
        <v>0</v>
      </c>
      <c r="E4187">
        <v>1</v>
      </c>
      <c r="F4187">
        <v>1</v>
      </c>
      <c r="G4187">
        <v>0</v>
      </c>
      <c r="H4187">
        <v>0</v>
      </c>
      <c r="I4187">
        <v>0</v>
      </c>
      <c r="J4187">
        <v>4510.13573659758</v>
      </c>
      <c r="K4187">
        <v>4346.4814314216701</v>
      </c>
      <c r="L4187">
        <v>46.564999999999998</v>
      </c>
      <c r="M4187">
        <v>68.117000000000004</v>
      </c>
      <c r="N4187">
        <v>35.207999999999998</v>
      </c>
    </row>
    <row r="4188" spans="1:14" x14ac:dyDescent="0.45">
      <c r="A4188">
        <v>2000</v>
      </c>
      <c r="B4188" t="s">
        <v>98</v>
      </c>
      <c r="C4188">
        <v>0</v>
      </c>
      <c r="D4188">
        <v>1</v>
      </c>
      <c r="E4188">
        <v>0</v>
      </c>
      <c r="F4188">
        <v>0</v>
      </c>
      <c r="G4188">
        <v>1</v>
      </c>
      <c r="H4188">
        <v>0</v>
      </c>
      <c r="I4188">
        <v>0</v>
      </c>
      <c r="J4188">
        <v>14018.7425010471</v>
      </c>
      <c r="K4188">
        <v>12551.7433697793</v>
      </c>
      <c r="L4188">
        <v>40.948</v>
      </c>
      <c r="M4188">
        <v>77.316999999999993</v>
      </c>
      <c r="N4188">
        <v>13.108000000000001</v>
      </c>
    </row>
    <row r="4189" spans="1:14" x14ac:dyDescent="0.45">
      <c r="A4189">
        <v>2000</v>
      </c>
      <c r="B4189" t="s">
        <v>99</v>
      </c>
      <c r="C4189">
        <v>0</v>
      </c>
      <c r="D4189">
        <v>1</v>
      </c>
      <c r="E4189">
        <v>0</v>
      </c>
      <c r="F4189">
        <v>1</v>
      </c>
      <c r="G4189">
        <v>0</v>
      </c>
      <c r="H4189">
        <v>0</v>
      </c>
      <c r="I4189">
        <v>0</v>
      </c>
      <c r="L4189">
        <v>24.677</v>
      </c>
      <c r="M4189">
        <v>75.921999999999997</v>
      </c>
      <c r="N4189">
        <v>8.6289999999999996</v>
      </c>
    </row>
    <row r="4190" spans="1:14" x14ac:dyDescent="0.45">
      <c r="A4190">
        <v>2000</v>
      </c>
      <c r="B4190" t="s">
        <v>100</v>
      </c>
      <c r="C4190">
        <v>0</v>
      </c>
      <c r="D4190">
        <v>1</v>
      </c>
      <c r="E4190">
        <v>0</v>
      </c>
      <c r="F4190">
        <v>0</v>
      </c>
      <c r="G4190">
        <v>0</v>
      </c>
      <c r="H4190">
        <v>1</v>
      </c>
      <c r="I4190">
        <v>1</v>
      </c>
      <c r="J4190">
        <v>34307.124617933703</v>
      </c>
      <c r="K4190">
        <v>28067.084258689702</v>
      </c>
      <c r="L4190">
        <v>9.2479999999999993</v>
      </c>
      <c r="M4190">
        <v>73.283000000000001</v>
      </c>
      <c r="N4190">
        <v>17.542999999999999</v>
      </c>
    </row>
    <row r="4191" spans="1:14" x14ac:dyDescent="0.45">
      <c r="A4191">
        <v>2000</v>
      </c>
      <c r="B4191" t="s">
        <v>101</v>
      </c>
      <c r="C4191">
        <v>0</v>
      </c>
      <c r="D4191">
        <v>1</v>
      </c>
      <c r="E4191">
        <v>0</v>
      </c>
      <c r="F4191">
        <v>0</v>
      </c>
      <c r="G4191">
        <v>0</v>
      </c>
      <c r="H4191">
        <v>1</v>
      </c>
      <c r="I4191">
        <v>1</v>
      </c>
      <c r="L4191">
        <v>0</v>
      </c>
      <c r="M4191">
        <v>74.378</v>
      </c>
      <c r="N4191">
        <v>6.2720000000000002</v>
      </c>
    </row>
    <row r="4192" spans="1:14" x14ac:dyDescent="0.45">
      <c r="A4192">
        <v>2000</v>
      </c>
      <c r="B4192" t="s">
        <v>102</v>
      </c>
      <c r="C4192">
        <v>1</v>
      </c>
      <c r="D4192">
        <v>0</v>
      </c>
      <c r="E4192">
        <v>0</v>
      </c>
      <c r="F4192">
        <v>0</v>
      </c>
      <c r="G4192">
        <v>0</v>
      </c>
      <c r="H4192">
        <v>1</v>
      </c>
      <c r="I4192">
        <v>1</v>
      </c>
      <c r="J4192">
        <v>36122.703125</v>
      </c>
      <c r="K4192">
        <v>32179.626597250899</v>
      </c>
      <c r="L4192">
        <v>31.352</v>
      </c>
      <c r="M4192">
        <v>77.900000000000006</v>
      </c>
      <c r="N4192">
        <v>6.5540000000000003</v>
      </c>
    </row>
    <row r="4193" spans="1:14" x14ac:dyDescent="0.45">
      <c r="A4193">
        <v>2000</v>
      </c>
      <c r="B4193" t="s">
        <v>103</v>
      </c>
      <c r="C4193">
        <v>1</v>
      </c>
      <c r="D4193">
        <v>0</v>
      </c>
      <c r="E4193">
        <v>0</v>
      </c>
      <c r="F4193">
        <v>0</v>
      </c>
      <c r="G4193">
        <v>1</v>
      </c>
      <c r="H4193">
        <v>0</v>
      </c>
      <c r="I4193">
        <v>0</v>
      </c>
      <c r="J4193">
        <v>29427.407001151401</v>
      </c>
      <c r="K4193">
        <v>24501.333902632301</v>
      </c>
      <c r="L4193">
        <v>26.012</v>
      </c>
      <c r="M4193">
        <v>74.977999999999994</v>
      </c>
      <c r="N4193">
        <v>5.2590000000000003</v>
      </c>
    </row>
    <row r="4194" spans="1:14" x14ac:dyDescent="0.45">
      <c r="A4194">
        <v>2000</v>
      </c>
      <c r="B4194" t="s">
        <v>104</v>
      </c>
      <c r="C4194">
        <v>1</v>
      </c>
      <c r="D4194">
        <v>0</v>
      </c>
      <c r="E4194">
        <v>0</v>
      </c>
      <c r="F4194">
        <v>0</v>
      </c>
      <c r="G4194">
        <v>0</v>
      </c>
      <c r="H4194">
        <v>1</v>
      </c>
      <c r="I4194">
        <v>1</v>
      </c>
      <c r="J4194">
        <v>49979.133172595197</v>
      </c>
      <c r="K4194">
        <v>43334.514025494696</v>
      </c>
      <c r="L4194">
        <v>25.035</v>
      </c>
      <c r="M4194">
        <v>78.055999999999997</v>
      </c>
      <c r="N4194">
        <v>5.3150000000000004</v>
      </c>
    </row>
    <row r="4195" spans="1:14" x14ac:dyDescent="0.45">
      <c r="A4195">
        <v>2000</v>
      </c>
      <c r="B4195" t="s">
        <v>105</v>
      </c>
      <c r="C4195">
        <v>0</v>
      </c>
      <c r="D4195">
        <v>0</v>
      </c>
      <c r="E4195">
        <v>0</v>
      </c>
      <c r="F4195">
        <v>1</v>
      </c>
      <c r="G4195">
        <v>0</v>
      </c>
      <c r="H4195">
        <v>0</v>
      </c>
      <c r="I4195">
        <v>0</v>
      </c>
      <c r="J4195">
        <v>3749.9784116598198</v>
      </c>
      <c r="K4195">
        <v>3234.5470485302799</v>
      </c>
      <c r="L4195">
        <v>23.468</v>
      </c>
      <c r="M4195">
        <v>56.734000000000002</v>
      </c>
      <c r="N4195">
        <v>99.707999999999998</v>
      </c>
    </row>
    <row r="4196" spans="1:14" x14ac:dyDescent="0.45">
      <c r="A4196">
        <v>2000</v>
      </c>
      <c r="B4196" t="s">
        <v>106</v>
      </c>
      <c r="C4196">
        <v>0</v>
      </c>
      <c r="D4196">
        <v>1</v>
      </c>
      <c r="E4196">
        <v>0</v>
      </c>
      <c r="F4196">
        <v>0</v>
      </c>
      <c r="G4196">
        <v>1</v>
      </c>
      <c r="H4196">
        <v>0</v>
      </c>
      <c r="I4196">
        <v>0</v>
      </c>
      <c r="J4196">
        <v>14054.6549825652</v>
      </c>
      <c r="K4196">
        <v>10937.730681078199</v>
      </c>
      <c r="L4196">
        <v>34.734999999999999</v>
      </c>
      <c r="M4196">
        <v>71.715000000000003</v>
      </c>
      <c r="N4196">
        <v>17.664000000000001</v>
      </c>
    </row>
    <row r="4197" spans="1:14" x14ac:dyDescent="0.45">
      <c r="A4197">
        <v>2000</v>
      </c>
      <c r="B4197" t="s">
        <v>107</v>
      </c>
      <c r="C4197">
        <v>1</v>
      </c>
      <c r="D4197">
        <v>0</v>
      </c>
      <c r="E4197">
        <v>0</v>
      </c>
      <c r="F4197">
        <v>0</v>
      </c>
      <c r="G4197">
        <v>0</v>
      </c>
      <c r="H4197">
        <v>1</v>
      </c>
      <c r="I4197">
        <v>1</v>
      </c>
      <c r="J4197">
        <v>57431.970858360102</v>
      </c>
      <c r="K4197">
        <v>48538.462961172103</v>
      </c>
      <c r="L4197">
        <v>14.9</v>
      </c>
      <c r="M4197">
        <v>76.814999999999998</v>
      </c>
      <c r="N4197">
        <v>6.1710000000000003</v>
      </c>
    </row>
    <row r="4198" spans="1:14" x14ac:dyDescent="0.45">
      <c r="A4198">
        <v>2000</v>
      </c>
      <c r="B4198" t="s">
        <v>108</v>
      </c>
      <c r="C4198">
        <v>0</v>
      </c>
      <c r="D4198">
        <v>1</v>
      </c>
      <c r="E4198">
        <v>0</v>
      </c>
      <c r="F4198">
        <v>1</v>
      </c>
      <c r="G4198">
        <v>0</v>
      </c>
      <c r="H4198">
        <v>0</v>
      </c>
      <c r="I4198">
        <v>0</v>
      </c>
      <c r="J4198">
        <v>10896.318415596401</v>
      </c>
      <c r="K4198">
        <v>9412.5122213541799</v>
      </c>
      <c r="L4198">
        <v>38.247</v>
      </c>
      <c r="M4198">
        <v>70.364999999999995</v>
      </c>
      <c r="N4198">
        <v>42.393000000000001</v>
      </c>
    </row>
    <row r="4199" spans="1:14" x14ac:dyDescent="0.45">
      <c r="A4199">
        <v>2000</v>
      </c>
      <c r="B4199" t="s">
        <v>109</v>
      </c>
      <c r="C4199">
        <v>0</v>
      </c>
      <c r="D4199">
        <v>0</v>
      </c>
      <c r="E4199">
        <v>0</v>
      </c>
      <c r="F4199">
        <v>1</v>
      </c>
      <c r="G4199">
        <v>0</v>
      </c>
      <c r="H4199">
        <v>0</v>
      </c>
      <c r="I4199">
        <v>0</v>
      </c>
      <c r="J4199">
        <v>11558.220469383001</v>
      </c>
      <c r="K4199">
        <v>10109.2140212862</v>
      </c>
      <c r="L4199">
        <v>40.081000000000003</v>
      </c>
      <c r="M4199">
        <v>70.575999999999993</v>
      </c>
      <c r="N4199">
        <v>41.56</v>
      </c>
    </row>
    <row r="4200" spans="1:14" x14ac:dyDescent="0.45">
      <c r="A4200">
        <v>2000</v>
      </c>
      <c r="B4200" t="s">
        <v>110</v>
      </c>
      <c r="C4200">
        <v>0</v>
      </c>
      <c r="D4200">
        <v>1</v>
      </c>
      <c r="E4200">
        <v>0</v>
      </c>
      <c r="F4200">
        <v>1</v>
      </c>
      <c r="G4200">
        <v>0</v>
      </c>
      <c r="H4200">
        <v>0</v>
      </c>
      <c r="I4200">
        <v>0</v>
      </c>
      <c r="J4200">
        <v>9183.0515527691896</v>
      </c>
      <c r="K4200">
        <v>7637.9827076793999</v>
      </c>
      <c r="L4200">
        <v>39.701000000000001</v>
      </c>
      <c r="M4200">
        <v>72.09</v>
      </c>
      <c r="N4200">
        <v>29.815000000000001</v>
      </c>
    </row>
    <row r="4201" spans="1:14" x14ac:dyDescent="0.45">
      <c r="A4201">
        <v>2000</v>
      </c>
      <c r="B4201" t="s">
        <v>111</v>
      </c>
      <c r="C4201">
        <v>0</v>
      </c>
      <c r="D4201">
        <v>0</v>
      </c>
      <c r="E4201">
        <v>0</v>
      </c>
      <c r="F4201">
        <v>1</v>
      </c>
      <c r="G4201">
        <v>0</v>
      </c>
      <c r="H4201">
        <v>0</v>
      </c>
      <c r="I4201">
        <v>0</v>
      </c>
      <c r="J4201">
        <v>9981.6277508313797</v>
      </c>
      <c r="K4201">
        <v>7921.25160634035</v>
      </c>
      <c r="L4201">
        <v>57.203000000000003</v>
      </c>
      <c r="M4201">
        <v>67.331999999999994</v>
      </c>
      <c r="N4201">
        <v>46.954000000000001</v>
      </c>
    </row>
    <row r="4202" spans="1:14" x14ac:dyDescent="0.45">
      <c r="A4202">
        <v>2000</v>
      </c>
      <c r="B4202" t="s">
        <v>112</v>
      </c>
      <c r="C4202">
        <v>0</v>
      </c>
      <c r="D4202">
        <v>0</v>
      </c>
      <c r="E4202">
        <v>1</v>
      </c>
      <c r="F4202">
        <v>0</v>
      </c>
      <c r="G4202">
        <v>0</v>
      </c>
      <c r="H4202">
        <v>0</v>
      </c>
      <c r="I4202">
        <v>0</v>
      </c>
      <c r="L4202">
        <v>73.412999999999997</v>
      </c>
      <c r="M4202">
        <v>56.284999999999997</v>
      </c>
      <c r="N4202">
        <v>90.875</v>
      </c>
    </row>
    <row r="4203" spans="1:14" x14ac:dyDescent="0.45">
      <c r="A4203">
        <v>2000</v>
      </c>
      <c r="B4203" t="s">
        <v>113</v>
      </c>
      <c r="C4203">
        <v>1</v>
      </c>
      <c r="D4203">
        <v>0</v>
      </c>
      <c r="E4203">
        <v>0</v>
      </c>
      <c r="F4203">
        <v>0</v>
      </c>
      <c r="G4203">
        <v>0</v>
      </c>
      <c r="H4203">
        <v>1</v>
      </c>
      <c r="I4203">
        <v>1</v>
      </c>
      <c r="J4203">
        <v>39945.8971298178</v>
      </c>
      <c r="K4203">
        <v>35153.451879721099</v>
      </c>
      <c r="L4203">
        <v>23.738</v>
      </c>
      <c r="M4203">
        <v>79.412000000000006</v>
      </c>
      <c r="N4203">
        <v>5.3970000000000002</v>
      </c>
    </row>
    <row r="4204" spans="1:14" x14ac:dyDescent="0.45">
      <c r="A4204">
        <v>2000</v>
      </c>
      <c r="B4204" t="s">
        <v>114</v>
      </c>
      <c r="C4204">
        <v>1</v>
      </c>
      <c r="D4204">
        <v>0</v>
      </c>
      <c r="E4204">
        <v>0</v>
      </c>
      <c r="F4204">
        <v>0</v>
      </c>
      <c r="G4204">
        <v>1</v>
      </c>
      <c r="H4204">
        <v>0</v>
      </c>
      <c r="I4204">
        <v>0</v>
      </c>
      <c r="J4204">
        <v>20739.391102579899</v>
      </c>
      <c r="K4204">
        <v>17595.421258230901</v>
      </c>
      <c r="L4204">
        <v>30.632000000000001</v>
      </c>
      <c r="M4204">
        <v>71.013999999999996</v>
      </c>
      <c r="N4204">
        <v>11.07</v>
      </c>
    </row>
    <row r="4205" spans="1:14" x14ac:dyDescent="0.45">
      <c r="A4205">
        <v>2000</v>
      </c>
      <c r="B4205" t="s">
        <v>115</v>
      </c>
      <c r="C4205">
        <v>0</v>
      </c>
      <c r="D4205">
        <v>0</v>
      </c>
      <c r="E4205">
        <v>1</v>
      </c>
      <c r="F4205">
        <v>0</v>
      </c>
      <c r="G4205">
        <v>0</v>
      </c>
      <c r="H4205">
        <v>0</v>
      </c>
      <c r="I4205">
        <v>0</v>
      </c>
      <c r="J4205">
        <v>810.270749182435</v>
      </c>
      <c r="K4205">
        <v>730.77541242613097</v>
      </c>
      <c r="L4205">
        <v>85.26</v>
      </c>
      <c r="M4205">
        <v>50.88</v>
      </c>
      <c r="N4205">
        <v>140.803</v>
      </c>
    </row>
    <row r="4206" spans="1:14" x14ac:dyDescent="0.45">
      <c r="A4206">
        <v>2000</v>
      </c>
      <c r="B4206" t="s">
        <v>116</v>
      </c>
      <c r="C4206">
        <v>1</v>
      </c>
      <c r="D4206">
        <v>0</v>
      </c>
      <c r="E4206">
        <v>0</v>
      </c>
      <c r="F4206">
        <v>0</v>
      </c>
      <c r="G4206">
        <v>0</v>
      </c>
      <c r="H4206">
        <v>1</v>
      </c>
      <c r="I4206">
        <v>1</v>
      </c>
      <c r="J4206">
        <v>46968.841714506998</v>
      </c>
      <c r="K4206">
        <v>39485.897922271703</v>
      </c>
      <c r="L4206">
        <v>17.817</v>
      </c>
      <c r="M4206">
        <v>77.671000000000006</v>
      </c>
      <c r="N4206">
        <v>4.391</v>
      </c>
    </row>
    <row r="4207" spans="1:14" x14ac:dyDescent="0.45">
      <c r="A4207">
        <v>2000</v>
      </c>
      <c r="B4207" t="s">
        <v>117</v>
      </c>
      <c r="C4207">
        <v>0</v>
      </c>
      <c r="D4207">
        <v>0</v>
      </c>
      <c r="E4207">
        <v>0</v>
      </c>
      <c r="F4207">
        <v>1</v>
      </c>
      <c r="G4207">
        <v>0</v>
      </c>
      <c r="H4207">
        <v>0</v>
      </c>
      <c r="I4207">
        <v>0</v>
      </c>
      <c r="J4207">
        <v>9426.1138126278802</v>
      </c>
      <c r="K4207">
        <v>9231.0186867158609</v>
      </c>
      <c r="L4207">
        <v>52.091999999999999</v>
      </c>
      <c r="M4207">
        <v>66.194000000000003</v>
      </c>
      <c r="N4207">
        <v>22.99</v>
      </c>
    </row>
    <row r="4208" spans="1:14" x14ac:dyDescent="0.45">
      <c r="A4208">
        <v>2000</v>
      </c>
      <c r="B4208" t="s">
        <v>118</v>
      </c>
      <c r="C4208">
        <v>1</v>
      </c>
      <c r="D4208">
        <v>0</v>
      </c>
      <c r="E4208">
        <v>0</v>
      </c>
      <c r="F4208">
        <v>0</v>
      </c>
      <c r="G4208">
        <v>0</v>
      </c>
      <c r="H4208">
        <v>1</v>
      </c>
      <c r="I4208">
        <v>1</v>
      </c>
      <c r="J4208">
        <v>45922.478936370098</v>
      </c>
      <c r="K4208">
        <v>38340.6219968605</v>
      </c>
      <c r="L4208">
        <v>24.129000000000001</v>
      </c>
      <c r="M4208">
        <v>79.043999999999997</v>
      </c>
      <c r="N4208">
        <v>5.57</v>
      </c>
    </row>
    <row r="4209" spans="1:14" x14ac:dyDescent="0.45">
      <c r="A4209">
        <v>2000</v>
      </c>
      <c r="B4209" t="s">
        <v>119</v>
      </c>
      <c r="C4209">
        <v>1</v>
      </c>
      <c r="D4209">
        <v>0</v>
      </c>
      <c r="E4209">
        <v>0</v>
      </c>
      <c r="F4209">
        <v>0</v>
      </c>
      <c r="G4209">
        <v>0</v>
      </c>
      <c r="H4209">
        <v>1</v>
      </c>
      <c r="I4209">
        <v>1</v>
      </c>
      <c r="L4209">
        <v>63.662999999999997</v>
      </c>
      <c r="M4209">
        <v>78.251000000000005</v>
      </c>
      <c r="N4209">
        <v>9.6679999999999993</v>
      </c>
    </row>
    <row r="4210" spans="1:14" x14ac:dyDescent="0.45">
      <c r="A4210">
        <v>2000</v>
      </c>
      <c r="B4210" t="s">
        <v>120</v>
      </c>
      <c r="C4210">
        <v>0</v>
      </c>
      <c r="D4210">
        <v>0</v>
      </c>
      <c r="E4210">
        <v>0</v>
      </c>
      <c r="F4210">
        <v>1</v>
      </c>
      <c r="G4210">
        <v>0</v>
      </c>
      <c r="H4210">
        <v>0</v>
      </c>
      <c r="I4210">
        <v>0</v>
      </c>
      <c r="J4210">
        <v>3611.4495844330099</v>
      </c>
      <c r="K4210">
        <v>3268.86022011251</v>
      </c>
      <c r="L4210">
        <v>77.67</v>
      </c>
      <c r="M4210">
        <v>64.316999999999993</v>
      </c>
      <c r="N4210">
        <v>39.695</v>
      </c>
    </row>
    <row r="4211" spans="1:14" x14ac:dyDescent="0.45">
      <c r="A4211">
        <v>2000</v>
      </c>
      <c r="B4211" t="s">
        <v>121</v>
      </c>
      <c r="C4211">
        <v>0</v>
      </c>
      <c r="D4211">
        <v>0</v>
      </c>
      <c r="E4211">
        <v>1</v>
      </c>
      <c r="F4211">
        <v>0</v>
      </c>
      <c r="G4211">
        <v>1</v>
      </c>
      <c r="H4211">
        <v>0</v>
      </c>
      <c r="I4211">
        <v>0</v>
      </c>
      <c r="J4211">
        <v>21717.224079678901</v>
      </c>
      <c r="K4211">
        <v>16432.118646808402</v>
      </c>
      <c r="L4211">
        <v>21.120999999999999</v>
      </c>
      <c r="M4211">
        <v>61.81</v>
      </c>
      <c r="N4211">
        <v>83.058999999999997</v>
      </c>
    </row>
    <row r="4212" spans="1:14" x14ac:dyDescent="0.45">
      <c r="A4212">
        <v>2000</v>
      </c>
      <c r="B4212" t="s">
        <v>122</v>
      </c>
      <c r="C4212">
        <v>1</v>
      </c>
      <c r="D4212">
        <v>0</v>
      </c>
      <c r="E4212">
        <v>0</v>
      </c>
      <c r="F4212">
        <v>0</v>
      </c>
      <c r="G4212">
        <v>0</v>
      </c>
      <c r="H4212">
        <v>1</v>
      </c>
      <c r="I4212">
        <v>1</v>
      </c>
      <c r="J4212">
        <v>43247.636384128898</v>
      </c>
      <c r="K4212">
        <v>37259.142958040102</v>
      </c>
      <c r="L4212">
        <v>21.349</v>
      </c>
      <c r="M4212">
        <v>77.849000000000004</v>
      </c>
      <c r="N4212">
        <v>6.444</v>
      </c>
    </row>
    <row r="4213" spans="1:14" x14ac:dyDescent="0.45">
      <c r="A4213">
        <v>2000</v>
      </c>
      <c r="B4213" t="s">
        <v>123</v>
      </c>
      <c r="C4213">
        <v>1</v>
      </c>
      <c r="D4213">
        <v>0</v>
      </c>
      <c r="E4213">
        <v>0</v>
      </c>
      <c r="F4213">
        <v>0</v>
      </c>
      <c r="G4213">
        <v>0</v>
      </c>
      <c r="H4213">
        <v>0</v>
      </c>
      <c r="I4213">
        <v>0</v>
      </c>
      <c r="J4213">
        <v>5706.2723652783698</v>
      </c>
      <c r="K4213">
        <v>4821.14780636248</v>
      </c>
      <c r="L4213">
        <v>47.362000000000002</v>
      </c>
      <c r="M4213">
        <v>70.090999999999994</v>
      </c>
      <c r="N4213">
        <v>35.670999999999999</v>
      </c>
    </row>
    <row r="4214" spans="1:14" x14ac:dyDescent="0.45">
      <c r="A4214">
        <v>2000</v>
      </c>
      <c r="B4214" t="s">
        <v>124</v>
      </c>
      <c r="C4214">
        <v>0</v>
      </c>
      <c r="D4214">
        <v>0</v>
      </c>
      <c r="E4214">
        <v>1</v>
      </c>
      <c r="F4214">
        <v>0</v>
      </c>
      <c r="G4214">
        <v>0</v>
      </c>
      <c r="H4214">
        <v>0</v>
      </c>
      <c r="I4214">
        <v>0</v>
      </c>
      <c r="J4214">
        <v>3327.35199291767</v>
      </c>
      <c r="K4214">
        <v>2870.6487304269499</v>
      </c>
      <c r="L4214">
        <v>56.070999999999998</v>
      </c>
      <c r="M4214">
        <v>58.139000000000003</v>
      </c>
      <c r="N4214">
        <v>99.569000000000003</v>
      </c>
    </row>
    <row r="4215" spans="1:14" x14ac:dyDescent="0.45">
      <c r="A4215">
        <v>2000</v>
      </c>
      <c r="B4215" t="s">
        <v>125</v>
      </c>
      <c r="C4215">
        <v>1</v>
      </c>
      <c r="D4215">
        <v>0</v>
      </c>
      <c r="E4215">
        <v>0</v>
      </c>
      <c r="F4215">
        <v>0</v>
      </c>
      <c r="G4215">
        <v>0</v>
      </c>
      <c r="H4215">
        <v>1</v>
      </c>
      <c r="I4215">
        <v>1</v>
      </c>
      <c r="L4215">
        <v>0</v>
      </c>
      <c r="M4215">
        <v>80.144999999999996</v>
      </c>
      <c r="N4215">
        <v>14.87</v>
      </c>
    </row>
    <row r="4216" spans="1:14" x14ac:dyDescent="0.45">
      <c r="A4216">
        <v>2000</v>
      </c>
      <c r="B4216" t="s">
        <v>126</v>
      </c>
      <c r="C4216">
        <v>0</v>
      </c>
      <c r="D4216">
        <v>0</v>
      </c>
      <c r="E4216">
        <v>1</v>
      </c>
      <c r="F4216">
        <v>0</v>
      </c>
      <c r="G4216">
        <v>0</v>
      </c>
      <c r="H4216">
        <v>0</v>
      </c>
      <c r="I4216">
        <v>0</v>
      </c>
      <c r="J4216">
        <v>2358.28765608495</v>
      </c>
      <c r="K4216">
        <v>1901.40671058409</v>
      </c>
      <c r="L4216">
        <v>69.131</v>
      </c>
      <c r="M4216">
        <v>52.42</v>
      </c>
      <c r="N4216">
        <v>166.38399999999999</v>
      </c>
    </row>
    <row r="4217" spans="1:14" x14ac:dyDescent="0.45">
      <c r="A4217">
        <v>2000</v>
      </c>
      <c r="B4217" t="s">
        <v>127</v>
      </c>
      <c r="C4217">
        <v>0</v>
      </c>
      <c r="D4217">
        <v>0</v>
      </c>
      <c r="E4217">
        <v>1</v>
      </c>
      <c r="F4217">
        <v>0</v>
      </c>
      <c r="G4217">
        <v>0</v>
      </c>
      <c r="H4217">
        <v>0</v>
      </c>
      <c r="I4217">
        <v>0</v>
      </c>
      <c r="J4217">
        <v>2658.6177057946402</v>
      </c>
      <c r="K4217">
        <v>2139.9133230413399</v>
      </c>
      <c r="L4217">
        <v>52.131999999999998</v>
      </c>
      <c r="M4217">
        <v>56.899000000000001</v>
      </c>
      <c r="N4217">
        <v>113.121</v>
      </c>
    </row>
    <row r="4218" spans="1:14" x14ac:dyDescent="0.45">
      <c r="A4218">
        <v>2000</v>
      </c>
      <c r="B4218" t="s">
        <v>128</v>
      </c>
      <c r="C4218">
        <v>0</v>
      </c>
      <c r="D4218">
        <v>0</v>
      </c>
      <c r="E4218">
        <v>1</v>
      </c>
      <c r="F4218">
        <v>0</v>
      </c>
      <c r="G4218">
        <v>0</v>
      </c>
      <c r="H4218">
        <v>0</v>
      </c>
      <c r="I4218">
        <v>0</v>
      </c>
      <c r="J4218">
        <v>1950.8012279417501</v>
      </c>
      <c r="K4218">
        <v>1754.93775838224</v>
      </c>
      <c r="L4218">
        <v>63.756999999999998</v>
      </c>
      <c r="M4218">
        <v>50.564999999999998</v>
      </c>
      <c r="N4218">
        <v>172.78200000000001</v>
      </c>
    </row>
    <row r="4219" spans="1:14" x14ac:dyDescent="0.45">
      <c r="A4219">
        <v>2000</v>
      </c>
      <c r="B4219" t="s">
        <v>129</v>
      </c>
      <c r="C4219">
        <v>0</v>
      </c>
      <c r="D4219">
        <v>0</v>
      </c>
      <c r="E4219">
        <v>1</v>
      </c>
      <c r="F4219">
        <v>1</v>
      </c>
      <c r="G4219">
        <v>0</v>
      </c>
      <c r="H4219">
        <v>0</v>
      </c>
      <c r="I4219">
        <v>0</v>
      </c>
      <c r="J4219">
        <v>11767.4708814313</v>
      </c>
      <c r="K4219">
        <v>9749.4997605153094</v>
      </c>
      <c r="L4219">
        <v>50.908000000000001</v>
      </c>
      <c r="M4219">
        <v>53.395000000000003</v>
      </c>
      <c r="N4219">
        <v>154.68</v>
      </c>
    </row>
    <row r="4220" spans="1:14" x14ac:dyDescent="0.45">
      <c r="A4220">
        <v>2000</v>
      </c>
      <c r="B4220" t="s">
        <v>130</v>
      </c>
      <c r="C4220">
        <v>1</v>
      </c>
      <c r="D4220">
        <v>0</v>
      </c>
      <c r="E4220">
        <v>0</v>
      </c>
      <c r="F4220">
        <v>0</v>
      </c>
      <c r="G4220">
        <v>0</v>
      </c>
      <c r="H4220">
        <v>1</v>
      </c>
      <c r="I4220">
        <v>1</v>
      </c>
      <c r="J4220">
        <v>31386.639783623999</v>
      </c>
      <c r="K4220">
        <v>28097.135136343601</v>
      </c>
      <c r="L4220">
        <v>27.283999999999999</v>
      </c>
      <c r="M4220">
        <v>78.441999999999993</v>
      </c>
      <c r="N4220">
        <v>6.351</v>
      </c>
    </row>
    <row r="4221" spans="1:14" x14ac:dyDescent="0.45">
      <c r="A4221">
        <v>2000</v>
      </c>
      <c r="B4221" t="s">
        <v>131</v>
      </c>
      <c r="C4221">
        <v>0</v>
      </c>
      <c r="D4221">
        <v>1</v>
      </c>
      <c r="E4221">
        <v>0</v>
      </c>
      <c r="F4221">
        <v>0</v>
      </c>
      <c r="G4221">
        <v>1</v>
      </c>
      <c r="H4221">
        <v>0</v>
      </c>
      <c r="I4221">
        <v>0</v>
      </c>
      <c r="J4221">
        <v>11632.1744534748</v>
      </c>
      <c r="K4221">
        <v>10733.0663693224</v>
      </c>
      <c r="L4221">
        <v>64.302000000000007</v>
      </c>
      <c r="M4221">
        <v>72.954999999999998</v>
      </c>
      <c r="N4221">
        <v>15.503</v>
      </c>
    </row>
    <row r="4222" spans="1:14" x14ac:dyDescent="0.45">
      <c r="A4222">
        <v>2000</v>
      </c>
      <c r="B4222" t="s">
        <v>132</v>
      </c>
      <c r="C4222">
        <v>1</v>
      </c>
      <c r="D4222">
        <v>0</v>
      </c>
      <c r="E4222">
        <v>0</v>
      </c>
      <c r="F4222">
        <v>0</v>
      </c>
      <c r="G4222">
        <v>0</v>
      </c>
      <c r="H4222">
        <v>1</v>
      </c>
      <c r="I4222">
        <v>1</v>
      </c>
      <c r="J4222">
        <v>44991.675149613402</v>
      </c>
      <c r="K4222">
        <v>40725.0322681201</v>
      </c>
      <c r="L4222">
        <v>18.399999999999999</v>
      </c>
      <c r="M4222">
        <v>65.631</v>
      </c>
      <c r="N4222">
        <v>20.722000000000001</v>
      </c>
    </row>
    <row r="4223" spans="1:14" x14ac:dyDescent="0.45">
      <c r="A4223">
        <v>2000</v>
      </c>
      <c r="B4223" t="s">
        <v>133</v>
      </c>
      <c r="C4223">
        <v>0</v>
      </c>
      <c r="D4223">
        <v>1</v>
      </c>
      <c r="E4223">
        <v>0</v>
      </c>
      <c r="F4223">
        <v>1</v>
      </c>
      <c r="G4223">
        <v>0</v>
      </c>
      <c r="H4223">
        <v>0</v>
      </c>
      <c r="I4223">
        <v>0</v>
      </c>
      <c r="J4223">
        <v>8770.4038375982309</v>
      </c>
      <c r="K4223">
        <v>7618.6363397095001</v>
      </c>
      <c r="L4223">
        <v>54.667999999999999</v>
      </c>
      <c r="M4223">
        <v>67.102000000000004</v>
      </c>
      <c r="N4223">
        <v>52.154000000000003</v>
      </c>
    </row>
    <row r="4224" spans="1:14" x14ac:dyDescent="0.45">
      <c r="A4224">
        <v>2000</v>
      </c>
      <c r="B4224" t="s">
        <v>134</v>
      </c>
      <c r="C4224">
        <v>0</v>
      </c>
      <c r="D4224">
        <v>0</v>
      </c>
      <c r="E4224">
        <v>0</v>
      </c>
      <c r="F4224">
        <v>0</v>
      </c>
      <c r="G4224">
        <v>0</v>
      </c>
      <c r="H4224">
        <v>1</v>
      </c>
      <c r="I4224">
        <v>1</v>
      </c>
      <c r="L4224">
        <v>6.8710000000000004</v>
      </c>
      <c r="M4224">
        <v>74.894000000000005</v>
      </c>
      <c r="N4224">
        <v>11.952999999999999</v>
      </c>
    </row>
    <row r="4225" spans="1:14" x14ac:dyDescent="0.45">
      <c r="A4225">
        <v>2000</v>
      </c>
      <c r="B4225" t="s">
        <v>135</v>
      </c>
      <c r="C4225">
        <v>0</v>
      </c>
      <c r="D4225">
        <v>1</v>
      </c>
      <c r="E4225">
        <v>0</v>
      </c>
      <c r="F4225">
        <v>1</v>
      </c>
      <c r="G4225">
        <v>0</v>
      </c>
      <c r="H4225">
        <v>0</v>
      </c>
      <c r="I4225">
        <v>0</v>
      </c>
      <c r="J4225">
        <v>8025.2932649096201</v>
      </c>
      <c r="K4225">
        <v>7675.2230573693496</v>
      </c>
      <c r="L4225">
        <v>71.305999999999997</v>
      </c>
      <c r="M4225">
        <v>64.075000000000003</v>
      </c>
      <c r="N4225">
        <v>46.548000000000002</v>
      </c>
    </row>
    <row r="4226" spans="1:14" x14ac:dyDescent="0.45">
      <c r="A4226">
        <v>2000</v>
      </c>
      <c r="B4226" t="s">
        <v>136</v>
      </c>
      <c r="C4226">
        <v>0</v>
      </c>
      <c r="D4226">
        <v>0</v>
      </c>
      <c r="E4226">
        <v>0</v>
      </c>
      <c r="F4226">
        <v>0</v>
      </c>
      <c r="G4226">
        <v>0</v>
      </c>
      <c r="H4226">
        <v>1</v>
      </c>
      <c r="I4226">
        <v>1</v>
      </c>
      <c r="J4226">
        <v>39848.608477622904</v>
      </c>
      <c r="K4226">
        <v>35963.506544586002</v>
      </c>
      <c r="L4226">
        <v>0</v>
      </c>
      <c r="M4226">
        <v>80.703999999999994</v>
      </c>
      <c r="N4226">
        <v>4.0780000000000003</v>
      </c>
    </row>
    <row r="4227" spans="1:14" x14ac:dyDescent="0.45">
      <c r="A4227">
        <v>2000</v>
      </c>
      <c r="B4227" t="s">
        <v>137</v>
      </c>
      <c r="C4227">
        <v>0</v>
      </c>
      <c r="D4227">
        <v>1</v>
      </c>
      <c r="E4227">
        <v>0</v>
      </c>
      <c r="F4227">
        <v>1</v>
      </c>
      <c r="G4227">
        <v>0</v>
      </c>
      <c r="H4227">
        <v>0</v>
      </c>
      <c r="I4227">
        <v>0</v>
      </c>
      <c r="J4227">
        <v>4579.6896084098398</v>
      </c>
      <c r="K4227">
        <v>4220.0833693315299</v>
      </c>
      <c r="L4227">
        <v>54.542000000000002</v>
      </c>
      <c r="M4227">
        <v>68.302000000000007</v>
      </c>
      <c r="N4227">
        <v>37.277999999999999</v>
      </c>
    </row>
    <row r="4228" spans="1:14" x14ac:dyDescent="0.45">
      <c r="A4228">
        <v>2000</v>
      </c>
      <c r="B4228" t="s">
        <v>138</v>
      </c>
      <c r="C4228">
        <v>1</v>
      </c>
      <c r="D4228">
        <v>0</v>
      </c>
      <c r="E4228">
        <v>0</v>
      </c>
      <c r="F4228">
        <v>0</v>
      </c>
      <c r="G4228">
        <v>1</v>
      </c>
      <c r="H4228">
        <v>0</v>
      </c>
      <c r="I4228">
        <v>0</v>
      </c>
      <c r="J4228">
        <v>21302.536938270299</v>
      </c>
      <c r="K4228">
        <v>18371.502567112799</v>
      </c>
      <c r="L4228">
        <v>46.572000000000003</v>
      </c>
      <c r="M4228">
        <v>74.001000000000005</v>
      </c>
      <c r="N4228">
        <v>8.4169999999999998</v>
      </c>
    </row>
    <row r="4229" spans="1:14" x14ac:dyDescent="0.45">
      <c r="A4229">
        <v>2000</v>
      </c>
      <c r="B4229" t="s">
        <v>139</v>
      </c>
      <c r="C4229">
        <v>0</v>
      </c>
      <c r="D4229">
        <v>1</v>
      </c>
      <c r="E4229">
        <v>0</v>
      </c>
      <c r="F4229">
        <v>0</v>
      </c>
      <c r="G4229">
        <v>0</v>
      </c>
      <c r="H4229">
        <v>0</v>
      </c>
      <c r="I4229">
        <v>0</v>
      </c>
      <c r="J4229">
        <v>3256.6294697662202</v>
      </c>
      <c r="K4229">
        <v>3130.1281726687998</v>
      </c>
      <c r="L4229">
        <v>64.400000000000006</v>
      </c>
      <c r="M4229">
        <v>58.174999999999997</v>
      </c>
      <c r="N4229">
        <v>103.762</v>
      </c>
    </row>
    <row r="4230" spans="1:14" x14ac:dyDescent="0.45">
      <c r="A4230">
        <v>2000</v>
      </c>
      <c r="B4230" t="s">
        <v>140</v>
      </c>
      <c r="C4230">
        <v>1</v>
      </c>
      <c r="D4230">
        <v>0</v>
      </c>
      <c r="E4230">
        <v>0</v>
      </c>
      <c r="F4230">
        <v>0</v>
      </c>
      <c r="G4230">
        <v>1</v>
      </c>
      <c r="H4230">
        <v>0</v>
      </c>
      <c r="I4230">
        <v>0</v>
      </c>
      <c r="J4230">
        <v>22117.9204303193</v>
      </c>
      <c r="K4230">
        <v>19273.9424820073</v>
      </c>
      <c r="L4230">
        <v>35.424999999999997</v>
      </c>
      <c r="M4230">
        <v>71.757999999999996</v>
      </c>
      <c r="N4230">
        <v>10.943</v>
      </c>
    </row>
    <row r="4231" spans="1:14" x14ac:dyDescent="0.45">
      <c r="A4231">
        <v>2000</v>
      </c>
      <c r="B4231" t="s">
        <v>141</v>
      </c>
      <c r="C4231">
        <v>0</v>
      </c>
      <c r="D4231">
        <v>0</v>
      </c>
      <c r="E4231">
        <v>0</v>
      </c>
      <c r="F4231">
        <v>0</v>
      </c>
      <c r="G4231">
        <v>0</v>
      </c>
      <c r="H4231">
        <v>0</v>
      </c>
      <c r="I4231">
        <v>0</v>
      </c>
      <c r="J4231">
        <v>6056.3819784216503</v>
      </c>
      <c r="K4231">
        <v>5498.24027002606</v>
      </c>
      <c r="L4231">
        <v>57.997999999999998</v>
      </c>
      <c r="M4231">
        <v>66.292000000000002</v>
      </c>
      <c r="N4231">
        <v>52.149000000000001</v>
      </c>
    </row>
    <row r="4232" spans="1:14" x14ac:dyDescent="0.45">
      <c r="A4232">
        <v>2000</v>
      </c>
      <c r="B4232" t="s">
        <v>142</v>
      </c>
      <c r="C4232">
        <v>1</v>
      </c>
      <c r="D4232">
        <v>0</v>
      </c>
      <c r="E4232">
        <v>0</v>
      </c>
      <c r="F4232">
        <v>0</v>
      </c>
      <c r="G4232">
        <v>1</v>
      </c>
      <c r="H4232">
        <v>0</v>
      </c>
      <c r="I4232">
        <v>0</v>
      </c>
      <c r="L4232">
        <v>48.177</v>
      </c>
      <c r="M4232">
        <v>74.841999999999999</v>
      </c>
      <c r="N4232">
        <v>24.529</v>
      </c>
    </row>
    <row r="4233" spans="1:14" x14ac:dyDescent="0.45">
      <c r="A4233">
        <v>2000</v>
      </c>
      <c r="B4233" t="s">
        <v>143</v>
      </c>
      <c r="C4233">
        <v>0</v>
      </c>
      <c r="D4233">
        <v>0</v>
      </c>
      <c r="E4233">
        <v>0</v>
      </c>
      <c r="F4233">
        <v>0</v>
      </c>
      <c r="G4233">
        <v>0</v>
      </c>
      <c r="H4233">
        <v>0</v>
      </c>
      <c r="I4233">
        <v>0</v>
      </c>
      <c r="J4233">
        <v>3099.5028215766001</v>
      </c>
      <c r="K4233">
        <v>2599.5075995201801</v>
      </c>
      <c r="L4233">
        <v>72.332999999999998</v>
      </c>
      <c r="M4233">
        <v>62.749000000000002</v>
      </c>
      <c r="N4233">
        <v>91.144000000000005</v>
      </c>
    </row>
    <row r="4234" spans="1:14" x14ac:dyDescent="0.45">
      <c r="A4234">
        <v>2000</v>
      </c>
      <c r="B4234" t="s">
        <v>144</v>
      </c>
      <c r="C4234">
        <v>1</v>
      </c>
      <c r="D4234">
        <v>0</v>
      </c>
      <c r="E4234">
        <v>0</v>
      </c>
      <c r="F4234">
        <v>0</v>
      </c>
      <c r="G4234">
        <v>0</v>
      </c>
      <c r="H4234">
        <v>1</v>
      </c>
      <c r="I4234">
        <v>1</v>
      </c>
      <c r="J4234">
        <v>53744.5427002707</v>
      </c>
      <c r="K4234">
        <v>49415.303033194199</v>
      </c>
      <c r="L4234">
        <v>40.844999999999999</v>
      </c>
      <c r="M4234">
        <v>76.534999999999997</v>
      </c>
      <c r="N4234">
        <v>7.0570000000000004</v>
      </c>
    </row>
    <row r="4235" spans="1:14" x14ac:dyDescent="0.45">
      <c r="A4235">
        <v>2000</v>
      </c>
      <c r="B4235" t="s">
        <v>145</v>
      </c>
      <c r="C4235">
        <v>0</v>
      </c>
      <c r="D4235">
        <v>0</v>
      </c>
      <c r="E4235">
        <v>0</v>
      </c>
      <c r="F4235">
        <v>1</v>
      </c>
      <c r="G4235">
        <v>0</v>
      </c>
      <c r="H4235">
        <v>0</v>
      </c>
      <c r="I4235">
        <v>0</v>
      </c>
      <c r="J4235">
        <v>10908.2929308945</v>
      </c>
      <c r="K4235">
        <v>10880.964078221399</v>
      </c>
      <c r="L4235">
        <v>35.957999999999998</v>
      </c>
      <c r="M4235">
        <v>70.165999999999997</v>
      </c>
      <c r="N4235">
        <v>36.103999999999999</v>
      </c>
    </row>
    <row r="4236" spans="1:14" x14ac:dyDescent="0.45">
      <c r="A4236">
        <v>2000</v>
      </c>
      <c r="B4236" t="s">
        <v>146</v>
      </c>
      <c r="C4236">
        <v>0</v>
      </c>
      <c r="D4236">
        <v>0</v>
      </c>
      <c r="E4236">
        <v>0</v>
      </c>
      <c r="F4236">
        <v>1</v>
      </c>
      <c r="G4236">
        <v>0</v>
      </c>
      <c r="H4236">
        <v>0</v>
      </c>
      <c r="I4236">
        <v>0</v>
      </c>
      <c r="J4236">
        <v>12702.1641950921</v>
      </c>
      <c r="K4236">
        <v>8979.0171877694502</v>
      </c>
      <c r="L4236">
        <v>31.504000000000001</v>
      </c>
      <c r="M4236">
        <v>64.86</v>
      </c>
      <c r="N4236">
        <v>44.487000000000002</v>
      </c>
    </row>
    <row r="4237" spans="1:14" x14ac:dyDescent="0.45">
      <c r="A4237">
        <v>2000</v>
      </c>
      <c r="B4237" t="s">
        <v>147</v>
      </c>
      <c r="C4237">
        <v>1</v>
      </c>
      <c r="D4237">
        <v>0</v>
      </c>
      <c r="E4237">
        <v>0</v>
      </c>
      <c r="F4237">
        <v>0</v>
      </c>
      <c r="G4237">
        <v>0</v>
      </c>
      <c r="H4237">
        <v>1</v>
      </c>
      <c r="I4237">
        <v>1</v>
      </c>
      <c r="J4237">
        <v>47771.212781939103</v>
      </c>
      <c r="K4237">
        <v>41335.899481130102</v>
      </c>
      <c r="L4237">
        <v>7.5990000000000002</v>
      </c>
      <c r="M4237">
        <v>79.549000000000007</v>
      </c>
      <c r="N4237">
        <v>4.2329999999999997</v>
      </c>
    </row>
    <row r="4238" spans="1:14" x14ac:dyDescent="0.45">
      <c r="A4238">
        <v>2000</v>
      </c>
      <c r="B4238" t="s">
        <v>148</v>
      </c>
      <c r="C4238">
        <v>0</v>
      </c>
      <c r="D4238">
        <v>0</v>
      </c>
      <c r="E4238">
        <v>0</v>
      </c>
      <c r="F4238">
        <v>0</v>
      </c>
      <c r="G4238">
        <v>0</v>
      </c>
      <c r="H4238">
        <v>1</v>
      </c>
      <c r="I4238">
        <v>1</v>
      </c>
      <c r="J4238">
        <v>33275.0631655978</v>
      </c>
      <c r="K4238">
        <v>30522.4559236348</v>
      </c>
      <c r="L4238">
        <v>8.7970000000000006</v>
      </c>
      <c r="M4238">
        <v>79.180000000000007</v>
      </c>
      <c r="N4238">
        <v>6.9459999999999997</v>
      </c>
    </row>
    <row r="4239" spans="1:14" x14ac:dyDescent="0.45">
      <c r="A4239">
        <v>2000</v>
      </c>
      <c r="B4239" t="s">
        <v>149</v>
      </c>
      <c r="C4239">
        <v>1</v>
      </c>
      <c r="D4239">
        <v>0</v>
      </c>
      <c r="E4239">
        <v>0</v>
      </c>
      <c r="F4239">
        <v>0</v>
      </c>
      <c r="G4239">
        <v>0</v>
      </c>
      <c r="H4239">
        <v>1</v>
      </c>
      <c r="I4239">
        <v>1</v>
      </c>
      <c r="J4239">
        <v>50353.420041543599</v>
      </c>
      <c r="K4239">
        <v>42889.387372000798</v>
      </c>
      <c r="L4239">
        <v>32.777999999999999</v>
      </c>
      <c r="M4239">
        <v>79.606999999999999</v>
      </c>
      <c r="N4239">
        <v>5.3109999999999999</v>
      </c>
    </row>
    <row r="4240" spans="1:14" x14ac:dyDescent="0.45">
      <c r="A4240">
        <v>2000</v>
      </c>
      <c r="B4240" t="s">
        <v>150</v>
      </c>
      <c r="C4240">
        <v>0</v>
      </c>
      <c r="D4240">
        <v>1</v>
      </c>
      <c r="E4240">
        <v>0</v>
      </c>
      <c r="F4240">
        <v>1</v>
      </c>
      <c r="G4240">
        <v>0</v>
      </c>
      <c r="H4240">
        <v>0</v>
      </c>
      <c r="I4240">
        <v>0</v>
      </c>
      <c r="J4240">
        <v>9518.2317627078592</v>
      </c>
      <c r="K4240">
        <v>9380.5044484867794</v>
      </c>
      <c r="L4240">
        <v>48.186</v>
      </c>
      <c r="M4240">
        <v>71.281000000000006</v>
      </c>
      <c r="N4240">
        <v>20.69</v>
      </c>
    </row>
    <row r="4241" spans="1:14" x14ac:dyDescent="0.45">
      <c r="A4241">
        <v>2000</v>
      </c>
      <c r="B4241" t="s">
        <v>151</v>
      </c>
      <c r="C4241">
        <v>0</v>
      </c>
      <c r="D4241">
        <v>0</v>
      </c>
      <c r="E4241">
        <v>0</v>
      </c>
      <c r="F4241">
        <v>1</v>
      </c>
      <c r="G4241">
        <v>0</v>
      </c>
      <c r="H4241">
        <v>0</v>
      </c>
      <c r="I4241">
        <v>0</v>
      </c>
      <c r="J4241">
        <v>8086.9220269085299</v>
      </c>
      <c r="K4241">
        <v>8022.5929165319803</v>
      </c>
      <c r="L4241">
        <v>21.73</v>
      </c>
      <c r="M4241">
        <v>71.926000000000002</v>
      </c>
      <c r="N4241">
        <v>26.873000000000001</v>
      </c>
    </row>
    <row r="4242" spans="1:14" x14ac:dyDescent="0.45">
      <c r="A4242">
        <v>2000</v>
      </c>
      <c r="B4242" t="s">
        <v>152</v>
      </c>
      <c r="C4242">
        <v>0</v>
      </c>
      <c r="D4242">
        <v>0</v>
      </c>
      <c r="E4242">
        <v>0</v>
      </c>
      <c r="F4242">
        <v>0</v>
      </c>
      <c r="G4242">
        <v>0</v>
      </c>
      <c r="H4242">
        <v>1</v>
      </c>
      <c r="I4242">
        <v>1</v>
      </c>
      <c r="J4242">
        <v>39005.913630504401</v>
      </c>
      <c r="K4242">
        <v>36132.438598287197</v>
      </c>
      <c r="L4242">
        <v>21.350999999999999</v>
      </c>
      <c r="M4242">
        <v>81.179000000000002</v>
      </c>
      <c r="N4242">
        <v>4.5019999999999998</v>
      </c>
    </row>
    <row r="4243" spans="1:14" x14ac:dyDescent="0.45">
      <c r="A4243">
        <v>2000</v>
      </c>
      <c r="B4243" t="s">
        <v>153</v>
      </c>
      <c r="C4243">
        <v>1</v>
      </c>
      <c r="D4243">
        <v>0</v>
      </c>
      <c r="E4243">
        <v>0</v>
      </c>
      <c r="F4243">
        <v>1</v>
      </c>
      <c r="G4243">
        <v>0</v>
      </c>
      <c r="H4243">
        <v>0</v>
      </c>
      <c r="I4243">
        <v>0</v>
      </c>
      <c r="J4243">
        <v>12935.864368308001</v>
      </c>
      <c r="K4243">
        <v>9837.1998090924208</v>
      </c>
      <c r="L4243">
        <v>43.902000000000001</v>
      </c>
      <c r="M4243">
        <v>63.792999999999999</v>
      </c>
      <c r="N4243">
        <v>42.137</v>
      </c>
    </row>
    <row r="4244" spans="1:14" x14ac:dyDescent="0.45">
      <c r="A4244">
        <v>2000</v>
      </c>
      <c r="B4244" t="s">
        <v>154</v>
      </c>
      <c r="C4244">
        <v>0</v>
      </c>
      <c r="D4244">
        <v>0</v>
      </c>
      <c r="E4244">
        <v>1</v>
      </c>
      <c r="F4244">
        <v>0</v>
      </c>
      <c r="G4244">
        <v>0</v>
      </c>
      <c r="H4244">
        <v>0</v>
      </c>
      <c r="I4244">
        <v>0</v>
      </c>
      <c r="J4244">
        <v>3756.6362229687902</v>
      </c>
      <c r="K4244">
        <v>3237.6428008060798</v>
      </c>
      <c r="L4244">
        <v>80.108000000000004</v>
      </c>
      <c r="M4244">
        <v>56.084000000000003</v>
      </c>
      <c r="N4244">
        <v>94.423000000000002</v>
      </c>
    </row>
    <row r="4245" spans="1:14" x14ac:dyDescent="0.45">
      <c r="A4245">
        <v>2000</v>
      </c>
      <c r="B4245" t="s">
        <v>155</v>
      </c>
      <c r="C4245">
        <v>1</v>
      </c>
      <c r="D4245">
        <v>0</v>
      </c>
      <c r="E4245">
        <v>0</v>
      </c>
      <c r="F4245">
        <v>0</v>
      </c>
      <c r="G4245">
        <v>0</v>
      </c>
      <c r="H4245">
        <v>0</v>
      </c>
      <c r="I4245">
        <v>0</v>
      </c>
      <c r="J4245">
        <v>3638.46314292227</v>
      </c>
      <c r="K4245">
        <v>3075.1127467373699</v>
      </c>
      <c r="L4245">
        <v>64.701999999999998</v>
      </c>
      <c r="M4245">
        <v>65.242000000000004</v>
      </c>
      <c r="N4245">
        <v>49.523000000000003</v>
      </c>
    </row>
    <row r="4246" spans="1:14" x14ac:dyDescent="0.45">
      <c r="A4246">
        <v>2000</v>
      </c>
      <c r="B4246" t="s">
        <v>156</v>
      </c>
      <c r="C4246">
        <v>0</v>
      </c>
      <c r="D4246">
        <v>0</v>
      </c>
      <c r="E4246">
        <v>0</v>
      </c>
      <c r="F4246">
        <v>0</v>
      </c>
      <c r="G4246">
        <v>0</v>
      </c>
      <c r="H4246">
        <v>0</v>
      </c>
      <c r="I4246">
        <v>0</v>
      </c>
      <c r="J4246">
        <v>1922.0317909252899</v>
      </c>
      <c r="K4246">
        <v>1723.42495379203</v>
      </c>
      <c r="L4246">
        <v>81.414000000000001</v>
      </c>
      <c r="M4246">
        <v>59.491</v>
      </c>
      <c r="N4246">
        <v>102.19499999999999</v>
      </c>
    </row>
    <row r="4247" spans="1:14" x14ac:dyDescent="0.45">
      <c r="A4247">
        <v>2000</v>
      </c>
      <c r="B4247" t="s">
        <v>157</v>
      </c>
      <c r="C4247">
        <v>0</v>
      </c>
      <c r="D4247">
        <v>0</v>
      </c>
      <c r="E4247">
        <v>0</v>
      </c>
      <c r="F4247">
        <v>1</v>
      </c>
      <c r="G4247">
        <v>0</v>
      </c>
      <c r="H4247">
        <v>0</v>
      </c>
      <c r="I4247">
        <v>0</v>
      </c>
      <c r="J4247">
        <v>2481.4152425758798</v>
      </c>
      <c r="K4247">
        <v>2244.68648494115</v>
      </c>
      <c r="L4247">
        <v>57.042000000000002</v>
      </c>
      <c r="M4247">
        <v>64.674000000000007</v>
      </c>
      <c r="N4247">
        <v>66.066000000000003</v>
      </c>
    </row>
    <row r="4248" spans="1:14" x14ac:dyDescent="0.45">
      <c r="A4248">
        <v>2000</v>
      </c>
      <c r="B4248" t="s">
        <v>158</v>
      </c>
      <c r="C4248">
        <v>0</v>
      </c>
      <c r="D4248">
        <v>1</v>
      </c>
      <c r="E4248">
        <v>0</v>
      </c>
      <c r="F4248">
        <v>0</v>
      </c>
      <c r="G4248">
        <v>1</v>
      </c>
      <c r="H4248">
        <v>0</v>
      </c>
      <c r="I4248">
        <v>0</v>
      </c>
      <c r="J4248">
        <v>19840.580064526701</v>
      </c>
      <c r="K4248">
        <v>19595.271494146698</v>
      </c>
      <c r="L4248">
        <v>67.221999999999994</v>
      </c>
      <c r="M4248">
        <v>69.248999999999995</v>
      </c>
      <c r="N4248">
        <v>23.687000000000001</v>
      </c>
    </row>
    <row r="4249" spans="1:14" x14ac:dyDescent="0.45">
      <c r="A4249">
        <v>2000</v>
      </c>
      <c r="B4249" t="s">
        <v>159</v>
      </c>
      <c r="C4249">
        <v>0</v>
      </c>
      <c r="D4249">
        <v>0</v>
      </c>
      <c r="E4249">
        <v>0</v>
      </c>
      <c r="F4249">
        <v>0</v>
      </c>
      <c r="G4249">
        <v>1</v>
      </c>
      <c r="H4249">
        <v>0</v>
      </c>
      <c r="I4249">
        <v>0</v>
      </c>
      <c r="J4249">
        <v>25111.137713484201</v>
      </c>
      <c r="K4249">
        <v>22891.878053185301</v>
      </c>
      <c r="L4249">
        <v>20.379000000000001</v>
      </c>
      <c r="M4249">
        <v>76.234999999999999</v>
      </c>
      <c r="N4249">
        <v>7.6079999999999997</v>
      </c>
    </row>
    <row r="4250" spans="1:14" x14ac:dyDescent="0.45">
      <c r="A4250">
        <v>2000</v>
      </c>
      <c r="B4250" t="s">
        <v>160</v>
      </c>
      <c r="C4250">
        <v>0</v>
      </c>
      <c r="D4250">
        <v>0</v>
      </c>
      <c r="E4250">
        <v>0</v>
      </c>
      <c r="F4250">
        <v>0</v>
      </c>
      <c r="G4250">
        <v>0</v>
      </c>
      <c r="H4250">
        <v>1</v>
      </c>
      <c r="I4250">
        <v>1</v>
      </c>
      <c r="J4250">
        <v>60585.302710318603</v>
      </c>
      <c r="K4250">
        <v>53957.278179956797</v>
      </c>
      <c r="L4250">
        <v>1</v>
      </c>
      <c r="M4250">
        <v>75.873000000000005</v>
      </c>
      <c r="N4250">
        <v>12.868</v>
      </c>
    </row>
    <row r="4251" spans="1:14" x14ac:dyDescent="0.45">
      <c r="A4251">
        <v>2000</v>
      </c>
      <c r="B4251" t="s">
        <v>161</v>
      </c>
      <c r="C4251">
        <v>0</v>
      </c>
      <c r="D4251">
        <v>0</v>
      </c>
      <c r="E4251">
        <v>0</v>
      </c>
      <c r="F4251">
        <v>0</v>
      </c>
      <c r="G4251">
        <v>0</v>
      </c>
      <c r="H4251">
        <v>0</v>
      </c>
      <c r="I4251">
        <v>0</v>
      </c>
      <c r="J4251">
        <v>2899.0196187974798</v>
      </c>
      <c r="K4251">
        <v>2785.6899712712502</v>
      </c>
      <c r="L4251">
        <v>78.022999999999996</v>
      </c>
      <c r="M4251">
        <v>58.317</v>
      </c>
      <c r="N4251">
        <v>106.74</v>
      </c>
    </row>
    <row r="4252" spans="1:14" x14ac:dyDescent="0.45">
      <c r="A4252">
        <v>2000</v>
      </c>
      <c r="B4252" t="s">
        <v>162</v>
      </c>
      <c r="C4252">
        <v>0</v>
      </c>
      <c r="D4252">
        <v>0</v>
      </c>
      <c r="E4252">
        <v>0</v>
      </c>
      <c r="F4252">
        <v>0</v>
      </c>
      <c r="G4252">
        <v>1</v>
      </c>
      <c r="H4252">
        <v>0</v>
      </c>
      <c r="I4252">
        <v>0</v>
      </c>
      <c r="J4252">
        <v>11571.7326041085</v>
      </c>
      <c r="K4252">
        <v>15040.8617645145</v>
      </c>
      <c r="L4252">
        <v>14</v>
      </c>
      <c r="M4252">
        <v>73.894999999999996</v>
      </c>
      <c r="N4252">
        <v>19.859000000000002</v>
      </c>
    </row>
    <row r="4253" spans="1:14" x14ac:dyDescent="0.45">
      <c r="A4253">
        <v>2000</v>
      </c>
      <c r="B4253" t="s">
        <v>163</v>
      </c>
      <c r="C4253">
        <v>0</v>
      </c>
      <c r="D4253">
        <v>0</v>
      </c>
      <c r="E4253">
        <v>1</v>
      </c>
      <c r="F4253">
        <v>0</v>
      </c>
      <c r="G4253">
        <v>0</v>
      </c>
      <c r="H4253">
        <v>0</v>
      </c>
      <c r="I4253">
        <v>0</v>
      </c>
      <c r="J4253">
        <v>1868.17975587618</v>
      </c>
      <c r="K4253">
        <v>2760.1336765041101</v>
      </c>
      <c r="L4253">
        <v>55.668999999999997</v>
      </c>
      <c r="M4253">
        <v>51.851999999999997</v>
      </c>
      <c r="N4253">
        <v>186.36600000000001</v>
      </c>
    </row>
    <row r="4254" spans="1:14" x14ac:dyDescent="0.45">
      <c r="A4254">
        <v>2000</v>
      </c>
      <c r="B4254" t="s">
        <v>164</v>
      </c>
      <c r="C4254">
        <v>0</v>
      </c>
      <c r="D4254">
        <v>0</v>
      </c>
      <c r="E4254">
        <v>0</v>
      </c>
      <c r="F4254">
        <v>0</v>
      </c>
      <c r="G4254">
        <v>1</v>
      </c>
      <c r="H4254">
        <v>0</v>
      </c>
      <c r="I4254">
        <v>0</v>
      </c>
      <c r="J4254">
        <v>17742.347489643798</v>
      </c>
      <c r="K4254">
        <v>20735.395360068502</v>
      </c>
      <c r="L4254">
        <v>23.613</v>
      </c>
      <c r="M4254">
        <v>70.542000000000002</v>
      </c>
      <c r="N4254">
        <v>28.067</v>
      </c>
    </row>
    <row r="4255" spans="1:14" x14ac:dyDescent="0.45">
      <c r="A4255">
        <v>2000</v>
      </c>
      <c r="B4255" t="s">
        <v>165</v>
      </c>
      <c r="C4255">
        <v>0</v>
      </c>
      <c r="D4255">
        <v>1</v>
      </c>
      <c r="E4255">
        <v>0</v>
      </c>
      <c r="F4255">
        <v>0</v>
      </c>
      <c r="G4255">
        <v>1</v>
      </c>
      <c r="H4255">
        <v>0</v>
      </c>
      <c r="I4255">
        <v>0</v>
      </c>
      <c r="J4255">
        <v>18818.885598943099</v>
      </c>
      <c r="K4255">
        <v>13538.4381703326</v>
      </c>
      <c r="L4255">
        <v>72.225999999999999</v>
      </c>
      <c r="M4255">
        <v>70.778999999999996</v>
      </c>
      <c r="N4255">
        <v>18.265999999999998</v>
      </c>
    </row>
    <row r="4256" spans="1:14" x14ac:dyDescent="0.45">
      <c r="A4256">
        <v>2000</v>
      </c>
      <c r="B4256" t="s">
        <v>166</v>
      </c>
      <c r="C4256">
        <v>1</v>
      </c>
      <c r="D4256">
        <v>0</v>
      </c>
      <c r="E4256">
        <v>0</v>
      </c>
      <c r="F4256">
        <v>0</v>
      </c>
      <c r="G4256">
        <v>0</v>
      </c>
      <c r="H4256">
        <v>1</v>
      </c>
      <c r="I4256">
        <v>1</v>
      </c>
      <c r="L4256">
        <v>84.87</v>
      </c>
      <c r="M4256">
        <v>78.575999999999993</v>
      </c>
      <c r="N4256">
        <v>11.827999999999999</v>
      </c>
    </row>
    <row r="4257" spans="1:14" x14ac:dyDescent="0.45">
      <c r="A4257">
        <v>2000</v>
      </c>
      <c r="B4257" t="s">
        <v>167</v>
      </c>
      <c r="C4257">
        <v>0</v>
      </c>
      <c r="D4257">
        <v>0</v>
      </c>
      <c r="E4257">
        <v>0</v>
      </c>
      <c r="F4257">
        <v>1</v>
      </c>
      <c r="G4257">
        <v>0</v>
      </c>
      <c r="H4257">
        <v>0</v>
      </c>
      <c r="I4257">
        <v>0</v>
      </c>
      <c r="J4257">
        <v>6428.6134189046297</v>
      </c>
      <c r="K4257">
        <v>6004.2233283758296</v>
      </c>
      <c r="L4257">
        <v>81.62</v>
      </c>
      <c r="M4257">
        <v>71.179000000000002</v>
      </c>
      <c r="N4257">
        <v>16.875</v>
      </c>
    </row>
    <row r="4258" spans="1:14" x14ac:dyDescent="0.45">
      <c r="A4258">
        <v>2000</v>
      </c>
      <c r="B4258" t="s">
        <v>168</v>
      </c>
      <c r="C4258">
        <v>0</v>
      </c>
      <c r="D4258">
        <v>0</v>
      </c>
      <c r="E4258">
        <v>1</v>
      </c>
      <c r="F4258">
        <v>0</v>
      </c>
      <c r="G4258">
        <v>0</v>
      </c>
      <c r="H4258">
        <v>0</v>
      </c>
      <c r="I4258">
        <v>0</v>
      </c>
      <c r="J4258">
        <v>1932.1579322341499</v>
      </c>
      <c r="K4258">
        <v>1730.0932338981099</v>
      </c>
      <c r="L4258">
        <v>80.451999999999998</v>
      </c>
      <c r="M4258">
        <v>48.783000000000001</v>
      </c>
      <c r="N4258">
        <v>109.61799999999999</v>
      </c>
    </row>
    <row r="4259" spans="1:14" x14ac:dyDescent="0.45">
      <c r="A4259">
        <v>2000</v>
      </c>
      <c r="B4259" t="s">
        <v>169</v>
      </c>
      <c r="C4259">
        <v>1</v>
      </c>
      <c r="D4259">
        <v>0</v>
      </c>
      <c r="E4259">
        <v>0</v>
      </c>
      <c r="F4259">
        <v>1</v>
      </c>
      <c r="G4259">
        <v>0</v>
      </c>
      <c r="H4259">
        <v>0</v>
      </c>
      <c r="I4259">
        <v>0</v>
      </c>
      <c r="J4259">
        <v>15771.426959532801</v>
      </c>
      <c r="K4259">
        <v>13493.5074114826</v>
      </c>
      <c r="L4259">
        <v>33.014000000000003</v>
      </c>
      <c r="M4259">
        <v>72.138999999999996</v>
      </c>
      <c r="N4259">
        <v>11.109</v>
      </c>
    </row>
    <row r="4260" spans="1:14" x14ac:dyDescent="0.45">
      <c r="A4260">
        <v>2000</v>
      </c>
      <c r="B4260" t="s">
        <v>170</v>
      </c>
      <c r="C4260">
        <v>1</v>
      </c>
      <c r="D4260">
        <v>0</v>
      </c>
      <c r="E4260">
        <v>0</v>
      </c>
      <c r="F4260">
        <v>0</v>
      </c>
      <c r="G4260">
        <v>0</v>
      </c>
      <c r="H4260">
        <v>1</v>
      </c>
      <c r="I4260">
        <v>1</v>
      </c>
      <c r="J4260">
        <v>114141.585295622</v>
      </c>
      <c r="K4260">
        <v>97540.983018968007</v>
      </c>
      <c r="L4260">
        <v>15.784000000000001</v>
      </c>
      <c r="M4260">
        <v>77.263000000000005</v>
      </c>
      <c r="N4260">
        <v>7.4109999999999996</v>
      </c>
    </row>
    <row r="4261" spans="1:14" x14ac:dyDescent="0.45">
      <c r="A4261">
        <v>2000</v>
      </c>
      <c r="B4261" t="s">
        <v>171</v>
      </c>
      <c r="C4261">
        <v>1</v>
      </c>
      <c r="D4261">
        <v>0</v>
      </c>
      <c r="E4261">
        <v>0</v>
      </c>
      <c r="F4261">
        <v>1</v>
      </c>
      <c r="G4261">
        <v>0</v>
      </c>
      <c r="H4261">
        <v>0</v>
      </c>
      <c r="I4261">
        <v>0</v>
      </c>
      <c r="J4261">
        <v>14554.213172403701</v>
      </c>
      <c r="K4261">
        <v>12627.0793848434</v>
      </c>
      <c r="L4261">
        <v>31.933</v>
      </c>
      <c r="M4261">
        <v>70.174999999999997</v>
      </c>
      <c r="N4261">
        <v>12.869</v>
      </c>
    </row>
    <row r="4262" spans="1:14" x14ac:dyDescent="0.45">
      <c r="A4262">
        <v>2000</v>
      </c>
      <c r="B4262" t="s">
        <v>172</v>
      </c>
      <c r="C4262">
        <v>0</v>
      </c>
      <c r="D4262">
        <v>0</v>
      </c>
      <c r="E4262">
        <v>0</v>
      </c>
      <c r="F4262">
        <v>0</v>
      </c>
      <c r="G4262">
        <v>0</v>
      </c>
      <c r="H4262">
        <v>1</v>
      </c>
      <c r="I4262">
        <v>1</v>
      </c>
      <c r="J4262">
        <v>55936.241318970897</v>
      </c>
      <c r="K4262">
        <v>50691.742437164598</v>
      </c>
      <c r="L4262">
        <v>0</v>
      </c>
      <c r="M4262">
        <v>79.429000000000002</v>
      </c>
      <c r="N4262">
        <v>7.64</v>
      </c>
    </row>
    <row r="4263" spans="1:14" x14ac:dyDescent="0.45">
      <c r="A4263">
        <v>2000</v>
      </c>
      <c r="B4263" t="s">
        <v>173</v>
      </c>
      <c r="C4263">
        <v>0</v>
      </c>
      <c r="D4263">
        <v>1</v>
      </c>
      <c r="E4263">
        <v>0</v>
      </c>
      <c r="F4263">
        <v>0</v>
      </c>
      <c r="G4263">
        <v>0</v>
      </c>
      <c r="H4263">
        <v>1</v>
      </c>
      <c r="I4263">
        <v>1</v>
      </c>
      <c r="L4263">
        <v>0</v>
      </c>
      <c r="M4263">
        <v>76.793000000000006</v>
      </c>
      <c r="N4263">
        <v>14.624000000000001</v>
      </c>
    </row>
    <row r="4264" spans="1:14" x14ac:dyDescent="0.45">
      <c r="A4264">
        <v>2000</v>
      </c>
      <c r="B4264" t="s">
        <v>174</v>
      </c>
      <c r="C4264">
        <v>0</v>
      </c>
      <c r="D4264">
        <v>0</v>
      </c>
      <c r="E4264">
        <v>0</v>
      </c>
      <c r="F4264">
        <v>1</v>
      </c>
      <c r="G4264">
        <v>0</v>
      </c>
      <c r="H4264">
        <v>0</v>
      </c>
      <c r="I4264">
        <v>0</v>
      </c>
      <c r="J4264">
        <v>5100.11572265625</v>
      </c>
      <c r="K4264">
        <v>4897.9901788035704</v>
      </c>
      <c r="L4264">
        <v>46.664999999999999</v>
      </c>
      <c r="M4264">
        <v>66.793999999999997</v>
      </c>
      <c r="N4264">
        <v>51.926000000000002</v>
      </c>
    </row>
    <row r="4265" spans="1:14" x14ac:dyDescent="0.45">
      <c r="A4265">
        <v>2000</v>
      </c>
      <c r="B4265" t="s">
        <v>175</v>
      </c>
      <c r="C4265">
        <v>1</v>
      </c>
      <c r="D4265">
        <v>0</v>
      </c>
      <c r="E4265">
        <v>0</v>
      </c>
      <c r="F4265">
        <v>0</v>
      </c>
      <c r="G4265">
        <v>0</v>
      </c>
      <c r="H4265">
        <v>1</v>
      </c>
      <c r="I4265">
        <v>1</v>
      </c>
      <c r="L4265">
        <v>0</v>
      </c>
      <c r="M4265">
        <v>82.120999999999995</v>
      </c>
      <c r="N4265">
        <v>7.7530000000000001</v>
      </c>
    </row>
    <row r="4266" spans="1:14" x14ac:dyDescent="0.45">
      <c r="A4266">
        <v>2000</v>
      </c>
      <c r="B4266" t="s">
        <v>176</v>
      </c>
      <c r="C4266">
        <v>1</v>
      </c>
      <c r="D4266">
        <v>0</v>
      </c>
      <c r="E4266">
        <v>0</v>
      </c>
      <c r="F4266">
        <v>0</v>
      </c>
      <c r="G4266">
        <v>0</v>
      </c>
      <c r="H4266">
        <v>0</v>
      </c>
      <c r="I4266">
        <v>0</v>
      </c>
      <c r="J4266">
        <v>5727.0792252535202</v>
      </c>
      <c r="K4266">
        <v>4912.1595995195903</v>
      </c>
      <c r="L4266">
        <v>55.411000000000001</v>
      </c>
      <c r="M4266">
        <v>67.462000000000003</v>
      </c>
      <c r="N4266">
        <v>30.175000000000001</v>
      </c>
    </row>
    <row r="4267" spans="1:14" x14ac:dyDescent="0.45">
      <c r="A4267">
        <v>2000</v>
      </c>
      <c r="B4267" t="s">
        <v>177</v>
      </c>
      <c r="C4267">
        <v>0</v>
      </c>
      <c r="D4267">
        <v>0</v>
      </c>
      <c r="E4267">
        <v>1</v>
      </c>
      <c r="F4267">
        <v>0</v>
      </c>
      <c r="G4267">
        <v>0</v>
      </c>
      <c r="H4267">
        <v>0</v>
      </c>
      <c r="I4267">
        <v>0</v>
      </c>
      <c r="J4267">
        <v>1701.4432025332401</v>
      </c>
      <c r="K4267">
        <v>1576.26214649178</v>
      </c>
      <c r="L4267">
        <v>72.879000000000005</v>
      </c>
      <c r="M4267">
        <v>57.973999999999997</v>
      </c>
      <c r="N4267">
        <v>105.83499999999999</v>
      </c>
    </row>
    <row r="4268" spans="1:14" x14ac:dyDescent="0.45">
      <c r="A4268">
        <v>2000</v>
      </c>
      <c r="B4268" t="s">
        <v>178</v>
      </c>
      <c r="C4268">
        <v>0</v>
      </c>
      <c r="D4268">
        <v>0</v>
      </c>
      <c r="E4268">
        <v>0</v>
      </c>
      <c r="F4268">
        <v>1</v>
      </c>
      <c r="G4268">
        <v>0</v>
      </c>
      <c r="H4268">
        <v>0</v>
      </c>
      <c r="I4268">
        <v>0</v>
      </c>
      <c r="J4268">
        <v>13738.280927321101</v>
      </c>
      <c r="K4268">
        <v>13553.9585130126</v>
      </c>
      <c r="L4268">
        <v>72.293999999999997</v>
      </c>
      <c r="M4268">
        <v>70.891999999999996</v>
      </c>
      <c r="N4268">
        <v>38.67</v>
      </c>
    </row>
    <row r="4269" spans="1:14" x14ac:dyDescent="0.45">
      <c r="A4269">
        <v>2000</v>
      </c>
      <c r="B4269" t="s">
        <v>179</v>
      </c>
      <c r="C4269">
        <v>0</v>
      </c>
      <c r="D4269">
        <v>1</v>
      </c>
      <c r="E4269">
        <v>0</v>
      </c>
      <c r="F4269">
        <v>0</v>
      </c>
      <c r="G4269">
        <v>1</v>
      </c>
      <c r="H4269">
        <v>0</v>
      </c>
      <c r="I4269">
        <v>0</v>
      </c>
      <c r="J4269">
        <v>20470.4937645071</v>
      </c>
      <c r="K4269">
        <v>19030.9102084962</v>
      </c>
      <c r="L4269">
        <v>25.277999999999999</v>
      </c>
      <c r="M4269">
        <v>72.561999999999998</v>
      </c>
      <c r="N4269">
        <v>28.2</v>
      </c>
    </row>
    <row r="4270" spans="1:14" x14ac:dyDescent="0.45">
      <c r="A4270">
        <v>2000</v>
      </c>
      <c r="B4270" t="s">
        <v>180</v>
      </c>
      <c r="C4270">
        <v>0</v>
      </c>
      <c r="D4270">
        <v>0</v>
      </c>
      <c r="E4270">
        <v>0</v>
      </c>
      <c r="F4270">
        <v>1</v>
      </c>
      <c r="G4270">
        <v>0</v>
      </c>
      <c r="H4270">
        <v>0</v>
      </c>
      <c r="I4270">
        <v>0</v>
      </c>
      <c r="J4270">
        <v>3772.2158024994801</v>
      </c>
      <c r="K4270">
        <v>3411.9121836188601</v>
      </c>
      <c r="L4270">
        <v>31.42</v>
      </c>
      <c r="M4270">
        <v>63.323</v>
      </c>
      <c r="N4270">
        <v>42.960999999999999</v>
      </c>
    </row>
    <row r="4271" spans="1:14" x14ac:dyDescent="0.45">
      <c r="A4271">
        <v>2000</v>
      </c>
      <c r="B4271" t="s">
        <v>181</v>
      </c>
      <c r="C4271">
        <v>1</v>
      </c>
      <c r="D4271">
        <v>0</v>
      </c>
      <c r="E4271">
        <v>0</v>
      </c>
      <c r="F4271">
        <v>1</v>
      </c>
      <c r="G4271">
        <v>0</v>
      </c>
      <c r="H4271">
        <v>0</v>
      </c>
      <c r="I4271">
        <v>0</v>
      </c>
      <c r="J4271">
        <v>11987.584650806501</v>
      </c>
      <c r="K4271">
        <v>10119.773657957099</v>
      </c>
      <c r="L4271">
        <v>41.451999999999998</v>
      </c>
      <c r="M4271">
        <v>72.569000000000003</v>
      </c>
      <c r="N4271">
        <v>15.473000000000001</v>
      </c>
    </row>
    <row r="4272" spans="1:14" x14ac:dyDescent="0.45">
      <c r="A4272">
        <v>2000</v>
      </c>
      <c r="B4272" t="s">
        <v>182</v>
      </c>
      <c r="C4272">
        <v>0</v>
      </c>
      <c r="D4272">
        <v>0</v>
      </c>
      <c r="E4272">
        <v>1</v>
      </c>
      <c r="F4272">
        <v>0</v>
      </c>
      <c r="G4272">
        <v>0</v>
      </c>
      <c r="H4272">
        <v>0</v>
      </c>
      <c r="I4272">
        <v>0</v>
      </c>
      <c r="J4272">
        <v>1912.3089840759601</v>
      </c>
      <c r="K4272">
        <v>1770.0519014828301</v>
      </c>
      <c r="L4272">
        <v>71.644000000000005</v>
      </c>
      <c r="M4272">
        <v>50.604999999999997</v>
      </c>
      <c r="N4272">
        <v>187.126</v>
      </c>
    </row>
    <row r="4273" spans="1:14" x14ac:dyDescent="0.45">
      <c r="A4273">
        <v>2000</v>
      </c>
      <c r="B4273" t="s">
        <v>183</v>
      </c>
      <c r="C4273">
        <v>0</v>
      </c>
      <c r="D4273">
        <v>0</v>
      </c>
      <c r="E4273">
        <v>0</v>
      </c>
      <c r="F4273">
        <v>0</v>
      </c>
      <c r="G4273">
        <v>0</v>
      </c>
      <c r="H4273">
        <v>1</v>
      </c>
      <c r="I4273">
        <v>1</v>
      </c>
      <c r="J4273">
        <v>31038.125017647701</v>
      </c>
      <c r="K4273">
        <v>26849.497325022799</v>
      </c>
      <c r="L4273">
        <v>7.6320000000000103</v>
      </c>
      <c r="M4273">
        <v>77.903000000000006</v>
      </c>
      <c r="N4273">
        <v>6.9710000000000001</v>
      </c>
    </row>
    <row r="4274" spans="1:14" x14ac:dyDescent="0.45">
      <c r="A4274">
        <v>2000</v>
      </c>
      <c r="B4274" t="s">
        <v>184</v>
      </c>
      <c r="C4274">
        <v>0</v>
      </c>
      <c r="D4274">
        <v>0</v>
      </c>
      <c r="E4274">
        <v>0</v>
      </c>
      <c r="F4274">
        <v>0</v>
      </c>
      <c r="G4274">
        <v>0</v>
      </c>
      <c r="H4274">
        <v>0</v>
      </c>
      <c r="I4274">
        <v>0</v>
      </c>
      <c r="J4274">
        <v>1359.93038778036</v>
      </c>
      <c r="K4274">
        <v>1088.9005209326001</v>
      </c>
      <c r="L4274">
        <v>72.974999999999994</v>
      </c>
      <c r="M4274">
        <v>60.356999999999999</v>
      </c>
      <c r="N4274">
        <v>89.222999999999999</v>
      </c>
    </row>
    <row r="4275" spans="1:14" x14ac:dyDescent="0.45">
      <c r="A4275">
        <v>2000</v>
      </c>
      <c r="B4275" t="s">
        <v>185</v>
      </c>
      <c r="C4275">
        <v>1</v>
      </c>
      <c r="D4275">
        <v>0</v>
      </c>
      <c r="E4275">
        <v>0</v>
      </c>
      <c r="F4275">
        <v>1</v>
      </c>
      <c r="G4275">
        <v>0</v>
      </c>
      <c r="H4275">
        <v>0</v>
      </c>
      <c r="I4275">
        <v>0</v>
      </c>
      <c r="J4275">
        <v>14431.784893195399</v>
      </c>
      <c r="K4275">
        <v>12193.977215430699</v>
      </c>
      <c r="L4275">
        <v>41.456000000000003</v>
      </c>
      <c r="M4275">
        <v>73.552000000000007</v>
      </c>
      <c r="N4275">
        <v>14.316000000000001</v>
      </c>
    </row>
    <row r="4276" spans="1:14" x14ac:dyDescent="0.45">
      <c r="A4276">
        <v>2000</v>
      </c>
      <c r="B4276" t="s">
        <v>186</v>
      </c>
      <c r="C4276">
        <v>0</v>
      </c>
      <c r="D4276">
        <v>0</v>
      </c>
      <c r="E4276">
        <v>0</v>
      </c>
      <c r="F4276">
        <v>0</v>
      </c>
      <c r="G4276">
        <v>0</v>
      </c>
      <c r="H4276">
        <v>0</v>
      </c>
      <c r="I4276">
        <v>0</v>
      </c>
      <c r="J4276">
        <v>5818.24307842901</v>
      </c>
      <c r="K4276">
        <v>4482.8160812837496</v>
      </c>
      <c r="L4276">
        <v>42.866999999999997</v>
      </c>
      <c r="M4276">
        <v>63.457999999999998</v>
      </c>
      <c r="N4276">
        <v>61.95</v>
      </c>
    </row>
    <row r="4277" spans="1:14" x14ac:dyDescent="0.45">
      <c r="A4277">
        <v>2000</v>
      </c>
      <c r="B4277" t="s">
        <v>187</v>
      </c>
      <c r="C4277">
        <v>0</v>
      </c>
      <c r="D4277">
        <v>0</v>
      </c>
      <c r="E4277">
        <v>0</v>
      </c>
      <c r="F4277">
        <v>0</v>
      </c>
      <c r="G4277">
        <v>0</v>
      </c>
      <c r="H4277">
        <v>1</v>
      </c>
      <c r="I4277">
        <v>1</v>
      </c>
      <c r="L4277">
        <v>9.8480000000000008</v>
      </c>
      <c r="M4277">
        <v>74.900000000000006</v>
      </c>
      <c r="N4277">
        <v>6.94</v>
      </c>
    </row>
    <row r="4278" spans="1:14" x14ac:dyDescent="0.45">
      <c r="A4278">
        <v>2000</v>
      </c>
      <c r="B4278" t="s">
        <v>188</v>
      </c>
      <c r="C4278">
        <v>0</v>
      </c>
      <c r="D4278">
        <v>0</v>
      </c>
      <c r="E4278">
        <v>1</v>
      </c>
      <c r="F4278">
        <v>0</v>
      </c>
      <c r="G4278">
        <v>0</v>
      </c>
      <c r="H4278">
        <v>0</v>
      </c>
      <c r="I4278">
        <v>0</v>
      </c>
      <c r="J4278">
        <v>711.976393527396</v>
      </c>
      <c r="K4278">
        <v>596.13776703020801</v>
      </c>
      <c r="L4278">
        <v>70.902000000000001</v>
      </c>
      <c r="M4278">
        <v>49.475999999999999</v>
      </c>
      <c r="N4278">
        <v>172.80600000000001</v>
      </c>
    </row>
    <row r="4279" spans="1:14" x14ac:dyDescent="0.45">
      <c r="A4279">
        <v>2000</v>
      </c>
      <c r="B4279" t="s">
        <v>189</v>
      </c>
      <c r="C4279">
        <v>0</v>
      </c>
      <c r="D4279">
        <v>0</v>
      </c>
      <c r="E4279">
        <v>1</v>
      </c>
      <c r="F4279">
        <v>0</v>
      </c>
      <c r="G4279">
        <v>0</v>
      </c>
      <c r="H4279">
        <v>0</v>
      </c>
      <c r="I4279">
        <v>0</v>
      </c>
      <c r="J4279">
        <v>5008.6080714457203</v>
      </c>
      <c r="K4279">
        <v>4431.1825293579705</v>
      </c>
      <c r="L4279">
        <v>61.908999999999999</v>
      </c>
      <c r="M4279">
        <v>61.043999999999997</v>
      </c>
      <c r="N4279">
        <v>96.444999999999993</v>
      </c>
    </row>
    <row r="4280" spans="1:14" x14ac:dyDescent="0.45">
      <c r="A4280">
        <v>2000</v>
      </c>
      <c r="B4280" t="s">
        <v>190</v>
      </c>
      <c r="C4280">
        <v>0</v>
      </c>
      <c r="D4280">
        <v>0</v>
      </c>
      <c r="E4280">
        <v>1</v>
      </c>
      <c r="F4280">
        <v>0</v>
      </c>
      <c r="G4280">
        <v>1</v>
      </c>
      <c r="H4280">
        <v>0</v>
      </c>
      <c r="I4280">
        <v>0</v>
      </c>
      <c r="J4280">
        <v>13322.0201371529</v>
      </c>
      <c r="K4280">
        <v>12504.376932170901</v>
      </c>
      <c r="L4280">
        <v>57.33</v>
      </c>
      <c r="M4280">
        <v>71.760000000000005</v>
      </c>
      <c r="N4280">
        <v>18.599</v>
      </c>
    </row>
    <row r="4281" spans="1:14" x14ac:dyDescent="0.45">
      <c r="A4281">
        <v>2000</v>
      </c>
      <c r="B4281" t="s">
        <v>191</v>
      </c>
      <c r="C4281">
        <v>0</v>
      </c>
      <c r="D4281">
        <v>0</v>
      </c>
      <c r="E4281">
        <v>1</v>
      </c>
      <c r="F4281">
        <v>0</v>
      </c>
      <c r="G4281">
        <v>0</v>
      </c>
      <c r="H4281">
        <v>0</v>
      </c>
      <c r="I4281">
        <v>0</v>
      </c>
      <c r="J4281">
        <v>1239.3917483867599</v>
      </c>
      <c r="K4281">
        <v>1060.49963979259</v>
      </c>
      <c r="L4281">
        <v>85.39</v>
      </c>
      <c r="M4281">
        <v>46.17</v>
      </c>
      <c r="N4281">
        <v>167.63499999999999</v>
      </c>
    </row>
    <row r="4282" spans="1:14" x14ac:dyDescent="0.45">
      <c r="A4282">
        <v>2000</v>
      </c>
      <c r="B4282" t="s">
        <v>192</v>
      </c>
      <c r="C4282">
        <v>0</v>
      </c>
      <c r="D4282">
        <v>0</v>
      </c>
      <c r="E4282">
        <v>0</v>
      </c>
      <c r="F4282">
        <v>0</v>
      </c>
      <c r="G4282">
        <v>1</v>
      </c>
      <c r="H4282">
        <v>0</v>
      </c>
      <c r="I4282">
        <v>0</v>
      </c>
      <c r="J4282">
        <v>18532.909670622699</v>
      </c>
      <c r="K4282">
        <v>16566.2345228337</v>
      </c>
      <c r="L4282">
        <v>38.023000000000003</v>
      </c>
      <c r="M4282">
        <v>72.731999999999999</v>
      </c>
      <c r="N4282">
        <v>10.24</v>
      </c>
    </row>
    <row r="4283" spans="1:14" x14ac:dyDescent="0.45">
      <c r="A4283">
        <v>2000</v>
      </c>
      <c r="B4283" t="s">
        <v>193</v>
      </c>
      <c r="C4283">
        <v>0</v>
      </c>
      <c r="D4283">
        <v>0</v>
      </c>
      <c r="E4283">
        <v>1</v>
      </c>
      <c r="F4283">
        <v>1</v>
      </c>
      <c r="G4283">
        <v>0</v>
      </c>
      <c r="H4283">
        <v>0</v>
      </c>
      <c r="I4283">
        <v>0</v>
      </c>
      <c r="J4283">
        <v>7858.3878952125297</v>
      </c>
      <c r="K4283">
        <v>6810.8632517384103</v>
      </c>
      <c r="L4283">
        <v>67.626999999999995</v>
      </c>
      <c r="M4283">
        <v>52.945999999999998</v>
      </c>
      <c r="N4283">
        <v>76.543999999999997</v>
      </c>
    </row>
    <row r="4284" spans="1:14" x14ac:dyDescent="0.45">
      <c r="A4284">
        <v>2000</v>
      </c>
      <c r="B4284" t="s">
        <v>194</v>
      </c>
      <c r="C4284">
        <v>0</v>
      </c>
      <c r="D4284">
        <v>0</v>
      </c>
      <c r="E4284">
        <v>0</v>
      </c>
      <c r="F4284">
        <v>0</v>
      </c>
      <c r="G4284">
        <v>0</v>
      </c>
      <c r="H4284">
        <v>1</v>
      </c>
      <c r="I4284">
        <v>1</v>
      </c>
      <c r="L4284">
        <v>38.081000000000003</v>
      </c>
      <c r="M4284">
        <v>73.573999999999998</v>
      </c>
      <c r="N4284">
        <v>22.233000000000001</v>
      </c>
    </row>
    <row r="4285" spans="1:14" x14ac:dyDescent="0.45">
      <c r="A4285">
        <v>2000</v>
      </c>
      <c r="B4285" t="s">
        <v>195</v>
      </c>
      <c r="C4285">
        <v>0</v>
      </c>
      <c r="D4285">
        <v>0</v>
      </c>
      <c r="E4285">
        <v>1</v>
      </c>
      <c r="F4285">
        <v>0</v>
      </c>
      <c r="G4285">
        <v>0</v>
      </c>
      <c r="H4285">
        <v>0</v>
      </c>
      <c r="I4285">
        <v>0</v>
      </c>
      <c r="J4285">
        <v>1190.5667454322299</v>
      </c>
      <c r="K4285">
        <v>946.30076639338802</v>
      </c>
      <c r="L4285">
        <v>83.813999999999993</v>
      </c>
      <c r="M4285">
        <v>49.171999999999997</v>
      </c>
      <c r="N4285">
        <v>228.839</v>
      </c>
    </row>
    <row r="4286" spans="1:14" x14ac:dyDescent="0.45">
      <c r="A4286">
        <v>2000</v>
      </c>
      <c r="B4286" t="s">
        <v>196</v>
      </c>
      <c r="C4286">
        <v>0</v>
      </c>
      <c r="D4286">
        <v>0</v>
      </c>
      <c r="E4286">
        <v>1</v>
      </c>
      <c r="F4286">
        <v>0</v>
      </c>
      <c r="G4286">
        <v>0</v>
      </c>
      <c r="H4286">
        <v>0</v>
      </c>
      <c r="I4286">
        <v>0</v>
      </c>
      <c r="J4286">
        <v>3290.7056611918101</v>
      </c>
      <c r="K4286">
        <v>2909.4273191882999</v>
      </c>
      <c r="L4286">
        <v>65.16</v>
      </c>
      <c r="M4286">
        <v>47.143000000000001</v>
      </c>
      <c r="N4286">
        <v>181.88</v>
      </c>
    </row>
    <row r="4287" spans="1:14" x14ac:dyDescent="0.45">
      <c r="A4287">
        <v>2000</v>
      </c>
      <c r="B4287" t="s">
        <v>197</v>
      </c>
      <c r="C4287">
        <v>0</v>
      </c>
      <c r="D4287">
        <v>1</v>
      </c>
      <c r="E4287">
        <v>0</v>
      </c>
      <c r="F4287">
        <v>0</v>
      </c>
      <c r="G4287">
        <v>0</v>
      </c>
      <c r="H4287">
        <v>0</v>
      </c>
      <c r="I4287">
        <v>0</v>
      </c>
      <c r="J4287">
        <v>4878.2477698166704</v>
      </c>
      <c r="K4287">
        <v>4108.7780969768</v>
      </c>
      <c r="L4287">
        <v>44.814999999999998</v>
      </c>
      <c r="M4287">
        <v>66.36</v>
      </c>
      <c r="N4287">
        <v>38.506</v>
      </c>
    </row>
    <row r="4288" spans="1:14" x14ac:dyDescent="0.45">
      <c r="A4288">
        <v>2000</v>
      </c>
      <c r="B4288" t="s">
        <v>198</v>
      </c>
      <c r="C4288">
        <v>1</v>
      </c>
      <c r="D4288">
        <v>0</v>
      </c>
      <c r="E4288">
        <v>0</v>
      </c>
      <c r="F4288">
        <v>0</v>
      </c>
      <c r="G4288">
        <v>0</v>
      </c>
      <c r="H4288">
        <v>1</v>
      </c>
      <c r="I4288">
        <v>1</v>
      </c>
      <c r="J4288">
        <v>56016.872721841602</v>
      </c>
      <c r="K4288">
        <v>47286.252389268098</v>
      </c>
      <c r="L4288">
        <v>23.204999999999998</v>
      </c>
      <c r="M4288">
        <v>78.13</v>
      </c>
      <c r="N4288">
        <v>6.2619999999999996</v>
      </c>
    </row>
    <row r="4289" spans="1:14" x14ac:dyDescent="0.45">
      <c r="A4289">
        <v>2000</v>
      </c>
      <c r="B4289" t="s">
        <v>199</v>
      </c>
      <c r="C4289">
        <v>1</v>
      </c>
      <c r="D4289">
        <v>0</v>
      </c>
      <c r="E4289">
        <v>0</v>
      </c>
      <c r="F4289">
        <v>0</v>
      </c>
      <c r="G4289">
        <v>0</v>
      </c>
      <c r="H4289">
        <v>1</v>
      </c>
      <c r="I4289">
        <v>1</v>
      </c>
      <c r="J4289">
        <v>77587.207318255794</v>
      </c>
      <c r="K4289">
        <v>57328.225971847198</v>
      </c>
      <c r="L4289">
        <v>23.98</v>
      </c>
      <c r="M4289">
        <v>78.691999999999993</v>
      </c>
      <c r="N4289">
        <v>4.8150000000000004</v>
      </c>
    </row>
    <row r="4290" spans="1:14" x14ac:dyDescent="0.45">
      <c r="A4290">
        <v>2000</v>
      </c>
      <c r="B4290" t="s">
        <v>200</v>
      </c>
      <c r="C4290">
        <v>0</v>
      </c>
      <c r="D4290">
        <v>0</v>
      </c>
      <c r="E4290">
        <v>0</v>
      </c>
      <c r="F4290">
        <v>0</v>
      </c>
      <c r="G4290">
        <v>0</v>
      </c>
      <c r="H4290">
        <v>0</v>
      </c>
      <c r="I4290">
        <v>0</v>
      </c>
      <c r="J4290">
        <v>2340.8156314129801</v>
      </c>
      <c r="K4290">
        <v>2072.3402831991598</v>
      </c>
      <c r="L4290">
        <v>86.602999999999994</v>
      </c>
      <c r="M4290">
        <v>62.642000000000003</v>
      </c>
      <c r="N4290">
        <v>79.396000000000001</v>
      </c>
    </row>
    <row r="4291" spans="1:14" x14ac:dyDescent="0.45">
      <c r="A4291">
        <v>2000</v>
      </c>
      <c r="B4291" t="s">
        <v>201</v>
      </c>
      <c r="C4291">
        <v>0</v>
      </c>
      <c r="D4291">
        <v>0</v>
      </c>
      <c r="E4291">
        <v>0</v>
      </c>
      <c r="F4291">
        <v>0</v>
      </c>
      <c r="G4291">
        <v>0</v>
      </c>
      <c r="H4291">
        <v>1</v>
      </c>
      <c r="I4291">
        <v>1</v>
      </c>
      <c r="J4291">
        <v>8969.1253213863893</v>
      </c>
      <c r="K4291">
        <v>8114.5512708939305</v>
      </c>
      <c r="L4291">
        <v>0</v>
      </c>
      <c r="M4291">
        <v>59.573999999999998</v>
      </c>
      <c r="N4291">
        <v>43.363999999999997</v>
      </c>
    </row>
    <row r="4292" spans="1:14" x14ac:dyDescent="0.45">
      <c r="A4292">
        <v>2000</v>
      </c>
      <c r="B4292" t="s">
        <v>202</v>
      </c>
      <c r="C4292">
        <v>0</v>
      </c>
      <c r="D4292">
        <v>0</v>
      </c>
      <c r="E4292">
        <v>0</v>
      </c>
      <c r="F4292">
        <v>0</v>
      </c>
      <c r="G4292">
        <v>0</v>
      </c>
      <c r="H4292">
        <v>1</v>
      </c>
      <c r="I4292">
        <v>1</v>
      </c>
      <c r="J4292">
        <v>35879.791131076599</v>
      </c>
      <c r="K4292">
        <v>32634.535784284599</v>
      </c>
      <c r="L4292">
        <v>13.978999999999999</v>
      </c>
      <c r="M4292">
        <v>78.668000000000006</v>
      </c>
      <c r="N4292">
        <v>7.6550000000000002</v>
      </c>
    </row>
    <row r="4293" spans="1:14" x14ac:dyDescent="0.45">
      <c r="A4293">
        <v>2000</v>
      </c>
      <c r="B4293" t="s">
        <v>203</v>
      </c>
      <c r="C4293">
        <v>0</v>
      </c>
      <c r="D4293">
        <v>0</v>
      </c>
      <c r="E4293">
        <v>0</v>
      </c>
      <c r="F4293">
        <v>0</v>
      </c>
      <c r="G4293">
        <v>1</v>
      </c>
      <c r="H4293">
        <v>0</v>
      </c>
      <c r="I4293">
        <v>0</v>
      </c>
      <c r="J4293">
        <v>42086.043153630097</v>
      </c>
      <c r="K4293">
        <v>36569.429293437599</v>
      </c>
      <c r="L4293">
        <v>28.431000000000001</v>
      </c>
      <c r="M4293">
        <v>73.643000000000001</v>
      </c>
      <c r="N4293">
        <v>16.757000000000001</v>
      </c>
    </row>
    <row r="4294" spans="1:14" x14ac:dyDescent="0.45">
      <c r="A4294">
        <v>2000</v>
      </c>
      <c r="B4294" t="s">
        <v>204</v>
      </c>
      <c r="C4294">
        <v>0</v>
      </c>
      <c r="D4294">
        <v>0</v>
      </c>
      <c r="E4294">
        <v>0</v>
      </c>
      <c r="F4294">
        <v>0</v>
      </c>
      <c r="G4294">
        <v>0</v>
      </c>
      <c r="H4294">
        <v>0</v>
      </c>
      <c r="I4294">
        <v>0</v>
      </c>
      <c r="J4294">
        <v>3531.71291531612</v>
      </c>
      <c r="K4294">
        <v>3361.83321590061</v>
      </c>
      <c r="L4294">
        <v>67.018000000000001</v>
      </c>
      <c r="M4294">
        <v>61.902999999999999</v>
      </c>
      <c r="N4294">
        <v>108.554</v>
      </c>
    </row>
    <row r="4295" spans="1:14" x14ac:dyDescent="0.45">
      <c r="A4295">
        <v>2000</v>
      </c>
      <c r="B4295" t="s">
        <v>205</v>
      </c>
      <c r="C4295">
        <v>0</v>
      </c>
      <c r="D4295">
        <v>1</v>
      </c>
      <c r="E4295">
        <v>0</v>
      </c>
      <c r="F4295">
        <v>0</v>
      </c>
      <c r="G4295">
        <v>1</v>
      </c>
      <c r="H4295">
        <v>0</v>
      </c>
      <c r="I4295">
        <v>0</v>
      </c>
      <c r="J4295">
        <v>14572.975232000001</v>
      </c>
      <c r="K4295">
        <v>15280.901683616599</v>
      </c>
      <c r="L4295">
        <v>37.802</v>
      </c>
      <c r="M4295">
        <v>73.442999999999998</v>
      </c>
      <c r="N4295">
        <v>25.385999999999999</v>
      </c>
    </row>
    <row r="4296" spans="1:14" x14ac:dyDescent="0.45">
      <c r="A4296">
        <v>2000</v>
      </c>
      <c r="B4296" t="s">
        <v>206</v>
      </c>
      <c r="C4296">
        <v>0</v>
      </c>
      <c r="D4296">
        <v>1</v>
      </c>
      <c r="E4296">
        <v>0</v>
      </c>
      <c r="F4296">
        <v>1</v>
      </c>
      <c r="G4296">
        <v>0</v>
      </c>
      <c r="H4296">
        <v>0</v>
      </c>
      <c r="I4296">
        <v>0</v>
      </c>
      <c r="J4296">
        <v>7669.0953178046002</v>
      </c>
      <c r="K4296">
        <v>6408.1750567199097</v>
      </c>
      <c r="L4296">
        <v>26.957999999999998</v>
      </c>
      <c r="M4296">
        <v>69.820999999999998</v>
      </c>
      <c r="N4296">
        <v>38.154000000000003</v>
      </c>
    </row>
    <row r="4297" spans="1:14" x14ac:dyDescent="0.45">
      <c r="A4297">
        <v>2000</v>
      </c>
      <c r="B4297" t="s">
        <v>207</v>
      </c>
      <c r="C4297">
        <v>0</v>
      </c>
      <c r="D4297">
        <v>0</v>
      </c>
      <c r="E4297">
        <v>0</v>
      </c>
      <c r="F4297">
        <v>1</v>
      </c>
      <c r="G4297">
        <v>0</v>
      </c>
      <c r="H4297">
        <v>0</v>
      </c>
      <c r="I4297">
        <v>0</v>
      </c>
      <c r="J4297">
        <v>4740.4389169456899</v>
      </c>
      <c r="K4297">
        <v>4292.94420328654</v>
      </c>
      <c r="L4297">
        <v>53.865000000000002</v>
      </c>
      <c r="M4297">
        <v>67.789000000000001</v>
      </c>
      <c r="N4297">
        <v>37.421999999999997</v>
      </c>
    </row>
    <row r="4298" spans="1:14" x14ac:dyDescent="0.45">
      <c r="A4298">
        <v>2000</v>
      </c>
      <c r="B4298" t="s">
        <v>208</v>
      </c>
      <c r="C4298">
        <v>0</v>
      </c>
      <c r="D4298">
        <v>0</v>
      </c>
      <c r="E4298">
        <v>0</v>
      </c>
      <c r="F4298">
        <v>0</v>
      </c>
      <c r="G4298">
        <v>1</v>
      </c>
      <c r="H4298">
        <v>0</v>
      </c>
      <c r="I4298">
        <v>0</v>
      </c>
      <c r="J4298">
        <v>15440.076463380599</v>
      </c>
      <c r="K4298">
        <v>13968.9532255591</v>
      </c>
      <c r="L4298">
        <v>29.661999999999999</v>
      </c>
      <c r="M4298">
        <v>64.498999999999995</v>
      </c>
      <c r="N4298">
        <v>26.411999999999999</v>
      </c>
    </row>
    <row r="4299" spans="1:14" x14ac:dyDescent="0.45">
      <c r="A4299">
        <v>2000</v>
      </c>
      <c r="B4299" t="s">
        <v>209</v>
      </c>
      <c r="C4299">
        <v>0</v>
      </c>
      <c r="D4299">
        <v>0</v>
      </c>
      <c r="E4299">
        <v>0</v>
      </c>
      <c r="F4299">
        <v>1</v>
      </c>
      <c r="G4299">
        <v>0</v>
      </c>
      <c r="H4299">
        <v>0</v>
      </c>
      <c r="I4299">
        <v>0</v>
      </c>
      <c r="J4299">
        <v>3326.7985997052801</v>
      </c>
      <c r="K4299">
        <v>3009.4264908720402</v>
      </c>
      <c r="L4299">
        <v>86.796000000000006</v>
      </c>
      <c r="M4299">
        <v>61.609000000000002</v>
      </c>
      <c r="N4299">
        <v>71.587000000000003</v>
      </c>
    </row>
    <row r="4300" spans="1:14" x14ac:dyDescent="0.45">
      <c r="A4300">
        <v>2000</v>
      </c>
      <c r="B4300" t="s">
        <v>210</v>
      </c>
      <c r="C4300">
        <v>1</v>
      </c>
      <c r="D4300">
        <v>0</v>
      </c>
      <c r="E4300">
        <v>0</v>
      </c>
      <c r="F4300">
        <v>0</v>
      </c>
      <c r="G4300">
        <v>1</v>
      </c>
      <c r="H4300">
        <v>0</v>
      </c>
      <c r="I4300">
        <v>0</v>
      </c>
      <c r="J4300">
        <v>18566.354628877201</v>
      </c>
      <c r="K4300">
        <v>16025.940070618501</v>
      </c>
      <c r="L4300">
        <v>38.283999999999999</v>
      </c>
      <c r="M4300">
        <v>73.644999999999996</v>
      </c>
      <c r="N4300">
        <v>9.3960000000000008</v>
      </c>
    </row>
    <row r="4301" spans="1:14" x14ac:dyDescent="0.45">
      <c r="A4301">
        <v>2000</v>
      </c>
      <c r="B4301" t="s">
        <v>211</v>
      </c>
      <c r="C4301">
        <v>0</v>
      </c>
      <c r="D4301">
        <v>1</v>
      </c>
      <c r="E4301">
        <v>0</v>
      </c>
      <c r="F4301">
        <v>0</v>
      </c>
      <c r="G4301">
        <v>1</v>
      </c>
      <c r="H4301">
        <v>0</v>
      </c>
      <c r="I4301">
        <v>0</v>
      </c>
      <c r="J4301">
        <v>37298.545044713297</v>
      </c>
      <c r="K4301">
        <v>28654.261535912399</v>
      </c>
      <c r="L4301">
        <v>5.6130000000000004</v>
      </c>
      <c r="M4301">
        <v>75.513999999999996</v>
      </c>
      <c r="N4301">
        <v>12.526999999999999</v>
      </c>
    </row>
    <row r="4302" spans="1:14" x14ac:dyDescent="0.45">
      <c r="A4302">
        <v>2000</v>
      </c>
      <c r="B4302" t="s">
        <v>212</v>
      </c>
      <c r="C4302">
        <v>0</v>
      </c>
      <c r="D4302">
        <v>0</v>
      </c>
      <c r="E4302">
        <v>0</v>
      </c>
      <c r="F4302">
        <v>0</v>
      </c>
      <c r="G4302">
        <v>0</v>
      </c>
      <c r="H4302">
        <v>0</v>
      </c>
      <c r="I4302">
        <v>0</v>
      </c>
      <c r="L4302">
        <v>40.588000000000001</v>
      </c>
      <c r="M4302">
        <v>60.911000000000001</v>
      </c>
      <c r="N4302">
        <v>100.518</v>
      </c>
    </row>
    <row r="4303" spans="1:14" x14ac:dyDescent="0.45">
      <c r="A4303">
        <v>2000</v>
      </c>
      <c r="B4303" t="s">
        <v>213</v>
      </c>
      <c r="C4303">
        <v>1</v>
      </c>
      <c r="D4303">
        <v>0</v>
      </c>
      <c r="E4303">
        <v>0</v>
      </c>
      <c r="F4303">
        <v>0</v>
      </c>
      <c r="G4303">
        <v>0</v>
      </c>
      <c r="H4303">
        <v>1</v>
      </c>
      <c r="I4303">
        <v>1</v>
      </c>
      <c r="J4303">
        <v>35069.827423431903</v>
      </c>
      <c r="K4303">
        <v>30313.765929372199</v>
      </c>
      <c r="L4303">
        <v>45.600999999999999</v>
      </c>
      <c r="M4303">
        <v>76.83</v>
      </c>
      <c r="N4303">
        <v>7.4660000000000002</v>
      </c>
    </row>
    <row r="4304" spans="1:14" x14ac:dyDescent="0.45">
      <c r="A4304">
        <v>2000</v>
      </c>
      <c r="B4304" t="s">
        <v>214</v>
      </c>
      <c r="C4304">
        <v>0</v>
      </c>
      <c r="D4304">
        <v>1</v>
      </c>
      <c r="E4304">
        <v>0</v>
      </c>
      <c r="F4304">
        <v>1</v>
      </c>
      <c r="G4304">
        <v>0</v>
      </c>
      <c r="H4304">
        <v>0</v>
      </c>
      <c r="I4304">
        <v>0</v>
      </c>
      <c r="J4304">
        <v>9998.5928544501603</v>
      </c>
      <c r="K4304">
        <v>9122.1065551271404</v>
      </c>
      <c r="L4304">
        <v>44.668999999999997</v>
      </c>
      <c r="M4304">
        <v>70.025999999999996</v>
      </c>
      <c r="N4304">
        <v>33.802999999999997</v>
      </c>
    </row>
    <row r="4305" spans="1:14" x14ac:dyDescent="0.45">
      <c r="A4305">
        <v>2000</v>
      </c>
      <c r="B4305" t="s">
        <v>215</v>
      </c>
      <c r="C4305">
        <v>0</v>
      </c>
      <c r="D4305">
        <v>0</v>
      </c>
      <c r="E4305">
        <v>0</v>
      </c>
      <c r="F4305">
        <v>1</v>
      </c>
      <c r="G4305">
        <v>0</v>
      </c>
      <c r="H4305">
        <v>0</v>
      </c>
      <c r="I4305">
        <v>0</v>
      </c>
      <c r="J4305">
        <v>4520.8899253197496</v>
      </c>
      <c r="K4305">
        <v>3854.8944299213199</v>
      </c>
      <c r="L4305">
        <v>28.030999999999999</v>
      </c>
      <c r="M4305">
        <v>70.298000000000002</v>
      </c>
      <c r="N4305">
        <v>30.321999999999999</v>
      </c>
    </row>
    <row r="4306" spans="1:14" x14ac:dyDescent="0.45">
      <c r="A4306">
        <v>2000</v>
      </c>
      <c r="B4306" t="s">
        <v>216</v>
      </c>
      <c r="C4306">
        <v>0</v>
      </c>
      <c r="D4306">
        <v>0</v>
      </c>
      <c r="E4306">
        <v>0</v>
      </c>
      <c r="F4306">
        <v>0</v>
      </c>
      <c r="G4306">
        <v>0</v>
      </c>
      <c r="H4306">
        <v>1</v>
      </c>
      <c r="I4306">
        <v>1</v>
      </c>
      <c r="L4306">
        <v>43.953000000000003</v>
      </c>
      <c r="M4306">
        <v>79</v>
      </c>
      <c r="N4306">
        <v>10.856999999999999</v>
      </c>
    </row>
    <row r="4307" spans="1:14" x14ac:dyDescent="0.45">
      <c r="A4307">
        <v>2000</v>
      </c>
      <c r="B4307" t="s">
        <v>217</v>
      </c>
      <c r="C4307">
        <v>0</v>
      </c>
      <c r="D4307">
        <v>0</v>
      </c>
      <c r="E4307">
        <v>0</v>
      </c>
      <c r="F4307">
        <v>0</v>
      </c>
      <c r="G4307">
        <v>0</v>
      </c>
      <c r="H4307">
        <v>1</v>
      </c>
      <c r="I4307">
        <v>1</v>
      </c>
      <c r="J4307">
        <v>93187.062859434503</v>
      </c>
      <c r="K4307">
        <v>80466.829540310806</v>
      </c>
      <c r="L4307">
        <v>3.6889999999999898</v>
      </c>
      <c r="M4307">
        <v>75.25</v>
      </c>
      <c r="N4307">
        <v>12.502000000000001</v>
      </c>
    </row>
    <row r="4308" spans="1:14" x14ac:dyDescent="0.45">
      <c r="A4308">
        <v>2000</v>
      </c>
      <c r="B4308" t="s">
        <v>218</v>
      </c>
      <c r="C4308">
        <v>1</v>
      </c>
      <c r="D4308">
        <v>0</v>
      </c>
      <c r="E4308">
        <v>0</v>
      </c>
      <c r="F4308">
        <v>1</v>
      </c>
      <c r="G4308">
        <v>0</v>
      </c>
      <c r="H4308">
        <v>0</v>
      </c>
      <c r="I4308">
        <v>0</v>
      </c>
      <c r="J4308">
        <v>14852.004522855301</v>
      </c>
      <c r="K4308">
        <v>12072.2449157301</v>
      </c>
      <c r="L4308">
        <v>46.996000000000002</v>
      </c>
      <c r="M4308">
        <v>71.159000000000006</v>
      </c>
      <c r="N4308">
        <v>22.16</v>
      </c>
    </row>
    <row r="4309" spans="1:14" x14ac:dyDescent="0.45">
      <c r="A4309">
        <v>2000</v>
      </c>
      <c r="B4309" t="s">
        <v>219</v>
      </c>
      <c r="C4309">
        <v>1</v>
      </c>
      <c r="D4309">
        <v>0</v>
      </c>
      <c r="E4309">
        <v>0</v>
      </c>
      <c r="F4309">
        <v>1</v>
      </c>
      <c r="G4309">
        <v>0</v>
      </c>
      <c r="H4309">
        <v>0</v>
      </c>
      <c r="I4309">
        <v>0</v>
      </c>
      <c r="J4309">
        <v>20104.75</v>
      </c>
      <c r="K4309">
        <v>14569.935693740101</v>
      </c>
      <c r="L4309">
        <v>26.65</v>
      </c>
      <c r="M4309">
        <v>64.998000000000005</v>
      </c>
      <c r="N4309">
        <v>19.635000000000002</v>
      </c>
    </row>
    <row r="4310" spans="1:14" x14ac:dyDescent="0.45">
      <c r="A4310">
        <v>2000</v>
      </c>
      <c r="B4310" t="s">
        <v>220</v>
      </c>
      <c r="C4310">
        <v>0</v>
      </c>
      <c r="D4310">
        <v>0</v>
      </c>
      <c r="E4310">
        <v>1</v>
      </c>
      <c r="F4310">
        <v>0</v>
      </c>
      <c r="G4310">
        <v>0</v>
      </c>
      <c r="H4310">
        <v>0</v>
      </c>
      <c r="I4310">
        <v>0</v>
      </c>
      <c r="J4310">
        <v>1016.66199090104</v>
      </c>
      <c r="K4310">
        <v>850.79750843211696</v>
      </c>
      <c r="L4310">
        <v>85.073999999999998</v>
      </c>
      <c r="M4310">
        <v>47.798000000000002</v>
      </c>
      <c r="N4310">
        <v>179.309</v>
      </c>
    </row>
    <row r="4311" spans="1:14" x14ac:dyDescent="0.45">
      <c r="A4311">
        <v>2000</v>
      </c>
      <c r="B4311" t="s">
        <v>221</v>
      </c>
      <c r="C4311">
        <v>0</v>
      </c>
      <c r="D4311">
        <v>0</v>
      </c>
      <c r="E4311">
        <v>0</v>
      </c>
      <c r="F4311">
        <v>0</v>
      </c>
      <c r="G4311">
        <v>1</v>
      </c>
      <c r="H4311">
        <v>0</v>
      </c>
      <c r="I4311">
        <v>0</v>
      </c>
      <c r="J4311">
        <v>55962.2661342789</v>
      </c>
      <c r="K4311">
        <v>51304.976700480998</v>
      </c>
      <c r="L4311">
        <v>20.152000000000001</v>
      </c>
      <c r="M4311">
        <v>72.606999999999999</v>
      </c>
      <c r="N4311">
        <v>22.259</v>
      </c>
    </row>
    <row r="4312" spans="1:14" x14ac:dyDescent="0.45">
      <c r="A4312">
        <v>2000</v>
      </c>
      <c r="B4312" t="s">
        <v>222</v>
      </c>
      <c r="C4312">
        <v>0</v>
      </c>
      <c r="D4312">
        <v>0</v>
      </c>
      <c r="E4312">
        <v>1</v>
      </c>
      <c r="F4312">
        <v>0</v>
      </c>
      <c r="G4312">
        <v>0</v>
      </c>
      <c r="H4312">
        <v>0</v>
      </c>
      <c r="I4312">
        <v>0</v>
      </c>
      <c r="J4312">
        <v>3575.85205078125</v>
      </c>
      <c r="K4312">
        <v>3744.3886599892899</v>
      </c>
      <c r="L4312">
        <v>67.504999999999995</v>
      </c>
      <c r="M4312">
        <v>58.945999999999998</v>
      </c>
      <c r="N4312">
        <v>103.19499999999999</v>
      </c>
    </row>
    <row r="4313" spans="1:14" x14ac:dyDescent="0.45">
      <c r="A4313">
        <v>2000</v>
      </c>
      <c r="B4313" t="s">
        <v>223</v>
      </c>
      <c r="C4313">
        <v>0</v>
      </c>
      <c r="D4313">
        <v>0</v>
      </c>
      <c r="E4313">
        <v>1</v>
      </c>
      <c r="F4313">
        <v>0</v>
      </c>
      <c r="G4313">
        <v>0</v>
      </c>
      <c r="H4313">
        <v>0</v>
      </c>
      <c r="I4313">
        <v>0</v>
      </c>
      <c r="J4313">
        <v>3093.28791602615</v>
      </c>
      <c r="K4313">
        <v>2584.2533908298701</v>
      </c>
      <c r="L4313">
        <v>59.68</v>
      </c>
      <c r="M4313">
        <v>57.615000000000002</v>
      </c>
      <c r="N4313">
        <v>126.578</v>
      </c>
    </row>
    <row r="4314" spans="1:14" x14ac:dyDescent="0.45">
      <c r="A4314">
        <v>2000</v>
      </c>
      <c r="B4314" t="s">
        <v>224</v>
      </c>
      <c r="C4314">
        <v>0</v>
      </c>
      <c r="D4314">
        <v>0</v>
      </c>
      <c r="E4314">
        <v>0</v>
      </c>
      <c r="F4314">
        <v>0</v>
      </c>
      <c r="G4314">
        <v>0</v>
      </c>
      <c r="H4314">
        <v>1</v>
      </c>
      <c r="I4314">
        <v>1</v>
      </c>
      <c r="J4314">
        <v>68314.544402716594</v>
      </c>
      <c r="K4314">
        <v>56157.104530812598</v>
      </c>
      <c r="L4314">
        <v>0</v>
      </c>
      <c r="M4314">
        <v>77.751999999999995</v>
      </c>
      <c r="N4314">
        <v>3.8580000000000001</v>
      </c>
    </row>
    <row r="4315" spans="1:14" x14ac:dyDescent="0.45">
      <c r="A4315">
        <v>2000</v>
      </c>
      <c r="B4315" t="s">
        <v>225</v>
      </c>
      <c r="C4315">
        <v>0</v>
      </c>
      <c r="D4315">
        <v>0</v>
      </c>
      <c r="E4315">
        <v>0</v>
      </c>
      <c r="F4315">
        <v>0</v>
      </c>
      <c r="G4315">
        <v>0</v>
      </c>
      <c r="H4315">
        <v>0</v>
      </c>
      <c r="I4315">
        <v>0</v>
      </c>
      <c r="J4315">
        <v>2276.8417978318098</v>
      </c>
      <c r="K4315">
        <v>2059.5695243578898</v>
      </c>
      <c r="L4315">
        <v>84.186999999999998</v>
      </c>
      <c r="M4315">
        <v>67.116</v>
      </c>
      <c r="N4315">
        <v>30.98</v>
      </c>
    </row>
    <row r="4316" spans="1:14" x14ac:dyDescent="0.45">
      <c r="A4316">
        <v>2000</v>
      </c>
      <c r="B4316" t="s">
        <v>226</v>
      </c>
      <c r="C4316">
        <v>0</v>
      </c>
      <c r="D4316">
        <v>0</v>
      </c>
      <c r="E4316">
        <v>1</v>
      </c>
      <c r="F4316">
        <v>0</v>
      </c>
      <c r="G4316">
        <v>0</v>
      </c>
      <c r="H4316">
        <v>0</v>
      </c>
      <c r="I4316">
        <v>0</v>
      </c>
      <c r="J4316">
        <v>1983.2887238461401</v>
      </c>
      <c r="K4316">
        <v>1800.1728274254101</v>
      </c>
      <c r="L4316">
        <v>64.373999999999995</v>
      </c>
      <c r="M4316">
        <v>44.834000000000003</v>
      </c>
      <c r="N4316">
        <v>225.67599999999999</v>
      </c>
    </row>
    <row r="4317" spans="1:14" x14ac:dyDescent="0.45">
      <c r="A4317">
        <v>2000</v>
      </c>
      <c r="B4317" t="s">
        <v>227</v>
      </c>
      <c r="C4317">
        <v>0</v>
      </c>
      <c r="D4317">
        <v>1</v>
      </c>
      <c r="E4317">
        <v>0</v>
      </c>
      <c r="F4317">
        <v>1</v>
      </c>
      <c r="G4317">
        <v>0</v>
      </c>
      <c r="H4317">
        <v>0</v>
      </c>
      <c r="I4317">
        <v>0</v>
      </c>
      <c r="J4317">
        <v>7545.44796218991</v>
      </c>
      <c r="K4317">
        <v>6721.1107556590096</v>
      </c>
      <c r="L4317">
        <v>41.088000000000001</v>
      </c>
      <c r="M4317">
        <v>67.710999999999999</v>
      </c>
      <c r="N4317">
        <v>33.162999999999997</v>
      </c>
    </row>
    <row r="4318" spans="1:14" x14ac:dyDescent="0.45">
      <c r="A4318">
        <v>2000</v>
      </c>
      <c r="B4318" t="s">
        <v>228</v>
      </c>
      <c r="C4318">
        <v>1</v>
      </c>
      <c r="D4318">
        <v>0</v>
      </c>
      <c r="E4318">
        <v>0</v>
      </c>
      <c r="F4318">
        <v>0</v>
      </c>
      <c r="G4318">
        <v>0</v>
      </c>
      <c r="H4318">
        <v>1</v>
      </c>
      <c r="I4318">
        <v>1</v>
      </c>
      <c r="J4318">
        <v>77149.415996423297</v>
      </c>
      <c r="K4318">
        <v>67997.514954899496</v>
      </c>
      <c r="L4318">
        <v>6.56</v>
      </c>
      <c r="M4318">
        <v>80.504000000000005</v>
      </c>
      <c r="N4318">
        <v>5.282</v>
      </c>
    </row>
    <row r="4319" spans="1:14" x14ac:dyDescent="0.45">
      <c r="A4319">
        <v>2000</v>
      </c>
      <c r="B4319" t="s">
        <v>229</v>
      </c>
      <c r="C4319">
        <v>0</v>
      </c>
      <c r="D4319">
        <v>0</v>
      </c>
      <c r="E4319">
        <v>1</v>
      </c>
      <c r="F4319">
        <v>0</v>
      </c>
      <c r="G4319">
        <v>0</v>
      </c>
      <c r="H4319">
        <v>0</v>
      </c>
      <c r="I4319">
        <v>0</v>
      </c>
      <c r="J4319">
        <v>702.59788464210499</v>
      </c>
      <c r="K4319">
        <v>651.683625362557</v>
      </c>
      <c r="L4319">
        <v>66.753</v>
      </c>
      <c r="M4319">
        <v>50.747</v>
      </c>
      <c r="N4319">
        <v>172.12299999999999</v>
      </c>
    </row>
    <row r="4320" spans="1:14" x14ac:dyDescent="0.45">
      <c r="A4320">
        <v>2000</v>
      </c>
      <c r="B4320" t="s">
        <v>230</v>
      </c>
      <c r="C4320">
        <v>1</v>
      </c>
      <c r="D4320">
        <v>0</v>
      </c>
      <c r="E4320">
        <v>0</v>
      </c>
      <c r="F4320">
        <v>1</v>
      </c>
      <c r="G4320">
        <v>0</v>
      </c>
      <c r="H4320">
        <v>0</v>
      </c>
      <c r="I4320">
        <v>0</v>
      </c>
      <c r="J4320">
        <v>11105.328799717499</v>
      </c>
      <c r="K4320">
        <v>9765.17950111748</v>
      </c>
      <c r="L4320">
        <v>47.231000000000002</v>
      </c>
      <c r="M4320">
        <v>72.334000000000003</v>
      </c>
      <c r="N4320">
        <v>13.132999999999999</v>
      </c>
    </row>
    <row r="4321" spans="1:14" x14ac:dyDescent="0.45">
      <c r="A4321">
        <v>2000</v>
      </c>
      <c r="B4321" t="s">
        <v>231</v>
      </c>
      <c r="C4321">
        <v>0</v>
      </c>
      <c r="D4321">
        <v>0</v>
      </c>
      <c r="E4321">
        <v>1</v>
      </c>
      <c r="F4321">
        <v>1</v>
      </c>
      <c r="G4321">
        <v>0</v>
      </c>
      <c r="H4321">
        <v>0</v>
      </c>
      <c r="I4321">
        <v>0</v>
      </c>
      <c r="L4321">
        <v>83.495999999999995</v>
      </c>
      <c r="M4321">
        <v>47.591000000000001</v>
      </c>
      <c r="N4321">
        <v>185.065</v>
      </c>
    </row>
    <row r="4322" spans="1:14" x14ac:dyDescent="0.45">
      <c r="A4322">
        <v>2000</v>
      </c>
      <c r="B4322" t="s">
        <v>232</v>
      </c>
      <c r="C4322">
        <v>0</v>
      </c>
      <c r="D4322">
        <v>0</v>
      </c>
      <c r="E4322">
        <v>1</v>
      </c>
      <c r="F4322">
        <v>0</v>
      </c>
      <c r="G4322">
        <v>0</v>
      </c>
      <c r="H4322">
        <v>0</v>
      </c>
      <c r="I4322">
        <v>0</v>
      </c>
      <c r="J4322">
        <v>3852.8904272145301</v>
      </c>
      <c r="K4322">
        <v>2397.97844092279</v>
      </c>
      <c r="L4322">
        <v>46.576000000000001</v>
      </c>
      <c r="M4322">
        <v>61.207000000000001</v>
      </c>
      <c r="N4322">
        <v>79.903000000000006</v>
      </c>
    </row>
    <row r="4323" spans="1:14" x14ac:dyDescent="0.45">
      <c r="A4323">
        <v>2000</v>
      </c>
      <c r="B4323" t="s">
        <v>233</v>
      </c>
      <c r="C4323">
        <v>0</v>
      </c>
      <c r="D4323">
        <v>1</v>
      </c>
      <c r="E4323">
        <v>0</v>
      </c>
      <c r="F4323">
        <v>1</v>
      </c>
      <c r="G4323">
        <v>0</v>
      </c>
      <c r="H4323">
        <v>0</v>
      </c>
      <c r="I4323">
        <v>0</v>
      </c>
      <c r="J4323">
        <v>16220.1790603262</v>
      </c>
      <c r="K4323">
        <v>12910.9320681279</v>
      </c>
      <c r="L4323">
        <v>33.555999999999997</v>
      </c>
      <c r="M4323">
        <v>64.409000000000006</v>
      </c>
      <c r="N4323">
        <v>31.14</v>
      </c>
    </row>
    <row r="4324" spans="1:14" x14ac:dyDescent="0.45">
      <c r="A4324">
        <v>2000</v>
      </c>
      <c r="B4324" t="s">
        <v>234</v>
      </c>
      <c r="C4324">
        <v>1</v>
      </c>
      <c r="D4324">
        <v>0</v>
      </c>
      <c r="E4324">
        <v>0</v>
      </c>
      <c r="F4324">
        <v>0</v>
      </c>
      <c r="G4324">
        <v>1</v>
      </c>
      <c r="H4324">
        <v>0</v>
      </c>
      <c r="I4324">
        <v>0</v>
      </c>
      <c r="J4324">
        <v>18335.647531721399</v>
      </c>
      <c r="K4324">
        <v>15792.178476921101</v>
      </c>
      <c r="L4324">
        <v>43.767000000000003</v>
      </c>
      <c r="M4324">
        <v>73.138999999999996</v>
      </c>
      <c r="N4324">
        <v>10.076000000000001</v>
      </c>
    </row>
    <row r="4325" spans="1:14" x14ac:dyDescent="0.45">
      <c r="A4325">
        <v>2000</v>
      </c>
      <c r="B4325" t="s">
        <v>235</v>
      </c>
      <c r="C4325">
        <v>1</v>
      </c>
      <c r="D4325">
        <v>0</v>
      </c>
      <c r="E4325">
        <v>0</v>
      </c>
      <c r="F4325">
        <v>0</v>
      </c>
      <c r="G4325">
        <v>0</v>
      </c>
      <c r="H4325">
        <v>1</v>
      </c>
      <c r="I4325">
        <v>1</v>
      </c>
      <c r="J4325">
        <v>30063.1185898035</v>
      </c>
      <c r="K4325">
        <v>25878.473521284101</v>
      </c>
      <c r="L4325">
        <v>49.246000000000002</v>
      </c>
      <c r="M4325">
        <v>75.83</v>
      </c>
      <c r="N4325">
        <v>5.2779999999999996</v>
      </c>
    </row>
    <row r="4326" spans="1:14" x14ac:dyDescent="0.45">
      <c r="A4326">
        <v>2000</v>
      </c>
      <c r="B4326" t="s">
        <v>236</v>
      </c>
      <c r="C4326">
        <v>1</v>
      </c>
      <c r="D4326">
        <v>0</v>
      </c>
      <c r="E4326">
        <v>0</v>
      </c>
      <c r="F4326">
        <v>0</v>
      </c>
      <c r="G4326">
        <v>0</v>
      </c>
      <c r="H4326">
        <v>1</v>
      </c>
      <c r="I4326">
        <v>1</v>
      </c>
      <c r="J4326">
        <v>47875.084466224798</v>
      </c>
      <c r="K4326">
        <v>40895.780535337501</v>
      </c>
      <c r="L4326">
        <v>15.974</v>
      </c>
      <c r="M4326">
        <v>79.739000000000004</v>
      </c>
      <c r="N4326">
        <v>3.9460000000000002</v>
      </c>
    </row>
    <row r="4327" spans="1:14" x14ac:dyDescent="0.45">
      <c r="A4327">
        <v>2000</v>
      </c>
      <c r="B4327" t="s">
        <v>237</v>
      </c>
      <c r="C4327">
        <v>0</v>
      </c>
      <c r="D4327">
        <v>0</v>
      </c>
      <c r="E4327">
        <v>1</v>
      </c>
      <c r="F4327">
        <v>1</v>
      </c>
      <c r="G4327">
        <v>0</v>
      </c>
      <c r="H4327">
        <v>0</v>
      </c>
      <c r="I4327">
        <v>0</v>
      </c>
      <c r="J4327">
        <v>6189.6449086034299</v>
      </c>
      <c r="K4327">
        <v>5480.9317005058101</v>
      </c>
      <c r="L4327">
        <v>77.313999999999993</v>
      </c>
      <c r="M4327">
        <v>47.627000000000002</v>
      </c>
      <c r="N4327">
        <v>111.889</v>
      </c>
    </row>
    <row r="4328" spans="1:14" x14ac:dyDescent="0.45">
      <c r="A4328">
        <v>2000</v>
      </c>
      <c r="B4328" t="s">
        <v>238</v>
      </c>
      <c r="C4328">
        <v>0</v>
      </c>
      <c r="D4328">
        <v>1</v>
      </c>
      <c r="E4328">
        <v>0</v>
      </c>
      <c r="F4328">
        <v>0</v>
      </c>
      <c r="G4328">
        <v>0</v>
      </c>
      <c r="H4328">
        <v>1</v>
      </c>
      <c r="I4328">
        <v>1</v>
      </c>
      <c r="L4328">
        <v>0</v>
      </c>
      <c r="M4328">
        <v>74.409000000000006</v>
      </c>
      <c r="N4328">
        <v>19.114000000000001</v>
      </c>
    </row>
    <row r="4329" spans="1:14" x14ac:dyDescent="0.45">
      <c r="A4329">
        <v>2000</v>
      </c>
      <c r="B4329" t="s">
        <v>239</v>
      </c>
      <c r="C4329">
        <v>0</v>
      </c>
      <c r="D4329">
        <v>0</v>
      </c>
      <c r="E4329">
        <v>1</v>
      </c>
      <c r="F4329">
        <v>0</v>
      </c>
      <c r="G4329">
        <v>1</v>
      </c>
      <c r="H4329">
        <v>0</v>
      </c>
      <c r="I4329">
        <v>0</v>
      </c>
      <c r="J4329">
        <v>20633.674695076101</v>
      </c>
      <c r="K4329">
        <v>20032.200600975098</v>
      </c>
      <c r="L4329">
        <v>49.567</v>
      </c>
      <c r="M4329">
        <v>71.313000000000002</v>
      </c>
      <c r="N4329">
        <v>13.8</v>
      </c>
    </row>
    <row r="4330" spans="1:14" x14ac:dyDescent="0.45">
      <c r="A4330">
        <v>2000</v>
      </c>
      <c r="B4330" t="s">
        <v>240</v>
      </c>
      <c r="C4330">
        <v>0</v>
      </c>
      <c r="D4330">
        <v>0</v>
      </c>
      <c r="E4330">
        <v>0</v>
      </c>
      <c r="F4330">
        <v>1</v>
      </c>
      <c r="G4330">
        <v>0</v>
      </c>
      <c r="H4330">
        <v>0</v>
      </c>
      <c r="I4330">
        <v>0</v>
      </c>
      <c r="J4330">
        <v>7807.9299554874196</v>
      </c>
      <c r="K4330">
        <v>5121.4354173764104</v>
      </c>
      <c r="L4330">
        <v>48.052999999999997</v>
      </c>
      <c r="M4330">
        <v>70.855999999999995</v>
      </c>
      <c r="N4330">
        <v>23.428000000000001</v>
      </c>
    </row>
    <row r="4331" spans="1:14" x14ac:dyDescent="0.45">
      <c r="A4331">
        <v>2000</v>
      </c>
      <c r="B4331" t="s">
        <v>241</v>
      </c>
      <c r="C4331">
        <v>0</v>
      </c>
      <c r="D4331">
        <v>1</v>
      </c>
      <c r="E4331">
        <v>0</v>
      </c>
      <c r="F4331">
        <v>0</v>
      </c>
      <c r="G4331">
        <v>0</v>
      </c>
      <c r="H4331">
        <v>1</v>
      </c>
      <c r="I4331">
        <v>1</v>
      </c>
      <c r="L4331">
        <v>15.45</v>
      </c>
      <c r="M4331">
        <v>73.971999999999994</v>
      </c>
      <c r="N4331">
        <v>10.699</v>
      </c>
    </row>
    <row r="4332" spans="1:14" x14ac:dyDescent="0.45">
      <c r="A4332">
        <v>2000</v>
      </c>
      <c r="B4332" t="s">
        <v>242</v>
      </c>
      <c r="C4332">
        <v>0</v>
      </c>
      <c r="D4332">
        <v>0</v>
      </c>
      <c r="E4332">
        <v>1</v>
      </c>
      <c r="F4332">
        <v>0</v>
      </c>
      <c r="G4332">
        <v>0</v>
      </c>
      <c r="H4332">
        <v>0</v>
      </c>
      <c r="I4332">
        <v>0</v>
      </c>
      <c r="J4332">
        <v>1501.1448405951401</v>
      </c>
      <c r="K4332">
        <v>1261.01597545036</v>
      </c>
      <c r="L4332">
        <v>78.363</v>
      </c>
      <c r="M4332">
        <v>47.936999999999998</v>
      </c>
      <c r="N4332">
        <v>184.72</v>
      </c>
    </row>
    <row r="4333" spans="1:14" x14ac:dyDescent="0.45">
      <c r="A4333">
        <v>2000</v>
      </c>
      <c r="B4333" t="s">
        <v>243</v>
      </c>
      <c r="C4333">
        <v>0</v>
      </c>
      <c r="D4333">
        <v>0</v>
      </c>
      <c r="E4333">
        <v>1</v>
      </c>
      <c r="F4333">
        <v>0</v>
      </c>
      <c r="G4333">
        <v>0</v>
      </c>
      <c r="H4333">
        <v>0</v>
      </c>
      <c r="I4333">
        <v>0</v>
      </c>
      <c r="J4333">
        <v>2096.8590980088002</v>
      </c>
      <c r="K4333">
        <v>1742.5690524111601</v>
      </c>
      <c r="L4333">
        <v>67.093000000000004</v>
      </c>
      <c r="M4333">
        <v>54.576999999999998</v>
      </c>
      <c r="N4333">
        <v>120.09</v>
      </c>
    </row>
    <row r="4334" spans="1:14" x14ac:dyDescent="0.45">
      <c r="A4334">
        <v>2000</v>
      </c>
      <c r="B4334" t="s">
        <v>244</v>
      </c>
      <c r="C4334">
        <v>0</v>
      </c>
      <c r="D4334">
        <v>0</v>
      </c>
      <c r="E4334">
        <v>0</v>
      </c>
      <c r="F4334">
        <v>1</v>
      </c>
      <c r="G4334">
        <v>0</v>
      </c>
      <c r="H4334">
        <v>0</v>
      </c>
      <c r="I4334">
        <v>0</v>
      </c>
      <c r="J4334">
        <v>11622.525027853701</v>
      </c>
      <c r="K4334">
        <v>10164.212816278099</v>
      </c>
      <c r="L4334">
        <v>68.614000000000004</v>
      </c>
      <c r="M4334">
        <v>71.204999999999998</v>
      </c>
      <c r="N4334">
        <v>21.350999999999999</v>
      </c>
    </row>
    <row r="4335" spans="1:14" x14ac:dyDescent="0.45">
      <c r="A4335">
        <v>2000</v>
      </c>
      <c r="B4335" t="s">
        <v>245</v>
      </c>
      <c r="C4335">
        <v>1</v>
      </c>
      <c r="D4335">
        <v>0</v>
      </c>
      <c r="E4335">
        <v>0</v>
      </c>
      <c r="F4335">
        <v>0</v>
      </c>
      <c r="G4335">
        <v>0</v>
      </c>
      <c r="H4335">
        <v>0</v>
      </c>
      <c r="I4335">
        <v>0</v>
      </c>
      <c r="J4335">
        <v>1365.2332744712901</v>
      </c>
      <c r="K4335">
        <v>1243.3660027144299</v>
      </c>
      <c r="L4335">
        <v>73.498999999999995</v>
      </c>
      <c r="M4335">
        <v>63.542000000000002</v>
      </c>
      <c r="N4335">
        <v>83.289000000000001</v>
      </c>
    </row>
    <row r="4336" spans="1:14" x14ac:dyDescent="0.45">
      <c r="A4336">
        <v>2000</v>
      </c>
      <c r="B4336" t="s">
        <v>246</v>
      </c>
      <c r="C4336">
        <v>1</v>
      </c>
      <c r="D4336">
        <v>0</v>
      </c>
      <c r="E4336">
        <v>0</v>
      </c>
      <c r="F4336">
        <v>1</v>
      </c>
      <c r="G4336">
        <v>0</v>
      </c>
      <c r="H4336">
        <v>0</v>
      </c>
      <c r="I4336">
        <v>0</v>
      </c>
      <c r="J4336">
        <v>5112.5294814735198</v>
      </c>
      <c r="K4336">
        <v>4812.0094901073298</v>
      </c>
      <c r="L4336">
        <v>54.087000000000003</v>
      </c>
      <c r="M4336">
        <v>64.930999999999997</v>
      </c>
      <c r="N4336">
        <v>68.325999999999993</v>
      </c>
    </row>
    <row r="4337" spans="1:14" x14ac:dyDescent="0.45">
      <c r="A4337">
        <v>2000</v>
      </c>
      <c r="B4337" t="s">
        <v>247</v>
      </c>
      <c r="C4337">
        <v>0</v>
      </c>
      <c r="D4337">
        <v>0</v>
      </c>
      <c r="E4337">
        <v>0</v>
      </c>
      <c r="F4337">
        <v>0</v>
      </c>
      <c r="G4337">
        <v>0</v>
      </c>
      <c r="H4337">
        <v>0</v>
      </c>
      <c r="I4337">
        <v>0</v>
      </c>
      <c r="J4337">
        <v>3785.59231060513</v>
      </c>
      <c r="K4337">
        <v>3054.45302337363</v>
      </c>
      <c r="L4337">
        <v>75.736999999999995</v>
      </c>
      <c r="M4337">
        <v>58.097000000000001</v>
      </c>
      <c r="N4337">
        <v>111.366</v>
      </c>
    </row>
    <row r="4338" spans="1:14" x14ac:dyDescent="0.45">
      <c r="A4338">
        <v>2000</v>
      </c>
      <c r="B4338" t="s">
        <v>248</v>
      </c>
      <c r="C4338">
        <v>0</v>
      </c>
      <c r="D4338">
        <v>0</v>
      </c>
      <c r="E4338">
        <v>0</v>
      </c>
      <c r="F4338">
        <v>1</v>
      </c>
      <c r="G4338">
        <v>0</v>
      </c>
      <c r="H4338">
        <v>0</v>
      </c>
      <c r="I4338">
        <v>0</v>
      </c>
      <c r="J4338">
        <v>5808.26509143355</v>
      </c>
      <c r="K4338">
        <v>5257.8231879658497</v>
      </c>
      <c r="L4338">
        <v>76.988</v>
      </c>
      <c r="M4338">
        <v>69.635000000000005</v>
      </c>
      <c r="N4338">
        <v>16.824999999999999</v>
      </c>
    </row>
    <row r="4339" spans="1:14" x14ac:dyDescent="0.45">
      <c r="A4339">
        <v>2000</v>
      </c>
      <c r="B4339" t="s">
        <v>249</v>
      </c>
      <c r="C4339">
        <v>0</v>
      </c>
      <c r="D4339">
        <v>1</v>
      </c>
      <c r="E4339">
        <v>0</v>
      </c>
      <c r="F4339">
        <v>0</v>
      </c>
      <c r="G4339">
        <v>1</v>
      </c>
      <c r="H4339">
        <v>0</v>
      </c>
      <c r="I4339">
        <v>0</v>
      </c>
      <c r="J4339">
        <v>19662.7495821798</v>
      </c>
      <c r="K4339">
        <v>16410.393655709198</v>
      </c>
      <c r="L4339">
        <v>44.094999999999999</v>
      </c>
      <c r="M4339">
        <v>68.629000000000005</v>
      </c>
      <c r="N4339">
        <v>27.568999999999999</v>
      </c>
    </row>
    <row r="4340" spans="1:14" x14ac:dyDescent="0.45">
      <c r="A4340">
        <v>2000</v>
      </c>
      <c r="B4340" t="s">
        <v>250</v>
      </c>
      <c r="C4340">
        <v>0</v>
      </c>
      <c r="D4340">
        <v>0</v>
      </c>
      <c r="E4340">
        <v>0</v>
      </c>
      <c r="F4340">
        <v>1</v>
      </c>
      <c r="G4340">
        <v>0</v>
      </c>
      <c r="H4340">
        <v>0</v>
      </c>
      <c r="I4340">
        <v>0</v>
      </c>
      <c r="J4340">
        <v>9134.4050312301806</v>
      </c>
      <c r="K4340">
        <v>7960.4814004284299</v>
      </c>
      <c r="L4340">
        <v>36.567999999999998</v>
      </c>
      <c r="M4340">
        <v>72.603999999999999</v>
      </c>
      <c r="N4340">
        <v>29.57</v>
      </c>
    </row>
    <row r="4341" spans="1:14" x14ac:dyDescent="0.45">
      <c r="A4341">
        <v>2000</v>
      </c>
      <c r="B4341" t="s">
        <v>251</v>
      </c>
      <c r="C4341">
        <v>1</v>
      </c>
      <c r="D4341">
        <v>0</v>
      </c>
      <c r="E4341">
        <v>0</v>
      </c>
      <c r="F4341">
        <v>0</v>
      </c>
      <c r="G4341">
        <v>1</v>
      </c>
      <c r="H4341">
        <v>0</v>
      </c>
      <c r="I4341">
        <v>0</v>
      </c>
      <c r="J4341">
        <v>14737.4417410446</v>
      </c>
      <c r="K4341">
        <v>14776.8667630535</v>
      </c>
      <c r="L4341">
        <v>35.259</v>
      </c>
      <c r="M4341">
        <v>71.930999999999997</v>
      </c>
      <c r="N4341">
        <v>37.512999999999998</v>
      </c>
    </row>
    <row r="4342" spans="1:14" x14ac:dyDescent="0.45">
      <c r="A4342">
        <v>2000</v>
      </c>
      <c r="B4342" t="s">
        <v>252</v>
      </c>
      <c r="C4342">
        <v>0</v>
      </c>
      <c r="D4342">
        <v>0</v>
      </c>
      <c r="E4342">
        <v>0</v>
      </c>
      <c r="F4342">
        <v>1</v>
      </c>
      <c r="G4342">
        <v>0</v>
      </c>
      <c r="H4342">
        <v>0</v>
      </c>
      <c r="I4342">
        <v>0</v>
      </c>
      <c r="J4342">
        <v>3721.8994787524298</v>
      </c>
      <c r="K4342">
        <v>3367.0327989657499</v>
      </c>
      <c r="L4342">
        <v>53.981999999999999</v>
      </c>
      <c r="M4342">
        <v>63.536000000000001</v>
      </c>
      <c r="N4342">
        <v>42.768000000000001</v>
      </c>
    </row>
    <row r="4343" spans="1:14" x14ac:dyDescent="0.45">
      <c r="A4343">
        <v>2000</v>
      </c>
      <c r="B4343" t="s">
        <v>253</v>
      </c>
      <c r="C4343">
        <v>0</v>
      </c>
      <c r="D4343">
        <v>0</v>
      </c>
      <c r="E4343">
        <v>0</v>
      </c>
      <c r="F4343">
        <v>0</v>
      </c>
      <c r="G4343">
        <v>0</v>
      </c>
      <c r="H4343">
        <v>1</v>
      </c>
      <c r="I4343">
        <v>1</v>
      </c>
      <c r="L4343">
        <v>64.123000000000005</v>
      </c>
      <c r="M4343">
        <v>76.138999999999996</v>
      </c>
      <c r="N4343">
        <v>8.31</v>
      </c>
    </row>
    <row r="4344" spans="1:14" x14ac:dyDescent="0.45">
      <c r="A4344">
        <v>2000</v>
      </c>
      <c r="B4344" t="s">
        <v>254</v>
      </c>
      <c r="C4344">
        <v>0</v>
      </c>
      <c r="D4344">
        <v>0</v>
      </c>
      <c r="E4344">
        <v>1</v>
      </c>
      <c r="F4344">
        <v>0</v>
      </c>
      <c r="G4344">
        <v>0</v>
      </c>
      <c r="H4344">
        <v>0</v>
      </c>
      <c r="I4344">
        <v>0</v>
      </c>
      <c r="J4344">
        <v>1839.93664550781</v>
      </c>
      <c r="K4344">
        <v>1370.5076051615099</v>
      </c>
      <c r="L4344">
        <v>77.691000000000003</v>
      </c>
      <c r="M4344">
        <v>53.244</v>
      </c>
      <c r="N4344">
        <v>127.965</v>
      </c>
    </row>
    <row r="4345" spans="1:14" x14ac:dyDescent="0.45">
      <c r="A4345">
        <v>2000</v>
      </c>
      <c r="B4345" t="s">
        <v>255</v>
      </c>
      <c r="C4345">
        <v>0</v>
      </c>
      <c r="D4345">
        <v>0</v>
      </c>
      <c r="E4345">
        <v>1</v>
      </c>
      <c r="F4345">
        <v>0</v>
      </c>
      <c r="G4345">
        <v>0</v>
      </c>
      <c r="H4345">
        <v>0</v>
      </c>
      <c r="I4345">
        <v>0</v>
      </c>
      <c r="J4345">
        <v>1487.00498853512</v>
      </c>
      <c r="K4345">
        <v>1261.43309825286</v>
      </c>
      <c r="L4345">
        <v>85.213999999999999</v>
      </c>
      <c r="M4345">
        <v>49.64</v>
      </c>
      <c r="N4345">
        <v>143.41200000000001</v>
      </c>
    </row>
    <row r="4346" spans="1:14" x14ac:dyDescent="0.45">
      <c r="A4346">
        <v>2000</v>
      </c>
      <c r="B4346" t="s">
        <v>256</v>
      </c>
      <c r="C4346">
        <v>1</v>
      </c>
      <c r="D4346">
        <v>0</v>
      </c>
      <c r="E4346">
        <v>0</v>
      </c>
      <c r="F4346">
        <v>0</v>
      </c>
      <c r="G4346">
        <v>0</v>
      </c>
      <c r="H4346">
        <v>0</v>
      </c>
      <c r="I4346">
        <v>0</v>
      </c>
      <c r="J4346">
        <v>10364.0625</v>
      </c>
      <c r="K4346">
        <v>7330.3514713179302</v>
      </c>
      <c r="L4346">
        <v>32.854999999999997</v>
      </c>
      <c r="M4346">
        <v>67.786000000000001</v>
      </c>
      <c r="N4346">
        <v>15.811999999999999</v>
      </c>
    </row>
    <row r="4347" spans="1:14" x14ac:dyDescent="0.45">
      <c r="A4347">
        <v>2000</v>
      </c>
      <c r="B4347" t="s">
        <v>257</v>
      </c>
      <c r="C4347">
        <v>0</v>
      </c>
      <c r="D4347">
        <v>1</v>
      </c>
      <c r="E4347">
        <v>0</v>
      </c>
      <c r="F4347">
        <v>0</v>
      </c>
      <c r="G4347">
        <v>1</v>
      </c>
      <c r="H4347">
        <v>0</v>
      </c>
      <c r="I4347">
        <v>0</v>
      </c>
      <c r="J4347">
        <v>18752.0578112966</v>
      </c>
      <c r="K4347">
        <v>14873.543048147299</v>
      </c>
      <c r="L4347">
        <v>7.9719999999999898</v>
      </c>
      <c r="M4347">
        <v>74.692999999999998</v>
      </c>
      <c r="N4347">
        <v>16.503</v>
      </c>
    </row>
    <row r="4348" spans="1:14" x14ac:dyDescent="0.45">
      <c r="A4348">
        <v>2000</v>
      </c>
      <c r="B4348" t="s">
        <v>258</v>
      </c>
      <c r="C4348">
        <v>0</v>
      </c>
      <c r="D4348">
        <v>0</v>
      </c>
      <c r="E4348">
        <v>0</v>
      </c>
      <c r="F4348">
        <v>0</v>
      </c>
      <c r="G4348">
        <v>0</v>
      </c>
      <c r="H4348">
        <v>1</v>
      </c>
      <c r="I4348">
        <v>1</v>
      </c>
      <c r="J4348">
        <v>55038.622497369601</v>
      </c>
      <c r="K4348">
        <v>49957.160061967399</v>
      </c>
      <c r="L4348">
        <v>20.943000000000001</v>
      </c>
      <c r="M4348">
        <v>76.805999999999997</v>
      </c>
      <c r="N4348">
        <v>8.4740000000000002</v>
      </c>
    </row>
    <row r="4349" spans="1:14" x14ac:dyDescent="0.45">
      <c r="A4349">
        <v>2000</v>
      </c>
      <c r="B4349" t="s">
        <v>259</v>
      </c>
      <c r="C4349">
        <v>1</v>
      </c>
      <c r="D4349">
        <v>0</v>
      </c>
      <c r="E4349">
        <v>0</v>
      </c>
      <c r="F4349">
        <v>0</v>
      </c>
      <c r="G4349">
        <v>0</v>
      </c>
      <c r="H4349">
        <v>0</v>
      </c>
      <c r="I4349">
        <v>0</v>
      </c>
      <c r="J4349">
        <v>3410.65044991898</v>
      </c>
      <c r="K4349">
        <v>3313.57311263476</v>
      </c>
      <c r="L4349">
        <v>53.874000000000002</v>
      </c>
      <c r="M4349">
        <v>65.456000000000003</v>
      </c>
      <c r="N4349">
        <v>60.649000000000001</v>
      </c>
    </row>
    <row r="4350" spans="1:14" x14ac:dyDescent="0.45">
      <c r="A4350">
        <v>2000</v>
      </c>
      <c r="B4350" t="s">
        <v>260</v>
      </c>
      <c r="C4350">
        <v>0</v>
      </c>
      <c r="D4350">
        <v>1</v>
      </c>
      <c r="E4350">
        <v>0</v>
      </c>
      <c r="F4350">
        <v>1</v>
      </c>
      <c r="G4350">
        <v>0</v>
      </c>
      <c r="H4350">
        <v>0</v>
      </c>
      <c r="I4350">
        <v>0</v>
      </c>
      <c r="J4350">
        <v>9999.0587920368507</v>
      </c>
      <c r="K4350">
        <v>8738.7892051062208</v>
      </c>
      <c r="L4350">
        <v>54.814</v>
      </c>
      <c r="M4350">
        <v>70.349999999999994</v>
      </c>
      <c r="N4350">
        <v>22.552</v>
      </c>
    </row>
    <row r="4351" spans="1:14" x14ac:dyDescent="0.45">
      <c r="A4351">
        <v>2000</v>
      </c>
      <c r="B4351" t="s">
        <v>261</v>
      </c>
      <c r="C4351">
        <v>0</v>
      </c>
      <c r="D4351">
        <v>1</v>
      </c>
      <c r="E4351">
        <v>0</v>
      </c>
      <c r="F4351">
        <v>0</v>
      </c>
      <c r="G4351">
        <v>1</v>
      </c>
      <c r="H4351">
        <v>0</v>
      </c>
      <c r="I4351">
        <v>0</v>
      </c>
      <c r="L4351">
        <v>12.441000000000001</v>
      </c>
      <c r="M4351">
        <v>72.388000000000005</v>
      </c>
      <c r="N4351">
        <v>21.838000000000001</v>
      </c>
    </row>
    <row r="4352" spans="1:14" x14ac:dyDescent="0.45">
      <c r="A4352">
        <v>2000</v>
      </c>
      <c r="B4352" t="s">
        <v>262</v>
      </c>
      <c r="C4352">
        <v>0</v>
      </c>
      <c r="D4352">
        <v>1</v>
      </c>
      <c r="E4352">
        <v>0</v>
      </c>
      <c r="F4352">
        <v>0</v>
      </c>
      <c r="G4352">
        <v>0</v>
      </c>
      <c r="H4352">
        <v>1</v>
      </c>
      <c r="I4352">
        <v>1</v>
      </c>
      <c r="L4352">
        <v>58.225999999999999</v>
      </c>
      <c r="M4352">
        <v>74.753</v>
      </c>
      <c r="N4352">
        <v>17.021999999999998</v>
      </c>
    </row>
    <row r="4353" spans="1:14" x14ac:dyDescent="0.45">
      <c r="A4353">
        <v>2000</v>
      </c>
      <c r="B4353" t="s">
        <v>263</v>
      </c>
      <c r="C4353">
        <v>0</v>
      </c>
      <c r="D4353">
        <v>1</v>
      </c>
      <c r="E4353">
        <v>0</v>
      </c>
      <c r="F4353">
        <v>0</v>
      </c>
      <c r="G4353">
        <v>0</v>
      </c>
      <c r="H4353">
        <v>1</v>
      </c>
      <c r="I4353">
        <v>1</v>
      </c>
      <c r="L4353">
        <v>7.4139999999999997</v>
      </c>
      <c r="M4353">
        <v>71.805000000000007</v>
      </c>
      <c r="N4353">
        <v>11.403</v>
      </c>
    </row>
    <row r="4354" spans="1:14" x14ac:dyDescent="0.45">
      <c r="A4354">
        <v>2000</v>
      </c>
      <c r="B4354" t="s">
        <v>264</v>
      </c>
      <c r="C4354">
        <v>0</v>
      </c>
      <c r="D4354">
        <v>0</v>
      </c>
      <c r="E4354">
        <v>0</v>
      </c>
      <c r="F4354">
        <v>0</v>
      </c>
      <c r="G4354">
        <v>0</v>
      </c>
      <c r="H4354">
        <v>0</v>
      </c>
      <c r="I4354">
        <v>0</v>
      </c>
      <c r="J4354">
        <v>4349.2234875146196</v>
      </c>
      <c r="K4354">
        <v>3875.5186390612098</v>
      </c>
      <c r="L4354">
        <v>75.626000000000005</v>
      </c>
      <c r="M4354">
        <v>72.745999999999995</v>
      </c>
      <c r="N4354">
        <v>30.393000000000001</v>
      </c>
    </row>
    <row r="4355" spans="1:14" x14ac:dyDescent="0.45">
      <c r="A4355">
        <v>2000</v>
      </c>
      <c r="B4355" t="s">
        <v>265</v>
      </c>
      <c r="C4355">
        <v>0</v>
      </c>
      <c r="D4355">
        <v>0</v>
      </c>
      <c r="E4355">
        <v>0</v>
      </c>
      <c r="F4355">
        <v>1</v>
      </c>
      <c r="G4355">
        <v>0</v>
      </c>
      <c r="H4355">
        <v>0</v>
      </c>
      <c r="I4355">
        <v>0</v>
      </c>
      <c r="J4355">
        <v>3342.1672661156099</v>
      </c>
      <c r="K4355">
        <v>3023.3290071916999</v>
      </c>
      <c r="L4355">
        <v>78.326999999999998</v>
      </c>
      <c r="M4355">
        <v>68.585999999999999</v>
      </c>
      <c r="N4355">
        <v>28.998000000000001</v>
      </c>
    </row>
    <row r="4356" spans="1:14" x14ac:dyDescent="0.45">
      <c r="A4356">
        <v>2000</v>
      </c>
      <c r="B4356" t="s">
        <v>266</v>
      </c>
      <c r="C4356">
        <v>0</v>
      </c>
      <c r="D4356">
        <v>0</v>
      </c>
      <c r="E4356">
        <v>0</v>
      </c>
      <c r="F4356">
        <v>1</v>
      </c>
      <c r="G4356">
        <v>0</v>
      </c>
      <c r="H4356">
        <v>0</v>
      </c>
      <c r="I4356">
        <v>0</v>
      </c>
      <c r="J4356">
        <v>4638.5944650259598</v>
      </c>
      <c r="K4356">
        <v>4196.07879620312</v>
      </c>
      <c r="L4356">
        <v>78.022999999999996</v>
      </c>
      <c r="M4356">
        <v>70.790999999999997</v>
      </c>
      <c r="N4356">
        <v>21.344999999999999</v>
      </c>
    </row>
    <row r="4357" spans="1:14" x14ac:dyDescent="0.45">
      <c r="A4357">
        <v>2000</v>
      </c>
      <c r="B4357" t="s">
        <v>267</v>
      </c>
      <c r="C4357">
        <v>1</v>
      </c>
      <c r="D4357">
        <v>0</v>
      </c>
      <c r="E4357">
        <v>0</v>
      </c>
      <c r="F4357">
        <v>1</v>
      </c>
      <c r="G4357">
        <v>0</v>
      </c>
      <c r="H4357">
        <v>0</v>
      </c>
      <c r="I4357">
        <v>0</v>
      </c>
      <c r="L4357">
        <v>47.231000000000002</v>
      </c>
      <c r="M4357">
        <v>71.320999999999998</v>
      </c>
      <c r="N4357">
        <v>48.094999999999999</v>
      </c>
    </row>
    <row r="4358" spans="1:14" x14ac:dyDescent="0.45">
      <c r="A4358">
        <v>2000</v>
      </c>
      <c r="B4358" t="s">
        <v>268</v>
      </c>
      <c r="C4358">
        <v>0</v>
      </c>
      <c r="D4358">
        <v>0</v>
      </c>
      <c r="E4358">
        <v>0</v>
      </c>
      <c r="F4358">
        <v>0</v>
      </c>
      <c r="G4358">
        <v>0</v>
      </c>
      <c r="H4358">
        <v>0</v>
      </c>
      <c r="I4358">
        <v>0</v>
      </c>
      <c r="L4358">
        <v>73.733000000000004</v>
      </c>
      <c r="M4358">
        <v>62.761000000000003</v>
      </c>
      <c r="N4358">
        <v>92.025000000000006</v>
      </c>
    </row>
    <row r="4359" spans="1:14" x14ac:dyDescent="0.45">
      <c r="A4359">
        <v>2000</v>
      </c>
      <c r="B4359" t="s">
        <v>269</v>
      </c>
      <c r="C4359">
        <v>0</v>
      </c>
      <c r="D4359">
        <v>0</v>
      </c>
      <c r="E4359">
        <v>1</v>
      </c>
      <c r="F4359">
        <v>0</v>
      </c>
      <c r="G4359">
        <v>1</v>
      </c>
      <c r="H4359">
        <v>0</v>
      </c>
      <c r="I4359">
        <v>0</v>
      </c>
      <c r="J4359">
        <v>11197.5148952493</v>
      </c>
      <c r="K4359">
        <v>10542.9208635699</v>
      </c>
      <c r="L4359">
        <v>43.109000000000002</v>
      </c>
      <c r="M4359">
        <v>58.368000000000002</v>
      </c>
      <c r="N4359">
        <v>68.891999999999996</v>
      </c>
    </row>
    <row r="4360" spans="1:14" x14ac:dyDescent="0.45">
      <c r="A4360">
        <v>2000</v>
      </c>
      <c r="B4360" t="s">
        <v>270</v>
      </c>
      <c r="C4360">
        <v>0</v>
      </c>
      <c r="D4360">
        <v>0</v>
      </c>
      <c r="E4360">
        <v>1</v>
      </c>
      <c r="F4360">
        <v>0</v>
      </c>
      <c r="G4360">
        <v>0</v>
      </c>
      <c r="H4360">
        <v>0</v>
      </c>
      <c r="I4360">
        <v>0</v>
      </c>
      <c r="J4360">
        <v>2220.5653712714002</v>
      </c>
      <c r="K4360">
        <v>2084.7939356511101</v>
      </c>
      <c r="L4360">
        <v>65.197999999999993</v>
      </c>
      <c r="M4360">
        <v>46.576999999999998</v>
      </c>
      <c r="N4360">
        <v>151.57499999999999</v>
      </c>
    </row>
    <row r="4361" spans="1:14" x14ac:dyDescent="0.45">
      <c r="A4361">
        <v>2000</v>
      </c>
      <c r="B4361" t="s">
        <v>271</v>
      </c>
      <c r="C4361">
        <v>0</v>
      </c>
      <c r="D4361">
        <v>0</v>
      </c>
      <c r="E4361">
        <v>1</v>
      </c>
      <c r="F4361">
        <v>0</v>
      </c>
      <c r="G4361">
        <v>0</v>
      </c>
      <c r="H4361">
        <v>0</v>
      </c>
      <c r="I4361">
        <v>0</v>
      </c>
      <c r="J4361">
        <v>4071.0187949333199</v>
      </c>
      <c r="K4361">
        <v>2710.6304116142301</v>
      </c>
      <c r="L4361">
        <v>66.242000000000004</v>
      </c>
      <c r="M4361">
        <v>46.033999999999999</v>
      </c>
      <c r="N4361">
        <v>94.992000000000004</v>
      </c>
    </row>
    <row r="4362" spans="1:14" x14ac:dyDescent="0.45">
      <c r="A4362">
        <v>2001</v>
      </c>
      <c r="B4362" t="s">
        <v>54</v>
      </c>
      <c r="C4362">
        <v>0</v>
      </c>
      <c r="D4362">
        <v>1</v>
      </c>
      <c r="E4362">
        <v>0</v>
      </c>
      <c r="F4362">
        <v>0</v>
      </c>
      <c r="G4362">
        <v>0</v>
      </c>
      <c r="H4362">
        <v>1</v>
      </c>
      <c r="I4362">
        <v>1</v>
      </c>
      <c r="J4362">
        <v>40505.533001060903</v>
      </c>
      <c r="K4362">
        <v>39420.280362344201</v>
      </c>
      <c r="L4362">
        <v>53.661000000000001</v>
      </c>
      <c r="M4362">
        <v>73.043999999999997</v>
      </c>
      <c r="N4362">
        <v>20.946000000000002</v>
      </c>
    </row>
    <row r="4363" spans="1:14" x14ac:dyDescent="0.45">
      <c r="A4363">
        <v>2001</v>
      </c>
      <c r="B4363" t="s">
        <v>55</v>
      </c>
      <c r="C4363">
        <v>0</v>
      </c>
      <c r="D4363">
        <v>0</v>
      </c>
      <c r="E4363">
        <v>0</v>
      </c>
      <c r="F4363">
        <v>0</v>
      </c>
      <c r="G4363">
        <v>0</v>
      </c>
      <c r="H4363">
        <v>0</v>
      </c>
      <c r="I4363">
        <v>0</v>
      </c>
      <c r="J4363">
        <v>1454.11078195559</v>
      </c>
      <c r="K4363">
        <v>1150.1887226116501</v>
      </c>
      <c r="L4363">
        <v>77.831000000000003</v>
      </c>
      <c r="M4363">
        <v>55.511000000000003</v>
      </c>
      <c r="N4363">
        <v>127.83499999999999</v>
      </c>
    </row>
    <row r="4364" spans="1:14" x14ac:dyDescent="0.45">
      <c r="A4364">
        <v>2001</v>
      </c>
      <c r="B4364" t="s">
        <v>56</v>
      </c>
      <c r="C4364">
        <v>0</v>
      </c>
      <c r="D4364">
        <v>0</v>
      </c>
      <c r="E4364">
        <v>1</v>
      </c>
      <c r="F4364">
        <v>0</v>
      </c>
      <c r="G4364">
        <v>0</v>
      </c>
      <c r="H4364">
        <v>0</v>
      </c>
      <c r="I4364">
        <v>0</v>
      </c>
      <c r="J4364">
        <v>6049.1632122227202</v>
      </c>
      <c r="K4364">
        <v>4678.12518205174</v>
      </c>
      <c r="L4364">
        <v>48.725999999999999</v>
      </c>
      <c r="M4364">
        <v>47.031999999999996</v>
      </c>
      <c r="N4364">
        <v>197.821</v>
      </c>
    </row>
    <row r="4365" spans="1:14" x14ac:dyDescent="0.45">
      <c r="A4365">
        <v>2001</v>
      </c>
      <c r="B4365" t="s">
        <v>57</v>
      </c>
      <c r="C4365">
        <v>1</v>
      </c>
      <c r="D4365">
        <v>0</v>
      </c>
      <c r="E4365">
        <v>0</v>
      </c>
      <c r="F4365">
        <v>1</v>
      </c>
      <c r="G4365">
        <v>0</v>
      </c>
      <c r="H4365">
        <v>0</v>
      </c>
      <c r="I4365">
        <v>0</v>
      </c>
      <c r="J4365">
        <v>7232.5757842305902</v>
      </c>
      <c r="K4365">
        <v>6552.3819190582999</v>
      </c>
      <c r="L4365">
        <v>57.564999999999998</v>
      </c>
      <c r="M4365">
        <v>75.082999999999998</v>
      </c>
      <c r="N4365">
        <v>25.498000000000001</v>
      </c>
    </row>
    <row r="4366" spans="1:14" x14ac:dyDescent="0.45">
      <c r="A4366">
        <v>2001</v>
      </c>
      <c r="B4366" t="s">
        <v>58</v>
      </c>
      <c r="C4366">
        <v>1</v>
      </c>
      <c r="D4366">
        <v>0</v>
      </c>
      <c r="E4366">
        <v>0</v>
      </c>
      <c r="F4366">
        <v>0</v>
      </c>
      <c r="G4366">
        <v>0</v>
      </c>
      <c r="H4366">
        <v>1</v>
      </c>
      <c r="I4366">
        <v>1</v>
      </c>
      <c r="J4366">
        <v>59109.0136806378</v>
      </c>
      <c r="K4366">
        <v>49617.503039138501</v>
      </c>
      <c r="L4366">
        <v>7.944</v>
      </c>
      <c r="M4366">
        <v>82.162000000000006</v>
      </c>
      <c r="N4366">
        <v>7.3810000000000002</v>
      </c>
    </row>
    <row r="4367" spans="1:14" x14ac:dyDescent="0.45">
      <c r="A4367">
        <v>2001</v>
      </c>
      <c r="B4367" t="s">
        <v>59</v>
      </c>
      <c r="C4367">
        <v>0</v>
      </c>
      <c r="D4367">
        <v>0</v>
      </c>
      <c r="E4367">
        <v>0</v>
      </c>
      <c r="F4367">
        <v>0</v>
      </c>
      <c r="G4367">
        <v>0</v>
      </c>
      <c r="H4367">
        <v>1</v>
      </c>
      <c r="I4367">
        <v>1</v>
      </c>
      <c r="J4367">
        <v>88045.197513438397</v>
      </c>
      <c r="K4367">
        <v>86985.898466699597</v>
      </c>
      <c r="L4367">
        <v>19.344999999999999</v>
      </c>
      <c r="M4367">
        <v>77.620999999999995</v>
      </c>
      <c r="N4367">
        <v>10.917999999999999</v>
      </c>
    </row>
    <row r="4368" spans="1:14" x14ac:dyDescent="0.45">
      <c r="A4368">
        <v>2001</v>
      </c>
      <c r="B4368" t="s">
        <v>60</v>
      </c>
      <c r="C4368">
        <v>0</v>
      </c>
      <c r="D4368">
        <v>1</v>
      </c>
      <c r="E4368">
        <v>0</v>
      </c>
      <c r="F4368">
        <v>0</v>
      </c>
      <c r="G4368">
        <v>1</v>
      </c>
      <c r="H4368">
        <v>0</v>
      </c>
      <c r="I4368">
        <v>0</v>
      </c>
      <c r="J4368">
        <v>21066.458129043302</v>
      </c>
      <c r="K4368">
        <v>17386.354154526402</v>
      </c>
      <c r="L4368">
        <v>10.670999999999999</v>
      </c>
      <c r="M4368">
        <v>74.153999999999996</v>
      </c>
      <c r="N4368">
        <v>20.651</v>
      </c>
    </row>
    <row r="4369" spans="1:14" x14ac:dyDescent="0.45">
      <c r="A4369">
        <v>2001</v>
      </c>
      <c r="B4369" t="s">
        <v>61</v>
      </c>
      <c r="C4369">
        <v>1</v>
      </c>
      <c r="D4369">
        <v>0</v>
      </c>
      <c r="E4369">
        <v>0</v>
      </c>
      <c r="F4369">
        <v>0</v>
      </c>
      <c r="G4369">
        <v>0</v>
      </c>
      <c r="H4369">
        <v>0</v>
      </c>
      <c r="I4369">
        <v>0</v>
      </c>
      <c r="J4369">
        <v>5044.1164782646802</v>
      </c>
      <c r="K4369">
        <v>4272.87727985325</v>
      </c>
      <c r="L4369">
        <v>35.615000000000002</v>
      </c>
      <c r="M4369">
        <v>71.174000000000007</v>
      </c>
      <c r="N4369">
        <v>29.24</v>
      </c>
    </row>
    <row r="4370" spans="1:14" x14ac:dyDescent="0.45">
      <c r="A4370">
        <v>2001</v>
      </c>
      <c r="B4370" t="s">
        <v>62</v>
      </c>
      <c r="C4370">
        <v>0</v>
      </c>
      <c r="D4370">
        <v>0</v>
      </c>
      <c r="E4370">
        <v>0</v>
      </c>
      <c r="F4370">
        <v>0</v>
      </c>
      <c r="G4370">
        <v>1</v>
      </c>
      <c r="H4370">
        <v>0</v>
      </c>
      <c r="I4370">
        <v>0</v>
      </c>
      <c r="L4370">
        <v>11.509</v>
      </c>
      <c r="M4370">
        <v>71.572999999999993</v>
      </c>
      <c r="N4370">
        <v>13.728</v>
      </c>
    </row>
    <row r="4371" spans="1:14" x14ac:dyDescent="0.45">
      <c r="A4371">
        <v>2001</v>
      </c>
      <c r="B4371" t="s">
        <v>63</v>
      </c>
      <c r="C4371">
        <v>0</v>
      </c>
      <c r="D4371">
        <v>1</v>
      </c>
      <c r="E4371">
        <v>0</v>
      </c>
      <c r="F4371">
        <v>0</v>
      </c>
      <c r="G4371">
        <v>1</v>
      </c>
      <c r="H4371">
        <v>0</v>
      </c>
      <c r="I4371">
        <v>0</v>
      </c>
      <c r="J4371">
        <v>24014.775459351102</v>
      </c>
      <c r="K4371">
        <v>18913.961051382099</v>
      </c>
      <c r="L4371">
        <v>68.260000000000005</v>
      </c>
      <c r="M4371">
        <v>75.108000000000004</v>
      </c>
      <c r="N4371">
        <v>14.510999999999999</v>
      </c>
    </row>
    <row r="4372" spans="1:14" x14ac:dyDescent="0.45">
      <c r="A4372">
        <v>2001</v>
      </c>
      <c r="B4372" t="s">
        <v>64</v>
      </c>
      <c r="C4372">
        <v>0</v>
      </c>
      <c r="D4372">
        <v>0</v>
      </c>
      <c r="E4372">
        <v>0</v>
      </c>
      <c r="F4372">
        <v>0</v>
      </c>
      <c r="G4372">
        <v>0</v>
      </c>
      <c r="H4372">
        <v>1</v>
      </c>
      <c r="I4372">
        <v>1</v>
      </c>
      <c r="J4372">
        <v>45338.683425956799</v>
      </c>
      <c r="K4372">
        <v>39270.172780634399</v>
      </c>
      <c r="L4372">
        <v>15.9</v>
      </c>
      <c r="M4372">
        <v>80.006</v>
      </c>
      <c r="N4372">
        <v>6.1369999999999996</v>
      </c>
    </row>
    <row r="4373" spans="1:14" x14ac:dyDescent="0.45">
      <c r="A4373">
        <v>2001</v>
      </c>
      <c r="B4373" t="s">
        <v>65</v>
      </c>
      <c r="C4373">
        <v>1</v>
      </c>
      <c r="D4373">
        <v>0</v>
      </c>
      <c r="E4373">
        <v>0</v>
      </c>
      <c r="F4373">
        <v>0</v>
      </c>
      <c r="G4373">
        <v>0</v>
      </c>
      <c r="H4373">
        <v>1</v>
      </c>
      <c r="I4373">
        <v>1</v>
      </c>
      <c r="J4373">
        <v>54098.025701852101</v>
      </c>
      <c r="K4373">
        <v>46099.931987594297</v>
      </c>
      <c r="L4373">
        <v>40.066000000000003</v>
      </c>
      <c r="M4373">
        <v>78.718000000000004</v>
      </c>
      <c r="N4373">
        <v>5.6820000000000004</v>
      </c>
    </row>
    <row r="4374" spans="1:14" x14ac:dyDescent="0.45">
      <c r="A4374">
        <v>2001</v>
      </c>
      <c r="B4374" t="s">
        <v>66</v>
      </c>
      <c r="C4374">
        <v>1</v>
      </c>
      <c r="D4374">
        <v>0</v>
      </c>
      <c r="E4374">
        <v>0</v>
      </c>
      <c r="F4374">
        <v>0</v>
      </c>
      <c r="G4374">
        <v>0</v>
      </c>
      <c r="H4374">
        <v>0</v>
      </c>
      <c r="I4374">
        <v>0</v>
      </c>
      <c r="J4374">
        <v>6168.9851098032796</v>
      </c>
      <c r="K4374">
        <v>4492.3311761397599</v>
      </c>
      <c r="L4374">
        <v>48.412999999999997</v>
      </c>
      <c r="M4374">
        <v>66.043000000000006</v>
      </c>
      <c r="N4374">
        <v>69.760000000000005</v>
      </c>
    </row>
    <row r="4375" spans="1:14" x14ac:dyDescent="0.45">
      <c r="A4375">
        <v>2001</v>
      </c>
      <c r="B4375" t="s">
        <v>67</v>
      </c>
      <c r="C4375">
        <v>0</v>
      </c>
      <c r="D4375">
        <v>0</v>
      </c>
      <c r="E4375">
        <v>1</v>
      </c>
      <c r="F4375">
        <v>0</v>
      </c>
      <c r="G4375">
        <v>0</v>
      </c>
      <c r="H4375">
        <v>0</v>
      </c>
      <c r="I4375">
        <v>0</v>
      </c>
      <c r="J4375">
        <v>983.39684671703299</v>
      </c>
      <c r="K4375">
        <v>849.75640457179998</v>
      </c>
      <c r="L4375">
        <v>91.539000000000001</v>
      </c>
      <c r="M4375">
        <v>48.509</v>
      </c>
      <c r="N4375">
        <v>147.91999999999999</v>
      </c>
    </row>
    <row r="4376" spans="1:14" x14ac:dyDescent="0.45">
      <c r="A4376">
        <v>2001</v>
      </c>
      <c r="B4376" t="s">
        <v>68</v>
      </c>
      <c r="C4376">
        <v>1</v>
      </c>
      <c r="D4376">
        <v>0</v>
      </c>
      <c r="E4376">
        <v>0</v>
      </c>
      <c r="F4376">
        <v>0</v>
      </c>
      <c r="G4376">
        <v>0</v>
      </c>
      <c r="H4376">
        <v>1</v>
      </c>
      <c r="I4376">
        <v>1</v>
      </c>
      <c r="J4376">
        <v>50857.824735388</v>
      </c>
      <c r="K4376">
        <v>42797.705101086402</v>
      </c>
      <c r="L4376">
        <v>2.8139999999999898</v>
      </c>
      <c r="M4376">
        <v>78.081999999999994</v>
      </c>
      <c r="N4376">
        <v>5.7560000000000002</v>
      </c>
    </row>
    <row r="4377" spans="1:14" x14ac:dyDescent="0.45">
      <c r="A4377">
        <v>2001</v>
      </c>
      <c r="B4377" t="s">
        <v>69</v>
      </c>
      <c r="C4377">
        <v>0</v>
      </c>
      <c r="D4377">
        <v>0</v>
      </c>
      <c r="E4377">
        <v>1</v>
      </c>
      <c r="F4377">
        <v>0</v>
      </c>
      <c r="G4377">
        <v>0</v>
      </c>
      <c r="H4377">
        <v>0</v>
      </c>
      <c r="I4377">
        <v>0</v>
      </c>
      <c r="J4377">
        <v>2591.06485220288</v>
      </c>
      <c r="K4377">
        <v>2458.2776614653299</v>
      </c>
      <c r="L4377">
        <v>61.35</v>
      </c>
      <c r="M4377">
        <v>56.654000000000003</v>
      </c>
      <c r="N4377">
        <v>133.524</v>
      </c>
    </row>
    <row r="4378" spans="1:14" x14ac:dyDescent="0.45">
      <c r="A4378">
        <v>2001</v>
      </c>
      <c r="B4378" t="s">
        <v>70</v>
      </c>
      <c r="C4378">
        <v>0</v>
      </c>
      <c r="D4378">
        <v>0</v>
      </c>
      <c r="E4378">
        <v>1</v>
      </c>
      <c r="F4378">
        <v>0</v>
      </c>
      <c r="G4378">
        <v>0</v>
      </c>
      <c r="H4378">
        <v>0</v>
      </c>
      <c r="I4378">
        <v>0</v>
      </c>
      <c r="J4378">
        <v>1477.28491846525</v>
      </c>
      <c r="K4378">
        <v>1351.6227597027701</v>
      </c>
      <c r="L4378">
        <v>81.459999999999994</v>
      </c>
      <c r="M4378">
        <v>51.188000000000002</v>
      </c>
      <c r="N4378">
        <v>173.79499999999999</v>
      </c>
    </row>
    <row r="4379" spans="1:14" x14ac:dyDescent="0.45">
      <c r="A4379">
        <v>2001</v>
      </c>
      <c r="B4379" t="s">
        <v>71</v>
      </c>
      <c r="C4379">
        <v>0</v>
      </c>
      <c r="D4379">
        <v>0</v>
      </c>
      <c r="E4379">
        <v>0</v>
      </c>
      <c r="F4379">
        <v>0</v>
      </c>
      <c r="G4379">
        <v>0</v>
      </c>
      <c r="H4379">
        <v>0</v>
      </c>
      <c r="I4379">
        <v>0</v>
      </c>
      <c r="J4379">
        <v>2803.55471950946</v>
      </c>
      <c r="K4379">
        <v>2279.2747494238101</v>
      </c>
      <c r="L4379">
        <v>75.903999999999996</v>
      </c>
      <c r="M4379">
        <v>62.835999999999999</v>
      </c>
      <c r="N4379">
        <v>81.123999999999995</v>
      </c>
    </row>
    <row r="4380" spans="1:14" x14ac:dyDescent="0.45">
      <c r="A4380">
        <v>2001</v>
      </c>
      <c r="B4380" t="s">
        <v>72</v>
      </c>
      <c r="C4380">
        <v>1</v>
      </c>
      <c r="D4380">
        <v>0</v>
      </c>
      <c r="E4380">
        <v>0</v>
      </c>
      <c r="F4380">
        <v>1</v>
      </c>
      <c r="G4380">
        <v>0</v>
      </c>
      <c r="H4380">
        <v>0</v>
      </c>
      <c r="I4380">
        <v>0</v>
      </c>
      <c r="J4380">
        <v>13301.3551670776</v>
      </c>
      <c r="K4380">
        <v>11037.457504337201</v>
      </c>
      <c r="L4380">
        <v>30.834</v>
      </c>
      <c r="M4380">
        <v>71.879000000000005</v>
      </c>
      <c r="N4380">
        <v>16.815999999999999</v>
      </c>
    </row>
    <row r="4381" spans="1:14" x14ac:dyDescent="0.45">
      <c r="A4381">
        <v>2001</v>
      </c>
      <c r="B4381" t="s">
        <v>73</v>
      </c>
      <c r="C4381">
        <v>0</v>
      </c>
      <c r="D4381">
        <v>0</v>
      </c>
      <c r="E4381">
        <v>0</v>
      </c>
      <c r="F4381">
        <v>0</v>
      </c>
      <c r="G4381">
        <v>0</v>
      </c>
      <c r="H4381">
        <v>1</v>
      </c>
      <c r="I4381">
        <v>1</v>
      </c>
      <c r="J4381">
        <v>57280.6986707494</v>
      </c>
      <c r="K4381">
        <v>53371.992567661699</v>
      </c>
      <c r="L4381">
        <v>11.631</v>
      </c>
      <c r="M4381">
        <v>74.941999999999993</v>
      </c>
      <c r="N4381">
        <v>12.161</v>
      </c>
    </row>
    <row r="4382" spans="1:14" x14ac:dyDescent="0.45">
      <c r="A4382">
        <v>2001</v>
      </c>
      <c r="B4382" t="s">
        <v>74</v>
      </c>
      <c r="C4382">
        <v>0</v>
      </c>
      <c r="D4382">
        <v>1</v>
      </c>
      <c r="E4382">
        <v>0</v>
      </c>
      <c r="F4382">
        <v>0</v>
      </c>
      <c r="G4382">
        <v>0</v>
      </c>
      <c r="H4382">
        <v>1</v>
      </c>
      <c r="I4382">
        <v>1</v>
      </c>
      <c r="J4382">
        <v>35072.2778102066</v>
      </c>
      <c r="K4382">
        <v>36379.982229285</v>
      </c>
      <c r="L4382">
        <v>17.951000000000001</v>
      </c>
      <c r="M4382">
        <v>72.765000000000001</v>
      </c>
      <c r="N4382">
        <v>16.390999999999998</v>
      </c>
    </row>
    <row r="4383" spans="1:14" x14ac:dyDescent="0.45">
      <c r="A4383">
        <v>2001</v>
      </c>
      <c r="B4383" t="s">
        <v>75</v>
      </c>
      <c r="C4383">
        <v>1</v>
      </c>
      <c r="D4383">
        <v>0</v>
      </c>
      <c r="E4383">
        <v>0</v>
      </c>
      <c r="F4383">
        <v>1</v>
      </c>
      <c r="G4383">
        <v>0</v>
      </c>
      <c r="H4383">
        <v>0</v>
      </c>
      <c r="I4383">
        <v>0</v>
      </c>
      <c r="J4383">
        <v>7979.8685297046004</v>
      </c>
      <c r="K4383">
        <v>6893.4995325959699</v>
      </c>
      <c r="L4383">
        <v>57.302</v>
      </c>
      <c r="M4383">
        <v>75.572999999999993</v>
      </c>
      <c r="N4383">
        <v>9.2110000000000003</v>
      </c>
    </row>
    <row r="4384" spans="1:14" x14ac:dyDescent="0.45">
      <c r="A4384">
        <v>2001</v>
      </c>
      <c r="B4384" t="s">
        <v>76</v>
      </c>
      <c r="C4384">
        <v>1</v>
      </c>
      <c r="D4384">
        <v>0</v>
      </c>
      <c r="E4384">
        <v>0</v>
      </c>
      <c r="F4384">
        <v>1</v>
      </c>
      <c r="G4384">
        <v>0</v>
      </c>
      <c r="H4384">
        <v>0</v>
      </c>
      <c r="I4384">
        <v>0</v>
      </c>
      <c r="J4384">
        <v>11771.087204929099</v>
      </c>
      <c r="K4384">
        <v>8498.6669101802599</v>
      </c>
      <c r="L4384">
        <v>29.542000000000002</v>
      </c>
      <c r="M4384">
        <v>68.435000000000002</v>
      </c>
      <c r="N4384">
        <v>11.657</v>
      </c>
    </row>
    <row r="4385" spans="1:14" x14ac:dyDescent="0.45">
      <c r="A4385">
        <v>2001</v>
      </c>
      <c r="B4385" t="s">
        <v>77</v>
      </c>
      <c r="C4385">
        <v>0</v>
      </c>
      <c r="D4385">
        <v>1</v>
      </c>
      <c r="E4385">
        <v>0</v>
      </c>
      <c r="F4385">
        <v>1</v>
      </c>
      <c r="G4385">
        <v>0</v>
      </c>
      <c r="H4385">
        <v>0</v>
      </c>
      <c r="I4385">
        <v>0</v>
      </c>
      <c r="J4385">
        <v>11555.9072108358</v>
      </c>
      <c r="K4385">
        <v>9107.1316301189909</v>
      </c>
      <c r="L4385">
        <v>54.619</v>
      </c>
      <c r="M4385">
        <v>68.944000000000003</v>
      </c>
      <c r="N4385">
        <v>25.01</v>
      </c>
    </row>
    <row r="4386" spans="1:14" x14ac:dyDescent="0.45">
      <c r="A4386">
        <v>2001</v>
      </c>
      <c r="B4386" t="s">
        <v>78</v>
      </c>
      <c r="C4386">
        <v>0</v>
      </c>
      <c r="D4386">
        <v>0</v>
      </c>
      <c r="E4386">
        <v>0</v>
      </c>
      <c r="F4386">
        <v>0</v>
      </c>
      <c r="G4386">
        <v>0</v>
      </c>
      <c r="H4386">
        <v>1</v>
      </c>
      <c r="I4386">
        <v>1</v>
      </c>
      <c r="J4386">
        <v>104560.83978349699</v>
      </c>
      <c r="K4386">
        <v>92898.5334094102</v>
      </c>
      <c r="L4386">
        <v>0</v>
      </c>
      <c r="M4386">
        <v>78.637</v>
      </c>
      <c r="N4386">
        <v>4.7210000000000001</v>
      </c>
    </row>
    <row r="4387" spans="1:14" x14ac:dyDescent="0.45">
      <c r="A4387">
        <v>2001</v>
      </c>
      <c r="B4387" t="s">
        <v>79</v>
      </c>
      <c r="C4387">
        <v>0</v>
      </c>
      <c r="D4387">
        <v>1</v>
      </c>
      <c r="E4387">
        <v>0</v>
      </c>
      <c r="F4387">
        <v>1</v>
      </c>
      <c r="G4387">
        <v>0</v>
      </c>
      <c r="H4387">
        <v>0</v>
      </c>
      <c r="I4387">
        <v>0</v>
      </c>
      <c r="J4387">
        <v>6144.9782946509804</v>
      </c>
      <c r="K4387">
        <v>5423.2519010419801</v>
      </c>
      <c r="L4387">
        <v>37.694000000000003</v>
      </c>
      <c r="M4387">
        <v>62.537999999999997</v>
      </c>
      <c r="N4387">
        <v>93.378</v>
      </c>
    </row>
    <row r="4388" spans="1:14" x14ac:dyDescent="0.45">
      <c r="A4388">
        <v>2001</v>
      </c>
      <c r="B4388" t="s">
        <v>80</v>
      </c>
      <c r="C4388">
        <v>0</v>
      </c>
      <c r="D4388">
        <v>1</v>
      </c>
      <c r="E4388">
        <v>0</v>
      </c>
      <c r="F4388">
        <v>0</v>
      </c>
      <c r="G4388">
        <v>1</v>
      </c>
      <c r="H4388">
        <v>0</v>
      </c>
      <c r="I4388">
        <v>0</v>
      </c>
      <c r="J4388">
        <v>14016.131377223601</v>
      </c>
      <c r="K4388">
        <v>11512.978440065301</v>
      </c>
      <c r="L4388">
        <v>18.446999999999999</v>
      </c>
      <c r="M4388">
        <v>69.98</v>
      </c>
      <c r="N4388">
        <v>32.354999999999997</v>
      </c>
    </row>
    <row r="4389" spans="1:14" x14ac:dyDescent="0.45">
      <c r="A4389">
        <v>2001</v>
      </c>
      <c r="B4389" t="s">
        <v>81</v>
      </c>
      <c r="C4389">
        <v>0</v>
      </c>
      <c r="D4389">
        <v>1</v>
      </c>
      <c r="E4389">
        <v>0</v>
      </c>
      <c r="F4389">
        <v>0</v>
      </c>
      <c r="G4389">
        <v>1</v>
      </c>
      <c r="H4389">
        <v>0</v>
      </c>
      <c r="I4389">
        <v>0</v>
      </c>
      <c r="J4389">
        <v>18380.258892274302</v>
      </c>
      <c r="K4389">
        <v>17554.977353985701</v>
      </c>
      <c r="L4389">
        <v>66.370999999999995</v>
      </c>
      <c r="M4389">
        <v>74.706999999999994</v>
      </c>
      <c r="N4389">
        <v>14.939</v>
      </c>
    </row>
    <row r="4390" spans="1:14" x14ac:dyDescent="0.45">
      <c r="A4390">
        <v>2001</v>
      </c>
      <c r="B4390" t="s">
        <v>82</v>
      </c>
      <c r="C4390">
        <v>0</v>
      </c>
      <c r="D4390">
        <v>0</v>
      </c>
      <c r="E4390">
        <v>0</v>
      </c>
      <c r="F4390">
        <v>0</v>
      </c>
      <c r="G4390">
        <v>0</v>
      </c>
      <c r="H4390">
        <v>1</v>
      </c>
      <c r="I4390">
        <v>1</v>
      </c>
      <c r="J4390">
        <v>99680.762477226104</v>
      </c>
      <c r="K4390">
        <v>77831.185289637506</v>
      </c>
      <c r="L4390">
        <v>28.347999999999999</v>
      </c>
      <c r="M4390">
        <v>74.209000000000003</v>
      </c>
      <c r="N4390">
        <v>10.23</v>
      </c>
    </row>
    <row r="4391" spans="1:14" x14ac:dyDescent="0.45">
      <c r="A4391">
        <v>2001</v>
      </c>
      <c r="B4391" t="s">
        <v>83</v>
      </c>
      <c r="C4391">
        <v>0</v>
      </c>
      <c r="D4391">
        <v>0</v>
      </c>
      <c r="E4391">
        <v>0</v>
      </c>
      <c r="F4391">
        <v>0</v>
      </c>
      <c r="G4391">
        <v>0</v>
      </c>
      <c r="H4391">
        <v>0</v>
      </c>
      <c r="I4391">
        <v>0</v>
      </c>
      <c r="J4391">
        <v>5545.6305511084001</v>
      </c>
      <c r="K4391">
        <v>4803.2173632007898</v>
      </c>
      <c r="L4391">
        <v>73.52</v>
      </c>
      <c r="M4391">
        <v>63.323</v>
      </c>
      <c r="N4391">
        <v>73.603999999999999</v>
      </c>
    </row>
    <row r="4392" spans="1:14" x14ac:dyDescent="0.45">
      <c r="A4392">
        <v>2001</v>
      </c>
      <c r="B4392" t="s">
        <v>84</v>
      </c>
      <c r="C4392">
        <v>0</v>
      </c>
      <c r="D4392">
        <v>0</v>
      </c>
      <c r="E4392">
        <v>1</v>
      </c>
      <c r="F4392">
        <v>0</v>
      </c>
      <c r="G4392">
        <v>1</v>
      </c>
      <c r="H4392">
        <v>0</v>
      </c>
      <c r="I4392">
        <v>0</v>
      </c>
      <c r="J4392">
        <v>12949.6403092989</v>
      </c>
      <c r="K4392">
        <v>11716.6588895735</v>
      </c>
      <c r="L4392">
        <v>45.938000000000002</v>
      </c>
      <c r="M4392">
        <v>52.21</v>
      </c>
      <c r="N4392">
        <v>75.381</v>
      </c>
    </row>
    <row r="4393" spans="1:14" x14ac:dyDescent="0.45">
      <c r="A4393">
        <v>2001</v>
      </c>
      <c r="B4393" t="s">
        <v>85</v>
      </c>
      <c r="C4393">
        <v>0</v>
      </c>
      <c r="D4393">
        <v>0</v>
      </c>
      <c r="E4393">
        <v>1</v>
      </c>
      <c r="F4393">
        <v>0</v>
      </c>
      <c r="G4393">
        <v>0</v>
      </c>
      <c r="H4393">
        <v>0</v>
      </c>
      <c r="I4393">
        <v>0</v>
      </c>
      <c r="J4393">
        <v>1272.85710758505</v>
      </c>
      <c r="K4393">
        <v>1019.11345528063</v>
      </c>
      <c r="L4393">
        <v>62.28</v>
      </c>
      <c r="M4393">
        <v>46.734000000000002</v>
      </c>
      <c r="N4393">
        <v>162.31100000000001</v>
      </c>
    </row>
    <row r="4394" spans="1:14" x14ac:dyDescent="0.45">
      <c r="A4394">
        <v>2001</v>
      </c>
      <c r="B4394" t="s">
        <v>86</v>
      </c>
      <c r="C4394">
        <v>0</v>
      </c>
      <c r="D4394">
        <v>0</v>
      </c>
      <c r="E4394">
        <v>0</v>
      </c>
      <c r="F4394">
        <v>0</v>
      </c>
      <c r="G4394">
        <v>0</v>
      </c>
      <c r="H4394">
        <v>1</v>
      </c>
      <c r="I4394">
        <v>1</v>
      </c>
      <c r="J4394">
        <v>48774.167553413798</v>
      </c>
      <c r="K4394">
        <v>42219.727892483497</v>
      </c>
      <c r="L4394">
        <v>20.190000000000001</v>
      </c>
      <c r="M4394">
        <v>79.448999999999998</v>
      </c>
      <c r="N4394">
        <v>6.2089999999999996</v>
      </c>
    </row>
    <row r="4395" spans="1:14" x14ac:dyDescent="0.45">
      <c r="A4395">
        <v>2001</v>
      </c>
      <c r="B4395" t="s">
        <v>87</v>
      </c>
      <c r="C4395">
        <v>1</v>
      </c>
      <c r="D4395">
        <v>0</v>
      </c>
      <c r="E4395">
        <v>0</v>
      </c>
      <c r="F4395">
        <v>0</v>
      </c>
      <c r="G4395">
        <v>0</v>
      </c>
      <c r="H4395">
        <v>1</v>
      </c>
      <c r="I4395">
        <v>1</v>
      </c>
      <c r="J4395">
        <v>68008.344185285503</v>
      </c>
      <c r="K4395">
        <v>59165.008470303903</v>
      </c>
      <c r="L4395">
        <v>26.625</v>
      </c>
      <c r="M4395">
        <v>80.251000000000005</v>
      </c>
      <c r="N4395">
        <v>6.0019999999999998</v>
      </c>
    </row>
    <row r="4396" spans="1:14" x14ac:dyDescent="0.45">
      <c r="A4396">
        <v>2001</v>
      </c>
      <c r="B4396" t="s">
        <v>88</v>
      </c>
      <c r="C4396">
        <v>1</v>
      </c>
      <c r="D4396">
        <v>0</v>
      </c>
      <c r="E4396">
        <v>0</v>
      </c>
      <c r="F4396">
        <v>0</v>
      </c>
      <c r="G4396">
        <v>0</v>
      </c>
      <c r="H4396">
        <v>1</v>
      </c>
      <c r="I4396">
        <v>1</v>
      </c>
      <c r="L4396">
        <v>69.504999999999995</v>
      </c>
      <c r="M4396">
        <v>78.979296002687306</v>
      </c>
      <c r="N4396">
        <v>11.062716506550199</v>
      </c>
    </row>
    <row r="4397" spans="1:14" x14ac:dyDescent="0.45">
      <c r="A4397">
        <v>2001</v>
      </c>
      <c r="B4397" t="s">
        <v>89</v>
      </c>
      <c r="C4397">
        <v>0</v>
      </c>
      <c r="D4397">
        <v>1</v>
      </c>
      <c r="E4397">
        <v>0</v>
      </c>
      <c r="F4397">
        <v>0</v>
      </c>
      <c r="G4397">
        <v>1</v>
      </c>
      <c r="H4397">
        <v>0</v>
      </c>
      <c r="I4397">
        <v>0</v>
      </c>
      <c r="J4397">
        <v>17870.3008332711</v>
      </c>
      <c r="K4397">
        <v>15566.4964433798</v>
      </c>
      <c r="L4397">
        <v>13.637</v>
      </c>
      <c r="M4397">
        <v>77.58</v>
      </c>
      <c r="N4397">
        <v>10.734999999999999</v>
      </c>
    </row>
    <row r="4398" spans="1:14" x14ac:dyDescent="0.45">
      <c r="A4398">
        <v>2001</v>
      </c>
      <c r="B4398" t="s">
        <v>90</v>
      </c>
      <c r="C4398">
        <v>0</v>
      </c>
      <c r="D4398">
        <v>0</v>
      </c>
      <c r="E4398">
        <v>0</v>
      </c>
      <c r="F4398">
        <v>1</v>
      </c>
      <c r="G4398">
        <v>0</v>
      </c>
      <c r="H4398">
        <v>0</v>
      </c>
      <c r="I4398">
        <v>0</v>
      </c>
      <c r="J4398">
        <v>4372.15705579934</v>
      </c>
      <c r="K4398">
        <v>3919.3557050671202</v>
      </c>
      <c r="L4398">
        <v>62.906999999999996</v>
      </c>
      <c r="M4398">
        <v>72.674999999999997</v>
      </c>
      <c r="N4398">
        <v>33.378999999999998</v>
      </c>
    </row>
    <row r="4399" spans="1:14" x14ac:dyDescent="0.45">
      <c r="A4399">
        <v>2001</v>
      </c>
      <c r="B4399" t="s">
        <v>91</v>
      </c>
      <c r="C4399">
        <v>0</v>
      </c>
      <c r="D4399">
        <v>0</v>
      </c>
      <c r="E4399">
        <v>1</v>
      </c>
      <c r="F4399">
        <v>0</v>
      </c>
      <c r="G4399">
        <v>0</v>
      </c>
      <c r="H4399">
        <v>0</v>
      </c>
      <c r="I4399">
        <v>0</v>
      </c>
      <c r="J4399">
        <v>4609.1446939530297</v>
      </c>
      <c r="K4399">
        <v>3890.7969210029701</v>
      </c>
      <c r="L4399">
        <v>56.432000000000002</v>
      </c>
      <c r="M4399">
        <v>51.427999999999997</v>
      </c>
      <c r="N4399">
        <v>136.78200000000001</v>
      </c>
    </row>
    <row r="4400" spans="1:14" x14ac:dyDescent="0.45">
      <c r="A4400">
        <v>2001</v>
      </c>
      <c r="B4400" t="s">
        <v>92</v>
      </c>
      <c r="C4400">
        <v>0</v>
      </c>
      <c r="D4400">
        <v>0</v>
      </c>
      <c r="E4400">
        <v>1</v>
      </c>
      <c r="F4400">
        <v>0</v>
      </c>
      <c r="G4400">
        <v>0</v>
      </c>
      <c r="H4400">
        <v>0</v>
      </c>
      <c r="I4400">
        <v>0</v>
      </c>
      <c r="J4400">
        <v>3884.87304812714</v>
      </c>
      <c r="K4400">
        <v>3050.4511303792401</v>
      </c>
      <c r="L4400">
        <v>53.860999999999997</v>
      </c>
      <c r="M4400">
        <v>53.597999999999999</v>
      </c>
      <c r="N4400">
        <v>140.749</v>
      </c>
    </row>
    <row r="4401" spans="1:14" x14ac:dyDescent="0.45">
      <c r="A4401">
        <v>2001</v>
      </c>
      <c r="B4401" t="s">
        <v>93</v>
      </c>
      <c r="C4401">
        <v>0</v>
      </c>
      <c r="D4401">
        <v>0</v>
      </c>
      <c r="E4401">
        <v>1</v>
      </c>
      <c r="F4401">
        <v>0</v>
      </c>
      <c r="G4401">
        <v>0</v>
      </c>
      <c r="H4401">
        <v>0</v>
      </c>
      <c r="I4401">
        <v>0</v>
      </c>
      <c r="J4401">
        <v>841.03565137373096</v>
      </c>
      <c r="K4401">
        <v>673.30329875849804</v>
      </c>
      <c r="L4401">
        <v>64.412999999999997</v>
      </c>
      <c r="M4401">
        <v>52.204999999999998</v>
      </c>
      <c r="N4401">
        <v>154.32499999999999</v>
      </c>
    </row>
    <row r="4402" spans="1:14" x14ac:dyDescent="0.45">
      <c r="A4402">
        <v>2001</v>
      </c>
      <c r="B4402" t="s">
        <v>94</v>
      </c>
      <c r="C4402">
        <v>0</v>
      </c>
      <c r="D4402">
        <v>0</v>
      </c>
      <c r="E4402">
        <v>1</v>
      </c>
      <c r="F4402">
        <v>0</v>
      </c>
      <c r="G4402">
        <v>0</v>
      </c>
      <c r="H4402">
        <v>0</v>
      </c>
      <c r="I4402">
        <v>0</v>
      </c>
      <c r="J4402">
        <v>7567.4391681710404</v>
      </c>
      <c r="K4402">
        <v>4561.9944671065696</v>
      </c>
      <c r="L4402">
        <v>40.844000000000001</v>
      </c>
      <c r="M4402">
        <v>55.884999999999998</v>
      </c>
      <c r="N4402">
        <v>106.583</v>
      </c>
    </row>
    <row r="4403" spans="1:14" x14ac:dyDescent="0.45">
      <c r="A4403">
        <v>2001</v>
      </c>
      <c r="B4403" t="s">
        <v>95</v>
      </c>
      <c r="C4403">
        <v>0</v>
      </c>
      <c r="D4403">
        <v>1</v>
      </c>
      <c r="E4403">
        <v>0</v>
      </c>
      <c r="F4403">
        <v>1</v>
      </c>
      <c r="G4403">
        <v>0</v>
      </c>
      <c r="H4403">
        <v>0</v>
      </c>
      <c r="I4403">
        <v>0</v>
      </c>
      <c r="J4403">
        <v>10823.4504878807</v>
      </c>
      <c r="K4403">
        <v>9011.7075336902908</v>
      </c>
      <c r="L4403">
        <v>25.620999999999999</v>
      </c>
      <c r="M4403">
        <v>71.185000000000002</v>
      </c>
      <c r="N4403">
        <v>24.934000000000001</v>
      </c>
    </row>
    <row r="4404" spans="1:14" x14ac:dyDescent="0.45">
      <c r="A4404">
        <v>2001</v>
      </c>
      <c r="B4404" t="s">
        <v>96</v>
      </c>
      <c r="C4404">
        <v>0</v>
      </c>
      <c r="D4404">
        <v>0</v>
      </c>
      <c r="E4404">
        <v>1</v>
      </c>
      <c r="F4404">
        <v>0</v>
      </c>
      <c r="G4404">
        <v>0</v>
      </c>
      <c r="H4404">
        <v>0</v>
      </c>
      <c r="I4404">
        <v>0</v>
      </c>
      <c r="J4404">
        <v>2414.4300497249301</v>
      </c>
      <c r="K4404">
        <v>2496.82880413164</v>
      </c>
      <c r="L4404">
        <v>71.963999999999999</v>
      </c>
      <c r="M4404">
        <v>59.587000000000003</v>
      </c>
      <c r="N4404">
        <v>93.885000000000005</v>
      </c>
    </row>
    <row r="4405" spans="1:14" x14ac:dyDescent="0.45">
      <c r="A4405">
        <v>2001</v>
      </c>
      <c r="B4405" t="s">
        <v>97</v>
      </c>
      <c r="C4405">
        <v>0</v>
      </c>
      <c r="D4405">
        <v>0</v>
      </c>
      <c r="E4405">
        <v>1</v>
      </c>
      <c r="F4405">
        <v>1</v>
      </c>
      <c r="G4405">
        <v>0</v>
      </c>
      <c r="H4405">
        <v>0</v>
      </c>
      <c r="I4405">
        <v>0</v>
      </c>
      <c r="J4405">
        <v>4540.9073178051804</v>
      </c>
      <c r="K4405">
        <v>4376.1364383095997</v>
      </c>
      <c r="L4405">
        <v>45.709000000000003</v>
      </c>
      <c r="M4405">
        <v>68.706999999999994</v>
      </c>
      <c r="N4405">
        <v>32.558999999999997</v>
      </c>
    </row>
    <row r="4406" spans="1:14" x14ac:dyDescent="0.45">
      <c r="A4406">
        <v>2001</v>
      </c>
      <c r="B4406" t="s">
        <v>98</v>
      </c>
      <c r="C4406">
        <v>0</v>
      </c>
      <c r="D4406">
        <v>1</v>
      </c>
      <c r="E4406">
        <v>0</v>
      </c>
      <c r="F4406">
        <v>0</v>
      </c>
      <c r="G4406">
        <v>1</v>
      </c>
      <c r="H4406">
        <v>0</v>
      </c>
      <c r="I4406">
        <v>0</v>
      </c>
      <c r="J4406">
        <v>14250.4627491826</v>
      </c>
      <c r="K4406">
        <v>12759.215123252299</v>
      </c>
      <c r="L4406">
        <v>39.590000000000003</v>
      </c>
      <c r="M4406">
        <v>77.608999999999995</v>
      </c>
      <c r="N4406">
        <v>12.670999999999999</v>
      </c>
    </row>
    <row r="4407" spans="1:14" x14ac:dyDescent="0.45">
      <c r="A4407">
        <v>2001</v>
      </c>
      <c r="B4407" t="s">
        <v>99</v>
      </c>
      <c r="C4407">
        <v>0</v>
      </c>
      <c r="D4407">
        <v>1</v>
      </c>
      <c r="E4407">
        <v>0</v>
      </c>
      <c r="F4407">
        <v>1</v>
      </c>
      <c r="G4407">
        <v>0</v>
      </c>
      <c r="H4407">
        <v>0</v>
      </c>
      <c r="I4407">
        <v>0</v>
      </c>
      <c r="L4407">
        <v>24.445</v>
      </c>
      <c r="M4407">
        <v>76.429000000000002</v>
      </c>
      <c r="N4407">
        <v>8.2889999999999997</v>
      </c>
    </row>
    <row r="4408" spans="1:14" x14ac:dyDescent="0.45">
      <c r="A4408">
        <v>2001</v>
      </c>
      <c r="B4408" t="s">
        <v>100</v>
      </c>
      <c r="C4408">
        <v>0</v>
      </c>
      <c r="D4408">
        <v>1</v>
      </c>
      <c r="E4408">
        <v>0</v>
      </c>
      <c r="F4408">
        <v>0</v>
      </c>
      <c r="G4408">
        <v>0</v>
      </c>
      <c r="H4408">
        <v>1</v>
      </c>
      <c r="I4408">
        <v>1</v>
      </c>
      <c r="J4408">
        <v>35339.064405133096</v>
      </c>
      <c r="K4408">
        <v>28911.327000679099</v>
      </c>
      <c r="L4408">
        <v>8.9890000000000008</v>
      </c>
      <c r="M4408">
        <v>73.36</v>
      </c>
      <c r="N4408">
        <v>17.390999999999998</v>
      </c>
    </row>
    <row r="4409" spans="1:14" x14ac:dyDescent="0.45">
      <c r="A4409">
        <v>2001</v>
      </c>
      <c r="B4409" t="s">
        <v>101</v>
      </c>
      <c r="C4409">
        <v>0</v>
      </c>
      <c r="D4409">
        <v>1</v>
      </c>
      <c r="E4409">
        <v>0</v>
      </c>
      <c r="F4409">
        <v>0</v>
      </c>
      <c r="G4409">
        <v>0</v>
      </c>
      <c r="H4409">
        <v>1</v>
      </c>
      <c r="I4409">
        <v>1</v>
      </c>
      <c r="L4409">
        <v>0</v>
      </c>
      <c r="M4409">
        <v>74.528999999999996</v>
      </c>
      <c r="N4409">
        <v>6.1630000000000003</v>
      </c>
    </row>
    <row r="4410" spans="1:14" x14ac:dyDescent="0.45">
      <c r="A4410">
        <v>2001</v>
      </c>
      <c r="B4410" t="s">
        <v>102</v>
      </c>
      <c r="C4410">
        <v>1</v>
      </c>
      <c r="D4410">
        <v>0</v>
      </c>
      <c r="E4410">
        <v>0</v>
      </c>
      <c r="F4410">
        <v>0</v>
      </c>
      <c r="G4410">
        <v>0</v>
      </c>
      <c r="H4410">
        <v>1</v>
      </c>
      <c r="I4410">
        <v>1</v>
      </c>
      <c r="J4410">
        <v>37147.91015625</v>
      </c>
      <c r="K4410">
        <v>33092.924235479601</v>
      </c>
      <c r="L4410">
        <v>31.231000000000002</v>
      </c>
      <c r="M4410">
        <v>78.185000000000002</v>
      </c>
      <c r="N4410">
        <v>6.1070000000000002</v>
      </c>
    </row>
    <row r="4411" spans="1:14" x14ac:dyDescent="0.45">
      <c r="A4411">
        <v>2001</v>
      </c>
      <c r="B4411" t="s">
        <v>103</v>
      </c>
      <c r="C4411">
        <v>1</v>
      </c>
      <c r="D4411">
        <v>0</v>
      </c>
      <c r="E4411">
        <v>0</v>
      </c>
      <c r="F4411">
        <v>0</v>
      </c>
      <c r="G4411">
        <v>1</v>
      </c>
      <c r="H4411">
        <v>0</v>
      </c>
      <c r="I4411">
        <v>0</v>
      </c>
      <c r="J4411">
        <v>30399.873076428299</v>
      </c>
      <c r="K4411">
        <v>25311.011629875102</v>
      </c>
      <c r="L4411">
        <v>26.123000000000001</v>
      </c>
      <c r="M4411">
        <v>75.313999999999993</v>
      </c>
      <c r="N4411">
        <v>5.0179999999999998</v>
      </c>
    </row>
    <row r="4412" spans="1:14" x14ac:dyDescent="0.45">
      <c r="A4412">
        <v>2001</v>
      </c>
      <c r="B4412" t="s">
        <v>104</v>
      </c>
      <c r="C4412">
        <v>1</v>
      </c>
      <c r="D4412">
        <v>0</v>
      </c>
      <c r="E4412">
        <v>0</v>
      </c>
      <c r="F4412">
        <v>0</v>
      </c>
      <c r="G4412">
        <v>0</v>
      </c>
      <c r="H4412">
        <v>1</v>
      </c>
      <c r="I4412">
        <v>1</v>
      </c>
      <c r="J4412">
        <v>50711.680471179498</v>
      </c>
      <c r="K4412">
        <v>43969.670723295203</v>
      </c>
      <c r="L4412">
        <v>24.83</v>
      </c>
      <c r="M4412">
        <v>78.402000000000001</v>
      </c>
      <c r="N4412">
        <v>5.2119999999999997</v>
      </c>
    </row>
    <row r="4413" spans="1:14" x14ac:dyDescent="0.45">
      <c r="A4413">
        <v>2001</v>
      </c>
      <c r="B4413" t="s">
        <v>105</v>
      </c>
      <c r="C4413">
        <v>0</v>
      </c>
      <c r="D4413">
        <v>0</v>
      </c>
      <c r="E4413">
        <v>0</v>
      </c>
      <c r="F4413">
        <v>1</v>
      </c>
      <c r="G4413">
        <v>0</v>
      </c>
      <c r="H4413">
        <v>0</v>
      </c>
      <c r="I4413">
        <v>0</v>
      </c>
      <c r="J4413">
        <v>3659.98755473033</v>
      </c>
      <c r="K4413">
        <v>3156.9253588237598</v>
      </c>
      <c r="L4413">
        <v>23.422000000000001</v>
      </c>
      <c r="M4413">
        <v>57.506</v>
      </c>
      <c r="N4413">
        <v>97.194000000000003</v>
      </c>
    </row>
    <row r="4414" spans="1:14" x14ac:dyDescent="0.45">
      <c r="A4414">
        <v>2001</v>
      </c>
      <c r="B4414" t="s">
        <v>106</v>
      </c>
      <c r="C4414">
        <v>0</v>
      </c>
      <c r="D4414">
        <v>1</v>
      </c>
      <c r="E4414">
        <v>0</v>
      </c>
      <c r="F4414">
        <v>0</v>
      </c>
      <c r="G4414">
        <v>1</v>
      </c>
      <c r="H4414">
        <v>0</v>
      </c>
      <c r="I4414">
        <v>0</v>
      </c>
      <c r="J4414">
        <v>14091.5491387572</v>
      </c>
      <c r="K4414">
        <v>10966.4427586521</v>
      </c>
      <c r="L4414">
        <v>34.618000000000002</v>
      </c>
      <c r="M4414">
        <v>71.861999999999995</v>
      </c>
      <c r="N4414">
        <v>17.994</v>
      </c>
    </row>
    <row r="4415" spans="1:14" x14ac:dyDescent="0.45">
      <c r="A4415">
        <v>2001</v>
      </c>
      <c r="B4415" t="s">
        <v>107</v>
      </c>
      <c r="C4415">
        <v>1</v>
      </c>
      <c r="D4415">
        <v>0</v>
      </c>
      <c r="E4415">
        <v>0</v>
      </c>
      <c r="F4415">
        <v>0</v>
      </c>
      <c r="G4415">
        <v>0</v>
      </c>
      <c r="H4415">
        <v>1</v>
      </c>
      <c r="I4415">
        <v>1</v>
      </c>
      <c r="J4415">
        <v>57770.222038052001</v>
      </c>
      <c r="K4415">
        <v>48824.334960890497</v>
      </c>
      <c r="L4415">
        <v>14.85</v>
      </c>
      <c r="M4415">
        <v>76.974000000000004</v>
      </c>
      <c r="N4415">
        <v>5.8230000000000004</v>
      </c>
    </row>
    <row r="4416" spans="1:14" x14ac:dyDescent="0.45">
      <c r="A4416">
        <v>2001</v>
      </c>
      <c r="B4416" t="s">
        <v>108</v>
      </c>
      <c r="C4416">
        <v>0</v>
      </c>
      <c r="D4416">
        <v>1</v>
      </c>
      <c r="E4416">
        <v>0</v>
      </c>
      <c r="F4416">
        <v>1</v>
      </c>
      <c r="G4416">
        <v>0</v>
      </c>
      <c r="H4416">
        <v>0</v>
      </c>
      <c r="I4416">
        <v>0</v>
      </c>
      <c r="J4416">
        <v>10991.1363420488</v>
      </c>
      <c r="K4416">
        <v>9494.4183163760699</v>
      </c>
      <c r="L4416">
        <v>37.435000000000002</v>
      </c>
      <c r="M4416">
        <v>70.552999999999997</v>
      </c>
      <c r="N4416">
        <v>41.040999999999997</v>
      </c>
    </row>
    <row r="4417" spans="1:14" x14ac:dyDescent="0.45">
      <c r="A4417">
        <v>2001</v>
      </c>
      <c r="B4417" t="s">
        <v>109</v>
      </c>
      <c r="C4417">
        <v>0</v>
      </c>
      <c r="D4417">
        <v>0</v>
      </c>
      <c r="E4417">
        <v>0</v>
      </c>
      <c r="F4417">
        <v>1</v>
      </c>
      <c r="G4417">
        <v>0</v>
      </c>
      <c r="H4417">
        <v>0</v>
      </c>
      <c r="I4417">
        <v>0</v>
      </c>
      <c r="J4417">
        <v>11742.5946761225</v>
      </c>
      <c r="K4417">
        <v>10270.473993863499</v>
      </c>
      <c r="L4417">
        <v>39.287999999999997</v>
      </c>
      <c r="M4417">
        <v>71.025000000000006</v>
      </c>
      <c r="N4417">
        <v>40.701000000000001</v>
      </c>
    </row>
    <row r="4418" spans="1:14" x14ac:dyDescent="0.45">
      <c r="A4418">
        <v>2001</v>
      </c>
      <c r="B4418" t="s">
        <v>110</v>
      </c>
      <c r="C4418">
        <v>0</v>
      </c>
      <c r="D4418">
        <v>1</v>
      </c>
      <c r="E4418">
        <v>0</v>
      </c>
      <c r="F4418">
        <v>1</v>
      </c>
      <c r="G4418">
        <v>0</v>
      </c>
      <c r="H4418">
        <v>0</v>
      </c>
      <c r="I4418">
        <v>0</v>
      </c>
      <c r="J4418">
        <v>9405.11680690106</v>
      </c>
      <c r="K4418">
        <v>7822.6849889732703</v>
      </c>
      <c r="L4418">
        <v>39.201000000000001</v>
      </c>
      <c r="M4418">
        <v>72.570999999999998</v>
      </c>
      <c r="N4418">
        <v>28.268000000000001</v>
      </c>
    </row>
    <row r="4419" spans="1:14" x14ac:dyDescent="0.45">
      <c r="A4419">
        <v>2001</v>
      </c>
      <c r="B4419" t="s">
        <v>111</v>
      </c>
      <c r="C4419">
        <v>0</v>
      </c>
      <c r="D4419">
        <v>0</v>
      </c>
      <c r="E4419">
        <v>0</v>
      </c>
      <c r="F4419">
        <v>1</v>
      </c>
      <c r="G4419">
        <v>0</v>
      </c>
      <c r="H4419">
        <v>0</v>
      </c>
      <c r="I4419">
        <v>0</v>
      </c>
      <c r="J4419">
        <v>10117.333182169899</v>
      </c>
      <c r="K4419">
        <v>8028.9451502004504</v>
      </c>
      <c r="L4419">
        <v>57.156999999999996</v>
      </c>
      <c r="M4419">
        <v>67.611999999999995</v>
      </c>
      <c r="N4419">
        <v>44.268999999999998</v>
      </c>
    </row>
    <row r="4420" spans="1:14" x14ac:dyDescent="0.45">
      <c r="A4420">
        <v>2001</v>
      </c>
      <c r="B4420" t="s">
        <v>112</v>
      </c>
      <c r="C4420">
        <v>0</v>
      </c>
      <c r="D4420">
        <v>0</v>
      </c>
      <c r="E4420">
        <v>1</v>
      </c>
      <c r="F4420">
        <v>0</v>
      </c>
      <c r="G4420">
        <v>0</v>
      </c>
      <c r="H4420">
        <v>0</v>
      </c>
      <c r="I4420">
        <v>0</v>
      </c>
      <c r="L4420">
        <v>72.545000000000002</v>
      </c>
      <c r="M4420">
        <v>58.359000000000002</v>
      </c>
      <c r="N4420">
        <v>81.649000000000001</v>
      </c>
    </row>
    <row r="4421" spans="1:14" x14ac:dyDescent="0.45">
      <c r="A4421">
        <v>2001</v>
      </c>
      <c r="B4421" t="s">
        <v>113</v>
      </c>
      <c r="C4421">
        <v>1</v>
      </c>
      <c r="D4421">
        <v>0</v>
      </c>
      <c r="E4421">
        <v>0</v>
      </c>
      <c r="F4421">
        <v>0</v>
      </c>
      <c r="G4421">
        <v>0</v>
      </c>
      <c r="H4421">
        <v>1</v>
      </c>
      <c r="I4421">
        <v>1</v>
      </c>
      <c r="J4421">
        <v>41224.292405739303</v>
      </c>
      <c r="K4421">
        <v>36278.473722873598</v>
      </c>
      <c r="L4421">
        <v>23.657</v>
      </c>
      <c r="M4421">
        <v>79.739000000000004</v>
      </c>
      <c r="N4421">
        <v>4.9459999999999997</v>
      </c>
    </row>
    <row r="4422" spans="1:14" x14ac:dyDescent="0.45">
      <c r="A4422">
        <v>2001</v>
      </c>
      <c r="B4422" t="s">
        <v>114</v>
      </c>
      <c r="C4422">
        <v>1</v>
      </c>
      <c r="D4422">
        <v>0</v>
      </c>
      <c r="E4422">
        <v>0</v>
      </c>
      <c r="F4422">
        <v>0</v>
      </c>
      <c r="G4422">
        <v>1</v>
      </c>
      <c r="H4422">
        <v>0</v>
      </c>
      <c r="I4422">
        <v>0</v>
      </c>
      <c r="J4422">
        <v>22099.339276413699</v>
      </c>
      <c r="K4422">
        <v>18749.209278795799</v>
      </c>
      <c r="L4422">
        <v>30.757999999999999</v>
      </c>
      <c r="M4422">
        <v>70.834000000000003</v>
      </c>
      <c r="N4422">
        <v>10.811999999999999</v>
      </c>
    </row>
    <row r="4423" spans="1:14" x14ac:dyDescent="0.45">
      <c r="A4423">
        <v>2001</v>
      </c>
      <c r="B4423" t="s">
        <v>115</v>
      </c>
      <c r="C4423">
        <v>0</v>
      </c>
      <c r="D4423">
        <v>0</v>
      </c>
      <c r="E4423">
        <v>1</v>
      </c>
      <c r="F4423">
        <v>0</v>
      </c>
      <c r="G4423">
        <v>0</v>
      </c>
      <c r="H4423">
        <v>0</v>
      </c>
      <c r="I4423">
        <v>0</v>
      </c>
      <c r="J4423">
        <v>851.31342846457096</v>
      </c>
      <c r="K4423">
        <v>767.79141097937895</v>
      </c>
      <c r="L4423">
        <v>85.072999999999993</v>
      </c>
      <c r="M4423">
        <v>51.427999999999997</v>
      </c>
      <c r="N4423">
        <v>134.50299999999999</v>
      </c>
    </row>
    <row r="4424" spans="1:14" x14ac:dyDescent="0.45">
      <c r="A4424">
        <v>2001</v>
      </c>
      <c r="B4424" t="s">
        <v>116</v>
      </c>
      <c r="C4424">
        <v>1</v>
      </c>
      <c r="D4424">
        <v>0</v>
      </c>
      <c r="E4424">
        <v>0</v>
      </c>
      <c r="F4424">
        <v>0</v>
      </c>
      <c r="G4424">
        <v>0</v>
      </c>
      <c r="H4424">
        <v>1</v>
      </c>
      <c r="I4424">
        <v>1</v>
      </c>
      <c r="J4424">
        <v>48099.301428279403</v>
      </c>
      <c r="K4424">
        <v>40436.255973138199</v>
      </c>
      <c r="L4424">
        <v>17.632000000000001</v>
      </c>
      <c r="M4424">
        <v>78.141999999999996</v>
      </c>
      <c r="N4424">
        <v>3.8220000000000001</v>
      </c>
    </row>
    <row r="4425" spans="1:14" x14ac:dyDescent="0.45">
      <c r="A4425">
        <v>2001</v>
      </c>
      <c r="B4425" t="s">
        <v>117</v>
      </c>
      <c r="C4425">
        <v>0</v>
      </c>
      <c r="D4425">
        <v>0</v>
      </c>
      <c r="E4425">
        <v>0</v>
      </c>
      <c r="F4425">
        <v>1</v>
      </c>
      <c r="G4425">
        <v>0</v>
      </c>
      <c r="H4425">
        <v>0</v>
      </c>
      <c r="I4425">
        <v>0</v>
      </c>
      <c r="J4425">
        <v>9516.3277963840101</v>
      </c>
      <c r="K4425">
        <v>9319.3654843898203</v>
      </c>
      <c r="L4425">
        <v>51.7</v>
      </c>
      <c r="M4425">
        <v>66.204999999999998</v>
      </c>
      <c r="N4425">
        <v>22.835000000000001</v>
      </c>
    </row>
    <row r="4426" spans="1:14" x14ac:dyDescent="0.45">
      <c r="A4426">
        <v>2001</v>
      </c>
      <c r="B4426" t="s">
        <v>118</v>
      </c>
      <c r="C4426">
        <v>1</v>
      </c>
      <c r="D4426">
        <v>0</v>
      </c>
      <c r="E4426">
        <v>0</v>
      </c>
      <c r="F4426">
        <v>0</v>
      </c>
      <c r="G4426">
        <v>0</v>
      </c>
      <c r="H4426">
        <v>1</v>
      </c>
      <c r="I4426">
        <v>1</v>
      </c>
      <c r="J4426">
        <v>46454.870692736498</v>
      </c>
      <c r="K4426">
        <v>38785.115228886803</v>
      </c>
      <c r="L4426">
        <v>23.873000000000001</v>
      </c>
      <c r="M4426">
        <v>79.221000000000004</v>
      </c>
      <c r="N4426">
        <v>5.577</v>
      </c>
    </row>
    <row r="4427" spans="1:14" x14ac:dyDescent="0.45">
      <c r="A4427">
        <v>2001</v>
      </c>
      <c r="B4427" t="s">
        <v>119</v>
      </c>
      <c r="C4427">
        <v>1</v>
      </c>
      <c r="D4427">
        <v>0</v>
      </c>
      <c r="E4427">
        <v>0</v>
      </c>
      <c r="F4427">
        <v>0</v>
      </c>
      <c r="G4427">
        <v>0</v>
      </c>
      <c r="H4427">
        <v>1</v>
      </c>
      <c r="I4427">
        <v>1</v>
      </c>
      <c r="L4427">
        <v>62.825000000000003</v>
      </c>
      <c r="M4427">
        <v>78.325000000000003</v>
      </c>
      <c r="N4427">
        <v>9.4629999999999992</v>
      </c>
    </row>
    <row r="4428" spans="1:14" x14ac:dyDescent="0.45">
      <c r="A4428">
        <v>2001</v>
      </c>
      <c r="B4428" t="s">
        <v>120</v>
      </c>
      <c r="C4428">
        <v>0</v>
      </c>
      <c r="D4428">
        <v>0</v>
      </c>
      <c r="E4428">
        <v>0</v>
      </c>
      <c r="F4428">
        <v>1</v>
      </c>
      <c r="G4428">
        <v>0</v>
      </c>
      <c r="H4428">
        <v>0</v>
      </c>
      <c r="I4428">
        <v>0</v>
      </c>
      <c r="J4428">
        <v>3679.1907711956301</v>
      </c>
      <c r="K4428">
        <v>3330.1753417816599</v>
      </c>
      <c r="L4428">
        <v>77.67</v>
      </c>
      <c r="M4428">
        <v>64.801000000000002</v>
      </c>
      <c r="N4428">
        <v>37.265000000000001</v>
      </c>
    </row>
    <row r="4429" spans="1:14" x14ac:dyDescent="0.45">
      <c r="A4429">
        <v>2001</v>
      </c>
      <c r="B4429" t="s">
        <v>121</v>
      </c>
      <c r="C4429">
        <v>0</v>
      </c>
      <c r="D4429">
        <v>0</v>
      </c>
      <c r="E4429">
        <v>1</v>
      </c>
      <c r="F4429">
        <v>0</v>
      </c>
      <c r="G4429">
        <v>1</v>
      </c>
      <c r="H4429">
        <v>0</v>
      </c>
      <c r="I4429">
        <v>0</v>
      </c>
      <c r="J4429">
        <v>21604.7804441769</v>
      </c>
      <c r="K4429">
        <v>16347.039303662599</v>
      </c>
      <c r="L4429">
        <v>20.367000000000001</v>
      </c>
      <c r="M4429">
        <v>61.981999999999999</v>
      </c>
      <c r="N4429">
        <v>81.566000000000003</v>
      </c>
    </row>
    <row r="4430" spans="1:14" x14ac:dyDescent="0.45">
      <c r="A4430">
        <v>2001</v>
      </c>
      <c r="B4430" t="s">
        <v>122</v>
      </c>
      <c r="C4430">
        <v>1</v>
      </c>
      <c r="D4430">
        <v>0</v>
      </c>
      <c r="E4430">
        <v>0</v>
      </c>
      <c r="F4430">
        <v>0</v>
      </c>
      <c r="G4430">
        <v>0</v>
      </c>
      <c r="H4430">
        <v>1</v>
      </c>
      <c r="I4430">
        <v>1</v>
      </c>
      <c r="J4430">
        <v>44189.854909442103</v>
      </c>
      <c r="K4430">
        <v>38070.892631953902</v>
      </c>
      <c r="L4430">
        <v>21.248999999999999</v>
      </c>
      <c r="M4430">
        <v>78.120999999999995</v>
      </c>
      <c r="N4430">
        <v>6.3719999999999999</v>
      </c>
    </row>
    <row r="4431" spans="1:14" x14ac:dyDescent="0.45">
      <c r="A4431">
        <v>2001</v>
      </c>
      <c r="B4431" t="s">
        <v>123</v>
      </c>
      <c r="C4431">
        <v>1</v>
      </c>
      <c r="D4431">
        <v>0</v>
      </c>
      <c r="E4431">
        <v>0</v>
      </c>
      <c r="F4431">
        <v>0</v>
      </c>
      <c r="G4431">
        <v>0</v>
      </c>
      <c r="H4431">
        <v>0</v>
      </c>
      <c r="I4431">
        <v>0</v>
      </c>
      <c r="J4431">
        <v>6074.0864301728197</v>
      </c>
      <c r="K4431">
        <v>5131.9086426144004</v>
      </c>
      <c r="L4431">
        <v>47.601999999999997</v>
      </c>
      <c r="M4431">
        <v>70.370999999999995</v>
      </c>
      <c r="N4431">
        <v>33.292000000000002</v>
      </c>
    </row>
    <row r="4432" spans="1:14" x14ac:dyDescent="0.45">
      <c r="A4432">
        <v>2001</v>
      </c>
      <c r="B4432" t="s">
        <v>124</v>
      </c>
      <c r="C4432">
        <v>0</v>
      </c>
      <c r="D4432">
        <v>0</v>
      </c>
      <c r="E4432">
        <v>1</v>
      </c>
      <c r="F4432">
        <v>0</v>
      </c>
      <c r="G4432">
        <v>0</v>
      </c>
      <c r="H4432">
        <v>0</v>
      </c>
      <c r="I4432">
        <v>0</v>
      </c>
      <c r="J4432">
        <v>3369.50702508212</v>
      </c>
      <c r="K4432">
        <v>2907.0176778126101</v>
      </c>
      <c r="L4432">
        <v>55.399000000000001</v>
      </c>
      <c r="M4432">
        <v>58.402999999999999</v>
      </c>
      <c r="N4432">
        <v>96.126999999999995</v>
      </c>
    </row>
    <row r="4433" spans="1:14" x14ac:dyDescent="0.45">
      <c r="A4433">
        <v>2001</v>
      </c>
      <c r="B4433" t="s">
        <v>125</v>
      </c>
      <c r="C4433">
        <v>1</v>
      </c>
      <c r="D4433">
        <v>0</v>
      </c>
      <c r="E4433">
        <v>0</v>
      </c>
      <c r="F4433">
        <v>0</v>
      </c>
      <c r="G4433">
        <v>0</v>
      </c>
      <c r="H4433">
        <v>1</v>
      </c>
      <c r="I4433">
        <v>1</v>
      </c>
      <c r="L4433">
        <v>0</v>
      </c>
      <c r="M4433">
        <v>80.418999999999997</v>
      </c>
      <c r="N4433">
        <v>14.504</v>
      </c>
    </row>
    <row r="4434" spans="1:14" x14ac:dyDescent="0.45">
      <c r="A4434">
        <v>2001</v>
      </c>
      <c r="B4434" t="s">
        <v>126</v>
      </c>
      <c r="C4434">
        <v>0</v>
      </c>
      <c r="D4434">
        <v>0</v>
      </c>
      <c r="E4434">
        <v>1</v>
      </c>
      <c r="F4434">
        <v>0</v>
      </c>
      <c r="G4434">
        <v>0</v>
      </c>
      <c r="H4434">
        <v>0</v>
      </c>
      <c r="I4434">
        <v>0</v>
      </c>
      <c r="J4434">
        <v>2412.7516195962799</v>
      </c>
      <c r="K4434">
        <v>1945.3191423174501</v>
      </c>
      <c r="L4434">
        <v>68.855999999999995</v>
      </c>
      <c r="M4434">
        <v>52.668999999999997</v>
      </c>
      <c r="N4434">
        <v>160.249</v>
      </c>
    </row>
    <row r="4435" spans="1:14" x14ac:dyDescent="0.45">
      <c r="A4435">
        <v>2001</v>
      </c>
      <c r="B4435" t="s">
        <v>127</v>
      </c>
      <c r="C4435">
        <v>0</v>
      </c>
      <c r="D4435">
        <v>0</v>
      </c>
      <c r="E4435">
        <v>1</v>
      </c>
      <c r="F4435">
        <v>0</v>
      </c>
      <c r="G4435">
        <v>0</v>
      </c>
      <c r="H4435">
        <v>0</v>
      </c>
      <c r="I4435">
        <v>0</v>
      </c>
      <c r="J4435">
        <v>2737.69610805906</v>
      </c>
      <c r="K4435">
        <v>2203.56328903744</v>
      </c>
      <c r="L4435">
        <v>51.225000000000001</v>
      </c>
      <c r="M4435">
        <v>57.283000000000001</v>
      </c>
      <c r="N4435">
        <v>108.473</v>
      </c>
    </row>
    <row r="4436" spans="1:14" x14ac:dyDescent="0.45">
      <c r="A4436">
        <v>2001</v>
      </c>
      <c r="B4436" t="s">
        <v>128</v>
      </c>
      <c r="C4436">
        <v>0</v>
      </c>
      <c r="D4436">
        <v>0</v>
      </c>
      <c r="E4436">
        <v>1</v>
      </c>
      <c r="F4436">
        <v>0</v>
      </c>
      <c r="G4436">
        <v>0</v>
      </c>
      <c r="H4436">
        <v>0</v>
      </c>
      <c r="I4436">
        <v>0</v>
      </c>
      <c r="J4436">
        <v>2001.1651702290401</v>
      </c>
      <c r="K4436">
        <v>1800.2450827344001</v>
      </c>
      <c r="L4436">
        <v>63.378</v>
      </c>
      <c r="M4436">
        <v>51.054000000000002</v>
      </c>
      <c r="N4436">
        <v>167.30600000000001</v>
      </c>
    </row>
    <row r="4437" spans="1:14" x14ac:dyDescent="0.45">
      <c r="A4437">
        <v>2001</v>
      </c>
      <c r="B4437" t="s">
        <v>129</v>
      </c>
      <c r="C4437">
        <v>0</v>
      </c>
      <c r="D4437">
        <v>0</v>
      </c>
      <c r="E4437">
        <v>1</v>
      </c>
      <c r="F4437">
        <v>0</v>
      </c>
      <c r="G4437">
        <v>0</v>
      </c>
      <c r="H4437">
        <v>0</v>
      </c>
      <c r="I4437">
        <v>0</v>
      </c>
      <c r="J4437">
        <v>18031.964975073999</v>
      </c>
      <c r="K4437">
        <v>14939.7130426314</v>
      </c>
      <c r="L4437">
        <v>49.167999999999999</v>
      </c>
      <c r="M4437">
        <v>53.826999999999998</v>
      </c>
      <c r="N4437">
        <v>150.64699999999999</v>
      </c>
    </row>
    <row r="4438" spans="1:14" x14ac:dyDescent="0.45">
      <c r="A4438">
        <v>2001</v>
      </c>
      <c r="B4438" t="s">
        <v>130</v>
      </c>
      <c r="C4438">
        <v>1</v>
      </c>
      <c r="D4438">
        <v>0</v>
      </c>
      <c r="E4438">
        <v>0</v>
      </c>
      <c r="F4438">
        <v>0</v>
      </c>
      <c r="G4438">
        <v>0</v>
      </c>
      <c r="H4438">
        <v>1</v>
      </c>
      <c r="I4438">
        <v>1</v>
      </c>
      <c r="J4438">
        <v>32675.929232776802</v>
      </c>
      <c r="K4438">
        <v>29251.299460159102</v>
      </c>
      <c r="L4438">
        <v>27.087</v>
      </c>
      <c r="M4438">
        <v>78.909000000000006</v>
      </c>
      <c r="N4438">
        <v>5.9749999999999996</v>
      </c>
    </row>
    <row r="4439" spans="1:14" x14ac:dyDescent="0.45">
      <c r="A4439">
        <v>2001</v>
      </c>
      <c r="B4439" t="s">
        <v>131</v>
      </c>
      <c r="C4439">
        <v>0</v>
      </c>
      <c r="D4439">
        <v>1</v>
      </c>
      <c r="E4439">
        <v>0</v>
      </c>
      <c r="F4439">
        <v>0</v>
      </c>
      <c r="G4439">
        <v>1</v>
      </c>
      <c r="H4439">
        <v>0</v>
      </c>
      <c r="I4439">
        <v>0</v>
      </c>
      <c r="J4439">
        <v>11340.1824083418</v>
      </c>
      <c r="K4439">
        <v>10463.643828226401</v>
      </c>
      <c r="L4439">
        <v>64.081000000000003</v>
      </c>
      <c r="M4439">
        <v>73.034000000000006</v>
      </c>
      <c r="N4439">
        <v>15.233000000000001</v>
      </c>
    </row>
    <row r="4440" spans="1:14" x14ac:dyDescent="0.45">
      <c r="A4440">
        <v>2001</v>
      </c>
      <c r="B4440" t="s">
        <v>132</v>
      </c>
      <c r="C4440">
        <v>1</v>
      </c>
      <c r="D4440">
        <v>0</v>
      </c>
      <c r="E4440">
        <v>0</v>
      </c>
      <c r="F4440">
        <v>0</v>
      </c>
      <c r="G4440">
        <v>0</v>
      </c>
      <c r="H4440">
        <v>1</v>
      </c>
      <c r="I4440">
        <v>1</v>
      </c>
      <c r="J4440">
        <v>45405.854374204398</v>
      </c>
      <c r="K4440">
        <v>41099.934118966201</v>
      </c>
      <c r="L4440">
        <v>18.151</v>
      </c>
      <c r="M4440">
        <v>66.272999999999996</v>
      </c>
      <c r="N4440">
        <v>19.177</v>
      </c>
    </row>
    <row r="4441" spans="1:14" x14ac:dyDescent="0.45">
      <c r="A4441">
        <v>2001</v>
      </c>
      <c r="B4441" t="s">
        <v>133</v>
      </c>
      <c r="C4441">
        <v>0</v>
      </c>
      <c r="D4441">
        <v>1</v>
      </c>
      <c r="E4441">
        <v>0</v>
      </c>
      <c r="F4441">
        <v>1</v>
      </c>
      <c r="G4441">
        <v>0</v>
      </c>
      <c r="H4441">
        <v>0</v>
      </c>
      <c r="I4441">
        <v>0</v>
      </c>
      <c r="J4441">
        <v>8771.15495669343</v>
      </c>
      <c r="K4441">
        <v>7619.2888185850597</v>
      </c>
      <c r="L4441">
        <v>54.332000000000001</v>
      </c>
      <c r="M4441">
        <v>67.436000000000007</v>
      </c>
      <c r="N4441">
        <v>50.088999999999999</v>
      </c>
    </row>
    <row r="4442" spans="1:14" x14ac:dyDescent="0.45">
      <c r="A4442">
        <v>2001</v>
      </c>
      <c r="B4442" t="s">
        <v>134</v>
      </c>
      <c r="C4442">
        <v>0</v>
      </c>
      <c r="D4442">
        <v>0</v>
      </c>
      <c r="E4442">
        <v>0</v>
      </c>
      <c r="F4442">
        <v>0</v>
      </c>
      <c r="G4442">
        <v>0</v>
      </c>
      <c r="H4442">
        <v>1</v>
      </c>
      <c r="I4442">
        <v>1</v>
      </c>
      <c r="L4442">
        <v>6.7670000000000003</v>
      </c>
      <c r="M4442">
        <v>75.194999999999993</v>
      </c>
      <c r="N4442">
        <v>11.99</v>
      </c>
    </row>
    <row r="4443" spans="1:14" x14ac:dyDescent="0.45">
      <c r="A4443">
        <v>2001</v>
      </c>
      <c r="B4443" t="s">
        <v>135</v>
      </c>
      <c r="C4443">
        <v>0</v>
      </c>
      <c r="D4443">
        <v>1</v>
      </c>
      <c r="E4443">
        <v>0</v>
      </c>
      <c r="F4443">
        <v>1</v>
      </c>
      <c r="G4443">
        <v>0</v>
      </c>
      <c r="H4443">
        <v>0</v>
      </c>
      <c r="I4443">
        <v>0</v>
      </c>
      <c r="J4443">
        <v>8212.0432176091708</v>
      </c>
      <c r="K4443">
        <v>7853.82681621135</v>
      </c>
      <c r="L4443">
        <v>71.394000000000005</v>
      </c>
      <c r="M4443">
        <v>64.38</v>
      </c>
      <c r="N4443">
        <v>45.4</v>
      </c>
    </row>
    <row r="4444" spans="1:14" x14ac:dyDescent="0.45">
      <c r="A4444">
        <v>2001</v>
      </c>
      <c r="B4444" t="s">
        <v>136</v>
      </c>
      <c r="C4444">
        <v>0</v>
      </c>
      <c r="D4444">
        <v>0</v>
      </c>
      <c r="E4444">
        <v>0</v>
      </c>
      <c r="F4444">
        <v>0</v>
      </c>
      <c r="G4444">
        <v>0</v>
      </c>
      <c r="H4444">
        <v>1</v>
      </c>
      <c r="I4444">
        <v>1</v>
      </c>
      <c r="J4444">
        <v>39777.881031124103</v>
      </c>
      <c r="K4444">
        <v>35899.674780260502</v>
      </c>
      <c r="L4444">
        <v>0</v>
      </c>
      <c r="M4444">
        <v>80.992000000000004</v>
      </c>
      <c r="N4444">
        <v>3.9350000000000001</v>
      </c>
    </row>
    <row r="4445" spans="1:14" x14ac:dyDescent="0.45">
      <c r="A4445">
        <v>2001</v>
      </c>
      <c r="B4445" t="s">
        <v>137</v>
      </c>
      <c r="C4445">
        <v>0</v>
      </c>
      <c r="D4445">
        <v>1</v>
      </c>
      <c r="E4445">
        <v>0</v>
      </c>
      <c r="F4445">
        <v>1</v>
      </c>
      <c r="G4445">
        <v>0</v>
      </c>
      <c r="H4445">
        <v>0</v>
      </c>
      <c r="I4445">
        <v>0</v>
      </c>
      <c r="J4445">
        <v>4578.94787944773</v>
      </c>
      <c r="K4445">
        <v>4219.3998823869597</v>
      </c>
      <c r="L4445">
        <v>54.036000000000001</v>
      </c>
      <c r="M4445">
        <v>68.491</v>
      </c>
      <c r="N4445">
        <v>35.691000000000003</v>
      </c>
    </row>
    <row r="4446" spans="1:14" x14ac:dyDescent="0.45">
      <c r="A4446">
        <v>2001</v>
      </c>
      <c r="B4446" t="s">
        <v>138</v>
      </c>
      <c r="C4446">
        <v>1</v>
      </c>
      <c r="D4446">
        <v>0</v>
      </c>
      <c r="E4446">
        <v>0</v>
      </c>
      <c r="F4446">
        <v>0</v>
      </c>
      <c r="G4446">
        <v>1</v>
      </c>
      <c r="H4446">
        <v>0</v>
      </c>
      <c r="I4446">
        <v>0</v>
      </c>
      <c r="J4446">
        <v>22826.931562611298</v>
      </c>
      <c r="K4446">
        <v>19686.154424566499</v>
      </c>
      <c r="L4446">
        <v>46.357999999999997</v>
      </c>
      <c r="M4446">
        <v>74.355000000000004</v>
      </c>
      <c r="N4446">
        <v>8.3870000000000005</v>
      </c>
    </row>
    <row r="4447" spans="1:14" x14ac:dyDescent="0.45">
      <c r="A4447">
        <v>2001</v>
      </c>
      <c r="B4447" t="s">
        <v>139</v>
      </c>
      <c r="C4447">
        <v>0</v>
      </c>
      <c r="D4447">
        <v>1</v>
      </c>
      <c r="E4447">
        <v>0</v>
      </c>
      <c r="F4447">
        <v>0</v>
      </c>
      <c r="G4447">
        <v>0</v>
      </c>
      <c r="H4447">
        <v>0</v>
      </c>
      <c r="I4447">
        <v>0</v>
      </c>
      <c r="J4447">
        <v>3186.83391085521</v>
      </c>
      <c r="K4447">
        <v>3063.0437692072601</v>
      </c>
      <c r="L4447">
        <v>62.749000000000002</v>
      </c>
      <c r="M4447">
        <v>58.591000000000001</v>
      </c>
      <c r="N4447">
        <v>100.447</v>
      </c>
    </row>
    <row r="4448" spans="1:14" x14ac:dyDescent="0.45">
      <c r="A4448">
        <v>2001</v>
      </c>
      <c r="B4448" t="s">
        <v>140</v>
      </c>
      <c r="C4448">
        <v>1</v>
      </c>
      <c r="D4448">
        <v>0</v>
      </c>
      <c r="E4448">
        <v>0</v>
      </c>
      <c r="F4448">
        <v>0</v>
      </c>
      <c r="G4448">
        <v>1</v>
      </c>
      <c r="H4448">
        <v>0</v>
      </c>
      <c r="I4448">
        <v>0</v>
      </c>
      <c r="J4448">
        <v>23069.211473098701</v>
      </c>
      <c r="K4448">
        <v>20102.914125157102</v>
      </c>
      <c r="L4448">
        <v>35.33</v>
      </c>
      <c r="M4448">
        <v>72.394000000000005</v>
      </c>
      <c r="N4448">
        <v>9.3219999999999992</v>
      </c>
    </row>
    <row r="4449" spans="1:14" x14ac:dyDescent="0.45">
      <c r="A4449">
        <v>2001</v>
      </c>
      <c r="B4449" t="s">
        <v>141</v>
      </c>
      <c r="C4449">
        <v>0</v>
      </c>
      <c r="D4449">
        <v>0</v>
      </c>
      <c r="E4449">
        <v>0</v>
      </c>
      <c r="F4449">
        <v>0</v>
      </c>
      <c r="G4449">
        <v>0</v>
      </c>
      <c r="H4449">
        <v>0</v>
      </c>
      <c r="I4449">
        <v>0</v>
      </c>
      <c r="J4449">
        <v>6190.5195404099104</v>
      </c>
      <c r="K4449">
        <v>5620.0160344469105</v>
      </c>
      <c r="L4449">
        <v>57.216999999999999</v>
      </c>
      <c r="M4449">
        <v>66.582999999999998</v>
      </c>
      <c r="N4449">
        <v>49.796999999999997</v>
      </c>
    </row>
    <row r="4450" spans="1:14" x14ac:dyDescent="0.45">
      <c r="A4450">
        <v>2001</v>
      </c>
      <c r="B4450" t="s">
        <v>142</v>
      </c>
      <c r="C4450">
        <v>1</v>
      </c>
      <c r="D4450">
        <v>0</v>
      </c>
      <c r="E4450">
        <v>0</v>
      </c>
      <c r="F4450">
        <v>0</v>
      </c>
      <c r="G4450">
        <v>1</v>
      </c>
      <c r="H4450">
        <v>0</v>
      </c>
      <c r="I4450">
        <v>0</v>
      </c>
      <c r="L4450">
        <v>48.167000000000002</v>
      </c>
      <c r="M4450">
        <v>75.289000000000001</v>
      </c>
      <c r="N4450">
        <v>23.352</v>
      </c>
    </row>
    <row r="4451" spans="1:14" x14ac:dyDescent="0.45">
      <c r="A4451">
        <v>2001</v>
      </c>
      <c r="B4451" t="s">
        <v>143</v>
      </c>
      <c r="C4451">
        <v>0</v>
      </c>
      <c r="D4451">
        <v>0</v>
      </c>
      <c r="E4451">
        <v>0</v>
      </c>
      <c r="F4451">
        <v>0</v>
      </c>
      <c r="G4451">
        <v>0</v>
      </c>
      <c r="H4451">
        <v>0</v>
      </c>
      <c r="I4451">
        <v>0</v>
      </c>
      <c r="J4451">
        <v>3188.81024020636</v>
      </c>
      <c r="K4451">
        <v>2674.4084229056298</v>
      </c>
      <c r="L4451">
        <v>72.081999999999994</v>
      </c>
      <c r="M4451">
        <v>63.158000000000001</v>
      </c>
      <c r="N4451">
        <v>87.697999999999993</v>
      </c>
    </row>
    <row r="4452" spans="1:14" x14ac:dyDescent="0.45">
      <c r="A4452">
        <v>2001</v>
      </c>
      <c r="B4452" t="s">
        <v>144</v>
      </c>
      <c r="C4452">
        <v>1</v>
      </c>
      <c r="D4452">
        <v>0</v>
      </c>
      <c r="E4452">
        <v>0</v>
      </c>
      <c r="F4452">
        <v>0</v>
      </c>
      <c r="G4452">
        <v>0</v>
      </c>
      <c r="H4452">
        <v>1</v>
      </c>
      <c r="I4452">
        <v>1</v>
      </c>
      <c r="J4452">
        <v>55702.171672263998</v>
      </c>
      <c r="K4452">
        <v>51215.240738815897</v>
      </c>
      <c r="L4452">
        <v>40.600999999999999</v>
      </c>
      <c r="M4452">
        <v>77.099999999999994</v>
      </c>
      <c r="N4452">
        <v>7.4420000000000002</v>
      </c>
    </row>
    <row r="4453" spans="1:14" x14ac:dyDescent="0.45">
      <c r="A4453">
        <v>2001</v>
      </c>
      <c r="B4453" t="s">
        <v>145</v>
      </c>
      <c r="C4453">
        <v>0</v>
      </c>
      <c r="D4453">
        <v>0</v>
      </c>
      <c r="E4453">
        <v>0</v>
      </c>
      <c r="F4453">
        <v>1</v>
      </c>
      <c r="G4453">
        <v>0</v>
      </c>
      <c r="H4453">
        <v>0</v>
      </c>
      <c r="I4453">
        <v>0</v>
      </c>
      <c r="J4453">
        <v>10998.1285086842</v>
      </c>
      <c r="K4453">
        <v>10970.5745884148</v>
      </c>
      <c r="L4453">
        <v>35.241999999999997</v>
      </c>
      <c r="M4453">
        <v>70.619</v>
      </c>
      <c r="N4453">
        <v>34.28</v>
      </c>
    </row>
    <row r="4454" spans="1:14" x14ac:dyDescent="0.45">
      <c r="A4454">
        <v>2001</v>
      </c>
      <c r="B4454" t="s">
        <v>146</v>
      </c>
      <c r="C4454">
        <v>0</v>
      </c>
      <c r="D4454">
        <v>0</v>
      </c>
      <c r="E4454">
        <v>0</v>
      </c>
      <c r="F4454">
        <v>1</v>
      </c>
      <c r="G4454">
        <v>0</v>
      </c>
      <c r="H4454">
        <v>0</v>
      </c>
      <c r="I4454">
        <v>0</v>
      </c>
      <c r="J4454">
        <v>12529.6084051005</v>
      </c>
      <c r="K4454">
        <v>8857.0394381209007</v>
      </c>
      <c r="L4454">
        <v>31.45</v>
      </c>
      <c r="M4454">
        <v>65.292000000000002</v>
      </c>
      <c r="N4454">
        <v>43.499000000000002</v>
      </c>
    </row>
    <row r="4455" spans="1:14" x14ac:dyDescent="0.45">
      <c r="A4455">
        <v>2001</v>
      </c>
      <c r="B4455" t="s">
        <v>147</v>
      </c>
      <c r="C4455">
        <v>1</v>
      </c>
      <c r="D4455">
        <v>0</v>
      </c>
      <c r="E4455">
        <v>0</v>
      </c>
      <c r="F4455">
        <v>0</v>
      </c>
      <c r="G4455">
        <v>0</v>
      </c>
      <c r="H4455">
        <v>1</v>
      </c>
      <c r="I4455">
        <v>1</v>
      </c>
      <c r="J4455">
        <v>49032.372894498301</v>
      </c>
      <c r="K4455">
        <v>42427.167309734701</v>
      </c>
      <c r="L4455">
        <v>7.468</v>
      </c>
      <c r="M4455">
        <v>80.421000000000006</v>
      </c>
      <c r="N4455">
        <v>3.5659999999999998</v>
      </c>
    </row>
    <row r="4456" spans="1:14" x14ac:dyDescent="0.45">
      <c r="A4456">
        <v>2001</v>
      </c>
      <c r="B4456" t="s">
        <v>148</v>
      </c>
      <c r="C4456">
        <v>0</v>
      </c>
      <c r="D4456">
        <v>0</v>
      </c>
      <c r="E4456">
        <v>0</v>
      </c>
      <c r="F4456">
        <v>0</v>
      </c>
      <c r="G4456">
        <v>0</v>
      </c>
      <c r="H4456">
        <v>1</v>
      </c>
      <c r="I4456">
        <v>1</v>
      </c>
      <c r="J4456">
        <v>32590.2286180761</v>
      </c>
      <c r="K4456">
        <v>29894.272824847299</v>
      </c>
      <c r="L4456">
        <v>8.7330000000000005</v>
      </c>
      <c r="M4456">
        <v>79.478999999999999</v>
      </c>
      <c r="N4456">
        <v>6.5529999999999999</v>
      </c>
    </row>
    <row r="4457" spans="1:14" x14ac:dyDescent="0.45">
      <c r="A4457">
        <v>2001</v>
      </c>
      <c r="B4457" t="s">
        <v>149</v>
      </c>
      <c r="C4457">
        <v>1</v>
      </c>
      <c r="D4457">
        <v>0</v>
      </c>
      <c r="E4457">
        <v>0</v>
      </c>
      <c r="F4457">
        <v>0</v>
      </c>
      <c r="G4457">
        <v>0</v>
      </c>
      <c r="H4457">
        <v>1</v>
      </c>
      <c r="I4457">
        <v>1</v>
      </c>
      <c r="J4457">
        <v>51332.290443256701</v>
      </c>
      <c r="K4457">
        <v>43723.156991053896</v>
      </c>
      <c r="L4457">
        <v>32.718000000000004</v>
      </c>
      <c r="M4457">
        <v>79.885000000000005</v>
      </c>
      <c r="N4457">
        <v>5.4740000000000002</v>
      </c>
    </row>
    <row r="4458" spans="1:14" x14ac:dyDescent="0.45">
      <c r="A4458">
        <v>2001</v>
      </c>
      <c r="B4458" t="s">
        <v>150</v>
      </c>
      <c r="C4458">
        <v>0</v>
      </c>
      <c r="D4458">
        <v>1</v>
      </c>
      <c r="E4458">
        <v>0</v>
      </c>
      <c r="F4458">
        <v>1</v>
      </c>
      <c r="G4458">
        <v>0</v>
      </c>
      <c r="H4458">
        <v>0</v>
      </c>
      <c r="I4458">
        <v>0</v>
      </c>
      <c r="J4458">
        <v>9585.3149200869393</v>
      </c>
      <c r="K4458">
        <v>9446.6169231460408</v>
      </c>
      <c r="L4458">
        <v>47.947000000000003</v>
      </c>
      <c r="M4458">
        <v>71.287000000000006</v>
      </c>
      <c r="N4458">
        <v>20.532</v>
      </c>
    </row>
    <row r="4459" spans="1:14" x14ac:dyDescent="0.45">
      <c r="A4459">
        <v>2001</v>
      </c>
      <c r="B4459" t="s">
        <v>151</v>
      </c>
      <c r="C4459">
        <v>0</v>
      </c>
      <c r="D4459">
        <v>0</v>
      </c>
      <c r="E4459">
        <v>0</v>
      </c>
      <c r="F4459">
        <v>1</v>
      </c>
      <c r="G4459">
        <v>0</v>
      </c>
      <c r="H4459">
        <v>0</v>
      </c>
      <c r="I4459">
        <v>0</v>
      </c>
      <c r="J4459">
        <v>8339.7858144844104</v>
      </c>
      <c r="K4459">
        <v>8273.4452462939898</v>
      </c>
      <c r="L4459">
        <v>21.716999999999999</v>
      </c>
      <c r="M4459">
        <v>72.141000000000005</v>
      </c>
      <c r="N4459">
        <v>26.123999999999999</v>
      </c>
    </row>
    <row r="4460" spans="1:14" x14ac:dyDescent="0.45">
      <c r="A4460">
        <v>2001</v>
      </c>
      <c r="B4460" t="s">
        <v>152</v>
      </c>
      <c r="C4460">
        <v>0</v>
      </c>
      <c r="D4460">
        <v>0</v>
      </c>
      <c r="E4460">
        <v>0</v>
      </c>
      <c r="F4460">
        <v>0</v>
      </c>
      <c r="G4460">
        <v>0</v>
      </c>
      <c r="H4460">
        <v>1</v>
      </c>
      <c r="I4460">
        <v>1</v>
      </c>
      <c r="J4460">
        <v>39062.281735523502</v>
      </c>
      <c r="K4460">
        <v>36184.654195973097</v>
      </c>
      <c r="L4460">
        <v>20.010000000000002</v>
      </c>
      <c r="M4460">
        <v>81.510000000000005</v>
      </c>
      <c r="N4460">
        <v>4.2270000000000003</v>
      </c>
    </row>
    <row r="4461" spans="1:14" x14ac:dyDescent="0.45">
      <c r="A4461">
        <v>2001</v>
      </c>
      <c r="B4461" t="s">
        <v>153</v>
      </c>
      <c r="C4461">
        <v>1</v>
      </c>
      <c r="D4461">
        <v>0</v>
      </c>
      <c r="E4461">
        <v>0</v>
      </c>
      <c r="F4461">
        <v>1</v>
      </c>
      <c r="G4461">
        <v>0</v>
      </c>
      <c r="H4461">
        <v>0</v>
      </c>
      <c r="I4461">
        <v>0</v>
      </c>
      <c r="J4461">
        <v>14612.029005049801</v>
      </c>
      <c r="K4461">
        <v>11111.8549828866</v>
      </c>
      <c r="L4461">
        <v>43.829000000000001</v>
      </c>
      <c r="M4461">
        <v>64.108000000000004</v>
      </c>
      <c r="N4461">
        <v>39.71</v>
      </c>
    </row>
    <row r="4462" spans="1:14" x14ac:dyDescent="0.45">
      <c r="A4462">
        <v>2001</v>
      </c>
      <c r="B4462" t="s">
        <v>154</v>
      </c>
      <c r="C4462">
        <v>0</v>
      </c>
      <c r="D4462">
        <v>0</v>
      </c>
      <c r="E4462">
        <v>1</v>
      </c>
      <c r="F4462">
        <v>0</v>
      </c>
      <c r="G4462">
        <v>0</v>
      </c>
      <c r="H4462">
        <v>0</v>
      </c>
      <c r="I4462">
        <v>0</v>
      </c>
      <c r="J4462">
        <v>3778.25854755615</v>
      </c>
      <c r="K4462">
        <v>3256.27791993444</v>
      </c>
      <c r="L4462">
        <v>79.760999999999996</v>
      </c>
      <c r="M4462">
        <v>56.500999999999998</v>
      </c>
      <c r="N4462">
        <v>89.974000000000004</v>
      </c>
    </row>
    <row r="4463" spans="1:14" x14ac:dyDescent="0.45">
      <c r="A4463">
        <v>2001</v>
      </c>
      <c r="B4463" t="s">
        <v>155</v>
      </c>
      <c r="C4463">
        <v>1</v>
      </c>
      <c r="D4463">
        <v>0</v>
      </c>
      <c r="E4463">
        <v>0</v>
      </c>
      <c r="F4463">
        <v>0</v>
      </c>
      <c r="G4463">
        <v>0</v>
      </c>
      <c r="H4463">
        <v>0</v>
      </c>
      <c r="I4463">
        <v>0</v>
      </c>
      <c r="J4463">
        <v>3795.8905934412901</v>
      </c>
      <c r="K4463">
        <v>3208.1653958260699</v>
      </c>
      <c r="L4463">
        <v>64.703999999999994</v>
      </c>
      <c r="M4463">
        <v>65.319000000000003</v>
      </c>
      <c r="N4463">
        <v>46.948999999999998</v>
      </c>
    </row>
    <row r="4464" spans="1:14" x14ac:dyDescent="0.45">
      <c r="A4464">
        <v>2001</v>
      </c>
      <c r="B4464" t="s">
        <v>156</v>
      </c>
      <c r="C4464">
        <v>0</v>
      </c>
      <c r="D4464">
        <v>0</v>
      </c>
      <c r="E4464">
        <v>0</v>
      </c>
      <c r="F4464">
        <v>0</v>
      </c>
      <c r="G4464">
        <v>0</v>
      </c>
      <c r="H4464">
        <v>0</v>
      </c>
      <c r="I4464">
        <v>0</v>
      </c>
      <c r="J4464">
        <v>2032.0809202230701</v>
      </c>
      <c r="K4464">
        <v>1822.1025180603999</v>
      </c>
      <c r="L4464">
        <v>81.296999999999997</v>
      </c>
      <c r="M4464">
        <v>60.457000000000001</v>
      </c>
      <c r="N4464">
        <v>94.272000000000006</v>
      </c>
    </row>
    <row r="4465" spans="1:14" x14ac:dyDescent="0.45">
      <c r="A4465">
        <v>2001</v>
      </c>
      <c r="B4465" t="s">
        <v>157</v>
      </c>
      <c r="C4465">
        <v>0</v>
      </c>
      <c r="D4465">
        <v>0</v>
      </c>
      <c r="E4465">
        <v>0</v>
      </c>
      <c r="F4465">
        <v>1</v>
      </c>
      <c r="G4465">
        <v>0</v>
      </c>
      <c r="H4465">
        <v>0</v>
      </c>
      <c r="I4465">
        <v>0</v>
      </c>
      <c r="J4465">
        <v>2357.5818901451898</v>
      </c>
      <c r="K4465">
        <v>2132.6669213401901</v>
      </c>
      <c r="L4465">
        <v>56.527000000000001</v>
      </c>
      <c r="M4465">
        <v>64.918000000000006</v>
      </c>
      <c r="N4465">
        <v>64.468000000000004</v>
      </c>
    </row>
    <row r="4466" spans="1:14" x14ac:dyDescent="0.45">
      <c r="A4466">
        <v>2001</v>
      </c>
      <c r="B4466" t="s">
        <v>158</v>
      </c>
      <c r="C4466">
        <v>0</v>
      </c>
      <c r="D4466">
        <v>1</v>
      </c>
      <c r="E4466">
        <v>0</v>
      </c>
      <c r="F4466">
        <v>0</v>
      </c>
      <c r="G4466">
        <v>1</v>
      </c>
      <c r="H4466">
        <v>0</v>
      </c>
      <c r="I4466">
        <v>0</v>
      </c>
      <c r="J4466">
        <v>20648.788974147199</v>
      </c>
      <c r="K4466">
        <v>20393.487723536</v>
      </c>
      <c r="L4466">
        <v>67.402000000000001</v>
      </c>
      <c r="M4466">
        <v>69.766999999999996</v>
      </c>
      <c r="N4466">
        <v>22.715</v>
      </c>
    </row>
    <row r="4467" spans="1:14" x14ac:dyDescent="0.45">
      <c r="A4467">
        <v>2001</v>
      </c>
      <c r="B4467" t="s">
        <v>159</v>
      </c>
      <c r="C4467">
        <v>0</v>
      </c>
      <c r="D4467">
        <v>0</v>
      </c>
      <c r="E4467">
        <v>0</v>
      </c>
      <c r="F4467">
        <v>0</v>
      </c>
      <c r="G4467">
        <v>0</v>
      </c>
      <c r="H4467">
        <v>1</v>
      </c>
      <c r="I4467">
        <v>1</v>
      </c>
      <c r="J4467">
        <v>26128.391510117599</v>
      </c>
      <c r="K4467">
        <v>23819.229498881399</v>
      </c>
      <c r="L4467">
        <v>20.059999999999999</v>
      </c>
      <c r="M4467">
        <v>76.918999999999997</v>
      </c>
      <c r="N4467">
        <v>7.1879999999999997</v>
      </c>
    </row>
    <row r="4468" spans="1:14" x14ac:dyDescent="0.45">
      <c r="A4468">
        <v>2001</v>
      </c>
      <c r="B4468" t="s">
        <v>160</v>
      </c>
      <c r="C4468">
        <v>0</v>
      </c>
      <c r="D4468">
        <v>0</v>
      </c>
      <c r="E4468">
        <v>0</v>
      </c>
      <c r="F4468">
        <v>0</v>
      </c>
      <c r="G4468">
        <v>0</v>
      </c>
      <c r="H4468">
        <v>1</v>
      </c>
      <c r="I4468">
        <v>1</v>
      </c>
      <c r="J4468">
        <v>59099.665344089903</v>
      </c>
      <c r="K4468">
        <v>52634.169355570499</v>
      </c>
      <c r="L4468">
        <v>9.1999999999998694E-2</v>
      </c>
      <c r="M4468">
        <v>76.037000000000006</v>
      </c>
      <c r="N4468">
        <v>12.597</v>
      </c>
    </row>
    <row r="4469" spans="1:14" x14ac:dyDescent="0.45">
      <c r="A4469">
        <v>2001</v>
      </c>
      <c r="B4469" t="s">
        <v>161</v>
      </c>
      <c r="C4469">
        <v>0</v>
      </c>
      <c r="D4469">
        <v>0</v>
      </c>
      <c r="E4469">
        <v>0</v>
      </c>
      <c r="F4469">
        <v>0</v>
      </c>
      <c r="G4469">
        <v>0</v>
      </c>
      <c r="H4469">
        <v>0</v>
      </c>
      <c r="I4469">
        <v>0</v>
      </c>
      <c r="J4469">
        <v>3015.6325848061401</v>
      </c>
      <c r="K4469">
        <v>2897.7442560453801</v>
      </c>
      <c r="L4469">
        <v>77.007000000000005</v>
      </c>
      <c r="M4469">
        <v>58.887</v>
      </c>
      <c r="N4469">
        <v>102.479</v>
      </c>
    </row>
    <row r="4470" spans="1:14" x14ac:dyDescent="0.45">
      <c r="A4470">
        <v>2001</v>
      </c>
      <c r="B4470" t="s">
        <v>162</v>
      </c>
      <c r="C4470">
        <v>0</v>
      </c>
      <c r="D4470">
        <v>0</v>
      </c>
      <c r="E4470">
        <v>0</v>
      </c>
      <c r="F4470">
        <v>0</v>
      </c>
      <c r="G4470">
        <v>1</v>
      </c>
      <c r="H4470">
        <v>0</v>
      </c>
      <c r="I4470">
        <v>0</v>
      </c>
      <c r="J4470">
        <v>11817.9305012844</v>
      </c>
      <c r="K4470">
        <v>15360.868168466701</v>
      </c>
      <c r="L4470">
        <v>13.882</v>
      </c>
      <c r="M4470">
        <v>74.353999999999999</v>
      </c>
      <c r="N4470">
        <v>18.757999999999999</v>
      </c>
    </row>
    <row r="4471" spans="1:14" x14ac:dyDescent="0.45">
      <c r="A4471">
        <v>2001</v>
      </c>
      <c r="B4471" t="s">
        <v>163</v>
      </c>
      <c r="C4471">
        <v>0</v>
      </c>
      <c r="D4471">
        <v>0</v>
      </c>
      <c r="E4471">
        <v>1</v>
      </c>
      <c r="F4471">
        <v>0</v>
      </c>
      <c r="G4471">
        <v>0</v>
      </c>
      <c r="H4471">
        <v>0</v>
      </c>
      <c r="I4471">
        <v>0</v>
      </c>
      <c r="J4471">
        <v>1867.11910921753</v>
      </c>
      <c r="K4471">
        <v>2758.5666289262699</v>
      </c>
      <c r="L4471">
        <v>55.326999999999998</v>
      </c>
      <c r="M4471">
        <v>53.109000000000002</v>
      </c>
      <c r="N4471">
        <v>174.28399999999999</v>
      </c>
    </row>
    <row r="4472" spans="1:14" x14ac:dyDescent="0.45">
      <c r="A4472">
        <v>2001</v>
      </c>
      <c r="B4472" t="s">
        <v>164</v>
      </c>
      <c r="C4472">
        <v>0</v>
      </c>
      <c r="D4472">
        <v>0</v>
      </c>
      <c r="E4472">
        <v>0</v>
      </c>
      <c r="F4472">
        <v>0</v>
      </c>
      <c r="G4472">
        <v>1</v>
      </c>
      <c r="H4472">
        <v>0</v>
      </c>
      <c r="I4472">
        <v>0</v>
      </c>
      <c r="J4472">
        <v>17111.483561122499</v>
      </c>
      <c r="K4472">
        <v>19998.107750076</v>
      </c>
      <c r="L4472">
        <v>23.498000000000001</v>
      </c>
      <c r="M4472">
        <v>70.653000000000006</v>
      </c>
      <c r="N4472">
        <v>26.992000000000001</v>
      </c>
    </row>
    <row r="4473" spans="1:14" x14ac:dyDescent="0.45">
      <c r="A4473">
        <v>2001</v>
      </c>
      <c r="B4473" t="s">
        <v>165</v>
      </c>
      <c r="C4473">
        <v>0</v>
      </c>
      <c r="D4473">
        <v>1</v>
      </c>
      <c r="E4473">
        <v>0</v>
      </c>
      <c r="F4473">
        <v>0</v>
      </c>
      <c r="G4473">
        <v>1</v>
      </c>
      <c r="H4473">
        <v>0</v>
      </c>
      <c r="I4473">
        <v>0</v>
      </c>
      <c r="J4473">
        <v>17993.6372662268</v>
      </c>
      <c r="K4473">
        <v>12944.7487369755</v>
      </c>
      <c r="L4473">
        <v>72.527000000000001</v>
      </c>
      <c r="M4473">
        <v>71.367000000000004</v>
      </c>
      <c r="N4473">
        <v>18.201000000000001</v>
      </c>
    </row>
    <row r="4474" spans="1:14" x14ac:dyDescent="0.45">
      <c r="A4474">
        <v>2001</v>
      </c>
      <c r="B4474" t="s">
        <v>166</v>
      </c>
      <c r="C4474">
        <v>1</v>
      </c>
      <c r="D4474">
        <v>0</v>
      </c>
      <c r="E4474">
        <v>0</v>
      </c>
      <c r="F4474">
        <v>0</v>
      </c>
      <c r="G4474">
        <v>0</v>
      </c>
      <c r="H4474">
        <v>1</v>
      </c>
      <c r="I4474">
        <v>1</v>
      </c>
      <c r="L4474">
        <v>85.037999999999997</v>
      </c>
      <c r="M4474">
        <v>79.194000000000003</v>
      </c>
      <c r="N4474">
        <v>10.988</v>
      </c>
    </row>
    <row r="4475" spans="1:14" x14ac:dyDescent="0.45">
      <c r="A4475">
        <v>2001</v>
      </c>
      <c r="B4475" t="s">
        <v>167</v>
      </c>
      <c r="C4475">
        <v>0</v>
      </c>
      <c r="D4475">
        <v>0</v>
      </c>
      <c r="E4475">
        <v>0</v>
      </c>
      <c r="F4475">
        <v>1</v>
      </c>
      <c r="G4475">
        <v>0</v>
      </c>
      <c r="H4475">
        <v>0</v>
      </c>
      <c r="I4475">
        <v>0</v>
      </c>
      <c r="J4475">
        <v>6230.0305186485302</v>
      </c>
      <c r="K4475">
        <v>5818.75003815933</v>
      </c>
      <c r="L4475">
        <v>81.635000000000005</v>
      </c>
      <c r="M4475">
        <v>71.804000000000002</v>
      </c>
      <c r="N4475">
        <v>16.286999999999999</v>
      </c>
    </row>
    <row r="4476" spans="1:14" x14ac:dyDescent="0.45">
      <c r="A4476">
        <v>2001</v>
      </c>
      <c r="B4476" t="s">
        <v>168</v>
      </c>
      <c r="C4476">
        <v>0</v>
      </c>
      <c r="D4476">
        <v>0</v>
      </c>
      <c r="E4476">
        <v>1</v>
      </c>
      <c r="F4476">
        <v>0</v>
      </c>
      <c r="G4476">
        <v>0</v>
      </c>
      <c r="H4476">
        <v>0</v>
      </c>
      <c r="I4476">
        <v>0</v>
      </c>
      <c r="J4476">
        <v>2004.0335021595499</v>
      </c>
      <c r="K4476">
        <v>1794.45207079024</v>
      </c>
      <c r="L4476">
        <v>79.933000000000007</v>
      </c>
      <c r="M4476">
        <v>47.152999999999999</v>
      </c>
      <c r="N4476">
        <v>111.434</v>
      </c>
    </row>
    <row r="4477" spans="1:14" x14ac:dyDescent="0.45">
      <c r="A4477">
        <v>2001</v>
      </c>
      <c r="B4477" t="s">
        <v>169</v>
      </c>
      <c r="C4477">
        <v>1</v>
      </c>
      <c r="D4477">
        <v>0</v>
      </c>
      <c r="E4477">
        <v>0</v>
      </c>
      <c r="F4477">
        <v>0</v>
      </c>
      <c r="G4477">
        <v>1</v>
      </c>
      <c r="H4477">
        <v>0</v>
      </c>
      <c r="I4477">
        <v>0</v>
      </c>
      <c r="J4477">
        <v>16933.022549049601</v>
      </c>
      <c r="K4477">
        <v>14487.329894160101</v>
      </c>
      <c r="L4477">
        <v>33.081000000000003</v>
      </c>
      <c r="M4477">
        <v>71.712000000000003</v>
      </c>
      <c r="N4477">
        <v>10.25</v>
      </c>
    </row>
    <row r="4478" spans="1:14" x14ac:dyDescent="0.45">
      <c r="A4478">
        <v>2001</v>
      </c>
      <c r="B4478" t="s">
        <v>170</v>
      </c>
      <c r="C4478">
        <v>1</v>
      </c>
      <c r="D4478">
        <v>0</v>
      </c>
      <c r="E4478">
        <v>0</v>
      </c>
      <c r="F4478">
        <v>0</v>
      </c>
      <c r="G4478">
        <v>0</v>
      </c>
      <c r="H4478">
        <v>1</v>
      </c>
      <c r="I4478">
        <v>1</v>
      </c>
      <c r="J4478">
        <v>116258.426812926</v>
      </c>
      <c r="K4478">
        <v>99349.953885794705</v>
      </c>
      <c r="L4478">
        <v>15.157</v>
      </c>
      <c r="M4478">
        <v>77.53</v>
      </c>
      <c r="N4478">
        <v>7.7290000000000001</v>
      </c>
    </row>
    <row r="4479" spans="1:14" x14ac:dyDescent="0.45">
      <c r="A4479">
        <v>2001</v>
      </c>
      <c r="B4479" t="s">
        <v>171</v>
      </c>
      <c r="C4479">
        <v>1</v>
      </c>
      <c r="D4479">
        <v>0</v>
      </c>
      <c r="E4479">
        <v>0</v>
      </c>
      <c r="F4479">
        <v>0</v>
      </c>
      <c r="G4479">
        <v>1</v>
      </c>
      <c r="H4479">
        <v>0</v>
      </c>
      <c r="I4479">
        <v>0</v>
      </c>
      <c r="J4479">
        <v>15695.906718153001</v>
      </c>
      <c r="K4479">
        <v>13617.6004707015</v>
      </c>
      <c r="L4479">
        <v>32.049999999999997</v>
      </c>
      <c r="M4479">
        <v>69.906000000000006</v>
      </c>
      <c r="N4479">
        <v>13.602</v>
      </c>
    </row>
    <row r="4480" spans="1:14" x14ac:dyDescent="0.45">
      <c r="A4480">
        <v>2001</v>
      </c>
      <c r="B4480" t="s">
        <v>172</v>
      </c>
      <c r="C4480">
        <v>0</v>
      </c>
      <c r="D4480">
        <v>0</v>
      </c>
      <c r="E4480">
        <v>0</v>
      </c>
      <c r="F4480">
        <v>0</v>
      </c>
      <c r="G4480">
        <v>0</v>
      </c>
      <c r="H4480">
        <v>1</v>
      </c>
      <c r="I4480">
        <v>1</v>
      </c>
      <c r="J4480">
        <v>57114.057581936097</v>
      </c>
      <c r="K4480">
        <v>51759.1283971913</v>
      </c>
      <c r="L4480">
        <v>0</v>
      </c>
      <c r="M4480">
        <v>79.811999999999998</v>
      </c>
      <c r="N4480">
        <v>7.2439999999999998</v>
      </c>
    </row>
    <row r="4481" spans="1:14" x14ac:dyDescent="0.45">
      <c r="A4481">
        <v>2001</v>
      </c>
      <c r="B4481" t="s">
        <v>173</v>
      </c>
      <c r="C4481">
        <v>0</v>
      </c>
      <c r="D4481">
        <v>1</v>
      </c>
      <c r="E4481">
        <v>0</v>
      </c>
      <c r="F4481">
        <v>0</v>
      </c>
      <c r="G4481">
        <v>0</v>
      </c>
      <c r="H4481">
        <v>1</v>
      </c>
      <c r="I4481">
        <v>1</v>
      </c>
      <c r="L4481">
        <v>0</v>
      </c>
      <c r="M4481">
        <v>77.009</v>
      </c>
      <c r="N4481">
        <v>14.23</v>
      </c>
    </row>
    <row r="4482" spans="1:14" x14ac:dyDescent="0.45">
      <c r="A4482">
        <v>2001</v>
      </c>
      <c r="B4482" t="s">
        <v>174</v>
      </c>
      <c r="C4482">
        <v>0</v>
      </c>
      <c r="D4482">
        <v>0</v>
      </c>
      <c r="E4482">
        <v>0</v>
      </c>
      <c r="F4482">
        <v>1</v>
      </c>
      <c r="G4482">
        <v>0</v>
      </c>
      <c r="H4482">
        <v>0</v>
      </c>
      <c r="I4482">
        <v>0</v>
      </c>
      <c r="J4482">
        <v>5417.57861328125</v>
      </c>
      <c r="K4482">
        <v>5202.87151973244</v>
      </c>
      <c r="L4482">
        <v>46.338000000000001</v>
      </c>
      <c r="M4482">
        <v>67.2</v>
      </c>
      <c r="N4482">
        <v>49.551000000000002</v>
      </c>
    </row>
    <row r="4483" spans="1:14" x14ac:dyDescent="0.45">
      <c r="A4483">
        <v>2001</v>
      </c>
      <c r="B4483" t="s">
        <v>175</v>
      </c>
      <c r="C4483">
        <v>1</v>
      </c>
      <c r="D4483">
        <v>0</v>
      </c>
      <c r="E4483">
        <v>0</v>
      </c>
      <c r="F4483">
        <v>0</v>
      </c>
      <c r="G4483">
        <v>0</v>
      </c>
      <c r="H4483">
        <v>1</v>
      </c>
      <c r="I4483">
        <v>1</v>
      </c>
      <c r="L4483">
        <v>0</v>
      </c>
      <c r="M4483">
        <v>82.484999999999999</v>
      </c>
      <c r="N4483">
        <v>7.4349999999999996</v>
      </c>
    </row>
    <row r="4484" spans="1:14" x14ac:dyDescent="0.45">
      <c r="A4484">
        <v>2001</v>
      </c>
      <c r="B4484" t="s">
        <v>176</v>
      </c>
      <c r="C4484">
        <v>1</v>
      </c>
      <c r="D4484">
        <v>0</v>
      </c>
      <c r="E4484">
        <v>0</v>
      </c>
      <c r="F4484">
        <v>0</v>
      </c>
      <c r="G4484">
        <v>0</v>
      </c>
      <c r="H4484">
        <v>0</v>
      </c>
      <c r="I4484">
        <v>0</v>
      </c>
      <c r="J4484">
        <v>6090.0347435611202</v>
      </c>
      <c r="K4484">
        <v>5223.4693201170703</v>
      </c>
      <c r="L4484">
        <v>55.811</v>
      </c>
      <c r="M4484">
        <v>67.671999999999997</v>
      </c>
      <c r="N4484">
        <v>28.087</v>
      </c>
    </row>
    <row r="4485" spans="1:14" x14ac:dyDescent="0.45">
      <c r="A4485">
        <v>2001</v>
      </c>
      <c r="B4485" t="s">
        <v>177</v>
      </c>
      <c r="C4485">
        <v>0</v>
      </c>
      <c r="D4485">
        <v>0</v>
      </c>
      <c r="E4485">
        <v>1</v>
      </c>
      <c r="F4485">
        <v>0</v>
      </c>
      <c r="G4485">
        <v>0</v>
      </c>
      <c r="H4485">
        <v>0</v>
      </c>
      <c r="I4485">
        <v>0</v>
      </c>
      <c r="J4485">
        <v>1748.5035092891201</v>
      </c>
      <c r="K4485">
        <v>1619.86006385461</v>
      </c>
      <c r="L4485">
        <v>72.608999999999995</v>
      </c>
      <c r="M4485">
        <v>58.673999999999999</v>
      </c>
      <c r="N4485">
        <v>100.66200000000001</v>
      </c>
    </row>
    <row r="4486" spans="1:14" x14ac:dyDescent="0.45">
      <c r="A4486">
        <v>2001</v>
      </c>
      <c r="B4486" t="s">
        <v>178</v>
      </c>
      <c r="C4486">
        <v>0</v>
      </c>
      <c r="D4486">
        <v>0</v>
      </c>
      <c r="E4486">
        <v>0</v>
      </c>
      <c r="F4486">
        <v>1</v>
      </c>
      <c r="G4486">
        <v>0</v>
      </c>
      <c r="H4486">
        <v>0</v>
      </c>
      <c r="I4486">
        <v>0</v>
      </c>
      <c r="J4486">
        <v>12977.9990852583</v>
      </c>
      <c r="K4486">
        <v>12803.877145479701</v>
      </c>
      <c r="L4486">
        <v>71.141000000000005</v>
      </c>
      <c r="M4486">
        <v>71.659000000000006</v>
      </c>
      <c r="N4486">
        <v>34.564</v>
      </c>
    </row>
    <row r="4487" spans="1:14" x14ac:dyDescent="0.45">
      <c r="A4487">
        <v>2001</v>
      </c>
      <c r="B4487" t="s">
        <v>179</v>
      </c>
      <c r="C4487">
        <v>0</v>
      </c>
      <c r="D4487">
        <v>1</v>
      </c>
      <c r="E4487">
        <v>0</v>
      </c>
      <c r="F4487">
        <v>0</v>
      </c>
      <c r="G4487">
        <v>1</v>
      </c>
      <c r="H4487">
        <v>0</v>
      </c>
      <c r="I4487">
        <v>0</v>
      </c>
      <c r="J4487">
        <v>20078.218390768201</v>
      </c>
      <c r="K4487">
        <v>18666.221525335401</v>
      </c>
      <c r="L4487">
        <v>24.954999999999998</v>
      </c>
      <c r="M4487">
        <v>72.912000000000006</v>
      </c>
      <c r="N4487">
        <v>26.97</v>
      </c>
    </row>
    <row r="4488" spans="1:14" x14ac:dyDescent="0.45">
      <c r="A4488">
        <v>2001</v>
      </c>
      <c r="B4488" t="s">
        <v>180</v>
      </c>
      <c r="C4488">
        <v>0</v>
      </c>
      <c r="D4488">
        <v>0</v>
      </c>
      <c r="E4488">
        <v>0</v>
      </c>
      <c r="F4488">
        <v>1</v>
      </c>
      <c r="G4488">
        <v>0</v>
      </c>
      <c r="H4488">
        <v>0</v>
      </c>
      <c r="I4488">
        <v>0</v>
      </c>
      <c r="J4488">
        <v>4000.7305118517902</v>
      </c>
      <c r="K4488">
        <v>3618.60028467041</v>
      </c>
      <c r="L4488">
        <v>30.899000000000001</v>
      </c>
      <c r="M4488">
        <v>63.734999999999999</v>
      </c>
      <c r="N4488">
        <v>41.895000000000003</v>
      </c>
    </row>
    <row r="4489" spans="1:14" x14ac:dyDescent="0.45">
      <c r="A4489">
        <v>2001</v>
      </c>
      <c r="B4489" t="s">
        <v>181</v>
      </c>
      <c r="C4489">
        <v>1</v>
      </c>
      <c r="D4489">
        <v>0</v>
      </c>
      <c r="E4489">
        <v>0</v>
      </c>
      <c r="F4489">
        <v>1</v>
      </c>
      <c r="G4489">
        <v>0</v>
      </c>
      <c r="H4489">
        <v>0</v>
      </c>
      <c r="I4489">
        <v>0</v>
      </c>
      <c r="J4489">
        <v>11571.1739341308</v>
      </c>
      <c r="K4489">
        <v>9768.2447783489297</v>
      </c>
      <c r="L4489">
        <v>41.661000000000001</v>
      </c>
      <c r="M4489">
        <v>73.006</v>
      </c>
      <c r="N4489">
        <v>14.547000000000001</v>
      </c>
    </row>
    <row r="4490" spans="1:14" x14ac:dyDescent="0.45">
      <c r="A4490">
        <v>2001</v>
      </c>
      <c r="B4490" t="s">
        <v>182</v>
      </c>
      <c r="C4490">
        <v>0</v>
      </c>
      <c r="D4490">
        <v>0</v>
      </c>
      <c r="E4490">
        <v>1</v>
      </c>
      <c r="F4490">
        <v>0</v>
      </c>
      <c r="G4490">
        <v>0</v>
      </c>
      <c r="H4490">
        <v>0</v>
      </c>
      <c r="I4490">
        <v>0</v>
      </c>
      <c r="J4490">
        <v>2140.99256560511</v>
      </c>
      <c r="K4490">
        <v>1981.7236614830399</v>
      </c>
      <c r="L4490">
        <v>70.924999999999997</v>
      </c>
      <c r="M4490">
        <v>51.3</v>
      </c>
      <c r="N4490">
        <v>181.45699999999999</v>
      </c>
    </row>
    <row r="4491" spans="1:14" x14ac:dyDescent="0.45">
      <c r="A4491">
        <v>2001</v>
      </c>
      <c r="B4491" t="s">
        <v>183</v>
      </c>
      <c r="C4491">
        <v>0</v>
      </c>
      <c r="D4491">
        <v>0</v>
      </c>
      <c r="E4491">
        <v>0</v>
      </c>
      <c r="F4491">
        <v>0</v>
      </c>
      <c r="G4491">
        <v>1</v>
      </c>
      <c r="H4491">
        <v>0</v>
      </c>
      <c r="I4491">
        <v>0</v>
      </c>
      <c r="J4491">
        <v>30572.7694025448</v>
      </c>
      <c r="K4491">
        <v>26446.941940772402</v>
      </c>
      <c r="L4491">
        <v>7.3589999999999902</v>
      </c>
      <c r="M4491">
        <v>78.902000000000001</v>
      </c>
      <c r="N4491">
        <v>6.1980000000000004</v>
      </c>
    </row>
    <row r="4492" spans="1:14" x14ac:dyDescent="0.45">
      <c r="A4492">
        <v>2001</v>
      </c>
      <c r="B4492" t="s">
        <v>184</v>
      </c>
      <c r="C4492">
        <v>0</v>
      </c>
      <c r="D4492">
        <v>0</v>
      </c>
      <c r="E4492">
        <v>0</v>
      </c>
      <c r="F4492">
        <v>0</v>
      </c>
      <c r="G4492">
        <v>0</v>
      </c>
      <c r="H4492">
        <v>0</v>
      </c>
      <c r="I4492">
        <v>0</v>
      </c>
      <c r="J4492">
        <v>1498.31163236525</v>
      </c>
      <c r="K4492">
        <v>1199.7028168955001</v>
      </c>
      <c r="L4492">
        <v>72.792000000000002</v>
      </c>
      <c r="M4492">
        <v>60.64</v>
      </c>
      <c r="N4492">
        <v>86.747</v>
      </c>
    </row>
    <row r="4493" spans="1:14" x14ac:dyDescent="0.45">
      <c r="A4493">
        <v>2001</v>
      </c>
      <c r="B4493" t="s">
        <v>185</v>
      </c>
      <c r="C4493">
        <v>1</v>
      </c>
      <c r="D4493">
        <v>0</v>
      </c>
      <c r="E4493">
        <v>0</v>
      </c>
      <c r="F4493">
        <v>1</v>
      </c>
      <c r="G4493">
        <v>0</v>
      </c>
      <c r="H4493">
        <v>0</v>
      </c>
      <c r="I4493">
        <v>0</v>
      </c>
      <c r="J4493">
        <v>14531.9223440486</v>
      </c>
      <c r="K4493">
        <v>12278.5872482958</v>
      </c>
      <c r="L4493">
        <v>40.441000000000003</v>
      </c>
      <c r="M4493">
        <v>73.739000000000004</v>
      </c>
      <c r="N4493">
        <v>13.459</v>
      </c>
    </row>
    <row r="4494" spans="1:14" x14ac:dyDescent="0.45">
      <c r="A4494">
        <v>2001</v>
      </c>
      <c r="B4494" t="s">
        <v>186</v>
      </c>
      <c r="C4494">
        <v>0</v>
      </c>
      <c r="D4494">
        <v>0</v>
      </c>
      <c r="E4494">
        <v>0</v>
      </c>
      <c r="F4494">
        <v>0</v>
      </c>
      <c r="G4494">
        <v>0</v>
      </c>
      <c r="H4494">
        <v>0</v>
      </c>
      <c r="I4494">
        <v>0</v>
      </c>
      <c r="J4494">
        <v>5917.0708839634299</v>
      </c>
      <c r="K4494">
        <v>4558.9605238509803</v>
      </c>
      <c r="L4494">
        <v>41.777999999999999</v>
      </c>
      <c r="M4494">
        <v>63.805999999999997</v>
      </c>
      <c r="N4494">
        <v>57.341000000000001</v>
      </c>
    </row>
    <row r="4495" spans="1:14" x14ac:dyDescent="0.45">
      <c r="A4495">
        <v>2001</v>
      </c>
      <c r="B4495" t="s">
        <v>187</v>
      </c>
      <c r="C4495">
        <v>0</v>
      </c>
      <c r="D4495">
        <v>0</v>
      </c>
      <c r="E4495">
        <v>0</v>
      </c>
      <c r="F4495">
        <v>0</v>
      </c>
      <c r="G4495">
        <v>0</v>
      </c>
      <c r="H4495">
        <v>1</v>
      </c>
      <c r="I4495">
        <v>1</v>
      </c>
      <c r="L4495">
        <v>9.7650000000000006</v>
      </c>
      <c r="M4495">
        <v>75.418999999999997</v>
      </c>
      <c r="N4495">
        <v>6.6959999999999997</v>
      </c>
    </row>
    <row r="4496" spans="1:14" x14ac:dyDescent="0.45">
      <c r="A4496">
        <v>2001</v>
      </c>
      <c r="B4496" t="s">
        <v>188</v>
      </c>
      <c r="C4496">
        <v>0</v>
      </c>
      <c r="D4496">
        <v>0</v>
      </c>
      <c r="E4496">
        <v>1</v>
      </c>
      <c r="F4496">
        <v>0</v>
      </c>
      <c r="G4496">
        <v>0</v>
      </c>
      <c r="H4496">
        <v>0</v>
      </c>
      <c r="I4496">
        <v>0</v>
      </c>
      <c r="J4496">
        <v>785.79017361624597</v>
      </c>
      <c r="K4496">
        <v>657.94203812439196</v>
      </c>
      <c r="L4496">
        <v>70.722999999999999</v>
      </c>
      <c r="M4496">
        <v>50.259</v>
      </c>
      <c r="N4496">
        <v>163.43600000000001</v>
      </c>
    </row>
    <row r="4497" spans="1:14" x14ac:dyDescent="0.45">
      <c r="A4497">
        <v>2001</v>
      </c>
      <c r="B4497" t="s">
        <v>189</v>
      </c>
      <c r="C4497">
        <v>0</v>
      </c>
      <c r="D4497">
        <v>0</v>
      </c>
      <c r="E4497">
        <v>1</v>
      </c>
      <c r="F4497">
        <v>0</v>
      </c>
      <c r="G4497">
        <v>0</v>
      </c>
      <c r="H4497">
        <v>0</v>
      </c>
      <c r="I4497">
        <v>0</v>
      </c>
      <c r="J4497">
        <v>4847.41086528495</v>
      </c>
      <c r="K4497">
        <v>4288.5692057495298</v>
      </c>
      <c r="L4497">
        <v>61.384</v>
      </c>
      <c r="M4497">
        <v>61.661999999999999</v>
      </c>
      <c r="N4497">
        <v>91.94</v>
      </c>
    </row>
    <row r="4498" spans="1:14" x14ac:dyDescent="0.45">
      <c r="A4498">
        <v>2001</v>
      </c>
      <c r="B4498" t="s">
        <v>190</v>
      </c>
      <c r="C4498">
        <v>0</v>
      </c>
      <c r="D4498">
        <v>0</v>
      </c>
      <c r="E4498">
        <v>1</v>
      </c>
      <c r="F4498">
        <v>0</v>
      </c>
      <c r="G4498">
        <v>1</v>
      </c>
      <c r="H4498">
        <v>0</v>
      </c>
      <c r="I4498">
        <v>0</v>
      </c>
      <c r="J4498">
        <v>13659.635144760499</v>
      </c>
      <c r="K4498">
        <v>12821.2707117644</v>
      </c>
      <c r="L4498">
        <v>57.441000000000003</v>
      </c>
      <c r="M4498">
        <v>71.984999999999999</v>
      </c>
      <c r="N4498">
        <v>17.093</v>
      </c>
    </row>
    <row r="4499" spans="1:14" x14ac:dyDescent="0.45">
      <c r="A4499">
        <v>2001</v>
      </c>
      <c r="B4499" t="s">
        <v>191</v>
      </c>
      <c r="C4499">
        <v>0</v>
      </c>
      <c r="D4499">
        <v>0</v>
      </c>
      <c r="E4499">
        <v>1</v>
      </c>
      <c r="F4499">
        <v>0</v>
      </c>
      <c r="G4499">
        <v>0</v>
      </c>
      <c r="H4499">
        <v>0</v>
      </c>
      <c r="I4499">
        <v>0</v>
      </c>
      <c r="J4499">
        <v>1149.5803960189801</v>
      </c>
      <c r="K4499">
        <v>983.65153509986999</v>
      </c>
      <c r="L4499">
        <v>85.302000000000007</v>
      </c>
      <c r="M4499">
        <v>47.204999999999998</v>
      </c>
      <c r="N4499">
        <v>156.053</v>
      </c>
    </row>
    <row r="4500" spans="1:14" x14ac:dyDescent="0.45">
      <c r="A4500">
        <v>2001</v>
      </c>
      <c r="B4500" t="s">
        <v>192</v>
      </c>
      <c r="C4500">
        <v>0</v>
      </c>
      <c r="D4500">
        <v>0</v>
      </c>
      <c r="E4500">
        <v>0</v>
      </c>
      <c r="F4500">
        <v>0</v>
      </c>
      <c r="G4500">
        <v>1</v>
      </c>
      <c r="H4500">
        <v>0</v>
      </c>
      <c r="I4500">
        <v>0</v>
      </c>
      <c r="J4500">
        <v>18186.441133014599</v>
      </c>
      <c r="K4500">
        <v>16256.532530496401</v>
      </c>
      <c r="L4500">
        <v>37.078000000000003</v>
      </c>
      <c r="M4500">
        <v>73.08</v>
      </c>
      <c r="N4500">
        <v>9.657</v>
      </c>
    </row>
    <row r="4501" spans="1:14" x14ac:dyDescent="0.45">
      <c r="A4501">
        <v>2001</v>
      </c>
      <c r="B4501" t="s">
        <v>193</v>
      </c>
      <c r="C4501">
        <v>0</v>
      </c>
      <c r="D4501">
        <v>0</v>
      </c>
      <c r="E4501">
        <v>1</v>
      </c>
      <c r="F4501">
        <v>1</v>
      </c>
      <c r="G4501">
        <v>0</v>
      </c>
      <c r="H4501">
        <v>0</v>
      </c>
      <c r="I4501">
        <v>0</v>
      </c>
      <c r="J4501">
        <v>7786.5416949676101</v>
      </c>
      <c r="K4501">
        <v>6748.59416403872</v>
      </c>
      <c r="L4501">
        <v>67.102000000000004</v>
      </c>
      <c r="M4501">
        <v>51.98</v>
      </c>
      <c r="N4501">
        <v>76.558000000000007</v>
      </c>
    </row>
    <row r="4502" spans="1:14" x14ac:dyDescent="0.45">
      <c r="A4502">
        <v>2001</v>
      </c>
      <c r="B4502" t="s">
        <v>194</v>
      </c>
      <c r="C4502">
        <v>0</v>
      </c>
      <c r="D4502">
        <v>0</v>
      </c>
      <c r="E4502">
        <v>0</v>
      </c>
      <c r="F4502">
        <v>0</v>
      </c>
      <c r="G4502">
        <v>0</v>
      </c>
      <c r="H4502">
        <v>1</v>
      </c>
      <c r="I4502">
        <v>1</v>
      </c>
      <c r="L4502">
        <v>37.723999999999997</v>
      </c>
      <c r="M4502">
        <v>73.957999999999998</v>
      </c>
      <c r="N4502">
        <v>21.504999999999999</v>
      </c>
    </row>
    <row r="4503" spans="1:14" x14ac:dyDescent="0.45">
      <c r="A4503">
        <v>2001</v>
      </c>
      <c r="B4503" t="s">
        <v>195</v>
      </c>
      <c r="C4503">
        <v>0</v>
      </c>
      <c r="D4503">
        <v>0</v>
      </c>
      <c r="E4503">
        <v>1</v>
      </c>
      <c r="F4503">
        <v>0</v>
      </c>
      <c r="G4503">
        <v>0</v>
      </c>
      <c r="H4503">
        <v>0</v>
      </c>
      <c r="I4503">
        <v>0</v>
      </c>
      <c r="J4503">
        <v>1233.0651180827799</v>
      </c>
      <c r="K4503">
        <v>980.07984074094702</v>
      </c>
      <c r="L4503">
        <v>83.74</v>
      </c>
      <c r="M4503">
        <v>49.872</v>
      </c>
      <c r="N4503">
        <v>218.17599999999999</v>
      </c>
    </row>
    <row r="4504" spans="1:14" x14ac:dyDescent="0.45">
      <c r="A4504">
        <v>2001</v>
      </c>
      <c r="B4504" t="s">
        <v>196</v>
      </c>
      <c r="C4504">
        <v>0</v>
      </c>
      <c r="D4504">
        <v>0</v>
      </c>
      <c r="E4504">
        <v>1</v>
      </c>
      <c r="F4504">
        <v>0</v>
      </c>
      <c r="G4504">
        <v>0</v>
      </c>
      <c r="H4504">
        <v>0</v>
      </c>
      <c r="I4504">
        <v>0</v>
      </c>
      <c r="J4504">
        <v>3392.0352851630901</v>
      </c>
      <c r="K4504">
        <v>2999.0163637819601</v>
      </c>
      <c r="L4504">
        <v>64.331000000000003</v>
      </c>
      <c r="M4504">
        <v>47.548999999999999</v>
      </c>
      <c r="N4504">
        <v>176.458</v>
      </c>
    </row>
    <row r="4505" spans="1:14" x14ac:dyDescent="0.45">
      <c r="A4505">
        <v>2001</v>
      </c>
      <c r="B4505" t="s">
        <v>197</v>
      </c>
      <c r="C4505">
        <v>0</v>
      </c>
      <c r="D4505">
        <v>1</v>
      </c>
      <c r="E4505">
        <v>0</v>
      </c>
      <c r="F4505">
        <v>0</v>
      </c>
      <c r="G4505">
        <v>0</v>
      </c>
      <c r="H4505">
        <v>0</v>
      </c>
      <c r="I4505">
        <v>0</v>
      </c>
      <c r="J4505">
        <v>4958.32771126837</v>
      </c>
      <c r="K4505">
        <v>4176.2266409969998</v>
      </c>
      <c r="L4505">
        <v>44.664999999999999</v>
      </c>
      <c r="M4505">
        <v>67.028000000000006</v>
      </c>
      <c r="N4505">
        <v>36.454000000000001</v>
      </c>
    </row>
    <row r="4506" spans="1:14" x14ac:dyDescent="0.45">
      <c r="A4506">
        <v>2001</v>
      </c>
      <c r="B4506" t="s">
        <v>198</v>
      </c>
      <c r="C4506">
        <v>1</v>
      </c>
      <c r="D4506">
        <v>0</v>
      </c>
      <c r="E4506">
        <v>0</v>
      </c>
      <c r="F4506">
        <v>0</v>
      </c>
      <c r="G4506">
        <v>0</v>
      </c>
      <c r="H4506">
        <v>1</v>
      </c>
      <c r="I4506">
        <v>1</v>
      </c>
      <c r="J4506">
        <v>56887.433273111099</v>
      </c>
      <c r="K4506">
        <v>48021.130006443898</v>
      </c>
      <c r="L4506">
        <v>22.17</v>
      </c>
      <c r="M4506">
        <v>78.337999999999994</v>
      </c>
      <c r="N4506">
        <v>6.3029999999999999</v>
      </c>
    </row>
    <row r="4507" spans="1:14" x14ac:dyDescent="0.45">
      <c r="A4507">
        <v>2001</v>
      </c>
      <c r="B4507" t="s">
        <v>199</v>
      </c>
      <c r="C4507">
        <v>1</v>
      </c>
      <c r="D4507">
        <v>0</v>
      </c>
      <c r="E4507">
        <v>0</v>
      </c>
      <c r="F4507">
        <v>0</v>
      </c>
      <c r="G4507">
        <v>0</v>
      </c>
      <c r="H4507">
        <v>1</v>
      </c>
      <c r="I4507">
        <v>1</v>
      </c>
      <c r="J4507">
        <v>78791.304570712906</v>
      </c>
      <c r="K4507">
        <v>58217.918509661999</v>
      </c>
      <c r="L4507">
        <v>23.622</v>
      </c>
      <c r="M4507">
        <v>78.896000000000001</v>
      </c>
      <c r="N4507">
        <v>4.726</v>
      </c>
    </row>
    <row r="4508" spans="1:14" x14ac:dyDescent="0.45">
      <c r="A4508">
        <v>2001</v>
      </c>
      <c r="B4508" t="s">
        <v>200</v>
      </c>
      <c r="C4508">
        <v>0</v>
      </c>
      <c r="D4508">
        <v>0</v>
      </c>
      <c r="E4508">
        <v>0</v>
      </c>
      <c r="F4508">
        <v>0</v>
      </c>
      <c r="G4508">
        <v>0</v>
      </c>
      <c r="H4508">
        <v>0</v>
      </c>
      <c r="I4508">
        <v>0</v>
      </c>
      <c r="J4508">
        <v>2413.8142127555998</v>
      </c>
      <c r="K4508">
        <v>2136.9664326073398</v>
      </c>
      <c r="L4508">
        <v>86.052999999999997</v>
      </c>
      <c r="M4508">
        <v>63.287999999999997</v>
      </c>
      <c r="N4508">
        <v>74.87</v>
      </c>
    </row>
    <row r="4509" spans="1:14" x14ac:dyDescent="0.45">
      <c r="A4509">
        <v>2001</v>
      </c>
      <c r="B4509" t="s">
        <v>201</v>
      </c>
      <c r="C4509">
        <v>0</v>
      </c>
      <c r="D4509">
        <v>0</v>
      </c>
      <c r="E4509">
        <v>0</v>
      </c>
      <c r="F4509">
        <v>0</v>
      </c>
      <c r="G4509">
        <v>0</v>
      </c>
      <c r="H4509">
        <v>1</v>
      </c>
      <c r="I4509">
        <v>1</v>
      </c>
      <c r="J4509">
        <v>8394.0852872865107</v>
      </c>
      <c r="K4509">
        <v>7594.3007813179001</v>
      </c>
      <c r="L4509">
        <v>0</v>
      </c>
      <c r="M4509">
        <v>59.481999999999999</v>
      </c>
      <c r="N4509">
        <v>42.103000000000002</v>
      </c>
    </row>
    <row r="4510" spans="1:14" x14ac:dyDescent="0.45">
      <c r="A4510">
        <v>2001</v>
      </c>
      <c r="B4510" t="s">
        <v>202</v>
      </c>
      <c r="C4510">
        <v>0</v>
      </c>
      <c r="D4510">
        <v>0</v>
      </c>
      <c r="E4510">
        <v>0</v>
      </c>
      <c r="F4510">
        <v>0</v>
      </c>
      <c r="G4510">
        <v>0</v>
      </c>
      <c r="H4510">
        <v>1</v>
      </c>
      <c r="I4510">
        <v>1</v>
      </c>
      <c r="J4510">
        <v>36885.644684200997</v>
      </c>
      <c r="K4510">
        <v>33549.4118952762</v>
      </c>
      <c r="L4510">
        <v>13.9</v>
      </c>
      <c r="M4510">
        <v>78.662000000000006</v>
      </c>
      <c r="N4510">
        <v>6.657</v>
      </c>
    </row>
    <row r="4511" spans="1:14" x14ac:dyDescent="0.45">
      <c r="A4511">
        <v>2001</v>
      </c>
      <c r="B4511" t="s">
        <v>203</v>
      </c>
      <c r="C4511">
        <v>0</v>
      </c>
      <c r="D4511">
        <v>0</v>
      </c>
      <c r="E4511">
        <v>0</v>
      </c>
      <c r="F4511">
        <v>0</v>
      </c>
      <c r="G4511">
        <v>1</v>
      </c>
      <c r="H4511">
        <v>0</v>
      </c>
      <c r="I4511">
        <v>0</v>
      </c>
      <c r="J4511">
        <v>43492.286375455697</v>
      </c>
      <c r="K4511">
        <v>37791.342978271401</v>
      </c>
      <c r="L4511">
        <v>28.451000000000001</v>
      </c>
      <c r="M4511">
        <v>73.978999999999999</v>
      </c>
      <c r="N4511">
        <v>15.750999999999999</v>
      </c>
    </row>
    <row r="4512" spans="1:14" x14ac:dyDescent="0.45">
      <c r="A4512">
        <v>2001</v>
      </c>
      <c r="B4512" t="s">
        <v>204</v>
      </c>
      <c r="C4512">
        <v>0</v>
      </c>
      <c r="D4512">
        <v>0</v>
      </c>
      <c r="E4512">
        <v>0</v>
      </c>
      <c r="F4512">
        <v>0</v>
      </c>
      <c r="G4512">
        <v>0</v>
      </c>
      <c r="H4512">
        <v>0</v>
      </c>
      <c r="I4512">
        <v>0</v>
      </c>
      <c r="J4512">
        <v>3559.72784658715</v>
      </c>
      <c r="K4512">
        <v>3388.5005948032599</v>
      </c>
      <c r="L4512">
        <v>66.819999999999993</v>
      </c>
      <c r="M4512">
        <v>62.241</v>
      </c>
      <c r="N4512">
        <v>105.818</v>
      </c>
    </row>
    <row r="4513" spans="1:14" x14ac:dyDescent="0.45">
      <c r="A4513">
        <v>2001</v>
      </c>
      <c r="B4513" t="s">
        <v>205</v>
      </c>
      <c r="C4513">
        <v>0</v>
      </c>
      <c r="D4513">
        <v>1</v>
      </c>
      <c r="E4513">
        <v>0</v>
      </c>
      <c r="F4513">
        <v>0</v>
      </c>
      <c r="G4513">
        <v>1</v>
      </c>
      <c r="H4513">
        <v>0</v>
      </c>
      <c r="I4513">
        <v>0</v>
      </c>
      <c r="J4513">
        <v>14427.8299606334</v>
      </c>
      <c r="K4513">
        <v>15128.705540668099</v>
      </c>
      <c r="L4513">
        <v>37.503</v>
      </c>
      <c r="M4513">
        <v>73.819999999999993</v>
      </c>
      <c r="N4513">
        <v>24.675000000000001</v>
      </c>
    </row>
    <row r="4514" spans="1:14" x14ac:dyDescent="0.45">
      <c r="A4514">
        <v>2001</v>
      </c>
      <c r="B4514" t="s">
        <v>206</v>
      </c>
      <c r="C4514">
        <v>0</v>
      </c>
      <c r="D4514">
        <v>1</v>
      </c>
      <c r="E4514">
        <v>0</v>
      </c>
      <c r="F4514">
        <v>1</v>
      </c>
      <c r="G4514">
        <v>0</v>
      </c>
      <c r="H4514">
        <v>0</v>
      </c>
      <c r="I4514">
        <v>0</v>
      </c>
      <c r="J4514">
        <v>7611.6662817531997</v>
      </c>
      <c r="K4514">
        <v>6360.1882602197102</v>
      </c>
      <c r="L4514">
        <v>26.552</v>
      </c>
      <c r="M4514">
        <v>70.314999999999998</v>
      </c>
      <c r="N4514">
        <v>35.338000000000001</v>
      </c>
    </row>
    <row r="4515" spans="1:14" x14ac:dyDescent="0.45">
      <c r="A4515">
        <v>2001</v>
      </c>
      <c r="B4515" t="s">
        <v>207</v>
      </c>
      <c r="C4515">
        <v>0</v>
      </c>
      <c r="D4515">
        <v>0</v>
      </c>
      <c r="E4515">
        <v>0</v>
      </c>
      <c r="F4515">
        <v>1</v>
      </c>
      <c r="G4515">
        <v>0</v>
      </c>
      <c r="H4515">
        <v>0</v>
      </c>
      <c r="I4515">
        <v>0</v>
      </c>
      <c r="J4515">
        <v>4778.4008437474004</v>
      </c>
      <c r="K4515">
        <v>4327.3225459810201</v>
      </c>
      <c r="L4515">
        <v>53.95</v>
      </c>
      <c r="M4515">
        <v>67.828999999999994</v>
      </c>
      <c r="N4515">
        <v>36.497999999999998</v>
      </c>
    </row>
    <row r="4516" spans="1:14" x14ac:dyDescent="0.45">
      <c r="A4516">
        <v>2001</v>
      </c>
      <c r="B4516" t="s">
        <v>208</v>
      </c>
      <c r="C4516">
        <v>0</v>
      </c>
      <c r="D4516">
        <v>0</v>
      </c>
      <c r="E4516">
        <v>0</v>
      </c>
      <c r="F4516">
        <v>0</v>
      </c>
      <c r="G4516">
        <v>1</v>
      </c>
      <c r="H4516">
        <v>0</v>
      </c>
      <c r="I4516">
        <v>0</v>
      </c>
      <c r="J4516">
        <v>16295.897642259801</v>
      </c>
      <c r="K4516">
        <v>14743.2321642393</v>
      </c>
      <c r="L4516">
        <v>29.907</v>
      </c>
      <c r="M4516">
        <v>64.8</v>
      </c>
      <c r="N4516">
        <v>25.465</v>
      </c>
    </row>
    <row r="4517" spans="1:14" x14ac:dyDescent="0.45">
      <c r="A4517">
        <v>2001</v>
      </c>
      <c r="B4517" t="s">
        <v>209</v>
      </c>
      <c r="C4517">
        <v>0</v>
      </c>
      <c r="D4517">
        <v>0</v>
      </c>
      <c r="E4517">
        <v>0</v>
      </c>
      <c r="F4517">
        <v>0</v>
      </c>
      <c r="G4517">
        <v>0</v>
      </c>
      <c r="H4517">
        <v>0</v>
      </c>
      <c r="I4517">
        <v>0</v>
      </c>
      <c r="J4517">
        <v>3211.7593296320802</v>
      </c>
      <c r="K4517">
        <v>2905.3618123310698</v>
      </c>
      <c r="L4517">
        <v>86.817999999999998</v>
      </c>
      <c r="M4517">
        <v>61.646999999999998</v>
      </c>
      <c r="N4517">
        <v>70.442999999999998</v>
      </c>
    </row>
    <row r="4518" spans="1:14" x14ac:dyDescent="0.45">
      <c r="A4518">
        <v>2001</v>
      </c>
      <c r="B4518" t="s">
        <v>210</v>
      </c>
      <c r="C4518">
        <v>1</v>
      </c>
      <c r="D4518">
        <v>0</v>
      </c>
      <c r="E4518">
        <v>0</v>
      </c>
      <c r="F4518">
        <v>0</v>
      </c>
      <c r="G4518">
        <v>1</v>
      </c>
      <c r="H4518">
        <v>0</v>
      </c>
      <c r="I4518">
        <v>0</v>
      </c>
      <c r="J4518">
        <v>18800.601864840199</v>
      </c>
      <c r="K4518">
        <v>16228.135506410301</v>
      </c>
      <c r="L4518">
        <v>38.238999999999997</v>
      </c>
      <c r="M4518">
        <v>74.177000000000007</v>
      </c>
      <c r="N4518">
        <v>8.8450000000000006</v>
      </c>
    </row>
    <row r="4519" spans="1:14" x14ac:dyDescent="0.45">
      <c r="A4519">
        <v>2001</v>
      </c>
      <c r="B4519" t="s">
        <v>211</v>
      </c>
      <c r="C4519">
        <v>0</v>
      </c>
      <c r="D4519">
        <v>1</v>
      </c>
      <c r="E4519">
        <v>0</v>
      </c>
      <c r="F4519">
        <v>0</v>
      </c>
      <c r="G4519">
        <v>1</v>
      </c>
      <c r="H4519">
        <v>0</v>
      </c>
      <c r="I4519">
        <v>0</v>
      </c>
      <c r="J4519">
        <v>39568.5528383032</v>
      </c>
      <c r="K4519">
        <v>30398.173984189099</v>
      </c>
      <c r="L4519">
        <v>5.6669999999999998</v>
      </c>
      <c r="M4519">
        <v>75.971999999999994</v>
      </c>
      <c r="N4519">
        <v>11.394</v>
      </c>
    </row>
    <row r="4520" spans="1:14" x14ac:dyDescent="0.45">
      <c r="A4520">
        <v>2001</v>
      </c>
      <c r="B4520" t="s">
        <v>212</v>
      </c>
      <c r="C4520">
        <v>0</v>
      </c>
      <c r="D4520">
        <v>0</v>
      </c>
      <c r="E4520">
        <v>0</v>
      </c>
      <c r="F4520">
        <v>0</v>
      </c>
      <c r="G4520">
        <v>0</v>
      </c>
      <c r="H4520">
        <v>0</v>
      </c>
      <c r="I4520">
        <v>0</v>
      </c>
      <c r="L4520">
        <v>40.509</v>
      </c>
      <c r="M4520">
        <v>60.893000000000001</v>
      </c>
      <c r="N4520">
        <v>99.296000000000006</v>
      </c>
    </row>
    <row r="4521" spans="1:14" x14ac:dyDescent="0.45">
      <c r="A4521">
        <v>2001</v>
      </c>
      <c r="B4521" t="s">
        <v>213</v>
      </c>
      <c r="C4521">
        <v>1</v>
      </c>
      <c r="D4521">
        <v>0</v>
      </c>
      <c r="E4521">
        <v>0</v>
      </c>
      <c r="F4521">
        <v>0</v>
      </c>
      <c r="G4521">
        <v>0</v>
      </c>
      <c r="H4521">
        <v>1</v>
      </c>
      <c r="I4521">
        <v>1</v>
      </c>
      <c r="J4521">
        <v>35500.226527982297</v>
      </c>
      <c r="K4521">
        <v>30685.795638957701</v>
      </c>
      <c r="L4521">
        <v>44.956000000000003</v>
      </c>
      <c r="M4521">
        <v>77.152000000000001</v>
      </c>
      <c r="N4521">
        <v>6.3769999999999998</v>
      </c>
    </row>
    <row r="4522" spans="1:14" x14ac:dyDescent="0.45">
      <c r="A4522">
        <v>2001</v>
      </c>
      <c r="B4522" t="s">
        <v>214</v>
      </c>
      <c r="C4522">
        <v>0</v>
      </c>
      <c r="D4522">
        <v>1</v>
      </c>
      <c r="E4522">
        <v>0</v>
      </c>
      <c r="F4522">
        <v>1</v>
      </c>
      <c r="G4522">
        <v>0</v>
      </c>
      <c r="H4522">
        <v>0</v>
      </c>
      <c r="I4522">
        <v>0</v>
      </c>
      <c r="J4522">
        <v>9749.2586584211695</v>
      </c>
      <c r="K4522">
        <v>8894.6292353559802</v>
      </c>
      <c r="L4522">
        <v>44.033999999999999</v>
      </c>
      <c r="M4522">
        <v>70.281000000000006</v>
      </c>
      <c r="N4522">
        <v>32.959000000000003</v>
      </c>
    </row>
    <row r="4523" spans="1:14" x14ac:dyDescent="0.45">
      <c r="A4523">
        <v>2001</v>
      </c>
      <c r="B4523" t="s">
        <v>215</v>
      </c>
      <c r="C4523">
        <v>0</v>
      </c>
      <c r="D4523">
        <v>0</v>
      </c>
      <c r="E4523">
        <v>0</v>
      </c>
      <c r="F4523">
        <v>1</v>
      </c>
      <c r="G4523">
        <v>0</v>
      </c>
      <c r="H4523">
        <v>0</v>
      </c>
      <c r="I4523">
        <v>0</v>
      </c>
      <c r="J4523">
        <v>3996.50878001821</v>
      </c>
      <c r="K4523">
        <v>3407.7625621761199</v>
      </c>
      <c r="L4523">
        <v>27.811</v>
      </c>
      <c r="M4523">
        <v>69.75</v>
      </c>
      <c r="N4523">
        <v>29.382999999999999</v>
      </c>
    </row>
    <row r="4524" spans="1:14" x14ac:dyDescent="0.45">
      <c r="A4524">
        <v>2001</v>
      </c>
      <c r="B4524" t="s">
        <v>216</v>
      </c>
      <c r="C4524">
        <v>0</v>
      </c>
      <c r="D4524">
        <v>0</v>
      </c>
      <c r="E4524">
        <v>0</v>
      </c>
      <c r="F4524">
        <v>0</v>
      </c>
      <c r="G4524">
        <v>0</v>
      </c>
      <c r="H4524">
        <v>1</v>
      </c>
      <c r="I4524">
        <v>1</v>
      </c>
      <c r="L4524">
        <v>44.033000000000001</v>
      </c>
      <c r="M4524">
        <v>79.316000000000003</v>
      </c>
      <c r="N4524">
        <v>10.47</v>
      </c>
    </row>
    <row r="4525" spans="1:14" x14ac:dyDescent="0.45">
      <c r="A4525">
        <v>2001</v>
      </c>
      <c r="B4525" t="s">
        <v>217</v>
      </c>
      <c r="C4525">
        <v>0</v>
      </c>
      <c r="D4525">
        <v>0</v>
      </c>
      <c r="E4525">
        <v>0</v>
      </c>
      <c r="F4525">
        <v>0</v>
      </c>
      <c r="G4525">
        <v>0</v>
      </c>
      <c r="H4525">
        <v>1</v>
      </c>
      <c r="I4525">
        <v>1</v>
      </c>
      <c r="J4525">
        <v>92115.825756126898</v>
      </c>
      <c r="K4525">
        <v>79541.818591965595</v>
      </c>
      <c r="L4525">
        <v>3.4940000000000002</v>
      </c>
      <c r="M4525">
        <v>75.486000000000004</v>
      </c>
      <c r="N4525">
        <v>12.048</v>
      </c>
    </row>
    <row r="4526" spans="1:14" x14ac:dyDescent="0.45">
      <c r="A4526">
        <v>2001</v>
      </c>
      <c r="B4526" t="s">
        <v>218</v>
      </c>
      <c r="C4526">
        <v>1</v>
      </c>
      <c r="D4526">
        <v>0</v>
      </c>
      <c r="E4526">
        <v>0</v>
      </c>
      <c r="F4526">
        <v>1</v>
      </c>
      <c r="G4526">
        <v>0</v>
      </c>
      <c r="H4526">
        <v>0</v>
      </c>
      <c r="I4526">
        <v>0</v>
      </c>
      <c r="J4526">
        <v>15846.602066176099</v>
      </c>
      <c r="K4526">
        <v>12880.689669236301</v>
      </c>
      <c r="L4526">
        <v>47.148000000000003</v>
      </c>
      <c r="M4526">
        <v>71.122</v>
      </c>
      <c r="N4526">
        <v>21.285</v>
      </c>
    </row>
    <row r="4527" spans="1:14" x14ac:dyDescent="0.45">
      <c r="A4527">
        <v>2001</v>
      </c>
      <c r="B4527" t="s">
        <v>219</v>
      </c>
      <c r="C4527">
        <v>1</v>
      </c>
      <c r="D4527">
        <v>0</v>
      </c>
      <c r="E4527">
        <v>0</v>
      </c>
      <c r="F4527">
        <v>1</v>
      </c>
      <c r="G4527">
        <v>0</v>
      </c>
      <c r="H4527">
        <v>0</v>
      </c>
      <c r="I4527">
        <v>0</v>
      </c>
      <c r="J4527">
        <v>21219.904296875</v>
      </c>
      <c r="K4527">
        <v>15378.0893088841</v>
      </c>
      <c r="L4527">
        <v>26.654</v>
      </c>
      <c r="M4527">
        <v>65.015000000000001</v>
      </c>
      <c r="N4527">
        <v>18.867000000000001</v>
      </c>
    </row>
    <row r="4528" spans="1:14" x14ac:dyDescent="0.45">
      <c r="A4528">
        <v>2001</v>
      </c>
      <c r="B4528" t="s">
        <v>220</v>
      </c>
      <c r="C4528">
        <v>0</v>
      </c>
      <c r="D4528">
        <v>0</v>
      </c>
      <c r="E4528">
        <v>1</v>
      </c>
      <c r="F4528">
        <v>0</v>
      </c>
      <c r="G4528">
        <v>0</v>
      </c>
      <c r="H4528">
        <v>0</v>
      </c>
      <c r="I4528">
        <v>0</v>
      </c>
      <c r="J4528">
        <v>1093.1840983842901</v>
      </c>
      <c r="K4528">
        <v>914.83532923136204</v>
      </c>
      <c r="L4528">
        <v>84.171000000000006</v>
      </c>
      <c r="M4528">
        <v>49.49</v>
      </c>
      <c r="N4528">
        <v>163.98599999999999</v>
      </c>
    </row>
    <row r="4529" spans="1:14" x14ac:dyDescent="0.45">
      <c r="A4529">
        <v>2001</v>
      </c>
      <c r="B4529" t="s">
        <v>221</v>
      </c>
      <c r="C4529">
        <v>0</v>
      </c>
      <c r="D4529">
        <v>0</v>
      </c>
      <c r="E4529">
        <v>0</v>
      </c>
      <c r="F4529">
        <v>0</v>
      </c>
      <c r="G4529">
        <v>1</v>
      </c>
      <c r="H4529">
        <v>0</v>
      </c>
      <c r="I4529">
        <v>0</v>
      </c>
      <c r="J4529">
        <v>53309.111388543999</v>
      </c>
      <c r="K4529">
        <v>48872.622690976001</v>
      </c>
      <c r="L4529">
        <v>19.922999999999998</v>
      </c>
      <c r="M4529">
        <v>72.950999999999993</v>
      </c>
      <c r="N4529">
        <v>20.905999999999999</v>
      </c>
    </row>
    <row r="4530" spans="1:14" x14ac:dyDescent="0.45">
      <c r="A4530">
        <v>2001</v>
      </c>
      <c r="B4530" t="s">
        <v>222</v>
      </c>
      <c r="C4530">
        <v>0</v>
      </c>
      <c r="D4530">
        <v>0</v>
      </c>
      <c r="E4530">
        <v>1</v>
      </c>
      <c r="F4530">
        <v>0</v>
      </c>
      <c r="G4530">
        <v>0</v>
      </c>
      <c r="H4530">
        <v>0</v>
      </c>
      <c r="I4530">
        <v>0</v>
      </c>
      <c r="J4530">
        <v>3701.548828125</v>
      </c>
      <c r="K4530">
        <v>3876.0097620369302</v>
      </c>
      <c r="L4530">
        <v>67.451999999999998</v>
      </c>
      <c r="M4530">
        <v>59.264000000000003</v>
      </c>
      <c r="N4530">
        <v>99.837999999999994</v>
      </c>
    </row>
    <row r="4531" spans="1:14" x14ac:dyDescent="0.45">
      <c r="A4531">
        <v>2001</v>
      </c>
      <c r="B4531" t="s">
        <v>223</v>
      </c>
      <c r="C4531">
        <v>0</v>
      </c>
      <c r="D4531">
        <v>0</v>
      </c>
      <c r="E4531">
        <v>1</v>
      </c>
      <c r="F4531">
        <v>0</v>
      </c>
      <c r="G4531">
        <v>0</v>
      </c>
      <c r="H4531">
        <v>0</v>
      </c>
      <c r="I4531">
        <v>0</v>
      </c>
      <c r="J4531">
        <v>3149.3311370350302</v>
      </c>
      <c r="K4531">
        <v>2631.0740838454999</v>
      </c>
      <c r="L4531">
        <v>59.536000000000001</v>
      </c>
      <c r="M4531">
        <v>58.158000000000001</v>
      </c>
      <c r="N4531">
        <v>120.57299999999999</v>
      </c>
    </row>
    <row r="4532" spans="1:14" x14ac:dyDescent="0.45">
      <c r="A4532">
        <v>2001</v>
      </c>
      <c r="B4532" t="s">
        <v>224</v>
      </c>
      <c r="C4532">
        <v>0</v>
      </c>
      <c r="D4532">
        <v>0</v>
      </c>
      <c r="E4532">
        <v>0</v>
      </c>
      <c r="F4532">
        <v>0</v>
      </c>
      <c r="G4532">
        <v>0</v>
      </c>
      <c r="H4532">
        <v>1</v>
      </c>
      <c r="I4532">
        <v>1</v>
      </c>
      <c r="J4532">
        <v>65784.401881378304</v>
      </c>
      <c r="K4532">
        <v>54077.232970650402</v>
      </c>
      <c r="L4532">
        <v>0</v>
      </c>
      <c r="M4532">
        <v>78.266999999999996</v>
      </c>
      <c r="N4532">
        <v>3.6339999999999999</v>
      </c>
    </row>
    <row r="4533" spans="1:14" x14ac:dyDescent="0.45">
      <c r="A4533">
        <v>2001</v>
      </c>
      <c r="B4533" t="s">
        <v>225</v>
      </c>
      <c r="C4533">
        <v>0</v>
      </c>
      <c r="D4533">
        <v>0</v>
      </c>
      <c r="E4533">
        <v>0</v>
      </c>
      <c r="F4533">
        <v>0</v>
      </c>
      <c r="G4533">
        <v>0</v>
      </c>
      <c r="H4533">
        <v>0</v>
      </c>
      <c r="I4533">
        <v>0</v>
      </c>
      <c r="J4533">
        <v>2055.2923115742801</v>
      </c>
      <c r="K4533">
        <v>1859.1618498028699</v>
      </c>
      <c r="L4533">
        <v>83.799000000000007</v>
      </c>
      <c r="M4533">
        <v>67.236999999999995</v>
      </c>
      <c r="N4533">
        <v>30.599</v>
      </c>
    </row>
    <row r="4534" spans="1:14" x14ac:dyDescent="0.45">
      <c r="A4534">
        <v>2001</v>
      </c>
      <c r="B4534" t="s">
        <v>226</v>
      </c>
      <c r="C4534">
        <v>0</v>
      </c>
      <c r="D4534">
        <v>0</v>
      </c>
      <c r="E4534">
        <v>1</v>
      </c>
      <c r="F4534">
        <v>0</v>
      </c>
      <c r="G4534">
        <v>0</v>
      </c>
      <c r="H4534">
        <v>0</v>
      </c>
      <c r="I4534">
        <v>0</v>
      </c>
      <c r="J4534">
        <v>1750.9246451664301</v>
      </c>
      <c r="K4534">
        <v>1589.26278922494</v>
      </c>
      <c r="L4534">
        <v>64.132999999999996</v>
      </c>
      <c r="M4534">
        <v>45.448</v>
      </c>
      <c r="N4534">
        <v>219.279</v>
      </c>
    </row>
    <row r="4535" spans="1:14" x14ac:dyDescent="0.45">
      <c r="A4535">
        <v>2001</v>
      </c>
      <c r="B4535" t="s">
        <v>227</v>
      </c>
      <c r="C4535">
        <v>0</v>
      </c>
      <c r="D4535">
        <v>1</v>
      </c>
      <c r="E4535">
        <v>0</v>
      </c>
      <c r="F4535">
        <v>1</v>
      </c>
      <c r="G4535">
        <v>0</v>
      </c>
      <c r="H4535">
        <v>0</v>
      </c>
      <c r="I4535">
        <v>0</v>
      </c>
      <c r="J4535">
        <v>7580.3233841015899</v>
      </c>
      <c r="K4535">
        <v>6752.1760515159704</v>
      </c>
      <c r="L4535">
        <v>40.536000000000001</v>
      </c>
      <c r="M4535">
        <v>67.965000000000003</v>
      </c>
      <c r="N4535">
        <v>31.928000000000001</v>
      </c>
    </row>
    <row r="4536" spans="1:14" x14ac:dyDescent="0.45">
      <c r="A4536">
        <v>2001</v>
      </c>
      <c r="B4536" t="s">
        <v>228</v>
      </c>
      <c r="C4536">
        <v>1</v>
      </c>
      <c r="D4536">
        <v>0</v>
      </c>
      <c r="E4536">
        <v>0</v>
      </c>
      <c r="F4536">
        <v>0</v>
      </c>
      <c r="G4536">
        <v>0</v>
      </c>
      <c r="H4536">
        <v>1</v>
      </c>
      <c r="I4536">
        <v>1</v>
      </c>
      <c r="J4536">
        <v>80420.769852201804</v>
      </c>
      <c r="K4536">
        <v>70880.8022728668</v>
      </c>
      <c r="L4536">
        <v>6.25</v>
      </c>
      <c r="M4536">
        <v>80.802999999999997</v>
      </c>
      <c r="N4536">
        <v>4.8789999999999996</v>
      </c>
    </row>
    <row r="4537" spans="1:14" x14ac:dyDescent="0.45">
      <c r="A4537">
        <v>2001</v>
      </c>
      <c r="B4537" t="s">
        <v>229</v>
      </c>
      <c r="C4537">
        <v>0</v>
      </c>
      <c r="D4537">
        <v>0</v>
      </c>
      <c r="E4537">
        <v>1</v>
      </c>
      <c r="F4537">
        <v>0</v>
      </c>
      <c r="G4537">
        <v>0</v>
      </c>
      <c r="H4537">
        <v>0</v>
      </c>
      <c r="I4537">
        <v>0</v>
      </c>
      <c r="J4537">
        <v>723.12018031911805</v>
      </c>
      <c r="K4537">
        <v>670.71875817450803</v>
      </c>
      <c r="L4537">
        <v>66.382999999999996</v>
      </c>
      <c r="M4537">
        <v>50.829000000000001</v>
      </c>
      <c r="N4537">
        <v>171.745</v>
      </c>
    </row>
    <row r="4538" spans="1:14" x14ac:dyDescent="0.45">
      <c r="A4538">
        <v>2001</v>
      </c>
      <c r="B4538" t="s">
        <v>230</v>
      </c>
      <c r="C4538">
        <v>1</v>
      </c>
      <c r="D4538">
        <v>0</v>
      </c>
      <c r="E4538">
        <v>0</v>
      </c>
      <c r="F4538">
        <v>1</v>
      </c>
      <c r="G4538">
        <v>0</v>
      </c>
      <c r="H4538">
        <v>0</v>
      </c>
      <c r="I4538">
        <v>0</v>
      </c>
      <c r="J4538">
        <v>11878.512787056599</v>
      </c>
      <c r="K4538">
        <v>10445.058553770799</v>
      </c>
      <c r="L4538">
        <v>47.008000000000003</v>
      </c>
      <c r="M4538">
        <v>72.275000000000006</v>
      </c>
      <c r="N4538">
        <v>12.586</v>
      </c>
    </row>
    <row r="4539" spans="1:14" x14ac:dyDescent="0.45">
      <c r="A4539">
        <v>2001</v>
      </c>
      <c r="B4539" t="s">
        <v>231</v>
      </c>
      <c r="C4539">
        <v>0</v>
      </c>
      <c r="D4539">
        <v>0</v>
      </c>
      <c r="E4539">
        <v>1</v>
      </c>
      <c r="F4539">
        <v>1</v>
      </c>
      <c r="G4539">
        <v>0</v>
      </c>
      <c r="H4539">
        <v>0</v>
      </c>
      <c r="I4539">
        <v>0</v>
      </c>
      <c r="L4539">
        <v>83.367999999999995</v>
      </c>
      <c r="M4539">
        <v>48.55</v>
      </c>
      <c r="N4539">
        <v>176.279</v>
      </c>
    </row>
    <row r="4540" spans="1:14" x14ac:dyDescent="0.45">
      <c r="A4540">
        <v>2001</v>
      </c>
      <c r="B4540" t="s">
        <v>232</v>
      </c>
      <c r="C4540">
        <v>0</v>
      </c>
      <c r="D4540">
        <v>0</v>
      </c>
      <c r="E4540">
        <v>1</v>
      </c>
      <c r="F4540">
        <v>0</v>
      </c>
      <c r="G4540">
        <v>0</v>
      </c>
      <c r="H4540">
        <v>0</v>
      </c>
      <c r="I4540">
        <v>0</v>
      </c>
      <c r="J4540">
        <v>3907.0192818698001</v>
      </c>
      <c r="K4540">
        <v>2431.6673892454201</v>
      </c>
      <c r="L4540">
        <v>45.622999999999998</v>
      </c>
      <c r="M4540">
        <v>61.5</v>
      </c>
      <c r="N4540">
        <v>74.784000000000006</v>
      </c>
    </row>
    <row r="4541" spans="1:14" x14ac:dyDescent="0.45">
      <c r="A4541">
        <v>2001</v>
      </c>
      <c r="B4541" t="s">
        <v>233</v>
      </c>
      <c r="C4541">
        <v>0</v>
      </c>
      <c r="D4541">
        <v>1</v>
      </c>
      <c r="E4541">
        <v>0</v>
      </c>
      <c r="F4541">
        <v>1</v>
      </c>
      <c r="G4541">
        <v>0</v>
      </c>
      <c r="H4541">
        <v>0</v>
      </c>
      <c r="I4541">
        <v>0</v>
      </c>
      <c r="J4541">
        <v>16556.944060992701</v>
      </c>
      <c r="K4541">
        <v>13178.990147533599</v>
      </c>
      <c r="L4541">
        <v>33.482999999999997</v>
      </c>
      <c r="M4541">
        <v>64.819999999999993</v>
      </c>
      <c r="N4541">
        <v>30.08</v>
      </c>
    </row>
    <row r="4542" spans="1:14" x14ac:dyDescent="0.45">
      <c r="A4542">
        <v>2001</v>
      </c>
      <c r="B4542" t="s">
        <v>234</v>
      </c>
      <c r="C4542">
        <v>1</v>
      </c>
      <c r="D4542">
        <v>0</v>
      </c>
      <c r="E4542">
        <v>0</v>
      </c>
      <c r="F4542">
        <v>0</v>
      </c>
      <c r="G4542">
        <v>1</v>
      </c>
      <c r="H4542">
        <v>0</v>
      </c>
      <c r="I4542">
        <v>0</v>
      </c>
      <c r="J4542">
        <v>18906.564390522799</v>
      </c>
      <c r="K4542">
        <v>16283.899367283801</v>
      </c>
      <c r="L4542">
        <v>43.837000000000003</v>
      </c>
      <c r="M4542">
        <v>73.570999999999998</v>
      </c>
      <c r="N4542">
        <v>7.7779999999999996</v>
      </c>
    </row>
    <row r="4543" spans="1:14" x14ac:dyDescent="0.45">
      <c r="A4543">
        <v>2001</v>
      </c>
      <c r="B4543" t="s">
        <v>235</v>
      </c>
      <c r="C4543">
        <v>1</v>
      </c>
      <c r="D4543">
        <v>0</v>
      </c>
      <c r="E4543">
        <v>0</v>
      </c>
      <c r="F4543">
        <v>0</v>
      </c>
      <c r="G4543">
        <v>0</v>
      </c>
      <c r="H4543">
        <v>1</v>
      </c>
      <c r="I4543">
        <v>1</v>
      </c>
      <c r="J4543">
        <v>30864.8593872124</v>
      </c>
      <c r="K4543">
        <v>26568.615761008899</v>
      </c>
      <c r="L4543">
        <v>49.22</v>
      </c>
      <c r="M4543">
        <v>76.180999999999997</v>
      </c>
      <c r="N4543">
        <v>5.0350000000000001</v>
      </c>
    </row>
    <row r="4544" spans="1:14" x14ac:dyDescent="0.45">
      <c r="A4544">
        <v>2001</v>
      </c>
      <c r="B4544" t="s">
        <v>236</v>
      </c>
      <c r="C4544">
        <v>1</v>
      </c>
      <c r="D4544">
        <v>0</v>
      </c>
      <c r="E4544">
        <v>0</v>
      </c>
      <c r="F4544">
        <v>0</v>
      </c>
      <c r="G4544">
        <v>0</v>
      </c>
      <c r="H4544">
        <v>1</v>
      </c>
      <c r="I4544">
        <v>1</v>
      </c>
      <c r="J4544">
        <v>48396.448013198402</v>
      </c>
      <c r="K4544">
        <v>41341.138897288802</v>
      </c>
      <c r="L4544">
        <v>15.929</v>
      </c>
      <c r="M4544">
        <v>79.835999999999999</v>
      </c>
      <c r="N4544">
        <v>4.3769999999999998</v>
      </c>
    </row>
    <row r="4545" spans="1:14" x14ac:dyDescent="0.45">
      <c r="A4545">
        <v>2001</v>
      </c>
      <c r="B4545" t="s">
        <v>237</v>
      </c>
      <c r="C4545">
        <v>0</v>
      </c>
      <c r="D4545">
        <v>0</v>
      </c>
      <c r="E4545">
        <v>1</v>
      </c>
      <c r="F4545">
        <v>1</v>
      </c>
      <c r="G4545">
        <v>0</v>
      </c>
      <c r="H4545">
        <v>0</v>
      </c>
      <c r="I4545">
        <v>0</v>
      </c>
      <c r="J4545">
        <v>6197.5035198394798</v>
      </c>
      <c r="K4545">
        <v>5487.8905021950204</v>
      </c>
      <c r="L4545">
        <v>77.444999999999993</v>
      </c>
      <c r="M4545">
        <v>46.344000000000001</v>
      </c>
      <c r="N4545">
        <v>115.621</v>
      </c>
    </row>
    <row r="4546" spans="1:14" x14ac:dyDescent="0.45">
      <c r="A4546">
        <v>2001</v>
      </c>
      <c r="B4546" t="s">
        <v>238</v>
      </c>
      <c r="C4546">
        <v>0</v>
      </c>
      <c r="D4546">
        <v>1</v>
      </c>
      <c r="E4546">
        <v>0</v>
      </c>
      <c r="F4546">
        <v>0</v>
      </c>
      <c r="G4546">
        <v>0</v>
      </c>
      <c r="H4546">
        <v>1</v>
      </c>
      <c r="I4546">
        <v>1</v>
      </c>
      <c r="L4546">
        <v>0</v>
      </c>
      <c r="M4546">
        <v>74.525000000000006</v>
      </c>
      <c r="N4546">
        <v>18.841000000000001</v>
      </c>
    </row>
    <row r="4547" spans="1:14" x14ac:dyDescent="0.45">
      <c r="A4547">
        <v>2001</v>
      </c>
      <c r="B4547" t="s">
        <v>239</v>
      </c>
      <c r="C4547">
        <v>0</v>
      </c>
      <c r="D4547">
        <v>0</v>
      </c>
      <c r="E4547">
        <v>1</v>
      </c>
      <c r="F4547">
        <v>0</v>
      </c>
      <c r="G4547">
        <v>1</v>
      </c>
      <c r="H4547">
        <v>0</v>
      </c>
      <c r="I4547">
        <v>0</v>
      </c>
      <c r="J4547">
        <v>20147.418765616701</v>
      </c>
      <c r="K4547">
        <v>19560.119090226599</v>
      </c>
      <c r="L4547">
        <v>49.353999999999999</v>
      </c>
      <c r="M4547">
        <v>71.429000000000002</v>
      </c>
      <c r="N4547">
        <v>13.772</v>
      </c>
    </row>
    <row r="4548" spans="1:14" x14ac:dyDescent="0.45">
      <c r="A4548">
        <v>2001</v>
      </c>
      <c r="B4548" t="s">
        <v>240</v>
      </c>
      <c r="C4548">
        <v>0</v>
      </c>
      <c r="D4548">
        <v>0</v>
      </c>
      <c r="E4548">
        <v>0</v>
      </c>
      <c r="F4548">
        <v>1</v>
      </c>
      <c r="G4548">
        <v>0</v>
      </c>
      <c r="H4548">
        <v>0</v>
      </c>
      <c r="I4548">
        <v>0</v>
      </c>
      <c r="J4548">
        <v>7698.3969367866002</v>
      </c>
      <c r="K4548">
        <v>5049.5897060874304</v>
      </c>
      <c r="L4548">
        <v>47.686</v>
      </c>
      <c r="M4548">
        <v>71.296000000000006</v>
      </c>
      <c r="N4548">
        <v>22.579000000000001</v>
      </c>
    </row>
    <row r="4549" spans="1:14" x14ac:dyDescent="0.45">
      <c r="A4549">
        <v>2001</v>
      </c>
      <c r="B4549" t="s">
        <v>241</v>
      </c>
      <c r="C4549">
        <v>0</v>
      </c>
      <c r="D4549">
        <v>1</v>
      </c>
      <c r="E4549">
        <v>0</v>
      </c>
      <c r="F4549">
        <v>0</v>
      </c>
      <c r="G4549">
        <v>0</v>
      </c>
      <c r="H4549">
        <v>1</v>
      </c>
      <c r="I4549">
        <v>1</v>
      </c>
      <c r="L4549">
        <v>14.638</v>
      </c>
      <c r="M4549">
        <v>74.409000000000006</v>
      </c>
      <c r="N4549">
        <v>10.218</v>
      </c>
    </row>
    <row r="4550" spans="1:14" x14ac:dyDescent="0.45">
      <c r="A4550">
        <v>2001</v>
      </c>
      <c r="B4550" t="s">
        <v>242</v>
      </c>
      <c r="C4550">
        <v>0</v>
      </c>
      <c r="D4550">
        <v>0</v>
      </c>
      <c r="E4550">
        <v>1</v>
      </c>
      <c r="F4550">
        <v>0</v>
      </c>
      <c r="G4550">
        <v>0</v>
      </c>
      <c r="H4550">
        <v>0</v>
      </c>
      <c r="I4550">
        <v>0</v>
      </c>
      <c r="J4550">
        <v>1620.55276247649</v>
      </c>
      <c r="K4550">
        <v>1361.3229498446599</v>
      </c>
      <c r="L4550">
        <v>78.33</v>
      </c>
      <c r="M4550">
        <v>48.305999999999997</v>
      </c>
      <c r="N4550">
        <v>181.12299999999999</v>
      </c>
    </row>
    <row r="4551" spans="1:14" x14ac:dyDescent="0.45">
      <c r="A4551">
        <v>2001</v>
      </c>
      <c r="B4551" t="s">
        <v>243</v>
      </c>
      <c r="C4551">
        <v>0</v>
      </c>
      <c r="D4551">
        <v>0</v>
      </c>
      <c r="E4551">
        <v>1</v>
      </c>
      <c r="F4551">
        <v>0</v>
      </c>
      <c r="G4551">
        <v>0</v>
      </c>
      <c r="H4551">
        <v>0</v>
      </c>
      <c r="I4551">
        <v>0</v>
      </c>
      <c r="J4551">
        <v>2059.1048795430002</v>
      </c>
      <c r="K4551">
        <v>1711.1938719047801</v>
      </c>
      <c r="L4551">
        <v>66.644000000000005</v>
      </c>
      <c r="M4551">
        <v>54.746000000000002</v>
      </c>
      <c r="N4551">
        <v>116.794</v>
      </c>
    </row>
    <row r="4552" spans="1:14" x14ac:dyDescent="0.45">
      <c r="A4552">
        <v>2001</v>
      </c>
      <c r="B4552" t="s">
        <v>244</v>
      </c>
      <c r="C4552">
        <v>0</v>
      </c>
      <c r="D4552">
        <v>0</v>
      </c>
      <c r="E4552">
        <v>0</v>
      </c>
      <c r="F4552">
        <v>1</v>
      </c>
      <c r="G4552">
        <v>0</v>
      </c>
      <c r="H4552">
        <v>0</v>
      </c>
      <c r="I4552">
        <v>0</v>
      </c>
      <c r="J4552">
        <v>11901.318210465901</v>
      </c>
      <c r="K4552">
        <v>10408.025002787201</v>
      </c>
      <c r="L4552">
        <v>67.451999999999998</v>
      </c>
      <c r="M4552">
        <v>71.52</v>
      </c>
      <c r="N4552">
        <v>20.228999999999999</v>
      </c>
    </row>
    <row r="4553" spans="1:14" x14ac:dyDescent="0.45">
      <c r="A4553">
        <v>2001</v>
      </c>
      <c r="B4553" t="s">
        <v>245</v>
      </c>
      <c r="C4553">
        <v>1</v>
      </c>
      <c r="D4553">
        <v>0</v>
      </c>
      <c r="E4553">
        <v>0</v>
      </c>
      <c r="F4553">
        <v>0</v>
      </c>
      <c r="G4553">
        <v>0</v>
      </c>
      <c r="H4553">
        <v>0</v>
      </c>
      <c r="I4553">
        <v>0</v>
      </c>
      <c r="J4553">
        <v>1467.3988247463799</v>
      </c>
      <c r="K4553">
        <v>1336.4117658349101</v>
      </c>
      <c r="L4553">
        <v>73.497</v>
      </c>
      <c r="M4553">
        <v>64.197000000000003</v>
      </c>
      <c r="N4553">
        <v>77.450999999999993</v>
      </c>
    </row>
    <row r="4554" spans="1:14" x14ac:dyDescent="0.45">
      <c r="A4554">
        <v>2001</v>
      </c>
      <c r="B4554" t="s">
        <v>246</v>
      </c>
      <c r="C4554">
        <v>1</v>
      </c>
      <c r="D4554">
        <v>0</v>
      </c>
      <c r="E4554">
        <v>0</v>
      </c>
      <c r="F4554">
        <v>1</v>
      </c>
      <c r="G4554">
        <v>0</v>
      </c>
      <c r="H4554">
        <v>0</v>
      </c>
      <c r="I4554">
        <v>0</v>
      </c>
      <c r="J4554">
        <v>5228.80329286491</v>
      </c>
      <c r="K4554">
        <v>4921.4486015870398</v>
      </c>
      <c r="L4554">
        <v>53.863</v>
      </c>
      <c r="M4554">
        <v>65.325000000000003</v>
      </c>
      <c r="N4554">
        <v>65.037000000000006</v>
      </c>
    </row>
    <row r="4555" spans="1:14" x14ac:dyDescent="0.45">
      <c r="A4555">
        <v>2001</v>
      </c>
      <c r="B4555" t="s">
        <v>247</v>
      </c>
      <c r="C4555">
        <v>0</v>
      </c>
      <c r="D4555">
        <v>0</v>
      </c>
      <c r="E4555">
        <v>0</v>
      </c>
      <c r="F4555">
        <v>0</v>
      </c>
      <c r="G4555">
        <v>0</v>
      </c>
      <c r="H4555">
        <v>0</v>
      </c>
      <c r="I4555">
        <v>0</v>
      </c>
      <c r="J4555">
        <v>4040.39445567967</v>
      </c>
      <c r="K4555">
        <v>3260.0433560158199</v>
      </c>
      <c r="L4555">
        <v>75.381</v>
      </c>
      <c r="M4555">
        <v>58.771999999999998</v>
      </c>
      <c r="N4555">
        <v>106.348</v>
      </c>
    </row>
    <row r="4556" spans="1:14" x14ac:dyDescent="0.45">
      <c r="A4556">
        <v>2001</v>
      </c>
      <c r="B4556" t="s">
        <v>248</v>
      </c>
      <c r="C4556">
        <v>0</v>
      </c>
      <c r="D4556">
        <v>0</v>
      </c>
      <c r="E4556">
        <v>0</v>
      </c>
      <c r="F4556">
        <v>1</v>
      </c>
      <c r="G4556">
        <v>0</v>
      </c>
      <c r="H4556">
        <v>0</v>
      </c>
      <c r="I4556">
        <v>0</v>
      </c>
      <c r="J4556">
        <v>5860.0807778693797</v>
      </c>
      <c r="K4556">
        <v>5304.7283676286197</v>
      </c>
      <c r="L4556">
        <v>76.959000000000003</v>
      </c>
      <c r="M4556">
        <v>69.8</v>
      </c>
      <c r="N4556">
        <v>16.568999999999999</v>
      </c>
    </row>
    <row r="4557" spans="1:14" x14ac:dyDescent="0.45">
      <c r="A4557">
        <v>2001</v>
      </c>
      <c r="B4557" t="s">
        <v>249</v>
      </c>
      <c r="C4557">
        <v>0</v>
      </c>
      <c r="D4557">
        <v>1</v>
      </c>
      <c r="E4557">
        <v>0</v>
      </c>
      <c r="F4557">
        <v>0</v>
      </c>
      <c r="G4557">
        <v>1</v>
      </c>
      <c r="H4557">
        <v>0</v>
      </c>
      <c r="I4557">
        <v>0</v>
      </c>
      <c r="J4557">
        <v>20392.883737289299</v>
      </c>
      <c r="K4557">
        <v>17019.758528955801</v>
      </c>
      <c r="L4557">
        <v>44.281999999999996</v>
      </c>
      <c r="M4557">
        <v>68.873999999999995</v>
      </c>
      <c r="N4557">
        <v>27.326000000000001</v>
      </c>
    </row>
    <row r="4558" spans="1:14" x14ac:dyDescent="0.45">
      <c r="A4558">
        <v>2001</v>
      </c>
      <c r="B4558" t="s">
        <v>250</v>
      </c>
      <c r="C4558">
        <v>0</v>
      </c>
      <c r="D4558">
        <v>0</v>
      </c>
      <c r="E4558">
        <v>0</v>
      </c>
      <c r="F4558">
        <v>1</v>
      </c>
      <c r="G4558">
        <v>0</v>
      </c>
      <c r="H4558">
        <v>0</v>
      </c>
      <c r="I4558">
        <v>0</v>
      </c>
      <c r="J4558">
        <v>9380.5528737936602</v>
      </c>
      <c r="K4558">
        <v>8174.9951334830603</v>
      </c>
      <c r="L4558">
        <v>36.182000000000002</v>
      </c>
      <c r="M4558">
        <v>72.822000000000003</v>
      </c>
      <c r="N4558">
        <v>27.63</v>
      </c>
    </row>
    <row r="4559" spans="1:14" x14ac:dyDescent="0.45">
      <c r="A4559">
        <v>2001</v>
      </c>
      <c r="B4559" t="s">
        <v>251</v>
      </c>
      <c r="C4559">
        <v>1</v>
      </c>
      <c r="D4559">
        <v>0</v>
      </c>
      <c r="E4559">
        <v>0</v>
      </c>
      <c r="F4559">
        <v>1</v>
      </c>
      <c r="G4559">
        <v>0</v>
      </c>
      <c r="H4559">
        <v>0</v>
      </c>
      <c r="I4559">
        <v>0</v>
      </c>
      <c r="J4559">
        <v>13718.277913129899</v>
      </c>
      <c r="K4559">
        <v>13754.9765083239</v>
      </c>
      <c r="L4559">
        <v>34.659999999999997</v>
      </c>
      <c r="M4559">
        <v>72.271000000000001</v>
      </c>
      <c r="N4559">
        <v>34.832000000000001</v>
      </c>
    </row>
    <row r="4560" spans="1:14" x14ac:dyDescent="0.45">
      <c r="A4560">
        <v>2001</v>
      </c>
      <c r="B4560" t="s">
        <v>252</v>
      </c>
      <c r="C4560">
        <v>0</v>
      </c>
      <c r="D4560">
        <v>0</v>
      </c>
      <c r="E4560">
        <v>0</v>
      </c>
      <c r="F4560">
        <v>1</v>
      </c>
      <c r="G4560">
        <v>0</v>
      </c>
      <c r="H4560">
        <v>0</v>
      </c>
      <c r="I4560">
        <v>0</v>
      </c>
      <c r="J4560">
        <v>3705.59238735794</v>
      </c>
      <c r="K4560">
        <v>3352.28051672534</v>
      </c>
      <c r="L4560">
        <v>53.570999999999998</v>
      </c>
      <c r="M4560">
        <v>63.709000000000003</v>
      </c>
      <c r="N4560">
        <v>41.692</v>
      </c>
    </row>
    <row r="4561" spans="1:14" x14ac:dyDescent="0.45">
      <c r="A4561">
        <v>2001</v>
      </c>
      <c r="B4561" t="s">
        <v>253</v>
      </c>
      <c r="C4561">
        <v>0</v>
      </c>
      <c r="D4561">
        <v>0</v>
      </c>
      <c r="E4561">
        <v>0</v>
      </c>
      <c r="F4561">
        <v>0</v>
      </c>
      <c r="G4561">
        <v>0</v>
      </c>
      <c r="H4561">
        <v>1</v>
      </c>
      <c r="I4561">
        <v>1</v>
      </c>
      <c r="L4561">
        <v>62.906999999999996</v>
      </c>
      <c r="M4561">
        <v>76.477999999999994</v>
      </c>
      <c r="N4561">
        <v>7.99</v>
      </c>
    </row>
    <row r="4562" spans="1:14" x14ac:dyDescent="0.45">
      <c r="A4562">
        <v>2001</v>
      </c>
      <c r="B4562" t="s">
        <v>254</v>
      </c>
      <c r="C4562">
        <v>0</v>
      </c>
      <c r="D4562">
        <v>0</v>
      </c>
      <c r="E4562">
        <v>1</v>
      </c>
      <c r="F4562">
        <v>0</v>
      </c>
      <c r="G4562">
        <v>0</v>
      </c>
      <c r="H4562">
        <v>0</v>
      </c>
      <c r="I4562">
        <v>0</v>
      </c>
      <c r="J4562">
        <v>1899.74536132813</v>
      </c>
      <c r="K4562">
        <v>1415.05712815015</v>
      </c>
      <c r="L4562">
        <v>77.325999999999993</v>
      </c>
      <c r="M4562">
        <v>54.124000000000002</v>
      </c>
      <c r="N4562">
        <v>120.752</v>
      </c>
    </row>
    <row r="4563" spans="1:14" x14ac:dyDescent="0.45">
      <c r="A4563">
        <v>2001</v>
      </c>
      <c r="B4563" t="s">
        <v>255</v>
      </c>
      <c r="C4563">
        <v>0</v>
      </c>
      <c r="D4563">
        <v>0</v>
      </c>
      <c r="E4563">
        <v>1</v>
      </c>
      <c r="F4563">
        <v>0</v>
      </c>
      <c r="G4563">
        <v>0</v>
      </c>
      <c r="H4563">
        <v>0</v>
      </c>
      <c r="I4563">
        <v>0</v>
      </c>
      <c r="J4563">
        <v>1516.9642375569499</v>
      </c>
      <c r="K4563">
        <v>1286.8476655248701</v>
      </c>
      <c r="L4563">
        <v>84.799000000000007</v>
      </c>
      <c r="M4563">
        <v>50.576000000000001</v>
      </c>
      <c r="N4563">
        <v>136.702</v>
      </c>
    </row>
    <row r="4564" spans="1:14" x14ac:dyDescent="0.45">
      <c r="A4564">
        <v>2001</v>
      </c>
      <c r="B4564" t="s">
        <v>256</v>
      </c>
      <c r="C4564">
        <v>1</v>
      </c>
      <c r="D4564">
        <v>0</v>
      </c>
      <c r="E4564">
        <v>0</v>
      </c>
      <c r="F4564">
        <v>0</v>
      </c>
      <c r="G4564">
        <v>0</v>
      </c>
      <c r="H4564">
        <v>0</v>
      </c>
      <c r="I4564">
        <v>0</v>
      </c>
      <c r="J4564">
        <v>11379.3857421875</v>
      </c>
      <c r="K4564">
        <v>8048.4749120278302</v>
      </c>
      <c r="L4564">
        <v>32.817</v>
      </c>
      <c r="M4564">
        <v>67.674999999999997</v>
      </c>
      <c r="N4564">
        <v>15.082000000000001</v>
      </c>
    </row>
    <row r="4565" spans="1:14" x14ac:dyDescent="0.45">
      <c r="A4565">
        <v>2001</v>
      </c>
      <c r="B4565" t="s">
        <v>257</v>
      </c>
      <c r="C4565">
        <v>0</v>
      </c>
      <c r="D4565">
        <v>1</v>
      </c>
      <c r="E4565">
        <v>0</v>
      </c>
      <c r="F4565">
        <v>0</v>
      </c>
      <c r="G4565">
        <v>1</v>
      </c>
      <c r="H4565">
        <v>0</v>
      </c>
      <c r="I4565">
        <v>0</v>
      </c>
      <c r="J4565">
        <v>17986.9007596433</v>
      </c>
      <c r="K4565">
        <v>14266.6445167497</v>
      </c>
      <c r="L4565">
        <v>7.6970000000000001</v>
      </c>
      <c r="M4565">
        <v>74.986999999999995</v>
      </c>
      <c r="N4565">
        <v>16.105</v>
      </c>
    </row>
    <row r="4566" spans="1:14" x14ac:dyDescent="0.45">
      <c r="A4566">
        <v>2001</v>
      </c>
      <c r="B4566" t="s">
        <v>258</v>
      </c>
      <c r="C4566">
        <v>0</v>
      </c>
      <c r="D4566">
        <v>0</v>
      </c>
      <c r="E4566">
        <v>0</v>
      </c>
      <c r="F4566">
        <v>0</v>
      </c>
      <c r="G4566">
        <v>0</v>
      </c>
      <c r="H4566">
        <v>1</v>
      </c>
      <c r="I4566">
        <v>1</v>
      </c>
      <c r="J4566">
        <v>55017.304976567102</v>
      </c>
      <c r="K4566">
        <v>49937.810689644299</v>
      </c>
      <c r="L4566">
        <v>20.765999999999998</v>
      </c>
      <c r="M4566">
        <v>76.918999999999997</v>
      </c>
      <c r="N4566">
        <v>8.2219999999999995</v>
      </c>
    </row>
    <row r="4567" spans="1:14" x14ac:dyDescent="0.45">
      <c r="A4567">
        <v>2001</v>
      </c>
      <c r="B4567" t="s">
        <v>259</v>
      </c>
      <c r="C4567">
        <v>1</v>
      </c>
      <c r="D4567">
        <v>0</v>
      </c>
      <c r="E4567">
        <v>0</v>
      </c>
      <c r="F4567">
        <v>0</v>
      </c>
      <c r="G4567">
        <v>0</v>
      </c>
      <c r="H4567">
        <v>0</v>
      </c>
      <c r="I4567">
        <v>0</v>
      </c>
      <c r="J4567">
        <v>3509.72863761694</v>
      </c>
      <c r="K4567">
        <v>3409.8312380642801</v>
      </c>
      <c r="L4567">
        <v>53.393999999999998</v>
      </c>
      <c r="M4567">
        <v>65.852999999999994</v>
      </c>
      <c r="N4567">
        <v>57.985999999999997</v>
      </c>
    </row>
    <row r="4568" spans="1:14" x14ac:dyDescent="0.45">
      <c r="A4568">
        <v>2001</v>
      </c>
      <c r="B4568" t="s">
        <v>260</v>
      </c>
      <c r="C4568">
        <v>0</v>
      </c>
      <c r="D4568">
        <v>1</v>
      </c>
      <c r="E4568">
        <v>0</v>
      </c>
      <c r="F4568">
        <v>1</v>
      </c>
      <c r="G4568">
        <v>0</v>
      </c>
      <c r="H4568">
        <v>0</v>
      </c>
      <c r="I4568">
        <v>0</v>
      </c>
      <c r="J4568">
        <v>10177.8094583896</v>
      </c>
      <c r="K4568">
        <v>8895.0103481174992</v>
      </c>
      <c r="L4568">
        <v>54.451999999999998</v>
      </c>
      <c r="M4568">
        <v>70.382000000000005</v>
      </c>
      <c r="N4568">
        <v>22.849</v>
      </c>
    </row>
    <row r="4569" spans="1:14" x14ac:dyDescent="0.45">
      <c r="A4569">
        <v>2001</v>
      </c>
      <c r="B4569" t="s">
        <v>261</v>
      </c>
      <c r="C4569">
        <v>0</v>
      </c>
      <c r="D4569">
        <v>1</v>
      </c>
      <c r="E4569">
        <v>0</v>
      </c>
      <c r="F4569">
        <v>0</v>
      </c>
      <c r="G4569">
        <v>1</v>
      </c>
      <c r="H4569">
        <v>0</v>
      </c>
      <c r="I4569">
        <v>0</v>
      </c>
      <c r="L4569">
        <v>12.15</v>
      </c>
      <c r="M4569">
        <v>71.019000000000005</v>
      </c>
      <c r="N4569">
        <v>21.103999999999999</v>
      </c>
    </row>
    <row r="4570" spans="1:14" x14ac:dyDescent="0.45">
      <c r="A4570">
        <v>2001</v>
      </c>
      <c r="B4570" t="s">
        <v>262</v>
      </c>
      <c r="C4570">
        <v>0</v>
      </c>
      <c r="D4570">
        <v>1</v>
      </c>
      <c r="E4570">
        <v>0</v>
      </c>
      <c r="F4570">
        <v>0</v>
      </c>
      <c r="G4570">
        <v>0</v>
      </c>
      <c r="H4570">
        <v>1</v>
      </c>
      <c r="I4570">
        <v>1</v>
      </c>
      <c r="L4570">
        <v>57.951999999999998</v>
      </c>
      <c r="M4570">
        <v>74.831000000000003</v>
      </c>
      <c r="N4570">
        <v>16.754000000000001</v>
      </c>
    </row>
    <row r="4571" spans="1:14" x14ac:dyDescent="0.45">
      <c r="A4571">
        <v>2001</v>
      </c>
      <c r="B4571" t="s">
        <v>263</v>
      </c>
      <c r="C4571">
        <v>0</v>
      </c>
      <c r="D4571">
        <v>1</v>
      </c>
      <c r="E4571">
        <v>0</v>
      </c>
      <c r="F4571">
        <v>0</v>
      </c>
      <c r="G4571">
        <v>0</v>
      </c>
      <c r="H4571">
        <v>1</v>
      </c>
      <c r="I4571">
        <v>1</v>
      </c>
      <c r="L4571">
        <v>7.1860000000000097</v>
      </c>
      <c r="M4571">
        <v>72.218000000000004</v>
      </c>
      <c r="N4571">
        <v>11.14</v>
      </c>
    </row>
    <row r="4572" spans="1:14" x14ac:dyDescent="0.45">
      <c r="A4572">
        <v>2001</v>
      </c>
      <c r="B4572" t="s">
        <v>264</v>
      </c>
      <c r="C4572">
        <v>0</v>
      </c>
      <c r="D4572">
        <v>0</v>
      </c>
      <c r="E4572">
        <v>0</v>
      </c>
      <c r="F4572">
        <v>0</v>
      </c>
      <c r="G4572">
        <v>0</v>
      </c>
      <c r="H4572">
        <v>0</v>
      </c>
      <c r="I4572">
        <v>0</v>
      </c>
      <c r="J4572">
        <v>4570.26846577385</v>
      </c>
      <c r="K4572">
        <v>4072.48803733973</v>
      </c>
      <c r="L4572">
        <v>75.063000000000002</v>
      </c>
      <c r="M4572">
        <v>72.983999999999995</v>
      </c>
      <c r="N4572">
        <v>29.106000000000002</v>
      </c>
    </row>
    <row r="4573" spans="1:14" x14ac:dyDescent="0.45">
      <c r="A4573">
        <v>2001</v>
      </c>
      <c r="B4573" t="s">
        <v>265</v>
      </c>
      <c r="C4573">
        <v>0</v>
      </c>
      <c r="D4573">
        <v>0</v>
      </c>
      <c r="E4573">
        <v>0</v>
      </c>
      <c r="F4573">
        <v>1</v>
      </c>
      <c r="G4573">
        <v>0</v>
      </c>
      <c r="H4573">
        <v>0</v>
      </c>
      <c r="I4573">
        <v>0</v>
      </c>
      <c r="J4573">
        <v>3148.33464010844</v>
      </c>
      <c r="K4573">
        <v>2847.9877528239299</v>
      </c>
      <c r="L4573">
        <v>78.046999999999997</v>
      </c>
      <c r="M4573">
        <v>68.721999999999994</v>
      </c>
      <c r="N4573">
        <v>28.71</v>
      </c>
    </row>
    <row r="4574" spans="1:14" x14ac:dyDescent="0.45">
      <c r="A4574">
        <v>2001</v>
      </c>
      <c r="B4574" t="s">
        <v>266</v>
      </c>
      <c r="C4574">
        <v>0</v>
      </c>
      <c r="D4574">
        <v>0</v>
      </c>
      <c r="E4574">
        <v>0</v>
      </c>
      <c r="F4574">
        <v>1</v>
      </c>
      <c r="G4574">
        <v>0</v>
      </c>
      <c r="H4574">
        <v>0</v>
      </c>
      <c r="I4574">
        <v>0</v>
      </c>
      <c r="J4574">
        <v>4941.1152254089002</v>
      </c>
      <c r="K4574">
        <v>4469.7394832118898</v>
      </c>
      <c r="L4574">
        <v>77.932000000000002</v>
      </c>
      <c r="M4574">
        <v>71.028000000000006</v>
      </c>
      <c r="N4574">
        <v>20.745000000000001</v>
      </c>
    </row>
    <row r="4575" spans="1:14" x14ac:dyDescent="0.45">
      <c r="A4575">
        <v>2001</v>
      </c>
      <c r="B4575" t="s">
        <v>267</v>
      </c>
      <c r="C4575">
        <v>1</v>
      </c>
      <c r="D4575">
        <v>0</v>
      </c>
      <c r="E4575">
        <v>0</v>
      </c>
      <c r="F4575">
        <v>1</v>
      </c>
      <c r="G4575">
        <v>0</v>
      </c>
      <c r="H4575">
        <v>0</v>
      </c>
      <c r="I4575">
        <v>0</v>
      </c>
      <c r="L4575">
        <v>47.008000000000003</v>
      </c>
      <c r="M4575">
        <v>71.781999999999996</v>
      </c>
      <c r="N4575">
        <v>43.975999999999999</v>
      </c>
    </row>
    <row r="4576" spans="1:14" x14ac:dyDescent="0.45">
      <c r="A4576">
        <v>2001</v>
      </c>
      <c r="B4576" t="s">
        <v>268</v>
      </c>
      <c r="C4576">
        <v>0</v>
      </c>
      <c r="D4576">
        <v>0</v>
      </c>
      <c r="E4576">
        <v>0</v>
      </c>
      <c r="F4576">
        <v>0</v>
      </c>
      <c r="G4576">
        <v>0</v>
      </c>
      <c r="H4576">
        <v>0</v>
      </c>
      <c r="I4576">
        <v>0</v>
      </c>
      <c r="L4576">
        <v>73.212999999999994</v>
      </c>
      <c r="M4576">
        <v>63.286000000000001</v>
      </c>
      <c r="N4576">
        <v>87.778999999999996</v>
      </c>
    </row>
    <row r="4577" spans="1:14" x14ac:dyDescent="0.45">
      <c r="A4577">
        <v>2001</v>
      </c>
      <c r="B4577" t="s">
        <v>269</v>
      </c>
      <c r="C4577">
        <v>0</v>
      </c>
      <c r="D4577">
        <v>0</v>
      </c>
      <c r="E4577">
        <v>1</v>
      </c>
      <c r="F4577">
        <v>1</v>
      </c>
      <c r="G4577">
        <v>0</v>
      </c>
      <c r="H4577">
        <v>0</v>
      </c>
      <c r="I4577">
        <v>0</v>
      </c>
      <c r="J4577">
        <v>11401.431054225901</v>
      </c>
      <c r="K4577">
        <v>10734.916314971801</v>
      </c>
      <c r="L4577">
        <v>42.631999999999998</v>
      </c>
      <c r="M4577">
        <v>57.161000000000001</v>
      </c>
      <c r="N4577">
        <v>72.489000000000004</v>
      </c>
    </row>
    <row r="4578" spans="1:14" x14ac:dyDescent="0.45">
      <c r="A4578">
        <v>2001</v>
      </c>
      <c r="B4578" t="s">
        <v>270</v>
      </c>
      <c r="C4578">
        <v>0</v>
      </c>
      <c r="D4578">
        <v>0</v>
      </c>
      <c r="E4578">
        <v>1</v>
      </c>
      <c r="F4578">
        <v>0</v>
      </c>
      <c r="G4578">
        <v>0</v>
      </c>
      <c r="H4578">
        <v>0</v>
      </c>
      <c r="I4578">
        <v>0</v>
      </c>
      <c r="J4578">
        <v>2268.9696556459699</v>
      </c>
      <c r="K4578">
        <v>2130.2386497897701</v>
      </c>
      <c r="L4578">
        <v>64.998000000000005</v>
      </c>
      <c r="M4578">
        <v>47.408000000000001</v>
      </c>
      <c r="N4578">
        <v>143.483</v>
      </c>
    </row>
    <row r="4579" spans="1:14" x14ac:dyDescent="0.45">
      <c r="A4579">
        <v>2001</v>
      </c>
      <c r="B4579" t="s">
        <v>271</v>
      </c>
      <c r="C4579">
        <v>0</v>
      </c>
      <c r="D4579">
        <v>0</v>
      </c>
      <c r="E4579">
        <v>1</v>
      </c>
      <c r="F4579">
        <v>0</v>
      </c>
      <c r="G4579">
        <v>0</v>
      </c>
      <c r="H4579">
        <v>0</v>
      </c>
      <c r="I4579">
        <v>0</v>
      </c>
      <c r="J4579">
        <v>4102.0834737410096</v>
      </c>
      <c r="K4579">
        <v>2731.31438959241</v>
      </c>
      <c r="L4579">
        <v>65.83</v>
      </c>
      <c r="M4579">
        <v>44.524999999999999</v>
      </c>
      <c r="N4579">
        <v>93.347999999999999</v>
      </c>
    </row>
    <row r="4580" spans="1:14" x14ac:dyDescent="0.45">
      <c r="A4580">
        <v>2002</v>
      </c>
      <c r="B4580" t="s">
        <v>54</v>
      </c>
      <c r="C4580">
        <v>0</v>
      </c>
      <c r="D4580">
        <v>1</v>
      </c>
      <c r="E4580">
        <v>0</v>
      </c>
      <c r="F4580">
        <v>0</v>
      </c>
      <c r="G4580">
        <v>0</v>
      </c>
      <c r="H4580">
        <v>1</v>
      </c>
      <c r="I4580">
        <v>1</v>
      </c>
      <c r="J4580">
        <v>39846.062761571498</v>
      </c>
      <c r="K4580">
        <v>38778.479111867797</v>
      </c>
      <c r="L4580">
        <v>54.027999999999999</v>
      </c>
      <c r="M4580">
        <v>73.135000000000005</v>
      </c>
      <c r="N4580">
        <v>20.704999999999998</v>
      </c>
    </row>
    <row r="4581" spans="1:14" x14ac:dyDescent="0.45">
      <c r="A4581">
        <v>2002</v>
      </c>
      <c r="B4581" t="s">
        <v>55</v>
      </c>
      <c r="C4581">
        <v>0</v>
      </c>
      <c r="D4581">
        <v>0</v>
      </c>
      <c r="E4581">
        <v>0</v>
      </c>
      <c r="F4581">
        <v>0</v>
      </c>
      <c r="G4581">
        <v>0</v>
      </c>
      <c r="H4581">
        <v>0</v>
      </c>
      <c r="I4581">
        <v>0</v>
      </c>
      <c r="J4581">
        <v>1774.30874287341</v>
      </c>
      <c r="K4581">
        <v>1403.4624677905499</v>
      </c>
      <c r="L4581">
        <v>77.739000000000004</v>
      </c>
      <c r="M4581">
        <v>56.225000000000001</v>
      </c>
      <c r="N4581">
        <v>124.023</v>
      </c>
    </row>
    <row r="4582" spans="1:14" x14ac:dyDescent="0.45">
      <c r="A4582">
        <v>2002</v>
      </c>
      <c r="B4582" t="s">
        <v>56</v>
      </c>
      <c r="C4582">
        <v>0</v>
      </c>
      <c r="D4582">
        <v>0</v>
      </c>
      <c r="E4582">
        <v>1</v>
      </c>
      <c r="F4582">
        <v>0</v>
      </c>
      <c r="G4582">
        <v>0</v>
      </c>
      <c r="H4582">
        <v>0</v>
      </c>
      <c r="I4582">
        <v>0</v>
      </c>
      <c r="J4582">
        <v>6645.4777662771803</v>
      </c>
      <c r="K4582">
        <v>5139.2855167753096</v>
      </c>
      <c r="L4582">
        <v>47.539000000000001</v>
      </c>
      <c r="M4582">
        <v>47.874000000000002</v>
      </c>
      <c r="N4582">
        <v>193.554</v>
      </c>
    </row>
    <row r="4583" spans="1:14" x14ac:dyDescent="0.45">
      <c r="A4583">
        <v>2002</v>
      </c>
      <c r="B4583" t="s">
        <v>57</v>
      </c>
      <c r="C4583">
        <v>1</v>
      </c>
      <c r="D4583">
        <v>0</v>
      </c>
      <c r="E4583">
        <v>0</v>
      </c>
      <c r="F4583">
        <v>1</v>
      </c>
      <c r="G4583">
        <v>0</v>
      </c>
      <c r="H4583">
        <v>0</v>
      </c>
      <c r="I4583">
        <v>0</v>
      </c>
      <c r="J4583">
        <v>7590.0547357682299</v>
      </c>
      <c r="K4583">
        <v>6876.2414524220903</v>
      </c>
      <c r="L4583">
        <v>56.499000000000002</v>
      </c>
      <c r="M4583">
        <v>75.299000000000007</v>
      </c>
      <c r="N4583">
        <v>24.120999999999999</v>
      </c>
    </row>
    <row r="4584" spans="1:14" x14ac:dyDescent="0.45">
      <c r="A4584">
        <v>2002</v>
      </c>
      <c r="B4584" t="s">
        <v>58</v>
      </c>
      <c r="C4584">
        <v>1</v>
      </c>
      <c r="D4584">
        <v>0</v>
      </c>
      <c r="E4584">
        <v>0</v>
      </c>
      <c r="F4584">
        <v>0</v>
      </c>
      <c r="G4584">
        <v>0</v>
      </c>
      <c r="H4584">
        <v>1</v>
      </c>
      <c r="I4584">
        <v>1</v>
      </c>
      <c r="J4584">
        <v>61188.637085147398</v>
      </c>
      <c r="K4584">
        <v>51363.188073759899</v>
      </c>
      <c r="L4584">
        <v>8.3589999999999893</v>
      </c>
      <c r="M4584">
        <v>82.447999999999993</v>
      </c>
      <c r="N4584">
        <v>7.1859999999999999</v>
      </c>
    </row>
    <row r="4585" spans="1:14" x14ac:dyDescent="0.45">
      <c r="A4585">
        <v>2002</v>
      </c>
      <c r="B4585" t="s">
        <v>59</v>
      </c>
      <c r="C4585">
        <v>0</v>
      </c>
      <c r="D4585">
        <v>0</v>
      </c>
      <c r="E4585">
        <v>0</v>
      </c>
      <c r="F4585">
        <v>0</v>
      </c>
      <c r="G4585">
        <v>0</v>
      </c>
      <c r="H4585">
        <v>1</v>
      </c>
      <c r="I4585">
        <v>1</v>
      </c>
      <c r="J4585">
        <v>84871.602753570798</v>
      </c>
      <c r="K4585">
        <v>83850.486208533403</v>
      </c>
      <c r="L4585">
        <v>18.933</v>
      </c>
      <c r="M4585">
        <v>78.721000000000004</v>
      </c>
      <c r="N4585">
        <v>10.589</v>
      </c>
    </row>
    <row r="4586" spans="1:14" x14ac:dyDescent="0.45">
      <c r="A4586">
        <v>2002</v>
      </c>
      <c r="B4586" t="s">
        <v>60</v>
      </c>
      <c r="C4586">
        <v>0</v>
      </c>
      <c r="D4586">
        <v>1</v>
      </c>
      <c r="E4586">
        <v>0</v>
      </c>
      <c r="F4586">
        <v>0</v>
      </c>
      <c r="G4586">
        <v>1</v>
      </c>
      <c r="H4586">
        <v>0</v>
      </c>
      <c r="I4586">
        <v>0</v>
      </c>
      <c r="J4586">
        <v>18571.702047127401</v>
      </c>
      <c r="K4586">
        <v>15327.4075340904</v>
      </c>
      <c r="L4586">
        <v>10.49</v>
      </c>
      <c r="M4586">
        <v>74.311999999999998</v>
      </c>
      <c r="N4586">
        <v>19.898</v>
      </c>
    </row>
    <row r="4587" spans="1:14" x14ac:dyDescent="0.45">
      <c r="A4587">
        <v>2002</v>
      </c>
      <c r="B4587" t="s">
        <v>61</v>
      </c>
      <c r="C4587">
        <v>1</v>
      </c>
      <c r="D4587">
        <v>0</v>
      </c>
      <c r="E4587">
        <v>0</v>
      </c>
      <c r="F4587">
        <v>1</v>
      </c>
      <c r="G4587">
        <v>0</v>
      </c>
      <c r="H4587">
        <v>0</v>
      </c>
      <c r="I4587">
        <v>0</v>
      </c>
      <c r="J4587">
        <v>5731.3534660921296</v>
      </c>
      <c r="K4587">
        <v>4855.0365784769201</v>
      </c>
      <c r="L4587">
        <v>35.764000000000003</v>
      </c>
      <c r="M4587">
        <v>71.486000000000004</v>
      </c>
      <c r="N4587">
        <v>27.843</v>
      </c>
    </row>
    <row r="4588" spans="1:14" x14ac:dyDescent="0.45">
      <c r="A4588">
        <v>2002</v>
      </c>
      <c r="B4588" t="s">
        <v>62</v>
      </c>
      <c r="C4588">
        <v>0</v>
      </c>
      <c r="D4588">
        <v>0</v>
      </c>
      <c r="E4588">
        <v>0</v>
      </c>
      <c r="F4588">
        <v>0</v>
      </c>
      <c r="G4588">
        <v>1</v>
      </c>
      <c r="H4588">
        <v>0</v>
      </c>
      <c r="I4588">
        <v>0</v>
      </c>
      <c r="L4588">
        <v>11.606</v>
      </c>
      <c r="M4588">
        <v>71.754999999999995</v>
      </c>
      <c r="N4588">
        <v>13.38</v>
      </c>
    </row>
    <row r="4589" spans="1:14" x14ac:dyDescent="0.45">
      <c r="A4589">
        <v>2002</v>
      </c>
      <c r="B4589" t="s">
        <v>63</v>
      </c>
      <c r="C4589">
        <v>0</v>
      </c>
      <c r="D4589">
        <v>1</v>
      </c>
      <c r="E4589">
        <v>0</v>
      </c>
      <c r="F4589">
        <v>0</v>
      </c>
      <c r="G4589">
        <v>0</v>
      </c>
      <c r="H4589">
        <v>1</v>
      </c>
      <c r="I4589">
        <v>1</v>
      </c>
      <c r="J4589">
        <v>23958.163814207099</v>
      </c>
      <c r="K4589">
        <v>18869.373899063299</v>
      </c>
      <c r="L4589">
        <v>68.902000000000001</v>
      </c>
      <c r="M4589">
        <v>75.236999999999995</v>
      </c>
      <c r="N4589">
        <v>14.202999999999999</v>
      </c>
    </row>
    <row r="4590" spans="1:14" x14ac:dyDescent="0.45">
      <c r="A4590">
        <v>2002</v>
      </c>
      <c r="B4590" t="s">
        <v>64</v>
      </c>
      <c r="C4590">
        <v>0</v>
      </c>
      <c r="D4590">
        <v>0</v>
      </c>
      <c r="E4590">
        <v>0</v>
      </c>
      <c r="F4590">
        <v>0</v>
      </c>
      <c r="G4590">
        <v>0</v>
      </c>
      <c r="H4590">
        <v>1</v>
      </c>
      <c r="I4590">
        <v>1</v>
      </c>
      <c r="J4590">
        <v>46609.744179878697</v>
      </c>
      <c r="K4590">
        <v>40371.104074828501</v>
      </c>
      <c r="L4590">
        <v>15.778</v>
      </c>
      <c r="M4590">
        <v>80.052000000000007</v>
      </c>
      <c r="N4590">
        <v>6.0259999999999998</v>
      </c>
    </row>
    <row r="4591" spans="1:14" x14ac:dyDescent="0.45">
      <c r="A4591">
        <v>2002</v>
      </c>
      <c r="B4591" t="s">
        <v>65</v>
      </c>
      <c r="C4591">
        <v>1</v>
      </c>
      <c r="D4591">
        <v>0</v>
      </c>
      <c r="E4591">
        <v>0</v>
      </c>
      <c r="F4591">
        <v>0</v>
      </c>
      <c r="G4591">
        <v>0</v>
      </c>
      <c r="H4591">
        <v>1</v>
      </c>
      <c r="I4591">
        <v>1</v>
      </c>
      <c r="J4591">
        <v>54631.600850054703</v>
      </c>
      <c r="K4591">
        <v>46554.621003011896</v>
      </c>
      <c r="L4591">
        <v>40.344999999999999</v>
      </c>
      <c r="M4591">
        <v>78.846000000000004</v>
      </c>
      <c r="N4591">
        <v>4.9829999999999997</v>
      </c>
    </row>
    <row r="4592" spans="1:14" x14ac:dyDescent="0.45">
      <c r="A4592">
        <v>2002</v>
      </c>
      <c r="B4592" t="s">
        <v>66</v>
      </c>
      <c r="C4592">
        <v>1</v>
      </c>
      <c r="D4592">
        <v>0</v>
      </c>
      <c r="E4592">
        <v>0</v>
      </c>
      <c r="F4592">
        <v>0</v>
      </c>
      <c r="G4592">
        <v>0</v>
      </c>
      <c r="H4592">
        <v>0</v>
      </c>
      <c r="I4592">
        <v>0</v>
      </c>
      <c r="J4592">
        <v>6701.0817372063302</v>
      </c>
      <c r="K4592">
        <v>4879.8105143866596</v>
      </c>
      <c r="L4592">
        <v>48.213000000000001</v>
      </c>
      <c r="M4592">
        <v>66.769000000000005</v>
      </c>
      <c r="N4592">
        <v>65.192999999999998</v>
      </c>
    </row>
    <row r="4593" spans="1:14" x14ac:dyDescent="0.45">
      <c r="A4593">
        <v>2002</v>
      </c>
      <c r="B4593" t="s">
        <v>67</v>
      </c>
      <c r="C4593">
        <v>0</v>
      </c>
      <c r="D4593">
        <v>0</v>
      </c>
      <c r="E4593">
        <v>1</v>
      </c>
      <c r="F4593">
        <v>0</v>
      </c>
      <c r="G4593">
        <v>0</v>
      </c>
      <c r="H4593">
        <v>0</v>
      </c>
      <c r="I4593">
        <v>0</v>
      </c>
      <c r="J4593">
        <v>998.56128898485497</v>
      </c>
      <c r="K4593">
        <v>862.86004831629702</v>
      </c>
      <c r="L4593">
        <v>91.317999999999998</v>
      </c>
      <c r="M4593">
        <v>49.923999999999999</v>
      </c>
      <c r="N4593">
        <v>141.75200000000001</v>
      </c>
    </row>
    <row r="4594" spans="1:14" x14ac:dyDescent="0.45">
      <c r="A4594">
        <v>2002</v>
      </c>
      <c r="B4594" t="s">
        <v>68</v>
      </c>
      <c r="C4594">
        <v>1</v>
      </c>
      <c r="D4594">
        <v>0</v>
      </c>
      <c r="E4594">
        <v>0</v>
      </c>
      <c r="F4594">
        <v>0</v>
      </c>
      <c r="G4594">
        <v>0</v>
      </c>
      <c r="H4594">
        <v>1</v>
      </c>
      <c r="I4594">
        <v>1</v>
      </c>
      <c r="J4594">
        <v>51494.561792944798</v>
      </c>
      <c r="K4594">
        <v>43333.529921711997</v>
      </c>
      <c r="L4594">
        <v>2.7589999999999999</v>
      </c>
      <c r="M4594">
        <v>78.168000000000006</v>
      </c>
      <c r="N4594">
        <v>5.4569999999999999</v>
      </c>
    </row>
    <row r="4595" spans="1:14" x14ac:dyDescent="0.45">
      <c r="A4595">
        <v>2002</v>
      </c>
      <c r="B4595" t="s">
        <v>69</v>
      </c>
      <c r="C4595">
        <v>0</v>
      </c>
      <c r="D4595">
        <v>0</v>
      </c>
      <c r="E4595">
        <v>1</v>
      </c>
      <c r="F4595">
        <v>0</v>
      </c>
      <c r="G4595">
        <v>0</v>
      </c>
      <c r="H4595">
        <v>0</v>
      </c>
      <c r="I4595">
        <v>0</v>
      </c>
      <c r="J4595">
        <v>2630.1806102962701</v>
      </c>
      <c r="K4595">
        <v>2495.3888106712302</v>
      </c>
      <c r="L4595">
        <v>60.963999999999999</v>
      </c>
      <c r="M4595">
        <v>56.850999999999999</v>
      </c>
      <c r="N4595">
        <v>130.37799999999999</v>
      </c>
    </row>
    <row r="4596" spans="1:14" x14ac:dyDescent="0.45">
      <c r="A4596">
        <v>2002</v>
      </c>
      <c r="B4596" t="s">
        <v>70</v>
      </c>
      <c r="C4596">
        <v>0</v>
      </c>
      <c r="D4596">
        <v>0</v>
      </c>
      <c r="E4596">
        <v>1</v>
      </c>
      <c r="F4596">
        <v>0</v>
      </c>
      <c r="G4596">
        <v>0</v>
      </c>
      <c r="H4596">
        <v>0</v>
      </c>
      <c r="I4596">
        <v>0</v>
      </c>
      <c r="J4596">
        <v>1494.6780126958299</v>
      </c>
      <c r="K4596">
        <v>1367.53634666887</v>
      </c>
      <c r="L4596">
        <v>80.742000000000004</v>
      </c>
      <c r="M4596">
        <v>51.447000000000003</v>
      </c>
      <c r="N4596">
        <v>169.79499999999999</v>
      </c>
    </row>
    <row r="4597" spans="1:14" x14ac:dyDescent="0.45">
      <c r="A4597">
        <v>2002</v>
      </c>
      <c r="B4597" t="s">
        <v>71</v>
      </c>
      <c r="C4597">
        <v>0</v>
      </c>
      <c r="D4597">
        <v>0</v>
      </c>
      <c r="E4597">
        <v>0</v>
      </c>
      <c r="F4597">
        <v>0</v>
      </c>
      <c r="G4597">
        <v>0</v>
      </c>
      <c r="H4597">
        <v>0</v>
      </c>
      <c r="I4597">
        <v>0</v>
      </c>
      <c r="J4597">
        <v>2866.4345432871501</v>
      </c>
      <c r="K4597">
        <v>2330.3957043983601</v>
      </c>
      <c r="L4597">
        <v>75.244</v>
      </c>
      <c r="M4597">
        <v>63.591000000000001</v>
      </c>
      <c r="N4597">
        <v>76.581999999999994</v>
      </c>
    </row>
    <row r="4598" spans="1:14" x14ac:dyDescent="0.45">
      <c r="A4598">
        <v>2002</v>
      </c>
      <c r="B4598" t="s">
        <v>72</v>
      </c>
      <c r="C4598">
        <v>1</v>
      </c>
      <c r="D4598">
        <v>0</v>
      </c>
      <c r="E4598">
        <v>0</v>
      </c>
      <c r="F4598">
        <v>1</v>
      </c>
      <c r="G4598">
        <v>0</v>
      </c>
      <c r="H4598">
        <v>0</v>
      </c>
      <c r="I4598">
        <v>0</v>
      </c>
      <c r="J4598">
        <v>14391.430013191</v>
      </c>
      <c r="K4598">
        <v>11942.001036886701</v>
      </c>
      <c r="L4598">
        <v>30.475999999999999</v>
      </c>
      <c r="M4598">
        <v>72.128</v>
      </c>
      <c r="N4598">
        <v>16.07</v>
      </c>
    </row>
    <row r="4599" spans="1:14" x14ac:dyDescent="0.45">
      <c r="A4599">
        <v>2002</v>
      </c>
      <c r="B4599" t="s">
        <v>73</v>
      </c>
      <c r="C4599">
        <v>0</v>
      </c>
      <c r="D4599">
        <v>0</v>
      </c>
      <c r="E4599">
        <v>0</v>
      </c>
      <c r="F4599">
        <v>0</v>
      </c>
      <c r="G4599">
        <v>0</v>
      </c>
      <c r="H4599">
        <v>1</v>
      </c>
      <c r="I4599">
        <v>1</v>
      </c>
      <c r="J4599">
        <v>55096.657155077897</v>
      </c>
      <c r="K4599">
        <v>51336.985135020099</v>
      </c>
      <c r="L4599">
        <v>11.627000000000001</v>
      </c>
      <c r="M4599">
        <v>75.209000000000003</v>
      </c>
      <c r="N4599">
        <v>11.693</v>
      </c>
    </row>
    <row r="4600" spans="1:14" x14ac:dyDescent="0.45">
      <c r="A4600">
        <v>2002</v>
      </c>
      <c r="B4600" t="s">
        <v>74</v>
      </c>
      <c r="C4600">
        <v>0</v>
      </c>
      <c r="D4600">
        <v>1</v>
      </c>
      <c r="E4600">
        <v>0</v>
      </c>
      <c r="F4600">
        <v>0</v>
      </c>
      <c r="G4600">
        <v>0</v>
      </c>
      <c r="H4600">
        <v>1</v>
      </c>
      <c r="I4600">
        <v>1</v>
      </c>
      <c r="J4600">
        <v>35610.589201682204</v>
      </c>
      <c r="K4600">
        <v>36938.3650911476</v>
      </c>
      <c r="L4600">
        <v>17.908000000000001</v>
      </c>
      <c r="M4600">
        <v>73.022999999999996</v>
      </c>
      <c r="N4600">
        <v>16.451000000000001</v>
      </c>
    </row>
    <row r="4601" spans="1:14" x14ac:dyDescent="0.45">
      <c r="A4601">
        <v>2002</v>
      </c>
      <c r="B4601" t="s">
        <v>75</v>
      </c>
      <c r="C4601">
        <v>1</v>
      </c>
      <c r="D4601">
        <v>0</v>
      </c>
      <c r="E4601">
        <v>0</v>
      </c>
      <c r="F4601">
        <v>1</v>
      </c>
      <c r="G4601">
        <v>0</v>
      </c>
      <c r="H4601">
        <v>0</v>
      </c>
      <c r="I4601">
        <v>0</v>
      </c>
      <c r="J4601">
        <v>8363.9136453196897</v>
      </c>
      <c r="K4601">
        <v>7225.2612420944997</v>
      </c>
      <c r="L4601">
        <v>56.985999999999997</v>
      </c>
      <c r="M4601">
        <v>75.994</v>
      </c>
      <c r="N4601">
        <v>8.7309999999999999</v>
      </c>
    </row>
    <row r="4602" spans="1:14" x14ac:dyDescent="0.45">
      <c r="A4602">
        <v>2002</v>
      </c>
      <c r="B4602" t="s">
        <v>76</v>
      </c>
      <c r="C4602">
        <v>1</v>
      </c>
      <c r="D4602">
        <v>0</v>
      </c>
      <c r="E4602">
        <v>0</v>
      </c>
      <c r="F4602">
        <v>1</v>
      </c>
      <c r="G4602">
        <v>0</v>
      </c>
      <c r="H4602">
        <v>0</v>
      </c>
      <c r="I4602">
        <v>0</v>
      </c>
      <c r="J4602">
        <v>12443.932258531</v>
      </c>
      <c r="K4602">
        <v>8984.4577205932892</v>
      </c>
      <c r="L4602">
        <v>29.061</v>
      </c>
      <c r="M4602">
        <v>68.298000000000002</v>
      </c>
      <c r="N4602">
        <v>10.869</v>
      </c>
    </row>
    <row r="4603" spans="1:14" x14ac:dyDescent="0.45">
      <c r="A4603">
        <v>2002</v>
      </c>
      <c r="B4603" t="s">
        <v>77</v>
      </c>
      <c r="C4603">
        <v>0</v>
      </c>
      <c r="D4603">
        <v>1</v>
      </c>
      <c r="E4603">
        <v>0</v>
      </c>
      <c r="F4603">
        <v>0</v>
      </c>
      <c r="G4603">
        <v>1</v>
      </c>
      <c r="H4603">
        <v>0</v>
      </c>
      <c r="I4603">
        <v>0</v>
      </c>
      <c r="J4603">
        <v>11816.597609045601</v>
      </c>
      <c r="K4603">
        <v>9312.57995433006</v>
      </c>
      <c r="L4603">
        <v>54.636000000000003</v>
      </c>
      <c r="M4603">
        <v>69.528000000000006</v>
      </c>
      <c r="N4603">
        <v>22.834</v>
      </c>
    </row>
    <row r="4604" spans="1:14" x14ac:dyDescent="0.45">
      <c r="A4604">
        <v>2002</v>
      </c>
      <c r="B4604" t="s">
        <v>78</v>
      </c>
      <c r="C4604">
        <v>0</v>
      </c>
      <c r="D4604">
        <v>0</v>
      </c>
      <c r="E4604">
        <v>0</v>
      </c>
      <c r="F4604">
        <v>0</v>
      </c>
      <c r="G4604">
        <v>0</v>
      </c>
      <c r="H4604">
        <v>1</v>
      </c>
      <c r="I4604">
        <v>1</v>
      </c>
      <c r="J4604">
        <v>102559.769384967</v>
      </c>
      <c r="K4604">
        <v>91120.654562440905</v>
      </c>
      <c r="L4604">
        <v>0</v>
      </c>
      <c r="M4604">
        <v>78.840999999999994</v>
      </c>
      <c r="N4604">
        <v>4.6929999999999996</v>
      </c>
    </row>
    <row r="4605" spans="1:14" x14ac:dyDescent="0.45">
      <c r="A4605">
        <v>2002</v>
      </c>
      <c r="B4605" t="s">
        <v>79</v>
      </c>
      <c r="C4605">
        <v>0</v>
      </c>
      <c r="D4605">
        <v>1</v>
      </c>
      <c r="E4605">
        <v>0</v>
      </c>
      <c r="F4605">
        <v>1</v>
      </c>
      <c r="G4605">
        <v>0</v>
      </c>
      <c r="H4605">
        <v>0</v>
      </c>
      <c r="I4605">
        <v>0</v>
      </c>
      <c r="J4605">
        <v>6193.2634749484396</v>
      </c>
      <c r="K4605">
        <v>5465.8659971842399</v>
      </c>
      <c r="L4605">
        <v>37.216999999999999</v>
      </c>
      <c r="M4605">
        <v>63.067999999999998</v>
      </c>
      <c r="N4605">
        <v>89.093999999999994</v>
      </c>
    </row>
    <row r="4606" spans="1:14" x14ac:dyDescent="0.45">
      <c r="A4606">
        <v>2002</v>
      </c>
      <c r="B4606" t="s">
        <v>80</v>
      </c>
      <c r="C4606">
        <v>0</v>
      </c>
      <c r="D4606">
        <v>1</v>
      </c>
      <c r="E4606">
        <v>0</v>
      </c>
      <c r="F4606">
        <v>1</v>
      </c>
      <c r="G4606">
        <v>0</v>
      </c>
      <c r="H4606">
        <v>0</v>
      </c>
      <c r="I4606">
        <v>0</v>
      </c>
      <c r="J4606">
        <v>14265.904877029199</v>
      </c>
      <c r="K4606">
        <v>11718.144676080599</v>
      </c>
      <c r="L4606">
        <v>18.12</v>
      </c>
      <c r="M4606">
        <v>70.396000000000001</v>
      </c>
      <c r="N4606">
        <v>30.256</v>
      </c>
    </row>
    <row r="4607" spans="1:14" x14ac:dyDescent="0.45">
      <c r="A4607">
        <v>2002</v>
      </c>
      <c r="B4607" t="s">
        <v>81</v>
      </c>
      <c r="C4607">
        <v>0</v>
      </c>
      <c r="D4607">
        <v>1</v>
      </c>
      <c r="E4607">
        <v>0</v>
      </c>
      <c r="F4607">
        <v>0</v>
      </c>
      <c r="G4607">
        <v>0</v>
      </c>
      <c r="H4607">
        <v>1</v>
      </c>
      <c r="I4607">
        <v>1</v>
      </c>
      <c r="J4607">
        <v>18404.149567623099</v>
      </c>
      <c r="K4607">
        <v>17577.795327724602</v>
      </c>
      <c r="L4607">
        <v>66.569000000000003</v>
      </c>
      <c r="M4607">
        <v>74.819999999999993</v>
      </c>
      <c r="N4607">
        <v>15.074</v>
      </c>
    </row>
    <row r="4608" spans="1:14" x14ac:dyDescent="0.45">
      <c r="A4608">
        <v>2002</v>
      </c>
      <c r="B4608" t="s">
        <v>82</v>
      </c>
      <c r="C4608">
        <v>0</v>
      </c>
      <c r="D4608">
        <v>0</v>
      </c>
      <c r="E4608">
        <v>0</v>
      </c>
      <c r="F4608">
        <v>0</v>
      </c>
      <c r="G4608">
        <v>0</v>
      </c>
      <c r="H4608">
        <v>1</v>
      </c>
      <c r="I4608">
        <v>1</v>
      </c>
      <c r="J4608">
        <v>101571.583792615</v>
      </c>
      <c r="K4608">
        <v>79307.547031766604</v>
      </c>
      <c r="L4608">
        <v>27.954000000000001</v>
      </c>
      <c r="M4608">
        <v>74.364999999999995</v>
      </c>
      <c r="N4608">
        <v>10.010999999999999</v>
      </c>
    </row>
    <row r="4609" spans="1:14" x14ac:dyDescent="0.45">
      <c r="A4609">
        <v>2002</v>
      </c>
      <c r="B4609" t="s">
        <v>83</v>
      </c>
      <c r="C4609">
        <v>0</v>
      </c>
      <c r="D4609">
        <v>0</v>
      </c>
      <c r="E4609">
        <v>0</v>
      </c>
      <c r="F4609">
        <v>0</v>
      </c>
      <c r="G4609">
        <v>0</v>
      </c>
      <c r="H4609">
        <v>0</v>
      </c>
      <c r="I4609">
        <v>0</v>
      </c>
      <c r="J4609">
        <v>5991.2549757177503</v>
      </c>
      <c r="K4609">
        <v>5189.1844690193002</v>
      </c>
      <c r="L4609">
        <v>72.430000000000007</v>
      </c>
      <c r="M4609">
        <v>63.984000000000002</v>
      </c>
      <c r="N4609">
        <v>69.14</v>
      </c>
    </row>
    <row r="4610" spans="1:14" x14ac:dyDescent="0.45">
      <c r="A4610">
        <v>2002</v>
      </c>
      <c r="B4610" t="s">
        <v>84</v>
      </c>
      <c r="C4610">
        <v>0</v>
      </c>
      <c r="D4610">
        <v>0</v>
      </c>
      <c r="E4610">
        <v>1</v>
      </c>
      <c r="F4610">
        <v>0</v>
      </c>
      <c r="G4610">
        <v>1</v>
      </c>
      <c r="H4610">
        <v>0</v>
      </c>
      <c r="I4610">
        <v>0</v>
      </c>
      <c r="J4610">
        <v>13479.6960707779</v>
      </c>
      <c r="K4610">
        <v>12196.2461523365</v>
      </c>
      <c r="L4610">
        <v>45.43</v>
      </c>
      <c r="M4610">
        <v>52.372999999999998</v>
      </c>
      <c r="N4610">
        <v>74.412999999999997</v>
      </c>
    </row>
    <row r="4611" spans="1:14" x14ac:dyDescent="0.45">
      <c r="A4611">
        <v>2002</v>
      </c>
      <c r="B4611" t="s">
        <v>85</v>
      </c>
      <c r="C4611">
        <v>0</v>
      </c>
      <c r="D4611">
        <v>0</v>
      </c>
      <c r="E4611">
        <v>1</v>
      </c>
      <c r="F4611">
        <v>0</v>
      </c>
      <c r="G4611">
        <v>0</v>
      </c>
      <c r="H4611">
        <v>0</v>
      </c>
      <c r="I4611">
        <v>0</v>
      </c>
      <c r="J4611">
        <v>1290.3831491712599</v>
      </c>
      <c r="K4611">
        <v>1033.14568615076</v>
      </c>
      <c r="L4611">
        <v>62.198</v>
      </c>
      <c r="M4611">
        <v>46.84</v>
      </c>
      <c r="N4611">
        <v>158.93</v>
      </c>
    </row>
    <row r="4612" spans="1:14" x14ac:dyDescent="0.45">
      <c r="A4612">
        <v>2002</v>
      </c>
      <c r="B4612" t="s">
        <v>86</v>
      </c>
      <c r="C4612">
        <v>0</v>
      </c>
      <c r="D4612">
        <v>0</v>
      </c>
      <c r="E4612">
        <v>0</v>
      </c>
      <c r="F4612">
        <v>0</v>
      </c>
      <c r="G4612">
        <v>0</v>
      </c>
      <c r="H4612">
        <v>1</v>
      </c>
      <c r="I4612">
        <v>1</v>
      </c>
      <c r="J4612">
        <v>49695.006690986702</v>
      </c>
      <c r="K4612">
        <v>43016.821513374103</v>
      </c>
      <c r="L4612">
        <v>20.111999999999998</v>
      </c>
      <c r="M4612">
        <v>79.566000000000003</v>
      </c>
      <c r="N4612">
        <v>6.2770000000000001</v>
      </c>
    </row>
    <row r="4613" spans="1:14" x14ac:dyDescent="0.45">
      <c r="A4613">
        <v>2002</v>
      </c>
      <c r="B4613" t="s">
        <v>87</v>
      </c>
      <c r="C4613">
        <v>1</v>
      </c>
      <c r="D4613">
        <v>0</v>
      </c>
      <c r="E4613">
        <v>0</v>
      </c>
      <c r="F4613">
        <v>0</v>
      </c>
      <c r="G4613">
        <v>0</v>
      </c>
      <c r="H4613">
        <v>1</v>
      </c>
      <c r="I4613">
        <v>1</v>
      </c>
      <c r="J4613">
        <v>67446.404431026793</v>
      </c>
      <c r="K4613">
        <v>58676.139483434599</v>
      </c>
      <c r="L4613">
        <v>26.599</v>
      </c>
      <c r="M4613">
        <v>80.444000000000003</v>
      </c>
      <c r="N4613">
        <v>5.5309999999999997</v>
      </c>
    </row>
    <row r="4614" spans="1:14" x14ac:dyDescent="0.45">
      <c r="A4614">
        <v>2002</v>
      </c>
      <c r="B4614" t="s">
        <v>88</v>
      </c>
      <c r="C4614">
        <v>1</v>
      </c>
      <c r="D4614">
        <v>0</v>
      </c>
      <c r="E4614">
        <v>0</v>
      </c>
      <c r="F4614">
        <v>0</v>
      </c>
      <c r="G4614">
        <v>0</v>
      </c>
      <c r="H4614">
        <v>1</v>
      </c>
      <c r="I4614">
        <v>1</v>
      </c>
      <c r="L4614">
        <v>69.442999999999998</v>
      </c>
      <c r="M4614">
        <v>79.149074285599895</v>
      </c>
      <c r="N4614">
        <v>10.834720838531901</v>
      </c>
    </row>
    <row r="4615" spans="1:14" x14ac:dyDescent="0.45">
      <c r="A4615">
        <v>2002</v>
      </c>
      <c r="B4615" t="s">
        <v>89</v>
      </c>
      <c r="C4615">
        <v>0</v>
      </c>
      <c r="D4615">
        <v>1</v>
      </c>
      <c r="E4615">
        <v>0</v>
      </c>
      <c r="F4615">
        <v>0</v>
      </c>
      <c r="G4615">
        <v>1</v>
      </c>
      <c r="H4615">
        <v>0</v>
      </c>
      <c r="I4615">
        <v>0</v>
      </c>
      <c r="J4615">
        <v>18240.201560285699</v>
      </c>
      <c r="K4615">
        <v>15888.710288865601</v>
      </c>
      <c r="L4615">
        <v>13.394</v>
      </c>
      <c r="M4615">
        <v>77.84</v>
      </c>
      <c r="N4615">
        <v>10.379</v>
      </c>
    </row>
    <row r="4616" spans="1:14" x14ac:dyDescent="0.45">
      <c r="A4616">
        <v>2002</v>
      </c>
      <c r="B4616" t="s">
        <v>90</v>
      </c>
      <c r="C4616">
        <v>0</v>
      </c>
      <c r="D4616">
        <v>0</v>
      </c>
      <c r="E4616">
        <v>0</v>
      </c>
      <c r="F4616">
        <v>1</v>
      </c>
      <c r="G4616">
        <v>0</v>
      </c>
      <c r="H4616">
        <v>0</v>
      </c>
      <c r="I4616">
        <v>0</v>
      </c>
      <c r="J4616">
        <v>4744.3985507979396</v>
      </c>
      <c r="K4616">
        <v>4253.0461028423497</v>
      </c>
      <c r="L4616">
        <v>61.575000000000003</v>
      </c>
      <c r="M4616">
        <v>73.034000000000006</v>
      </c>
      <c r="N4616">
        <v>30.963000000000001</v>
      </c>
    </row>
    <row r="4617" spans="1:14" x14ac:dyDescent="0.45">
      <c r="A4617">
        <v>2002</v>
      </c>
      <c r="B4617" t="s">
        <v>91</v>
      </c>
      <c r="C4617">
        <v>0</v>
      </c>
      <c r="D4617">
        <v>0</v>
      </c>
      <c r="E4617">
        <v>1</v>
      </c>
      <c r="F4617">
        <v>0</v>
      </c>
      <c r="G4617">
        <v>0</v>
      </c>
      <c r="H4617">
        <v>0</v>
      </c>
      <c r="I4617">
        <v>0</v>
      </c>
      <c r="J4617">
        <v>4368.9280883727897</v>
      </c>
      <c r="K4617">
        <v>3688.018728643</v>
      </c>
      <c r="L4617">
        <v>56.017000000000003</v>
      </c>
      <c r="M4617">
        <v>51.543999999999997</v>
      </c>
      <c r="N4617">
        <v>133.30600000000001</v>
      </c>
    </row>
    <row r="4618" spans="1:14" x14ac:dyDescent="0.45">
      <c r="A4618">
        <v>2002</v>
      </c>
      <c r="B4618" t="s">
        <v>92</v>
      </c>
      <c r="C4618">
        <v>0</v>
      </c>
      <c r="D4618">
        <v>0</v>
      </c>
      <c r="E4618">
        <v>1</v>
      </c>
      <c r="F4618">
        <v>0</v>
      </c>
      <c r="G4618">
        <v>0</v>
      </c>
      <c r="H4618">
        <v>0</v>
      </c>
      <c r="I4618">
        <v>0</v>
      </c>
      <c r="J4618">
        <v>3951.41936232132</v>
      </c>
      <c r="K4618">
        <v>3102.70413243141</v>
      </c>
      <c r="L4618">
        <v>53.262</v>
      </c>
      <c r="M4618">
        <v>53.921999999999997</v>
      </c>
      <c r="N4618">
        <v>137.739</v>
      </c>
    </row>
    <row r="4619" spans="1:14" x14ac:dyDescent="0.45">
      <c r="A4619">
        <v>2002</v>
      </c>
      <c r="B4619" t="s">
        <v>93</v>
      </c>
      <c r="C4619">
        <v>0</v>
      </c>
      <c r="D4619">
        <v>0</v>
      </c>
      <c r="E4619">
        <v>1</v>
      </c>
      <c r="F4619">
        <v>0</v>
      </c>
      <c r="G4619">
        <v>0</v>
      </c>
      <c r="H4619">
        <v>0</v>
      </c>
      <c r="I4619">
        <v>0</v>
      </c>
      <c r="J4619">
        <v>839.76620826236206</v>
      </c>
      <c r="K4619">
        <v>672.28702764909303</v>
      </c>
      <c r="L4619">
        <v>63.945</v>
      </c>
      <c r="M4619">
        <v>52.371000000000002</v>
      </c>
      <c r="N4619">
        <v>150.19300000000001</v>
      </c>
    </row>
    <row r="4620" spans="1:14" x14ac:dyDescent="0.45">
      <c r="A4620">
        <v>2002</v>
      </c>
      <c r="B4620" t="s">
        <v>94</v>
      </c>
      <c r="C4620">
        <v>0</v>
      </c>
      <c r="D4620">
        <v>0</v>
      </c>
      <c r="E4620">
        <v>1</v>
      </c>
      <c r="F4620">
        <v>0</v>
      </c>
      <c r="G4620">
        <v>0</v>
      </c>
      <c r="H4620">
        <v>0</v>
      </c>
      <c r="I4620">
        <v>0</v>
      </c>
      <c r="J4620">
        <v>7729.3889014188999</v>
      </c>
      <c r="K4620">
        <v>4659.6250883256398</v>
      </c>
      <c r="L4620">
        <v>40.383000000000003</v>
      </c>
      <c r="M4620">
        <v>56.414000000000001</v>
      </c>
      <c r="N4620">
        <v>102.42</v>
      </c>
    </row>
    <row r="4621" spans="1:14" x14ac:dyDescent="0.45">
      <c r="A4621">
        <v>2002</v>
      </c>
      <c r="B4621" t="s">
        <v>95</v>
      </c>
      <c r="C4621">
        <v>0</v>
      </c>
      <c r="D4621">
        <v>1</v>
      </c>
      <c r="E4621">
        <v>0</v>
      </c>
      <c r="F4621">
        <v>1</v>
      </c>
      <c r="G4621">
        <v>0</v>
      </c>
      <c r="H4621">
        <v>0</v>
      </c>
      <c r="I4621">
        <v>0</v>
      </c>
      <c r="J4621">
        <v>10925.148560208199</v>
      </c>
      <c r="K4621">
        <v>9096.3823132886992</v>
      </c>
      <c r="L4621">
        <v>25.202999999999999</v>
      </c>
      <c r="M4621">
        <v>71.537000000000006</v>
      </c>
      <c r="N4621">
        <v>24.210999999999999</v>
      </c>
    </row>
    <row r="4622" spans="1:14" x14ac:dyDescent="0.45">
      <c r="A4622">
        <v>2002</v>
      </c>
      <c r="B4622" t="s">
        <v>96</v>
      </c>
      <c r="C4622">
        <v>0</v>
      </c>
      <c r="D4622">
        <v>0</v>
      </c>
      <c r="E4622">
        <v>1</v>
      </c>
      <c r="F4622">
        <v>0</v>
      </c>
      <c r="G4622">
        <v>0</v>
      </c>
      <c r="H4622">
        <v>0</v>
      </c>
      <c r="I4622">
        <v>0</v>
      </c>
      <c r="J4622">
        <v>2418.8343490613702</v>
      </c>
      <c r="K4622">
        <v>2501.3834117279498</v>
      </c>
      <c r="L4622">
        <v>72.007999999999996</v>
      </c>
      <c r="M4622">
        <v>59.722999999999999</v>
      </c>
      <c r="N4622">
        <v>92.248999999999995</v>
      </c>
    </row>
    <row r="4623" spans="1:14" x14ac:dyDescent="0.45">
      <c r="A4623">
        <v>2002</v>
      </c>
      <c r="B4623" t="s">
        <v>97</v>
      </c>
      <c r="C4623">
        <v>0</v>
      </c>
      <c r="D4623">
        <v>0</v>
      </c>
      <c r="E4623">
        <v>1</v>
      </c>
      <c r="F4623">
        <v>1</v>
      </c>
      <c r="G4623">
        <v>0</v>
      </c>
      <c r="H4623">
        <v>0</v>
      </c>
      <c r="I4623">
        <v>0</v>
      </c>
      <c r="J4623">
        <v>4710.2410491228002</v>
      </c>
      <c r="K4623">
        <v>4539.3257438804003</v>
      </c>
      <c r="L4623">
        <v>44.853999999999999</v>
      </c>
      <c r="M4623">
        <v>69.447000000000003</v>
      </c>
      <c r="N4623">
        <v>30.503</v>
      </c>
    </row>
    <row r="4624" spans="1:14" x14ac:dyDescent="0.45">
      <c r="A4624">
        <v>2002</v>
      </c>
      <c r="B4624" t="s">
        <v>98</v>
      </c>
      <c r="C4624">
        <v>0</v>
      </c>
      <c r="D4624">
        <v>1</v>
      </c>
      <c r="E4624">
        <v>0</v>
      </c>
      <c r="F4624">
        <v>0</v>
      </c>
      <c r="G4624">
        <v>1</v>
      </c>
      <c r="H4624">
        <v>0</v>
      </c>
      <c r="I4624">
        <v>0</v>
      </c>
      <c r="J4624">
        <v>14495.992510554501</v>
      </c>
      <c r="K4624">
        <v>12979.051285743501</v>
      </c>
      <c r="L4624">
        <v>38.247</v>
      </c>
      <c r="M4624">
        <v>77.938999999999993</v>
      </c>
      <c r="N4624">
        <v>12.33</v>
      </c>
    </row>
    <row r="4625" spans="1:14" x14ac:dyDescent="0.45">
      <c r="A4625">
        <v>2002</v>
      </c>
      <c r="B4625" t="s">
        <v>99</v>
      </c>
      <c r="C4625">
        <v>0</v>
      </c>
      <c r="D4625">
        <v>1</v>
      </c>
      <c r="E4625">
        <v>0</v>
      </c>
      <c r="F4625">
        <v>1</v>
      </c>
      <c r="G4625">
        <v>0</v>
      </c>
      <c r="H4625">
        <v>0</v>
      </c>
      <c r="I4625">
        <v>0</v>
      </c>
      <c r="L4625">
        <v>24.215</v>
      </c>
      <c r="M4625">
        <v>76.766000000000005</v>
      </c>
      <c r="N4625">
        <v>7.9720000000000004</v>
      </c>
    </row>
    <row r="4626" spans="1:14" x14ac:dyDescent="0.45">
      <c r="A4626">
        <v>2002</v>
      </c>
      <c r="B4626" t="s">
        <v>100</v>
      </c>
      <c r="C4626">
        <v>0</v>
      </c>
      <c r="D4626">
        <v>1</v>
      </c>
      <c r="E4626">
        <v>0</v>
      </c>
      <c r="F4626">
        <v>0</v>
      </c>
      <c r="G4626">
        <v>0</v>
      </c>
      <c r="H4626">
        <v>1</v>
      </c>
      <c r="I4626">
        <v>1</v>
      </c>
      <c r="J4626">
        <v>35435.997116245402</v>
      </c>
      <c r="K4626">
        <v>28990.628854171999</v>
      </c>
      <c r="L4626">
        <v>9.1059999999999892</v>
      </c>
      <c r="M4626">
        <v>73.471999999999994</v>
      </c>
      <c r="N4626">
        <v>17.181999999999999</v>
      </c>
    </row>
    <row r="4627" spans="1:14" x14ac:dyDescent="0.45">
      <c r="A4627">
        <v>2002</v>
      </c>
      <c r="B4627" t="s">
        <v>101</v>
      </c>
      <c r="C4627">
        <v>0</v>
      </c>
      <c r="D4627">
        <v>1</v>
      </c>
      <c r="E4627">
        <v>0</v>
      </c>
      <c r="F4627">
        <v>0</v>
      </c>
      <c r="G4627">
        <v>0</v>
      </c>
      <c r="H4627">
        <v>1</v>
      </c>
      <c r="I4627">
        <v>1</v>
      </c>
      <c r="L4627">
        <v>0</v>
      </c>
      <c r="M4627">
        <v>74.608999999999995</v>
      </c>
      <c r="N4627">
        <v>6.0919999999999996</v>
      </c>
    </row>
    <row r="4628" spans="1:14" x14ac:dyDescent="0.45">
      <c r="A4628">
        <v>2002</v>
      </c>
      <c r="B4628" t="s">
        <v>102</v>
      </c>
      <c r="C4628">
        <v>1</v>
      </c>
      <c r="D4628">
        <v>0</v>
      </c>
      <c r="E4628">
        <v>0</v>
      </c>
      <c r="F4628">
        <v>0</v>
      </c>
      <c r="G4628">
        <v>0</v>
      </c>
      <c r="H4628">
        <v>1</v>
      </c>
      <c r="I4628">
        <v>1</v>
      </c>
      <c r="J4628">
        <v>38091.87109375</v>
      </c>
      <c r="K4628">
        <v>33933.844428689597</v>
      </c>
      <c r="L4628">
        <v>31.306000000000001</v>
      </c>
      <c r="M4628">
        <v>78.757999999999996</v>
      </c>
      <c r="N4628">
        <v>5.7119999999999997</v>
      </c>
    </row>
    <row r="4629" spans="1:14" x14ac:dyDescent="0.45">
      <c r="A4629">
        <v>2002</v>
      </c>
      <c r="B4629" t="s">
        <v>103</v>
      </c>
      <c r="C4629">
        <v>1</v>
      </c>
      <c r="D4629">
        <v>0</v>
      </c>
      <c r="E4629">
        <v>0</v>
      </c>
      <c r="F4629">
        <v>0</v>
      </c>
      <c r="G4629">
        <v>1</v>
      </c>
      <c r="H4629">
        <v>0</v>
      </c>
      <c r="I4629">
        <v>0</v>
      </c>
      <c r="J4629">
        <v>30919.549661870202</v>
      </c>
      <c r="K4629">
        <v>25743.6956764442</v>
      </c>
      <c r="L4629">
        <v>26.190999999999999</v>
      </c>
      <c r="M4629">
        <v>75.441999999999993</v>
      </c>
      <c r="N4629">
        <v>5.3159999999999998</v>
      </c>
    </row>
    <row r="4630" spans="1:14" x14ac:dyDescent="0.45">
      <c r="A4630">
        <v>2002</v>
      </c>
      <c r="B4630" t="s">
        <v>104</v>
      </c>
      <c r="C4630">
        <v>1</v>
      </c>
      <c r="D4630">
        <v>0</v>
      </c>
      <c r="E4630">
        <v>0</v>
      </c>
      <c r="F4630">
        <v>0</v>
      </c>
      <c r="G4630">
        <v>0</v>
      </c>
      <c r="H4630">
        <v>1</v>
      </c>
      <c r="I4630">
        <v>1</v>
      </c>
      <c r="J4630">
        <v>50510.905952693698</v>
      </c>
      <c r="K4630">
        <v>43795.588748779199</v>
      </c>
      <c r="L4630">
        <v>24.626000000000001</v>
      </c>
      <c r="M4630">
        <v>78.474999999999994</v>
      </c>
      <c r="N4630">
        <v>5.093</v>
      </c>
    </row>
    <row r="4631" spans="1:14" x14ac:dyDescent="0.45">
      <c r="A4631">
        <v>2002</v>
      </c>
      <c r="B4631" t="s">
        <v>105</v>
      </c>
      <c r="C4631">
        <v>0</v>
      </c>
      <c r="D4631">
        <v>0</v>
      </c>
      <c r="E4631">
        <v>0</v>
      </c>
      <c r="F4631">
        <v>1</v>
      </c>
      <c r="G4631">
        <v>0</v>
      </c>
      <c r="H4631">
        <v>0</v>
      </c>
      <c r="I4631">
        <v>0</v>
      </c>
      <c r="J4631">
        <v>3609.7098445325701</v>
      </c>
      <c r="K4631">
        <v>3113.55827739701</v>
      </c>
      <c r="L4631">
        <v>23.376000000000001</v>
      </c>
      <c r="M4631">
        <v>57.823999999999998</v>
      </c>
      <c r="N4631">
        <v>94.88</v>
      </c>
    </row>
    <row r="4632" spans="1:14" x14ac:dyDescent="0.45">
      <c r="A4632">
        <v>2002</v>
      </c>
      <c r="B4632" t="s">
        <v>106</v>
      </c>
      <c r="C4632">
        <v>0</v>
      </c>
      <c r="D4632">
        <v>1</v>
      </c>
      <c r="E4632">
        <v>0</v>
      </c>
      <c r="F4632">
        <v>0</v>
      </c>
      <c r="G4632">
        <v>1</v>
      </c>
      <c r="H4632">
        <v>0</v>
      </c>
      <c r="I4632">
        <v>0</v>
      </c>
      <c r="J4632">
        <v>13640.703305749999</v>
      </c>
      <c r="K4632">
        <v>10615.5817587744</v>
      </c>
      <c r="L4632">
        <v>34.311</v>
      </c>
      <c r="M4632">
        <v>71.927000000000007</v>
      </c>
      <c r="N4632">
        <v>18.387</v>
      </c>
    </row>
    <row r="4633" spans="1:14" x14ac:dyDescent="0.45">
      <c r="A4633">
        <v>2002</v>
      </c>
      <c r="B4633" t="s">
        <v>107</v>
      </c>
      <c r="C4633">
        <v>1</v>
      </c>
      <c r="D4633">
        <v>0</v>
      </c>
      <c r="E4633">
        <v>0</v>
      </c>
      <c r="F4633">
        <v>0</v>
      </c>
      <c r="G4633">
        <v>0</v>
      </c>
      <c r="H4633">
        <v>1</v>
      </c>
      <c r="I4633">
        <v>1</v>
      </c>
      <c r="J4633">
        <v>57848.845278647299</v>
      </c>
      <c r="K4633">
        <v>48890.783163772801</v>
      </c>
      <c r="L4633">
        <v>14.75</v>
      </c>
      <c r="M4633">
        <v>77.099000000000004</v>
      </c>
      <c r="N4633">
        <v>5.3780000000000001</v>
      </c>
    </row>
    <row r="4634" spans="1:14" x14ac:dyDescent="0.45">
      <c r="A4634">
        <v>2002</v>
      </c>
      <c r="B4634" t="s">
        <v>108</v>
      </c>
      <c r="C4634">
        <v>0</v>
      </c>
      <c r="D4634">
        <v>1</v>
      </c>
      <c r="E4634">
        <v>0</v>
      </c>
      <c r="F4634">
        <v>1</v>
      </c>
      <c r="G4634">
        <v>0</v>
      </c>
      <c r="H4634">
        <v>0</v>
      </c>
      <c r="I4634">
        <v>0</v>
      </c>
      <c r="J4634">
        <v>11313.0690271273</v>
      </c>
      <c r="K4634">
        <v>9772.5118170595197</v>
      </c>
      <c r="L4634">
        <v>36.628999999999998</v>
      </c>
      <c r="M4634">
        <v>70.718999999999994</v>
      </c>
      <c r="N4634">
        <v>39.738</v>
      </c>
    </row>
    <row r="4635" spans="1:14" x14ac:dyDescent="0.45">
      <c r="A4635">
        <v>2002</v>
      </c>
      <c r="B4635" t="s">
        <v>109</v>
      </c>
      <c r="C4635">
        <v>0</v>
      </c>
      <c r="D4635">
        <v>0</v>
      </c>
      <c r="E4635">
        <v>0</v>
      </c>
      <c r="F4635">
        <v>1</v>
      </c>
      <c r="G4635">
        <v>0</v>
      </c>
      <c r="H4635">
        <v>0</v>
      </c>
      <c r="I4635">
        <v>0</v>
      </c>
      <c r="J4635">
        <v>12213.1263531246</v>
      </c>
      <c r="K4635">
        <v>10682.017054424499</v>
      </c>
      <c r="L4635">
        <v>38.499000000000002</v>
      </c>
      <c r="M4635">
        <v>71.644000000000005</v>
      </c>
      <c r="N4635">
        <v>38.524000000000001</v>
      </c>
    </row>
    <row r="4636" spans="1:14" x14ac:dyDescent="0.45">
      <c r="A4636">
        <v>2002</v>
      </c>
      <c r="B4636" t="s">
        <v>110</v>
      </c>
      <c r="C4636">
        <v>0</v>
      </c>
      <c r="D4636">
        <v>1</v>
      </c>
      <c r="E4636">
        <v>0</v>
      </c>
      <c r="F4636">
        <v>1</v>
      </c>
      <c r="G4636">
        <v>0</v>
      </c>
      <c r="H4636">
        <v>0</v>
      </c>
      <c r="I4636">
        <v>0</v>
      </c>
      <c r="J4636">
        <v>9697.55517665978</v>
      </c>
      <c r="K4636">
        <v>8065.9199526935199</v>
      </c>
      <c r="L4636">
        <v>38.881999999999998</v>
      </c>
      <c r="M4636">
        <v>73.164000000000001</v>
      </c>
      <c r="N4636">
        <v>26.881</v>
      </c>
    </row>
    <row r="4637" spans="1:14" x14ac:dyDescent="0.45">
      <c r="A4637">
        <v>2002</v>
      </c>
      <c r="B4637" t="s">
        <v>111</v>
      </c>
      <c r="C4637">
        <v>0</v>
      </c>
      <c r="D4637">
        <v>0</v>
      </c>
      <c r="E4637">
        <v>0</v>
      </c>
      <c r="F4637">
        <v>1</v>
      </c>
      <c r="G4637">
        <v>0</v>
      </c>
      <c r="H4637">
        <v>0</v>
      </c>
      <c r="I4637">
        <v>0</v>
      </c>
      <c r="J4637">
        <v>10143.5063455702</v>
      </c>
      <c r="K4637">
        <v>8049.7157316930698</v>
      </c>
      <c r="L4637">
        <v>57.110999999999997</v>
      </c>
      <c r="M4637">
        <v>67.846000000000004</v>
      </c>
      <c r="N4637">
        <v>41.848999999999997</v>
      </c>
    </row>
    <row r="4638" spans="1:14" x14ac:dyDescent="0.45">
      <c r="A4638">
        <v>2002</v>
      </c>
      <c r="B4638" t="s">
        <v>112</v>
      </c>
      <c r="C4638">
        <v>0</v>
      </c>
      <c r="D4638">
        <v>0</v>
      </c>
      <c r="E4638">
        <v>1</v>
      </c>
      <c r="F4638">
        <v>0</v>
      </c>
      <c r="G4638">
        <v>0</v>
      </c>
      <c r="H4638">
        <v>0</v>
      </c>
      <c r="I4638">
        <v>0</v>
      </c>
      <c r="L4638">
        <v>71.659000000000006</v>
      </c>
      <c r="M4638">
        <v>58.941000000000003</v>
      </c>
      <c r="N4638">
        <v>77.706999999999994</v>
      </c>
    </row>
    <row r="4639" spans="1:14" x14ac:dyDescent="0.45">
      <c r="A4639">
        <v>2002</v>
      </c>
      <c r="B4639" t="s">
        <v>113</v>
      </c>
      <c r="C4639">
        <v>1</v>
      </c>
      <c r="D4639">
        <v>0</v>
      </c>
      <c r="E4639">
        <v>0</v>
      </c>
      <c r="F4639">
        <v>0</v>
      </c>
      <c r="G4639">
        <v>0</v>
      </c>
      <c r="H4639">
        <v>1</v>
      </c>
      <c r="I4639">
        <v>1</v>
      </c>
      <c r="J4639">
        <v>41766.0378188791</v>
      </c>
      <c r="K4639">
        <v>36755.224094757301</v>
      </c>
      <c r="L4639">
        <v>23.466999999999999</v>
      </c>
      <c r="M4639">
        <v>79.817999999999998</v>
      </c>
      <c r="N4639">
        <v>5.0579999999999998</v>
      </c>
    </row>
    <row r="4640" spans="1:14" x14ac:dyDescent="0.45">
      <c r="A4640">
        <v>2002</v>
      </c>
      <c r="B4640" t="s">
        <v>114</v>
      </c>
      <c r="C4640">
        <v>1</v>
      </c>
      <c r="D4640">
        <v>0</v>
      </c>
      <c r="E4640">
        <v>0</v>
      </c>
      <c r="F4640">
        <v>0</v>
      </c>
      <c r="G4640">
        <v>1</v>
      </c>
      <c r="H4640">
        <v>0</v>
      </c>
      <c r="I4640">
        <v>0</v>
      </c>
      <c r="J4640">
        <v>23781.651569642901</v>
      </c>
      <c r="K4640">
        <v>20176.492912189799</v>
      </c>
      <c r="L4640">
        <v>30.884</v>
      </c>
      <c r="M4640">
        <v>71.364000000000004</v>
      </c>
      <c r="N4640">
        <v>7.6459999999999999</v>
      </c>
    </row>
    <row r="4641" spans="1:14" x14ac:dyDescent="0.45">
      <c r="A4641">
        <v>2002</v>
      </c>
      <c r="B4641" t="s">
        <v>115</v>
      </c>
      <c r="C4641">
        <v>0</v>
      </c>
      <c r="D4641">
        <v>0</v>
      </c>
      <c r="E4641">
        <v>1</v>
      </c>
      <c r="F4641">
        <v>0</v>
      </c>
      <c r="G4641">
        <v>0</v>
      </c>
      <c r="H4641">
        <v>0</v>
      </c>
      <c r="I4641">
        <v>0</v>
      </c>
      <c r="J4641">
        <v>838.29804700160105</v>
      </c>
      <c r="K4641">
        <v>756.05296334803802</v>
      </c>
      <c r="L4641">
        <v>84.882000000000005</v>
      </c>
      <c r="M4641">
        <v>52.085000000000001</v>
      </c>
      <c r="N4641">
        <v>128.18100000000001</v>
      </c>
    </row>
    <row r="4642" spans="1:14" x14ac:dyDescent="0.45">
      <c r="A4642">
        <v>2002</v>
      </c>
      <c r="B4642" t="s">
        <v>116</v>
      </c>
      <c r="C4642">
        <v>1</v>
      </c>
      <c r="D4642">
        <v>0</v>
      </c>
      <c r="E4642">
        <v>0</v>
      </c>
      <c r="F4642">
        <v>0</v>
      </c>
      <c r="G4642">
        <v>0</v>
      </c>
      <c r="H4642">
        <v>1</v>
      </c>
      <c r="I4642">
        <v>1</v>
      </c>
      <c r="J4642">
        <v>48792.486478977502</v>
      </c>
      <c r="K4642">
        <v>41019.004730697103</v>
      </c>
      <c r="L4642">
        <v>17.497</v>
      </c>
      <c r="M4642">
        <v>78.27</v>
      </c>
      <c r="N4642">
        <v>3.6880000000000002</v>
      </c>
    </row>
    <row r="4643" spans="1:14" x14ac:dyDescent="0.45">
      <c r="A4643">
        <v>2002</v>
      </c>
      <c r="B4643" t="s">
        <v>117</v>
      </c>
      <c r="C4643">
        <v>0</v>
      </c>
      <c r="D4643">
        <v>0</v>
      </c>
      <c r="E4643">
        <v>0</v>
      </c>
      <c r="F4643">
        <v>1</v>
      </c>
      <c r="G4643">
        <v>0</v>
      </c>
      <c r="H4643">
        <v>0</v>
      </c>
      <c r="I4643">
        <v>0</v>
      </c>
      <c r="J4643">
        <v>9724.1008937922506</v>
      </c>
      <c r="K4643">
        <v>9522.8382392172498</v>
      </c>
      <c r="L4643">
        <v>51.308</v>
      </c>
      <c r="M4643">
        <v>65.492000000000004</v>
      </c>
      <c r="N4643">
        <v>22.843</v>
      </c>
    </row>
    <row r="4644" spans="1:14" x14ac:dyDescent="0.45">
      <c r="A4644">
        <v>2002</v>
      </c>
      <c r="B4644" t="s">
        <v>118</v>
      </c>
      <c r="C4644">
        <v>1</v>
      </c>
      <c r="D4644">
        <v>0</v>
      </c>
      <c r="E4644">
        <v>0</v>
      </c>
      <c r="F4644">
        <v>0</v>
      </c>
      <c r="G4644">
        <v>0</v>
      </c>
      <c r="H4644">
        <v>1</v>
      </c>
      <c r="I4644">
        <v>1</v>
      </c>
      <c r="J4644">
        <v>46610.782071721398</v>
      </c>
      <c r="K4644">
        <v>38915.285450205898</v>
      </c>
      <c r="L4644">
        <v>23.62</v>
      </c>
      <c r="M4644">
        <v>79.411000000000001</v>
      </c>
      <c r="N4644">
        <v>5.0940000000000003</v>
      </c>
    </row>
    <row r="4645" spans="1:14" x14ac:dyDescent="0.45">
      <c r="A4645">
        <v>2002</v>
      </c>
      <c r="B4645" t="s">
        <v>119</v>
      </c>
      <c r="C4645">
        <v>1</v>
      </c>
      <c r="D4645">
        <v>0</v>
      </c>
      <c r="E4645">
        <v>0</v>
      </c>
      <c r="F4645">
        <v>0</v>
      </c>
      <c r="G4645">
        <v>0</v>
      </c>
      <c r="H4645">
        <v>1</v>
      </c>
      <c r="I4645">
        <v>1</v>
      </c>
      <c r="L4645">
        <v>61.978000000000002</v>
      </c>
      <c r="M4645">
        <v>78.366</v>
      </c>
      <c r="N4645">
        <v>9.2759999999999998</v>
      </c>
    </row>
    <row r="4646" spans="1:14" x14ac:dyDescent="0.45">
      <c r="A4646">
        <v>2002</v>
      </c>
      <c r="B4646" t="s">
        <v>120</v>
      </c>
      <c r="C4646">
        <v>0</v>
      </c>
      <c r="D4646">
        <v>0</v>
      </c>
      <c r="E4646">
        <v>0</v>
      </c>
      <c r="F4646">
        <v>1</v>
      </c>
      <c r="G4646">
        <v>0</v>
      </c>
      <c r="H4646">
        <v>0</v>
      </c>
      <c r="I4646">
        <v>0</v>
      </c>
      <c r="J4646">
        <v>3696.5853239330499</v>
      </c>
      <c r="K4646">
        <v>3345.9198122943098</v>
      </c>
      <c r="L4646">
        <v>77.67</v>
      </c>
      <c r="M4646">
        <v>63.906999999999996</v>
      </c>
      <c r="N4646">
        <v>41.448999999999998</v>
      </c>
    </row>
    <row r="4647" spans="1:14" x14ac:dyDescent="0.45">
      <c r="A4647">
        <v>2002</v>
      </c>
      <c r="B4647" t="s">
        <v>121</v>
      </c>
      <c r="C4647">
        <v>0</v>
      </c>
      <c r="D4647">
        <v>0</v>
      </c>
      <c r="E4647">
        <v>1</v>
      </c>
      <c r="F4647">
        <v>0</v>
      </c>
      <c r="G4647">
        <v>1</v>
      </c>
      <c r="H4647">
        <v>0</v>
      </c>
      <c r="I4647">
        <v>0</v>
      </c>
      <c r="J4647">
        <v>20981.479858446601</v>
      </c>
      <c r="K4647">
        <v>15875.4251995871</v>
      </c>
      <c r="L4647">
        <v>19.632000000000001</v>
      </c>
      <c r="M4647">
        <v>62.174999999999997</v>
      </c>
      <c r="N4647">
        <v>79.914000000000001</v>
      </c>
    </row>
    <row r="4648" spans="1:14" x14ac:dyDescent="0.45">
      <c r="A4648">
        <v>2002</v>
      </c>
      <c r="B4648" t="s">
        <v>122</v>
      </c>
      <c r="C4648">
        <v>1</v>
      </c>
      <c r="D4648">
        <v>0</v>
      </c>
      <c r="E4648">
        <v>0</v>
      </c>
      <c r="F4648">
        <v>0</v>
      </c>
      <c r="G4648">
        <v>0</v>
      </c>
      <c r="H4648">
        <v>1</v>
      </c>
      <c r="I4648">
        <v>1</v>
      </c>
      <c r="J4648">
        <v>44793.326079691898</v>
      </c>
      <c r="K4648">
        <v>38590.801243922397</v>
      </c>
      <c r="L4648">
        <v>20.952999999999999</v>
      </c>
      <c r="M4648">
        <v>78.236999999999995</v>
      </c>
      <c r="N4648">
        <v>6.1719999999999997</v>
      </c>
    </row>
    <row r="4649" spans="1:14" x14ac:dyDescent="0.45">
      <c r="A4649">
        <v>2002</v>
      </c>
      <c r="B4649" t="s">
        <v>123</v>
      </c>
      <c r="C4649">
        <v>1</v>
      </c>
      <c r="D4649">
        <v>0</v>
      </c>
      <c r="E4649">
        <v>0</v>
      </c>
      <c r="F4649">
        <v>0</v>
      </c>
      <c r="G4649">
        <v>0</v>
      </c>
      <c r="H4649">
        <v>0</v>
      </c>
      <c r="I4649">
        <v>0</v>
      </c>
      <c r="J4649">
        <v>6464.32539672648</v>
      </c>
      <c r="K4649">
        <v>5461.6159571487196</v>
      </c>
      <c r="L4649">
        <v>47.558999999999997</v>
      </c>
      <c r="M4649">
        <v>70.438000000000002</v>
      </c>
      <c r="N4649">
        <v>30.802</v>
      </c>
    </row>
    <row r="4650" spans="1:14" x14ac:dyDescent="0.45">
      <c r="A4650">
        <v>2002</v>
      </c>
      <c r="B4650" t="s">
        <v>124</v>
      </c>
      <c r="C4650">
        <v>0</v>
      </c>
      <c r="D4650">
        <v>0</v>
      </c>
      <c r="E4650">
        <v>1</v>
      </c>
      <c r="F4650">
        <v>0</v>
      </c>
      <c r="G4650">
        <v>0</v>
      </c>
      <c r="H4650">
        <v>0</v>
      </c>
      <c r="I4650">
        <v>0</v>
      </c>
      <c r="J4650">
        <v>3425.6182093427801</v>
      </c>
      <c r="K4650">
        <v>2955.4271939093301</v>
      </c>
      <c r="L4650">
        <v>54.725000000000001</v>
      </c>
      <c r="M4650">
        <v>58.709000000000003</v>
      </c>
      <c r="N4650">
        <v>92.668999999999997</v>
      </c>
    </row>
    <row r="4651" spans="1:14" x14ac:dyDescent="0.45">
      <c r="A4651">
        <v>2002</v>
      </c>
      <c r="B4651" t="s">
        <v>125</v>
      </c>
      <c r="C4651">
        <v>1</v>
      </c>
      <c r="D4651">
        <v>0</v>
      </c>
      <c r="E4651">
        <v>0</v>
      </c>
      <c r="F4651">
        <v>0</v>
      </c>
      <c r="G4651">
        <v>0</v>
      </c>
      <c r="H4651">
        <v>1</v>
      </c>
      <c r="I4651">
        <v>1</v>
      </c>
      <c r="L4651">
        <v>0</v>
      </c>
      <c r="M4651">
        <v>80.59</v>
      </c>
      <c r="N4651">
        <v>14.286</v>
      </c>
    </row>
    <row r="4652" spans="1:14" x14ac:dyDescent="0.45">
      <c r="A4652">
        <v>2002</v>
      </c>
      <c r="B4652" t="s">
        <v>126</v>
      </c>
      <c r="C4652">
        <v>0</v>
      </c>
      <c r="D4652">
        <v>0</v>
      </c>
      <c r="E4652">
        <v>1</v>
      </c>
      <c r="F4652">
        <v>0</v>
      </c>
      <c r="G4652">
        <v>0</v>
      </c>
      <c r="H4652">
        <v>0</v>
      </c>
      <c r="I4652">
        <v>0</v>
      </c>
      <c r="J4652">
        <v>2498.1317749510199</v>
      </c>
      <c r="K4652">
        <v>2014.1582425533099</v>
      </c>
      <c r="L4652">
        <v>68.58</v>
      </c>
      <c r="M4652">
        <v>53.2</v>
      </c>
      <c r="N4652">
        <v>154.21199999999999</v>
      </c>
    </row>
    <row r="4653" spans="1:14" x14ac:dyDescent="0.45">
      <c r="A4653">
        <v>2002</v>
      </c>
      <c r="B4653" t="s">
        <v>127</v>
      </c>
      <c r="C4653">
        <v>0</v>
      </c>
      <c r="D4653">
        <v>0</v>
      </c>
      <c r="E4653">
        <v>1</v>
      </c>
      <c r="F4653">
        <v>0</v>
      </c>
      <c r="G4653">
        <v>0</v>
      </c>
      <c r="H4653">
        <v>0</v>
      </c>
      <c r="I4653">
        <v>0</v>
      </c>
      <c r="J4653">
        <v>2578.5571457420001</v>
      </c>
      <c r="K4653">
        <v>2075.4728212221498</v>
      </c>
      <c r="L4653">
        <v>50.317</v>
      </c>
      <c r="M4653">
        <v>57.735999999999997</v>
      </c>
      <c r="N4653">
        <v>103.938</v>
      </c>
    </row>
    <row r="4654" spans="1:14" x14ac:dyDescent="0.45">
      <c r="A4654">
        <v>2002</v>
      </c>
      <c r="B4654" t="s">
        <v>128</v>
      </c>
      <c r="C4654">
        <v>0</v>
      </c>
      <c r="D4654">
        <v>0</v>
      </c>
      <c r="E4654">
        <v>1</v>
      </c>
      <c r="F4654">
        <v>0</v>
      </c>
      <c r="G4654">
        <v>0</v>
      </c>
      <c r="H4654">
        <v>0</v>
      </c>
      <c r="I4654">
        <v>0</v>
      </c>
      <c r="J4654">
        <v>2029.1842929895899</v>
      </c>
      <c r="K4654">
        <v>1825.4510421037801</v>
      </c>
      <c r="L4654">
        <v>62.996000000000002</v>
      </c>
      <c r="M4654">
        <v>51.607999999999997</v>
      </c>
      <c r="N4654">
        <v>161.69499999999999</v>
      </c>
    </row>
    <row r="4655" spans="1:14" x14ac:dyDescent="0.45">
      <c r="A4655">
        <v>2002</v>
      </c>
      <c r="B4655" t="s">
        <v>129</v>
      </c>
      <c r="C4655">
        <v>0</v>
      </c>
      <c r="D4655">
        <v>0</v>
      </c>
      <c r="E4655">
        <v>1</v>
      </c>
      <c r="F4655">
        <v>0</v>
      </c>
      <c r="G4655">
        <v>0</v>
      </c>
      <c r="H4655">
        <v>0</v>
      </c>
      <c r="I4655">
        <v>0</v>
      </c>
      <c r="J4655">
        <v>20242.430968439901</v>
      </c>
      <c r="K4655">
        <v>16771.1123203602</v>
      </c>
      <c r="L4655">
        <v>47.427</v>
      </c>
      <c r="M4655">
        <v>54.323999999999998</v>
      </c>
      <c r="N4655">
        <v>146.32900000000001</v>
      </c>
    </row>
    <row r="4656" spans="1:14" x14ac:dyDescent="0.45">
      <c r="A4656">
        <v>2002</v>
      </c>
      <c r="B4656" t="s">
        <v>130</v>
      </c>
      <c r="C4656">
        <v>1</v>
      </c>
      <c r="D4656">
        <v>0</v>
      </c>
      <c r="E4656">
        <v>0</v>
      </c>
      <c r="F4656">
        <v>0</v>
      </c>
      <c r="G4656">
        <v>0</v>
      </c>
      <c r="H4656">
        <v>1</v>
      </c>
      <c r="I4656">
        <v>1</v>
      </c>
      <c r="J4656">
        <v>34081.0289759343</v>
      </c>
      <c r="K4656">
        <v>30509.136477300901</v>
      </c>
      <c r="L4656">
        <v>26.696999999999999</v>
      </c>
      <c r="M4656">
        <v>79.031000000000006</v>
      </c>
      <c r="N4656">
        <v>5.6</v>
      </c>
    </row>
    <row r="4657" spans="1:14" x14ac:dyDescent="0.45">
      <c r="A4657">
        <v>2002</v>
      </c>
      <c r="B4657" t="s">
        <v>131</v>
      </c>
      <c r="C4657">
        <v>0</v>
      </c>
      <c r="D4657">
        <v>1</v>
      </c>
      <c r="E4657">
        <v>0</v>
      </c>
      <c r="F4657">
        <v>0</v>
      </c>
      <c r="G4657">
        <v>1</v>
      </c>
      <c r="H4657">
        <v>0</v>
      </c>
      <c r="I4657">
        <v>0</v>
      </c>
      <c r="J4657">
        <v>11684.859195536599</v>
      </c>
      <c r="K4657">
        <v>10781.678848052101</v>
      </c>
      <c r="L4657">
        <v>64.087000000000003</v>
      </c>
      <c r="M4657">
        <v>73.141999999999996</v>
      </c>
      <c r="N4657">
        <v>15.004</v>
      </c>
    </row>
    <row r="4658" spans="1:14" x14ac:dyDescent="0.45">
      <c r="A4658">
        <v>2002</v>
      </c>
      <c r="B4658" t="s">
        <v>132</v>
      </c>
      <c r="C4658">
        <v>1</v>
      </c>
      <c r="D4658">
        <v>0</v>
      </c>
      <c r="E4658">
        <v>0</v>
      </c>
      <c r="F4658">
        <v>0</v>
      </c>
      <c r="G4658">
        <v>0</v>
      </c>
      <c r="H4658">
        <v>1</v>
      </c>
      <c r="I4658">
        <v>1</v>
      </c>
      <c r="J4658">
        <v>44793.270425256502</v>
      </c>
      <c r="K4658">
        <v>40545.442626820703</v>
      </c>
      <c r="L4658">
        <v>17.905000000000001</v>
      </c>
      <c r="M4658">
        <v>67.007000000000005</v>
      </c>
      <c r="N4658">
        <v>17.805</v>
      </c>
    </row>
    <row r="4659" spans="1:14" x14ac:dyDescent="0.45">
      <c r="A4659">
        <v>2002</v>
      </c>
      <c r="B4659" t="s">
        <v>133</v>
      </c>
      <c r="C4659">
        <v>0</v>
      </c>
      <c r="D4659">
        <v>1</v>
      </c>
      <c r="E4659">
        <v>0</v>
      </c>
      <c r="F4659">
        <v>1</v>
      </c>
      <c r="G4659">
        <v>0</v>
      </c>
      <c r="H4659">
        <v>0</v>
      </c>
      <c r="I4659">
        <v>0</v>
      </c>
      <c r="J4659">
        <v>8901.5360849784793</v>
      </c>
      <c r="K4659">
        <v>7732.5477312141902</v>
      </c>
      <c r="L4659">
        <v>53.994999999999997</v>
      </c>
      <c r="M4659">
        <v>67.834999999999994</v>
      </c>
      <c r="N4659">
        <v>48.076999999999998</v>
      </c>
    </row>
    <row r="4660" spans="1:14" x14ac:dyDescent="0.45">
      <c r="A4660">
        <v>2002</v>
      </c>
      <c r="B4660" t="s">
        <v>134</v>
      </c>
      <c r="C4660">
        <v>0</v>
      </c>
      <c r="D4660">
        <v>0</v>
      </c>
      <c r="E4660">
        <v>0</v>
      </c>
      <c r="F4660">
        <v>0</v>
      </c>
      <c r="G4660">
        <v>0</v>
      </c>
      <c r="H4660">
        <v>1</v>
      </c>
      <c r="I4660">
        <v>1</v>
      </c>
      <c r="L4660">
        <v>6.6660000000000004</v>
      </c>
      <c r="M4660">
        <v>75.506</v>
      </c>
      <c r="N4660">
        <v>12.141999999999999</v>
      </c>
    </row>
    <row r="4661" spans="1:14" x14ac:dyDescent="0.45">
      <c r="A4661">
        <v>2002</v>
      </c>
      <c r="B4661" t="s">
        <v>135</v>
      </c>
      <c r="C4661">
        <v>0</v>
      </c>
      <c r="D4661">
        <v>1</v>
      </c>
      <c r="E4661">
        <v>0</v>
      </c>
      <c r="F4661">
        <v>1</v>
      </c>
      <c r="G4661">
        <v>0</v>
      </c>
      <c r="H4661">
        <v>0</v>
      </c>
      <c r="I4661">
        <v>0</v>
      </c>
      <c r="J4661">
        <v>8314.0272750321001</v>
      </c>
      <c r="K4661">
        <v>7951.3622411707202</v>
      </c>
      <c r="L4661">
        <v>71.481999999999999</v>
      </c>
      <c r="M4661">
        <v>64.183000000000007</v>
      </c>
      <c r="N4661">
        <v>44.304000000000002</v>
      </c>
    </row>
    <row r="4662" spans="1:14" x14ac:dyDescent="0.45">
      <c r="A4662">
        <v>2002</v>
      </c>
      <c r="B4662" t="s">
        <v>136</v>
      </c>
      <c r="C4662">
        <v>0</v>
      </c>
      <c r="D4662">
        <v>0</v>
      </c>
      <c r="E4662">
        <v>0</v>
      </c>
      <c r="F4662">
        <v>0</v>
      </c>
      <c r="G4662">
        <v>0</v>
      </c>
      <c r="H4662">
        <v>1</v>
      </c>
      <c r="I4662">
        <v>1</v>
      </c>
      <c r="J4662">
        <v>40258.206087864397</v>
      </c>
      <c r="K4662">
        <v>36333.169800075499</v>
      </c>
      <c r="L4662">
        <v>0</v>
      </c>
      <c r="M4662">
        <v>81.180000000000007</v>
      </c>
      <c r="N4662">
        <v>3.827</v>
      </c>
    </row>
    <row r="4663" spans="1:14" x14ac:dyDescent="0.45">
      <c r="A4663">
        <v>2002</v>
      </c>
      <c r="B4663" t="s">
        <v>137</v>
      </c>
      <c r="C4663">
        <v>0</v>
      </c>
      <c r="D4663">
        <v>1</v>
      </c>
      <c r="E4663">
        <v>0</v>
      </c>
      <c r="F4663">
        <v>1</v>
      </c>
      <c r="G4663">
        <v>0</v>
      </c>
      <c r="H4663">
        <v>0</v>
      </c>
      <c r="I4663">
        <v>0</v>
      </c>
      <c r="J4663">
        <v>4627.0227872345604</v>
      </c>
      <c r="K4663">
        <v>4263.6998538218804</v>
      </c>
      <c r="L4663">
        <v>53.39</v>
      </c>
      <c r="M4663">
        <v>68.713999999999999</v>
      </c>
      <c r="N4663">
        <v>34.136000000000003</v>
      </c>
    </row>
    <row r="4664" spans="1:14" x14ac:dyDescent="0.45">
      <c r="A4664">
        <v>2002</v>
      </c>
      <c r="B4664" t="s">
        <v>138</v>
      </c>
      <c r="C4664">
        <v>1</v>
      </c>
      <c r="D4664">
        <v>0</v>
      </c>
      <c r="E4664">
        <v>0</v>
      </c>
      <c r="F4664">
        <v>0</v>
      </c>
      <c r="G4664">
        <v>1</v>
      </c>
      <c r="H4664">
        <v>0</v>
      </c>
      <c r="I4664">
        <v>0</v>
      </c>
      <c r="J4664">
        <v>24137.439185755298</v>
      </c>
      <c r="K4664">
        <v>20816.348177196902</v>
      </c>
      <c r="L4664">
        <v>46.19</v>
      </c>
      <c r="M4664">
        <v>74.646000000000001</v>
      </c>
      <c r="N4664">
        <v>8.1829999999999998</v>
      </c>
    </row>
    <row r="4665" spans="1:14" x14ac:dyDescent="0.45">
      <c r="A4665">
        <v>2002</v>
      </c>
      <c r="B4665" t="s">
        <v>139</v>
      </c>
      <c r="C4665">
        <v>0</v>
      </c>
      <c r="D4665">
        <v>1</v>
      </c>
      <c r="E4665">
        <v>0</v>
      </c>
      <c r="F4665">
        <v>0</v>
      </c>
      <c r="G4665">
        <v>0</v>
      </c>
      <c r="H4665">
        <v>0</v>
      </c>
      <c r="I4665">
        <v>0</v>
      </c>
      <c r="J4665">
        <v>3163.5899519859399</v>
      </c>
      <c r="K4665">
        <v>3040.7027042575901</v>
      </c>
      <c r="L4665">
        <v>61.064999999999998</v>
      </c>
      <c r="M4665">
        <v>59.040999999999997</v>
      </c>
      <c r="N4665">
        <v>97.304000000000002</v>
      </c>
    </row>
    <row r="4666" spans="1:14" x14ac:dyDescent="0.45">
      <c r="A4666">
        <v>2002</v>
      </c>
      <c r="B4666" t="s">
        <v>140</v>
      </c>
      <c r="C4666">
        <v>1</v>
      </c>
      <c r="D4666">
        <v>0</v>
      </c>
      <c r="E4666">
        <v>0</v>
      </c>
      <c r="F4666">
        <v>0</v>
      </c>
      <c r="G4666">
        <v>1</v>
      </c>
      <c r="H4666">
        <v>0</v>
      </c>
      <c r="I4666">
        <v>0</v>
      </c>
      <c r="J4666">
        <v>24229.295357598101</v>
      </c>
      <c r="K4666">
        <v>21113.831500259599</v>
      </c>
      <c r="L4666">
        <v>34.918999999999997</v>
      </c>
      <c r="M4666">
        <v>72.507000000000005</v>
      </c>
      <c r="N4666">
        <v>8.7100000000000009</v>
      </c>
    </row>
    <row r="4667" spans="1:14" x14ac:dyDescent="0.45">
      <c r="A4667">
        <v>2002</v>
      </c>
      <c r="B4667" t="s">
        <v>141</v>
      </c>
      <c r="C4667">
        <v>0</v>
      </c>
      <c r="D4667">
        <v>0</v>
      </c>
      <c r="E4667">
        <v>0</v>
      </c>
      <c r="F4667">
        <v>0</v>
      </c>
      <c r="G4667">
        <v>0</v>
      </c>
      <c r="H4667">
        <v>0</v>
      </c>
      <c r="I4667">
        <v>0</v>
      </c>
      <c r="J4667">
        <v>6381.9495517999603</v>
      </c>
      <c r="K4667">
        <v>5793.8043128722702</v>
      </c>
      <c r="L4667">
        <v>56.432000000000002</v>
      </c>
      <c r="M4667">
        <v>66.953999999999994</v>
      </c>
      <c r="N4667">
        <v>47.517000000000003</v>
      </c>
    </row>
    <row r="4668" spans="1:14" x14ac:dyDescent="0.45">
      <c r="A4668">
        <v>2002</v>
      </c>
      <c r="B4668" t="s">
        <v>142</v>
      </c>
      <c r="C4668">
        <v>1</v>
      </c>
      <c r="D4668">
        <v>0</v>
      </c>
      <c r="E4668">
        <v>0</v>
      </c>
      <c r="F4668">
        <v>0</v>
      </c>
      <c r="G4668">
        <v>0</v>
      </c>
      <c r="H4668">
        <v>1</v>
      </c>
      <c r="I4668">
        <v>1</v>
      </c>
      <c r="L4668">
        <v>48.149000000000001</v>
      </c>
      <c r="M4668">
        <v>75.784999999999997</v>
      </c>
      <c r="N4668">
        <v>22.21</v>
      </c>
    </row>
    <row r="4669" spans="1:14" x14ac:dyDescent="0.45">
      <c r="A4669">
        <v>2002</v>
      </c>
      <c r="B4669" t="s">
        <v>143</v>
      </c>
      <c r="C4669">
        <v>0</v>
      </c>
      <c r="D4669">
        <v>0</v>
      </c>
      <c r="E4669">
        <v>0</v>
      </c>
      <c r="F4669">
        <v>0</v>
      </c>
      <c r="G4669">
        <v>0</v>
      </c>
      <c r="H4669">
        <v>0</v>
      </c>
      <c r="I4669">
        <v>0</v>
      </c>
      <c r="J4669">
        <v>3250.6956554491699</v>
      </c>
      <c r="K4669">
        <v>2726.3108138643502</v>
      </c>
      <c r="L4669">
        <v>71.756</v>
      </c>
      <c r="M4669">
        <v>63.649000000000001</v>
      </c>
      <c r="N4669">
        <v>84.073999999999998</v>
      </c>
    </row>
    <row r="4670" spans="1:14" x14ac:dyDescent="0.45">
      <c r="A4670">
        <v>2002</v>
      </c>
      <c r="B4670" t="s">
        <v>144</v>
      </c>
      <c r="C4670">
        <v>1</v>
      </c>
      <c r="D4670">
        <v>0</v>
      </c>
      <c r="E4670">
        <v>0</v>
      </c>
      <c r="F4670">
        <v>0</v>
      </c>
      <c r="G4670">
        <v>0</v>
      </c>
      <c r="H4670">
        <v>1</v>
      </c>
      <c r="I4670">
        <v>1</v>
      </c>
      <c r="J4670">
        <v>58002.535806203399</v>
      </c>
      <c r="K4670">
        <v>53330.305544544201</v>
      </c>
      <c r="L4670">
        <v>40.350999999999999</v>
      </c>
      <c r="M4670">
        <v>77.59</v>
      </c>
      <c r="N4670">
        <v>6.415</v>
      </c>
    </row>
    <row r="4671" spans="1:14" x14ac:dyDescent="0.45">
      <c r="A4671">
        <v>2002</v>
      </c>
      <c r="B4671" t="s">
        <v>145</v>
      </c>
      <c r="C4671">
        <v>0</v>
      </c>
      <c r="D4671">
        <v>0</v>
      </c>
      <c r="E4671">
        <v>0</v>
      </c>
      <c r="F4671">
        <v>1</v>
      </c>
      <c r="G4671">
        <v>0</v>
      </c>
      <c r="H4671">
        <v>0</v>
      </c>
      <c r="I4671">
        <v>0</v>
      </c>
      <c r="J4671">
        <v>11788.8950217415</v>
      </c>
      <c r="K4671">
        <v>11759.359971915799</v>
      </c>
      <c r="L4671">
        <v>34.531999999999996</v>
      </c>
      <c r="M4671">
        <v>71.111999999999995</v>
      </c>
      <c r="N4671">
        <v>32.171999999999997</v>
      </c>
    </row>
    <row r="4672" spans="1:14" x14ac:dyDescent="0.45">
      <c r="A4672">
        <v>2002</v>
      </c>
      <c r="B4672" t="s">
        <v>146</v>
      </c>
      <c r="C4672">
        <v>0</v>
      </c>
      <c r="D4672">
        <v>0</v>
      </c>
      <c r="E4672">
        <v>0</v>
      </c>
      <c r="F4672">
        <v>1</v>
      </c>
      <c r="G4672">
        <v>0</v>
      </c>
      <c r="H4672">
        <v>0</v>
      </c>
      <c r="I4672">
        <v>0</v>
      </c>
      <c r="J4672">
        <v>11144.0505255928</v>
      </c>
      <c r="K4672">
        <v>7877.6041368864799</v>
      </c>
      <c r="L4672">
        <v>31.396000000000001</v>
      </c>
      <c r="M4672">
        <v>65.724000000000004</v>
      </c>
      <c r="N4672">
        <v>42.615000000000002</v>
      </c>
    </row>
    <row r="4673" spans="1:14" x14ac:dyDescent="0.45">
      <c r="A4673">
        <v>2002</v>
      </c>
      <c r="B4673" t="s">
        <v>147</v>
      </c>
      <c r="C4673">
        <v>1</v>
      </c>
      <c r="D4673">
        <v>0</v>
      </c>
      <c r="E4673">
        <v>0</v>
      </c>
      <c r="F4673">
        <v>0</v>
      </c>
      <c r="G4673">
        <v>0</v>
      </c>
      <c r="H4673">
        <v>1</v>
      </c>
      <c r="I4673">
        <v>1</v>
      </c>
      <c r="J4673">
        <v>48868.566773739403</v>
      </c>
      <c r="K4673">
        <v>42285.427694017002</v>
      </c>
      <c r="L4673">
        <v>7.3379999999999903</v>
      </c>
      <c r="M4673">
        <v>80.278000000000006</v>
      </c>
      <c r="N4673">
        <v>3.8340000000000001</v>
      </c>
    </row>
    <row r="4674" spans="1:14" x14ac:dyDescent="0.45">
      <c r="A4674">
        <v>2002</v>
      </c>
      <c r="B4674" t="s">
        <v>148</v>
      </c>
      <c r="C4674">
        <v>0</v>
      </c>
      <c r="D4674">
        <v>0</v>
      </c>
      <c r="E4674">
        <v>0</v>
      </c>
      <c r="F4674">
        <v>0</v>
      </c>
      <c r="G4674">
        <v>0</v>
      </c>
      <c r="H4674">
        <v>1</v>
      </c>
      <c r="I4674">
        <v>1</v>
      </c>
      <c r="J4674">
        <v>31897.584883270501</v>
      </c>
      <c r="K4674">
        <v>29258.926536812502</v>
      </c>
      <c r="L4674">
        <v>8.67</v>
      </c>
      <c r="M4674">
        <v>79.513999999999996</v>
      </c>
      <c r="N4674">
        <v>6.8330000000000002</v>
      </c>
    </row>
    <row r="4675" spans="1:14" x14ac:dyDescent="0.45">
      <c r="A4675">
        <v>2002</v>
      </c>
      <c r="B4675" t="s">
        <v>149</v>
      </c>
      <c r="C4675">
        <v>1</v>
      </c>
      <c r="D4675">
        <v>0</v>
      </c>
      <c r="E4675">
        <v>0</v>
      </c>
      <c r="F4675">
        <v>0</v>
      </c>
      <c r="G4675">
        <v>0</v>
      </c>
      <c r="H4675">
        <v>1</v>
      </c>
      <c r="I4675">
        <v>1</v>
      </c>
      <c r="J4675">
        <v>51369.114909829303</v>
      </c>
      <c r="K4675">
        <v>43754.522860746503</v>
      </c>
      <c r="L4675">
        <v>32.618000000000002</v>
      </c>
      <c r="M4675">
        <v>80.111999999999995</v>
      </c>
      <c r="N4675">
        <v>5.258</v>
      </c>
    </row>
    <row r="4676" spans="1:14" x14ac:dyDescent="0.45">
      <c r="A4676">
        <v>2002</v>
      </c>
      <c r="B4676" t="s">
        <v>150</v>
      </c>
      <c r="C4676">
        <v>0</v>
      </c>
      <c r="D4676">
        <v>1</v>
      </c>
      <c r="E4676">
        <v>0</v>
      </c>
      <c r="F4676">
        <v>1</v>
      </c>
      <c r="G4676">
        <v>0</v>
      </c>
      <c r="H4676">
        <v>0</v>
      </c>
      <c r="I4676">
        <v>0</v>
      </c>
      <c r="J4676">
        <v>9716.8955567548292</v>
      </c>
      <c r="K4676">
        <v>9576.2936087289509</v>
      </c>
      <c r="L4676">
        <v>47.749000000000002</v>
      </c>
      <c r="M4676">
        <v>71.477999999999994</v>
      </c>
      <c r="N4676">
        <v>19.989000000000001</v>
      </c>
    </row>
    <row r="4677" spans="1:14" x14ac:dyDescent="0.45">
      <c r="A4677">
        <v>2002</v>
      </c>
      <c r="B4677" t="s">
        <v>151</v>
      </c>
      <c r="C4677">
        <v>0</v>
      </c>
      <c r="D4677">
        <v>0</v>
      </c>
      <c r="E4677">
        <v>0</v>
      </c>
      <c r="F4677">
        <v>1</v>
      </c>
      <c r="G4677">
        <v>0</v>
      </c>
      <c r="H4677">
        <v>0</v>
      </c>
      <c r="I4677">
        <v>0</v>
      </c>
      <c r="J4677">
        <v>8638.0803308017294</v>
      </c>
      <c r="K4677">
        <v>8569.3669165765605</v>
      </c>
      <c r="L4677">
        <v>21.704000000000001</v>
      </c>
      <c r="M4677">
        <v>72.358999999999995</v>
      </c>
      <c r="N4677">
        <v>25.401</v>
      </c>
    </row>
    <row r="4678" spans="1:14" x14ac:dyDescent="0.45">
      <c r="A4678">
        <v>2002</v>
      </c>
      <c r="B4678" t="s">
        <v>152</v>
      </c>
      <c r="C4678">
        <v>0</v>
      </c>
      <c r="D4678">
        <v>0</v>
      </c>
      <c r="E4678">
        <v>0</v>
      </c>
      <c r="F4678">
        <v>0</v>
      </c>
      <c r="G4678">
        <v>0</v>
      </c>
      <c r="H4678">
        <v>1</v>
      </c>
      <c r="I4678">
        <v>1</v>
      </c>
      <c r="J4678">
        <v>38987.910270753797</v>
      </c>
      <c r="K4678">
        <v>36115.761504221002</v>
      </c>
      <c r="L4678">
        <v>18.353000000000002</v>
      </c>
      <c r="M4678">
        <v>81.795000000000002</v>
      </c>
      <c r="N4678">
        <v>4.0750000000000002</v>
      </c>
    </row>
    <row r="4679" spans="1:14" x14ac:dyDescent="0.45">
      <c r="A4679">
        <v>2002</v>
      </c>
      <c r="B4679" t="s">
        <v>153</v>
      </c>
      <c r="C4679">
        <v>1</v>
      </c>
      <c r="D4679">
        <v>0</v>
      </c>
      <c r="E4679">
        <v>0</v>
      </c>
      <c r="F4679">
        <v>1</v>
      </c>
      <c r="G4679">
        <v>0</v>
      </c>
      <c r="H4679">
        <v>0</v>
      </c>
      <c r="I4679">
        <v>0</v>
      </c>
      <c r="J4679">
        <v>15960.873845001301</v>
      </c>
      <c r="K4679">
        <v>12137.596736531899</v>
      </c>
      <c r="L4679">
        <v>43.756</v>
      </c>
      <c r="M4679">
        <v>64.441000000000003</v>
      </c>
      <c r="N4679">
        <v>37.340000000000003</v>
      </c>
    </row>
    <row r="4680" spans="1:14" x14ac:dyDescent="0.45">
      <c r="A4680">
        <v>2002</v>
      </c>
      <c r="B4680" t="s">
        <v>154</v>
      </c>
      <c r="C4680">
        <v>0</v>
      </c>
      <c r="D4680">
        <v>0</v>
      </c>
      <c r="E4680">
        <v>1</v>
      </c>
      <c r="F4680">
        <v>0</v>
      </c>
      <c r="G4680">
        <v>0</v>
      </c>
      <c r="H4680">
        <v>0</v>
      </c>
      <c r="I4680">
        <v>0</v>
      </c>
      <c r="J4680">
        <v>3681.2569427490998</v>
      </c>
      <c r="K4680">
        <v>3172.6774516351702</v>
      </c>
      <c r="L4680">
        <v>79.409000000000006</v>
      </c>
      <c r="M4680">
        <v>56.759</v>
      </c>
      <c r="N4680">
        <v>85.224000000000004</v>
      </c>
    </row>
    <row r="4681" spans="1:14" x14ac:dyDescent="0.45">
      <c r="A4681">
        <v>2002</v>
      </c>
      <c r="B4681" t="s">
        <v>155</v>
      </c>
      <c r="C4681">
        <v>1</v>
      </c>
      <c r="D4681">
        <v>0</v>
      </c>
      <c r="E4681">
        <v>0</v>
      </c>
      <c r="F4681">
        <v>0</v>
      </c>
      <c r="G4681">
        <v>0</v>
      </c>
      <c r="H4681">
        <v>0</v>
      </c>
      <c r="I4681">
        <v>0</v>
      </c>
      <c r="J4681">
        <v>3760.5323996525699</v>
      </c>
      <c r="K4681">
        <v>3178.2817806428802</v>
      </c>
      <c r="L4681">
        <v>64.704999999999998</v>
      </c>
      <c r="M4681">
        <v>65.341999999999999</v>
      </c>
      <c r="N4681">
        <v>44.802</v>
      </c>
    </row>
    <row r="4682" spans="1:14" x14ac:dyDescent="0.45">
      <c r="A4682">
        <v>2002</v>
      </c>
      <c r="B4682" t="s">
        <v>156</v>
      </c>
      <c r="C4682">
        <v>0</v>
      </c>
      <c r="D4682">
        <v>0</v>
      </c>
      <c r="E4682">
        <v>0</v>
      </c>
      <c r="F4682">
        <v>0</v>
      </c>
      <c r="G4682">
        <v>0</v>
      </c>
      <c r="H4682">
        <v>0</v>
      </c>
      <c r="I4682">
        <v>0</v>
      </c>
      <c r="J4682">
        <v>2126.3415046891801</v>
      </c>
      <c r="K4682">
        <v>1906.6229948781699</v>
      </c>
      <c r="L4682">
        <v>81.180000000000007</v>
      </c>
      <c r="M4682">
        <v>61.395000000000003</v>
      </c>
      <c r="N4682">
        <v>86.484999999999999</v>
      </c>
    </row>
    <row r="4683" spans="1:14" x14ac:dyDescent="0.45">
      <c r="A4683">
        <v>2002</v>
      </c>
      <c r="B4683" t="s">
        <v>157</v>
      </c>
      <c r="C4683">
        <v>0</v>
      </c>
      <c r="D4683">
        <v>0</v>
      </c>
      <c r="E4683">
        <v>0</v>
      </c>
      <c r="F4683">
        <v>1</v>
      </c>
      <c r="G4683">
        <v>0</v>
      </c>
      <c r="H4683">
        <v>0</v>
      </c>
      <c r="I4683">
        <v>0</v>
      </c>
      <c r="J4683">
        <v>2341.6955387272301</v>
      </c>
      <c r="K4683">
        <v>2118.2961390095802</v>
      </c>
      <c r="L4683">
        <v>56.508000000000003</v>
      </c>
      <c r="M4683">
        <v>65.123000000000005</v>
      </c>
      <c r="N4683">
        <v>63.134</v>
      </c>
    </row>
    <row r="4684" spans="1:14" x14ac:dyDescent="0.45">
      <c r="A4684">
        <v>2002</v>
      </c>
      <c r="B4684" t="s">
        <v>158</v>
      </c>
      <c r="C4684">
        <v>0</v>
      </c>
      <c r="D4684">
        <v>1</v>
      </c>
      <c r="E4684">
        <v>0</v>
      </c>
      <c r="F4684">
        <v>0</v>
      </c>
      <c r="G4684">
        <v>1</v>
      </c>
      <c r="H4684">
        <v>0</v>
      </c>
      <c r="I4684">
        <v>0</v>
      </c>
      <c r="J4684">
        <v>20813.405002980599</v>
      </c>
      <c r="K4684">
        <v>20556.068442788601</v>
      </c>
      <c r="L4684">
        <v>67.545000000000002</v>
      </c>
      <c r="M4684">
        <v>70.194000000000003</v>
      </c>
      <c r="N4684">
        <v>21.786999999999999</v>
      </c>
    </row>
    <row r="4685" spans="1:14" x14ac:dyDescent="0.45">
      <c r="A4685">
        <v>2002</v>
      </c>
      <c r="B4685" t="s">
        <v>159</v>
      </c>
      <c r="C4685">
        <v>0</v>
      </c>
      <c r="D4685">
        <v>0</v>
      </c>
      <c r="E4685">
        <v>0</v>
      </c>
      <c r="F4685">
        <v>0</v>
      </c>
      <c r="G4685">
        <v>0</v>
      </c>
      <c r="H4685">
        <v>1</v>
      </c>
      <c r="I4685">
        <v>1</v>
      </c>
      <c r="J4685">
        <v>27984.639479163299</v>
      </c>
      <c r="K4685">
        <v>25511.4269066097</v>
      </c>
      <c r="L4685">
        <v>19.701000000000001</v>
      </c>
      <c r="M4685">
        <v>77.23</v>
      </c>
      <c r="N4685">
        <v>6.8010000000000002</v>
      </c>
    </row>
    <row r="4686" spans="1:14" x14ac:dyDescent="0.45">
      <c r="A4686">
        <v>2002</v>
      </c>
      <c r="B4686" t="s">
        <v>160</v>
      </c>
      <c r="C4686">
        <v>0</v>
      </c>
      <c r="D4686">
        <v>0</v>
      </c>
      <c r="E4686">
        <v>0</v>
      </c>
      <c r="F4686">
        <v>0</v>
      </c>
      <c r="G4686">
        <v>0</v>
      </c>
      <c r="H4686">
        <v>1</v>
      </c>
      <c r="I4686">
        <v>1</v>
      </c>
      <c r="J4686">
        <v>59348.617305015701</v>
      </c>
      <c r="K4686">
        <v>52855.8860031433</v>
      </c>
      <c r="L4686">
        <v>0</v>
      </c>
      <c r="M4686">
        <v>76.188000000000002</v>
      </c>
      <c r="N4686">
        <v>12.355</v>
      </c>
    </row>
    <row r="4687" spans="1:14" x14ac:dyDescent="0.45">
      <c r="A4687">
        <v>2002</v>
      </c>
      <c r="B4687" t="s">
        <v>161</v>
      </c>
      <c r="C4687">
        <v>0</v>
      </c>
      <c r="D4687">
        <v>0</v>
      </c>
      <c r="E4687">
        <v>0</v>
      </c>
      <c r="F4687">
        <v>0</v>
      </c>
      <c r="G4687">
        <v>0</v>
      </c>
      <c r="H4687">
        <v>0</v>
      </c>
      <c r="I4687">
        <v>0</v>
      </c>
      <c r="J4687">
        <v>3143.2232757955599</v>
      </c>
      <c r="K4687">
        <v>3020.3471201350799</v>
      </c>
      <c r="L4687">
        <v>75.956000000000003</v>
      </c>
      <c r="M4687">
        <v>59.302</v>
      </c>
      <c r="N4687">
        <v>98.331999999999994</v>
      </c>
    </row>
    <row r="4688" spans="1:14" x14ac:dyDescent="0.45">
      <c r="A4688">
        <v>2002</v>
      </c>
      <c r="B4688" t="s">
        <v>162</v>
      </c>
      <c r="C4688">
        <v>0</v>
      </c>
      <c r="D4688">
        <v>0</v>
      </c>
      <c r="E4688">
        <v>0</v>
      </c>
      <c r="F4688">
        <v>0</v>
      </c>
      <c r="G4688">
        <v>1</v>
      </c>
      <c r="H4688">
        <v>0</v>
      </c>
      <c r="I4688">
        <v>0</v>
      </c>
      <c r="J4688">
        <v>12053.8341563826</v>
      </c>
      <c r="K4688">
        <v>15667.4941844201</v>
      </c>
      <c r="L4688">
        <v>13.76</v>
      </c>
      <c r="M4688">
        <v>74.835999999999999</v>
      </c>
      <c r="N4688">
        <v>17.768000000000001</v>
      </c>
    </row>
    <row r="4689" spans="1:14" x14ac:dyDescent="0.45">
      <c r="A4689">
        <v>2002</v>
      </c>
      <c r="B4689" t="s">
        <v>163</v>
      </c>
      <c r="C4689">
        <v>0</v>
      </c>
      <c r="D4689">
        <v>0</v>
      </c>
      <c r="E4689">
        <v>1</v>
      </c>
      <c r="F4689">
        <v>0</v>
      </c>
      <c r="G4689">
        <v>0</v>
      </c>
      <c r="H4689">
        <v>0</v>
      </c>
      <c r="I4689">
        <v>0</v>
      </c>
      <c r="J4689">
        <v>1887.64601570733</v>
      </c>
      <c r="K4689">
        <v>2788.8940134826698</v>
      </c>
      <c r="L4689">
        <v>54.982999999999997</v>
      </c>
      <c r="M4689">
        <v>54.061</v>
      </c>
      <c r="N4689">
        <v>162.74100000000001</v>
      </c>
    </row>
    <row r="4690" spans="1:14" x14ac:dyDescent="0.45">
      <c r="A4690">
        <v>2002</v>
      </c>
      <c r="B4690" t="s">
        <v>164</v>
      </c>
      <c r="C4690">
        <v>0</v>
      </c>
      <c r="D4690">
        <v>0</v>
      </c>
      <c r="E4690">
        <v>0</v>
      </c>
      <c r="F4690">
        <v>0</v>
      </c>
      <c r="G4690">
        <v>1</v>
      </c>
      <c r="H4690">
        <v>0</v>
      </c>
      <c r="I4690">
        <v>0</v>
      </c>
      <c r="J4690">
        <v>16625.059210327599</v>
      </c>
      <c r="K4690">
        <v>19429.6259732207</v>
      </c>
      <c r="L4690">
        <v>23.370999999999999</v>
      </c>
      <c r="M4690">
        <v>70.787999999999997</v>
      </c>
      <c r="N4690">
        <v>25.968</v>
      </c>
    </row>
    <row r="4691" spans="1:14" x14ac:dyDescent="0.45">
      <c r="A4691">
        <v>2002</v>
      </c>
      <c r="B4691" t="s">
        <v>165</v>
      </c>
      <c r="C4691">
        <v>0</v>
      </c>
      <c r="D4691">
        <v>1</v>
      </c>
      <c r="E4691">
        <v>0</v>
      </c>
      <c r="F4691">
        <v>0</v>
      </c>
      <c r="G4691">
        <v>1</v>
      </c>
      <c r="H4691">
        <v>0</v>
      </c>
      <c r="I4691">
        <v>0</v>
      </c>
      <c r="J4691">
        <v>17911.629776506801</v>
      </c>
      <c r="K4691">
        <v>12885.751974216</v>
      </c>
      <c r="L4691">
        <v>73.671000000000006</v>
      </c>
      <c r="M4691">
        <v>71.706999999999994</v>
      </c>
      <c r="N4691">
        <v>18.140999999999998</v>
      </c>
    </row>
    <row r="4692" spans="1:14" x14ac:dyDescent="0.45">
      <c r="A4692">
        <v>2002</v>
      </c>
      <c r="B4692" t="s">
        <v>166</v>
      </c>
      <c r="C4692">
        <v>1</v>
      </c>
      <c r="D4692">
        <v>0</v>
      </c>
      <c r="E4692">
        <v>0</v>
      </c>
      <c r="F4692">
        <v>0</v>
      </c>
      <c r="G4692">
        <v>0</v>
      </c>
      <c r="H4692">
        <v>1</v>
      </c>
      <c r="I4692">
        <v>1</v>
      </c>
      <c r="L4692">
        <v>85.093999999999994</v>
      </c>
      <c r="M4692">
        <v>79.759</v>
      </c>
      <c r="N4692">
        <v>10.244</v>
      </c>
    </row>
    <row r="4693" spans="1:14" x14ac:dyDescent="0.45">
      <c r="A4693">
        <v>2002</v>
      </c>
      <c r="B4693" t="s">
        <v>167</v>
      </c>
      <c r="C4693">
        <v>0</v>
      </c>
      <c r="D4693">
        <v>0</v>
      </c>
      <c r="E4693">
        <v>0</v>
      </c>
      <c r="F4693">
        <v>1</v>
      </c>
      <c r="G4693">
        <v>0</v>
      </c>
      <c r="H4693">
        <v>0</v>
      </c>
      <c r="I4693">
        <v>0</v>
      </c>
      <c r="J4693">
        <v>6409.8627889344598</v>
      </c>
      <c r="K4693">
        <v>5986.7105363392902</v>
      </c>
      <c r="L4693">
        <v>81.650999999999996</v>
      </c>
      <c r="M4693">
        <v>72.271000000000001</v>
      </c>
      <c r="N4693">
        <v>15.638999999999999</v>
      </c>
    </row>
    <row r="4694" spans="1:14" x14ac:dyDescent="0.45">
      <c r="A4694">
        <v>2002</v>
      </c>
      <c r="B4694" t="s">
        <v>168</v>
      </c>
      <c r="C4694">
        <v>0</v>
      </c>
      <c r="D4694">
        <v>0</v>
      </c>
      <c r="E4694">
        <v>1</v>
      </c>
      <c r="F4694">
        <v>0</v>
      </c>
      <c r="G4694">
        <v>0</v>
      </c>
      <c r="H4694">
        <v>0</v>
      </c>
      <c r="I4694">
        <v>0</v>
      </c>
      <c r="J4694">
        <v>2024.7872730486399</v>
      </c>
      <c r="K4694">
        <v>1813.0354163822699</v>
      </c>
      <c r="L4694">
        <v>79.403000000000006</v>
      </c>
      <c r="M4694">
        <v>45.95</v>
      </c>
      <c r="N4694">
        <v>112.973</v>
      </c>
    </row>
    <row r="4695" spans="1:14" x14ac:dyDescent="0.45">
      <c r="A4695">
        <v>2002</v>
      </c>
      <c r="B4695" t="s">
        <v>169</v>
      </c>
      <c r="C4695">
        <v>1</v>
      </c>
      <c r="D4695">
        <v>0</v>
      </c>
      <c r="E4695">
        <v>0</v>
      </c>
      <c r="F4695">
        <v>0</v>
      </c>
      <c r="G4695">
        <v>1</v>
      </c>
      <c r="H4695">
        <v>0</v>
      </c>
      <c r="I4695">
        <v>0</v>
      </c>
      <c r="J4695">
        <v>18216.5452581272</v>
      </c>
      <c r="K4695">
        <v>15585.4691577907</v>
      </c>
      <c r="L4695">
        <v>33.171999999999997</v>
      </c>
      <c r="M4695">
        <v>71.838999999999999</v>
      </c>
      <c r="N4695">
        <v>10.038</v>
      </c>
    </row>
    <row r="4696" spans="1:14" x14ac:dyDescent="0.45">
      <c r="A4696">
        <v>2002</v>
      </c>
      <c r="B4696" t="s">
        <v>170</v>
      </c>
      <c r="C4696">
        <v>1</v>
      </c>
      <c r="D4696">
        <v>0</v>
      </c>
      <c r="E4696">
        <v>0</v>
      </c>
      <c r="F4696">
        <v>0</v>
      </c>
      <c r="G4696">
        <v>0</v>
      </c>
      <c r="H4696">
        <v>1</v>
      </c>
      <c r="I4696">
        <v>1</v>
      </c>
      <c r="J4696">
        <v>118757.53052623601</v>
      </c>
      <c r="K4696">
        <v>101485.59123681999</v>
      </c>
      <c r="L4696">
        <v>14.701000000000001</v>
      </c>
      <c r="M4696">
        <v>77.552000000000007</v>
      </c>
      <c r="N4696">
        <v>7.5869999999999997</v>
      </c>
    </row>
    <row r="4697" spans="1:14" x14ac:dyDescent="0.45">
      <c r="A4697">
        <v>2002</v>
      </c>
      <c r="B4697" t="s">
        <v>171</v>
      </c>
      <c r="C4697">
        <v>1</v>
      </c>
      <c r="D4697">
        <v>0</v>
      </c>
      <c r="E4697">
        <v>0</v>
      </c>
      <c r="F4697">
        <v>0</v>
      </c>
      <c r="G4697">
        <v>1</v>
      </c>
      <c r="H4697">
        <v>0</v>
      </c>
      <c r="I4697">
        <v>0</v>
      </c>
      <c r="J4697">
        <v>17096.559444025501</v>
      </c>
      <c r="K4697">
        <v>14832.7917662175</v>
      </c>
      <c r="L4697">
        <v>32.15</v>
      </c>
      <c r="M4697">
        <v>70.174999999999997</v>
      </c>
      <c r="N4697">
        <v>13.294</v>
      </c>
    </row>
    <row r="4698" spans="1:14" x14ac:dyDescent="0.45">
      <c r="A4698">
        <v>2002</v>
      </c>
      <c r="B4698" t="s">
        <v>172</v>
      </c>
      <c r="C4698">
        <v>0</v>
      </c>
      <c r="D4698">
        <v>0</v>
      </c>
      <c r="E4698">
        <v>0</v>
      </c>
      <c r="F4698">
        <v>0</v>
      </c>
      <c r="G4698">
        <v>0</v>
      </c>
      <c r="H4698">
        <v>1</v>
      </c>
      <c r="I4698">
        <v>1</v>
      </c>
      <c r="J4698">
        <v>61564.927108981799</v>
      </c>
      <c r="K4698">
        <v>55792.691010021001</v>
      </c>
      <c r="L4698">
        <v>0</v>
      </c>
      <c r="M4698">
        <v>80.097999999999999</v>
      </c>
      <c r="N4698">
        <v>6.8739999999999997</v>
      </c>
    </row>
    <row r="4699" spans="1:14" x14ac:dyDescent="0.45">
      <c r="A4699">
        <v>2002</v>
      </c>
      <c r="B4699" t="s">
        <v>173</v>
      </c>
      <c r="C4699">
        <v>0</v>
      </c>
      <c r="D4699">
        <v>1</v>
      </c>
      <c r="E4699">
        <v>0</v>
      </c>
      <c r="F4699">
        <v>0</v>
      </c>
      <c r="G4699">
        <v>0</v>
      </c>
      <c r="H4699">
        <v>1</v>
      </c>
      <c r="I4699">
        <v>1</v>
      </c>
      <c r="L4699">
        <v>0</v>
      </c>
      <c r="M4699">
        <v>77.218999999999994</v>
      </c>
      <c r="N4699">
        <v>13.852</v>
      </c>
    </row>
    <row r="4700" spans="1:14" x14ac:dyDescent="0.45">
      <c r="A4700">
        <v>2002</v>
      </c>
      <c r="B4700" t="s">
        <v>174</v>
      </c>
      <c r="C4700">
        <v>0</v>
      </c>
      <c r="D4700">
        <v>0</v>
      </c>
      <c r="E4700">
        <v>0</v>
      </c>
      <c r="F4700">
        <v>1</v>
      </c>
      <c r="G4700">
        <v>0</v>
      </c>
      <c r="H4700">
        <v>0</v>
      </c>
      <c r="I4700">
        <v>0</v>
      </c>
      <c r="J4700">
        <v>5544.07177734375</v>
      </c>
      <c r="K4700">
        <v>5324.3515623345302</v>
      </c>
      <c r="L4700">
        <v>46.01</v>
      </c>
      <c r="M4700">
        <v>67.581999999999994</v>
      </c>
      <c r="N4700">
        <v>47.363999999999997</v>
      </c>
    </row>
    <row r="4701" spans="1:14" x14ac:dyDescent="0.45">
      <c r="A4701">
        <v>2002</v>
      </c>
      <c r="B4701" t="s">
        <v>175</v>
      </c>
      <c r="C4701">
        <v>1</v>
      </c>
      <c r="D4701">
        <v>0</v>
      </c>
      <c r="E4701">
        <v>0</v>
      </c>
      <c r="F4701">
        <v>0</v>
      </c>
      <c r="G4701">
        <v>0</v>
      </c>
      <c r="H4701">
        <v>1</v>
      </c>
      <c r="I4701">
        <v>1</v>
      </c>
      <c r="L4701">
        <v>0</v>
      </c>
      <c r="M4701">
        <v>83.055000000000007</v>
      </c>
      <c r="N4701">
        <v>6.9640000000000004</v>
      </c>
    </row>
    <row r="4702" spans="1:14" x14ac:dyDescent="0.45">
      <c r="A4702">
        <v>2002</v>
      </c>
      <c r="B4702" t="s">
        <v>176</v>
      </c>
      <c r="C4702">
        <v>1</v>
      </c>
      <c r="D4702">
        <v>0</v>
      </c>
      <c r="E4702">
        <v>0</v>
      </c>
      <c r="F4702">
        <v>0</v>
      </c>
      <c r="G4702">
        <v>0</v>
      </c>
      <c r="H4702">
        <v>0</v>
      </c>
      <c r="I4702">
        <v>0</v>
      </c>
      <c r="J4702">
        <v>6580.2784143683803</v>
      </c>
      <c r="K4702">
        <v>5643.9550614423997</v>
      </c>
      <c r="L4702">
        <v>56.210999999999999</v>
      </c>
      <c r="M4702">
        <v>67.793000000000006</v>
      </c>
      <c r="N4702">
        <v>26.053000000000001</v>
      </c>
    </row>
    <row r="4703" spans="1:14" x14ac:dyDescent="0.45">
      <c r="A4703">
        <v>2002</v>
      </c>
      <c r="B4703" t="s">
        <v>177</v>
      </c>
      <c r="C4703">
        <v>0</v>
      </c>
      <c r="D4703">
        <v>0</v>
      </c>
      <c r="E4703">
        <v>1</v>
      </c>
      <c r="F4703">
        <v>0</v>
      </c>
      <c r="G4703">
        <v>0</v>
      </c>
      <c r="H4703">
        <v>0</v>
      </c>
      <c r="I4703">
        <v>0</v>
      </c>
      <c r="J4703">
        <v>1486.4342974154599</v>
      </c>
      <c r="K4703">
        <v>1377.0721895239601</v>
      </c>
      <c r="L4703">
        <v>72.337000000000003</v>
      </c>
      <c r="M4703">
        <v>59.17</v>
      </c>
      <c r="N4703">
        <v>96.465000000000003</v>
      </c>
    </row>
    <row r="4704" spans="1:14" x14ac:dyDescent="0.45">
      <c r="A4704">
        <v>2002</v>
      </c>
      <c r="B4704" t="s">
        <v>178</v>
      </c>
      <c r="C4704">
        <v>0</v>
      </c>
      <c r="D4704">
        <v>0</v>
      </c>
      <c r="E4704">
        <v>0</v>
      </c>
      <c r="F4704">
        <v>1</v>
      </c>
      <c r="G4704">
        <v>0</v>
      </c>
      <c r="H4704">
        <v>0</v>
      </c>
      <c r="I4704">
        <v>0</v>
      </c>
      <c r="J4704">
        <v>13689.806556598</v>
      </c>
      <c r="K4704">
        <v>13506.1345084519</v>
      </c>
      <c r="L4704">
        <v>69.957999999999998</v>
      </c>
      <c r="M4704">
        <v>72.36</v>
      </c>
      <c r="N4704">
        <v>30.797000000000001</v>
      </c>
    </row>
    <row r="4705" spans="1:14" x14ac:dyDescent="0.45">
      <c r="A4705">
        <v>2002</v>
      </c>
      <c r="B4705" t="s">
        <v>179</v>
      </c>
      <c r="C4705">
        <v>0</v>
      </c>
      <c r="D4705">
        <v>1</v>
      </c>
      <c r="E4705">
        <v>0</v>
      </c>
      <c r="F4705">
        <v>0</v>
      </c>
      <c r="G4705">
        <v>1</v>
      </c>
      <c r="H4705">
        <v>0</v>
      </c>
      <c r="I4705">
        <v>0</v>
      </c>
      <c r="J4705">
        <v>19744.793365237601</v>
      </c>
      <c r="K4705">
        <v>18356.244550908901</v>
      </c>
      <c r="L4705">
        <v>24.635000000000002</v>
      </c>
      <c r="M4705">
        <v>73.105999999999995</v>
      </c>
      <c r="N4705">
        <v>25.824999999999999</v>
      </c>
    </row>
    <row r="4706" spans="1:14" x14ac:dyDescent="0.45">
      <c r="A4706">
        <v>2002</v>
      </c>
      <c r="B4706" t="s">
        <v>180</v>
      </c>
      <c r="C4706">
        <v>0</v>
      </c>
      <c r="D4706">
        <v>0</v>
      </c>
      <c r="E4706">
        <v>0</v>
      </c>
      <c r="F4706">
        <v>1</v>
      </c>
      <c r="G4706">
        <v>0</v>
      </c>
      <c r="H4706">
        <v>0</v>
      </c>
      <c r="I4706">
        <v>0</v>
      </c>
      <c r="J4706">
        <v>4121.8396455533502</v>
      </c>
      <c r="K4706">
        <v>3728.1416657732798</v>
      </c>
      <c r="L4706">
        <v>30.382000000000001</v>
      </c>
      <c r="M4706">
        <v>63.847999999999999</v>
      </c>
      <c r="N4706">
        <v>41.795999999999999</v>
      </c>
    </row>
    <row r="4707" spans="1:14" x14ac:dyDescent="0.45">
      <c r="A4707">
        <v>2002</v>
      </c>
      <c r="B4707" t="s">
        <v>181</v>
      </c>
      <c r="C4707">
        <v>1</v>
      </c>
      <c r="D4707">
        <v>0</v>
      </c>
      <c r="E4707">
        <v>0</v>
      </c>
      <c r="F4707">
        <v>1</v>
      </c>
      <c r="G4707">
        <v>0</v>
      </c>
      <c r="H4707">
        <v>0</v>
      </c>
      <c r="I4707">
        <v>0</v>
      </c>
      <c r="J4707">
        <v>11829.611081966699</v>
      </c>
      <c r="K4707">
        <v>9986.4142859762505</v>
      </c>
      <c r="L4707">
        <v>41.87</v>
      </c>
      <c r="M4707">
        <v>72.709000000000003</v>
      </c>
      <c r="N4707">
        <v>13.721</v>
      </c>
    </row>
    <row r="4708" spans="1:14" x14ac:dyDescent="0.45">
      <c r="A4708">
        <v>2002</v>
      </c>
      <c r="B4708" t="s">
        <v>182</v>
      </c>
      <c r="C4708">
        <v>0</v>
      </c>
      <c r="D4708">
        <v>0</v>
      </c>
      <c r="E4708">
        <v>1</v>
      </c>
      <c r="F4708">
        <v>0</v>
      </c>
      <c r="G4708">
        <v>0</v>
      </c>
      <c r="H4708">
        <v>0</v>
      </c>
      <c r="I4708">
        <v>0</v>
      </c>
      <c r="J4708">
        <v>2139.9709195682699</v>
      </c>
      <c r="K4708">
        <v>1980.7780159178101</v>
      </c>
      <c r="L4708">
        <v>70.194000000000003</v>
      </c>
      <c r="M4708">
        <v>51.994999999999997</v>
      </c>
      <c r="N4708">
        <v>175.721</v>
      </c>
    </row>
    <row r="4709" spans="1:14" x14ac:dyDescent="0.45">
      <c r="A4709">
        <v>2002</v>
      </c>
      <c r="B4709" t="s">
        <v>183</v>
      </c>
      <c r="C4709">
        <v>0</v>
      </c>
      <c r="D4709">
        <v>0</v>
      </c>
      <c r="E4709">
        <v>0</v>
      </c>
      <c r="F4709">
        <v>0</v>
      </c>
      <c r="G4709">
        <v>0</v>
      </c>
      <c r="H4709">
        <v>1</v>
      </c>
      <c r="I4709">
        <v>1</v>
      </c>
      <c r="J4709">
        <v>31177.506721539001</v>
      </c>
      <c r="K4709">
        <v>26970.069321032799</v>
      </c>
      <c r="L4709">
        <v>7.0949999999999998</v>
      </c>
      <c r="M4709">
        <v>78.466999999999999</v>
      </c>
      <c r="N4709">
        <v>7.0030000000000001</v>
      </c>
    </row>
    <row r="4710" spans="1:14" x14ac:dyDescent="0.45">
      <c r="A4710">
        <v>2002</v>
      </c>
      <c r="B4710" t="s">
        <v>184</v>
      </c>
      <c r="C4710">
        <v>0</v>
      </c>
      <c r="D4710">
        <v>0</v>
      </c>
      <c r="E4710">
        <v>0</v>
      </c>
      <c r="F4710">
        <v>0</v>
      </c>
      <c r="G4710">
        <v>0</v>
      </c>
      <c r="H4710">
        <v>0</v>
      </c>
      <c r="I4710">
        <v>0</v>
      </c>
      <c r="J4710">
        <v>1661.73588517132</v>
      </c>
      <c r="K4710">
        <v>1330.5571279782901</v>
      </c>
      <c r="L4710">
        <v>72.608999999999995</v>
      </c>
      <c r="M4710">
        <v>60.924999999999997</v>
      </c>
      <c r="N4710">
        <v>84.238</v>
      </c>
    </row>
    <row r="4711" spans="1:14" x14ac:dyDescent="0.45">
      <c r="A4711">
        <v>2002</v>
      </c>
      <c r="B4711" t="s">
        <v>185</v>
      </c>
      <c r="C4711">
        <v>1</v>
      </c>
      <c r="D4711">
        <v>0</v>
      </c>
      <c r="E4711">
        <v>0</v>
      </c>
      <c r="F4711">
        <v>1</v>
      </c>
      <c r="G4711">
        <v>0</v>
      </c>
      <c r="H4711">
        <v>0</v>
      </c>
      <c r="I4711">
        <v>0</v>
      </c>
      <c r="J4711">
        <v>14749.3741241809</v>
      </c>
      <c r="K4711">
        <v>12462.3207276964</v>
      </c>
      <c r="L4711">
        <v>39.432000000000002</v>
      </c>
      <c r="M4711">
        <v>74.131</v>
      </c>
      <c r="N4711">
        <v>12.292999999999999</v>
      </c>
    </row>
    <row r="4712" spans="1:14" x14ac:dyDescent="0.45">
      <c r="A4712">
        <v>2002</v>
      </c>
      <c r="B4712" t="s">
        <v>186</v>
      </c>
      <c r="C4712">
        <v>0</v>
      </c>
      <c r="D4712">
        <v>0</v>
      </c>
      <c r="E4712">
        <v>0</v>
      </c>
      <c r="F4712">
        <v>0</v>
      </c>
      <c r="G4712">
        <v>0</v>
      </c>
      <c r="H4712">
        <v>0</v>
      </c>
      <c r="I4712">
        <v>0</v>
      </c>
      <c r="J4712">
        <v>6117.9824222591997</v>
      </c>
      <c r="K4712">
        <v>4713.7580224510102</v>
      </c>
      <c r="L4712">
        <v>40.695999999999998</v>
      </c>
      <c r="M4712">
        <v>63.991999999999997</v>
      </c>
      <c r="N4712">
        <v>52.811999999999998</v>
      </c>
    </row>
    <row r="4713" spans="1:14" x14ac:dyDescent="0.45">
      <c r="A4713">
        <v>2002</v>
      </c>
      <c r="B4713" t="s">
        <v>187</v>
      </c>
      <c r="C4713">
        <v>0</v>
      </c>
      <c r="D4713">
        <v>0</v>
      </c>
      <c r="E4713">
        <v>0</v>
      </c>
      <c r="F4713">
        <v>0</v>
      </c>
      <c r="G4713">
        <v>1</v>
      </c>
      <c r="H4713">
        <v>0</v>
      </c>
      <c r="I4713">
        <v>0</v>
      </c>
      <c r="L4713">
        <v>9.6839999999999993</v>
      </c>
      <c r="M4713">
        <v>75.933999999999997</v>
      </c>
      <c r="N4713">
        <v>6.5410000000000004</v>
      </c>
    </row>
    <row r="4714" spans="1:14" x14ac:dyDescent="0.45">
      <c r="A4714">
        <v>2002</v>
      </c>
      <c r="B4714" t="s">
        <v>188</v>
      </c>
      <c r="C4714">
        <v>0</v>
      </c>
      <c r="D4714">
        <v>0</v>
      </c>
      <c r="E4714">
        <v>1</v>
      </c>
      <c r="F4714">
        <v>0</v>
      </c>
      <c r="G4714">
        <v>0</v>
      </c>
      <c r="H4714">
        <v>0</v>
      </c>
      <c r="I4714">
        <v>0</v>
      </c>
      <c r="J4714">
        <v>842.64526617276101</v>
      </c>
      <c r="K4714">
        <v>705.54680175007297</v>
      </c>
      <c r="L4714">
        <v>70.543000000000006</v>
      </c>
      <c r="M4714">
        <v>50.878999999999998</v>
      </c>
      <c r="N4714">
        <v>155.30799999999999</v>
      </c>
    </row>
    <row r="4715" spans="1:14" x14ac:dyDescent="0.45">
      <c r="A4715">
        <v>2002</v>
      </c>
      <c r="B4715" t="s">
        <v>189</v>
      </c>
      <c r="C4715">
        <v>0</v>
      </c>
      <c r="D4715">
        <v>0</v>
      </c>
      <c r="E4715">
        <v>1</v>
      </c>
      <c r="F4715">
        <v>0</v>
      </c>
      <c r="G4715">
        <v>0</v>
      </c>
      <c r="H4715">
        <v>0</v>
      </c>
      <c r="I4715">
        <v>0</v>
      </c>
      <c r="J4715">
        <v>4806.8985385341903</v>
      </c>
      <c r="K4715">
        <v>4252.7274085953404</v>
      </c>
      <c r="L4715">
        <v>60.52</v>
      </c>
      <c r="M4715">
        <v>62.249000000000002</v>
      </c>
      <c r="N4715">
        <v>87.308999999999997</v>
      </c>
    </row>
    <row r="4716" spans="1:14" x14ac:dyDescent="0.45">
      <c r="A4716">
        <v>2002</v>
      </c>
      <c r="B4716" t="s">
        <v>190</v>
      </c>
      <c r="C4716">
        <v>0</v>
      </c>
      <c r="D4716">
        <v>0</v>
      </c>
      <c r="E4716">
        <v>1</v>
      </c>
      <c r="F4716">
        <v>0</v>
      </c>
      <c r="G4716">
        <v>1</v>
      </c>
      <c r="H4716">
        <v>0</v>
      </c>
      <c r="I4716">
        <v>0</v>
      </c>
      <c r="J4716">
        <v>13784.198753234199</v>
      </c>
      <c r="K4716">
        <v>12938.1891893189</v>
      </c>
      <c r="L4716">
        <v>57.552999999999997</v>
      </c>
      <c r="M4716">
        <v>72.055000000000007</v>
      </c>
      <c r="N4716">
        <v>16.300999999999998</v>
      </c>
    </row>
    <row r="4717" spans="1:14" x14ac:dyDescent="0.45">
      <c r="A4717">
        <v>2002</v>
      </c>
      <c r="B4717" t="s">
        <v>191</v>
      </c>
      <c r="C4717">
        <v>0</v>
      </c>
      <c r="D4717">
        <v>0</v>
      </c>
      <c r="E4717">
        <v>1</v>
      </c>
      <c r="F4717">
        <v>0</v>
      </c>
      <c r="G4717">
        <v>0</v>
      </c>
      <c r="H4717">
        <v>0</v>
      </c>
      <c r="I4717">
        <v>0</v>
      </c>
      <c r="J4717">
        <v>1140.8427464241799</v>
      </c>
      <c r="K4717">
        <v>976.17506588827496</v>
      </c>
      <c r="L4717">
        <v>85.213999999999999</v>
      </c>
      <c r="M4717">
        <v>48.176000000000002</v>
      </c>
      <c r="N4717">
        <v>145.22200000000001</v>
      </c>
    </row>
    <row r="4718" spans="1:14" x14ac:dyDescent="0.45">
      <c r="A4718">
        <v>2002</v>
      </c>
      <c r="B4718" t="s">
        <v>192</v>
      </c>
      <c r="C4718">
        <v>0</v>
      </c>
      <c r="D4718">
        <v>0</v>
      </c>
      <c r="E4718">
        <v>0</v>
      </c>
      <c r="F4718">
        <v>0</v>
      </c>
      <c r="G4718">
        <v>1</v>
      </c>
      <c r="H4718">
        <v>0</v>
      </c>
      <c r="I4718">
        <v>0</v>
      </c>
      <c r="J4718">
        <v>18708.869487727901</v>
      </c>
      <c r="K4718">
        <v>16723.5218375925</v>
      </c>
      <c r="L4718">
        <v>36.143999999999998</v>
      </c>
      <c r="M4718">
        <v>73.468999999999994</v>
      </c>
      <c r="N4718">
        <v>9.1720000000000006</v>
      </c>
    </row>
    <row r="4719" spans="1:14" x14ac:dyDescent="0.45">
      <c r="A4719">
        <v>2002</v>
      </c>
      <c r="B4719" t="s">
        <v>193</v>
      </c>
      <c r="C4719">
        <v>0</v>
      </c>
      <c r="D4719">
        <v>0</v>
      </c>
      <c r="E4719">
        <v>1</v>
      </c>
      <c r="F4719">
        <v>1</v>
      </c>
      <c r="G4719">
        <v>0</v>
      </c>
      <c r="H4719">
        <v>0</v>
      </c>
      <c r="I4719">
        <v>0</v>
      </c>
      <c r="J4719">
        <v>8017.2813412855903</v>
      </c>
      <c r="K4719">
        <v>6948.5761703715598</v>
      </c>
      <c r="L4719">
        <v>66.233999999999995</v>
      </c>
      <c r="M4719">
        <v>51.988</v>
      </c>
      <c r="N4719">
        <v>74.813999999999993</v>
      </c>
    </row>
    <row r="4720" spans="1:14" x14ac:dyDescent="0.45">
      <c r="A4720">
        <v>2002</v>
      </c>
      <c r="B4720" t="s">
        <v>194</v>
      </c>
      <c r="C4720">
        <v>0</v>
      </c>
      <c r="D4720">
        <v>0</v>
      </c>
      <c r="E4720">
        <v>0</v>
      </c>
      <c r="F4720">
        <v>0</v>
      </c>
      <c r="G4720">
        <v>0</v>
      </c>
      <c r="H4720">
        <v>1</v>
      </c>
      <c r="I4720">
        <v>1</v>
      </c>
      <c r="L4720">
        <v>37.368000000000002</v>
      </c>
      <c r="M4720">
        <v>74.278000000000006</v>
      </c>
      <c r="N4720">
        <v>20.815999999999999</v>
      </c>
    </row>
    <row r="4721" spans="1:14" x14ac:dyDescent="0.45">
      <c r="A4721">
        <v>2002</v>
      </c>
      <c r="B4721" t="s">
        <v>195</v>
      </c>
      <c r="C4721">
        <v>0</v>
      </c>
      <c r="D4721">
        <v>0</v>
      </c>
      <c r="E4721">
        <v>1</v>
      </c>
      <c r="F4721">
        <v>0</v>
      </c>
      <c r="G4721">
        <v>0</v>
      </c>
      <c r="H4721">
        <v>0</v>
      </c>
      <c r="I4721">
        <v>0</v>
      </c>
      <c r="J4721">
        <v>1248.8231366060099</v>
      </c>
      <c r="K4721">
        <v>992.60482101826904</v>
      </c>
      <c r="L4721">
        <v>83.745000000000005</v>
      </c>
      <c r="M4721">
        <v>50.645000000000003</v>
      </c>
      <c r="N4721">
        <v>207.14500000000001</v>
      </c>
    </row>
    <row r="4722" spans="1:14" x14ac:dyDescent="0.45">
      <c r="A4722">
        <v>2002</v>
      </c>
      <c r="B4722" t="s">
        <v>196</v>
      </c>
      <c r="C4722">
        <v>0</v>
      </c>
      <c r="D4722">
        <v>0</v>
      </c>
      <c r="E4722">
        <v>1</v>
      </c>
      <c r="F4722">
        <v>0</v>
      </c>
      <c r="G4722">
        <v>0</v>
      </c>
      <c r="H4722">
        <v>0</v>
      </c>
      <c r="I4722">
        <v>0</v>
      </c>
      <c r="J4722">
        <v>3806.21589634462</v>
      </c>
      <c r="K4722">
        <v>3365.2078464967099</v>
      </c>
      <c r="L4722">
        <v>63.491999999999997</v>
      </c>
      <c r="M4722">
        <v>48.02</v>
      </c>
      <c r="N4722">
        <v>170.97300000000001</v>
      </c>
    </row>
    <row r="4723" spans="1:14" x14ac:dyDescent="0.45">
      <c r="A4723">
        <v>2002</v>
      </c>
      <c r="B4723" t="s">
        <v>197</v>
      </c>
      <c r="C4723">
        <v>0</v>
      </c>
      <c r="D4723">
        <v>1</v>
      </c>
      <c r="E4723">
        <v>0</v>
      </c>
      <c r="F4723">
        <v>0</v>
      </c>
      <c r="G4723">
        <v>0</v>
      </c>
      <c r="H4723">
        <v>0</v>
      </c>
      <c r="I4723">
        <v>0</v>
      </c>
      <c r="J4723">
        <v>4935.4853900512799</v>
      </c>
      <c r="K4723">
        <v>4156.9873498561101</v>
      </c>
      <c r="L4723">
        <v>44.515999999999998</v>
      </c>
      <c r="M4723">
        <v>67.95</v>
      </c>
      <c r="N4723">
        <v>34.518000000000001</v>
      </c>
    </row>
    <row r="4724" spans="1:14" x14ac:dyDescent="0.45">
      <c r="A4724">
        <v>2002</v>
      </c>
      <c r="B4724" t="s">
        <v>198</v>
      </c>
      <c r="C4724">
        <v>1</v>
      </c>
      <c r="D4724">
        <v>0</v>
      </c>
      <c r="E4724">
        <v>0</v>
      </c>
      <c r="F4724">
        <v>0</v>
      </c>
      <c r="G4724">
        <v>0</v>
      </c>
      <c r="H4724">
        <v>1</v>
      </c>
      <c r="I4724">
        <v>1</v>
      </c>
      <c r="J4724">
        <v>56664.413437230301</v>
      </c>
      <c r="K4724">
        <v>47832.869367553198</v>
      </c>
      <c r="L4724">
        <v>20.887</v>
      </c>
      <c r="M4724">
        <v>78.412000000000006</v>
      </c>
      <c r="N4724">
        <v>6.0430000000000001</v>
      </c>
    </row>
    <row r="4725" spans="1:14" x14ac:dyDescent="0.45">
      <c r="A4725">
        <v>2002</v>
      </c>
      <c r="B4725" t="s">
        <v>199</v>
      </c>
      <c r="C4725">
        <v>1</v>
      </c>
      <c r="D4725">
        <v>0</v>
      </c>
      <c r="E4725">
        <v>0</v>
      </c>
      <c r="F4725">
        <v>0</v>
      </c>
      <c r="G4725">
        <v>0</v>
      </c>
      <c r="H4725">
        <v>1</v>
      </c>
      <c r="I4725">
        <v>1</v>
      </c>
      <c r="J4725">
        <v>79447.0914824426</v>
      </c>
      <c r="K4725">
        <v>58702.4713317633</v>
      </c>
      <c r="L4725">
        <v>23.266999999999999</v>
      </c>
      <c r="M4725">
        <v>78.959999999999994</v>
      </c>
      <c r="N4725">
        <v>4.5720000000000001</v>
      </c>
    </row>
    <row r="4726" spans="1:14" x14ac:dyDescent="0.45">
      <c r="A4726">
        <v>2002</v>
      </c>
      <c r="B4726" t="s">
        <v>200</v>
      </c>
      <c r="C4726">
        <v>0</v>
      </c>
      <c r="D4726">
        <v>0</v>
      </c>
      <c r="E4726">
        <v>0</v>
      </c>
      <c r="F4726">
        <v>0</v>
      </c>
      <c r="G4726">
        <v>0</v>
      </c>
      <c r="H4726">
        <v>0</v>
      </c>
      <c r="I4726">
        <v>0</v>
      </c>
      <c r="J4726">
        <v>2380.24424587571</v>
      </c>
      <c r="K4726">
        <v>2107.2467085345602</v>
      </c>
      <c r="L4726">
        <v>85.76</v>
      </c>
      <c r="M4726">
        <v>63.506999999999998</v>
      </c>
      <c r="N4726">
        <v>71.003</v>
      </c>
    </row>
    <row r="4727" spans="1:14" x14ac:dyDescent="0.45">
      <c r="A4727">
        <v>2002</v>
      </c>
      <c r="B4727" t="s">
        <v>201</v>
      </c>
      <c r="C4727">
        <v>0</v>
      </c>
      <c r="D4727">
        <v>0</v>
      </c>
      <c r="E4727">
        <v>0</v>
      </c>
      <c r="F4727">
        <v>0</v>
      </c>
      <c r="G4727">
        <v>0</v>
      </c>
      <c r="H4727">
        <v>1</v>
      </c>
      <c r="I4727">
        <v>1</v>
      </c>
      <c r="J4727">
        <v>7593.0577985624004</v>
      </c>
      <c r="K4727">
        <v>6869.5948157151697</v>
      </c>
      <c r="L4727">
        <v>0</v>
      </c>
      <c r="M4727">
        <v>59.427</v>
      </c>
      <c r="N4727">
        <v>41.045000000000002</v>
      </c>
    </row>
    <row r="4728" spans="1:14" x14ac:dyDescent="0.45">
      <c r="A4728">
        <v>2002</v>
      </c>
      <c r="B4728" t="s">
        <v>202</v>
      </c>
      <c r="C4728">
        <v>0</v>
      </c>
      <c r="D4728">
        <v>0</v>
      </c>
      <c r="E4728">
        <v>0</v>
      </c>
      <c r="F4728">
        <v>0</v>
      </c>
      <c r="G4728">
        <v>0</v>
      </c>
      <c r="H4728">
        <v>1</v>
      </c>
      <c r="I4728">
        <v>1</v>
      </c>
      <c r="J4728">
        <v>37959.065063812297</v>
      </c>
      <c r="K4728">
        <v>34525.743548435203</v>
      </c>
      <c r="L4728">
        <v>13.839</v>
      </c>
      <c r="M4728">
        <v>78.866</v>
      </c>
      <c r="N4728">
        <v>6.8029999999999999</v>
      </c>
    </row>
    <row r="4729" spans="1:14" x14ac:dyDescent="0.45">
      <c r="A4729">
        <v>2002</v>
      </c>
      <c r="B4729" t="s">
        <v>203</v>
      </c>
      <c r="C4729">
        <v>0</v>
      </c>
      <c r="D4729">
        <v>0</v>
      </c>
      <c r="E4729">
        <v>0</v>
      </c>
      <c r="F4729">
        <v>0</v>
      </c>
      <c r="G4729">
        <v>1</v>
      </c>
      <c r="H4729">
        <v>0</v>
      </c>
      <c r="I4729">
        <v>0</v>
      </c>
      <c r="J4729">
        <v>42654.148267162302</v>
      </c>
      <c r="K4729">
        <v>37063.067521786099</v>
      </c>
      <c r="L4729">
        <v>28.471</v>
      </c>
      <c r="M4729">
        <v>74.275999999999996</v>
      </c>
      <c r="N4729">
        <v>14.938000000000001</v>
      </c>
    </row>
    <row r="4730" spans="1:14" x14ac:dyDescent="0.45">
      <c r="A4730">
        <v>2002</v>
      </c>
      <c r="B4730" t="s">
        <v>204</v>
      </c>
      <c r="C4730">
        <v>0</v>
      </c>
      <c r="D4730">
        <v>0</v>
      </c>
      <c r="E4730">
        <v>0</v>
      </c>
      <c r="F4730">
        <v>0</v>
      </c>
      <c r="G4730">
        <v>0</v>
      </c>
      <c r="H4730">
        <v>0</v>
      </c>
      <c r="I4730">
        <v>0</v>
      </c>
      <c r="J4730">
        <v>3563.6784692655801</v>
      </c>
      <c r="K4730">
        <v>3392.2611877116601</v>
      </c>
      <c r="L4730">
        <v>66.62</v>
      </c>
      <c r="M4730">
        <v>62.555999999999997</v>
      </c>
      <c r="N4730">
        <v>103.254</v>
      </c>
    </row>
    <row r="4731" spans="1:14" x14ac:dyDescent="0.45">
      <c r="A4731">
        <v>2002</v>
      </c>
      <c r="B4731" t="s">
        <v>205</v>
      </c>
      <c r="C4731">
        <v>0</v>
      </c>
      <c r="D4731">
        <v>1</v>
      </c>
      <c r="E4731">
        <v>0</v>
      </c>
      <c r="F4731">
        <v>0</v>
      </c>
      <c r="G4731">
        <v>1</v>
      </c>
      <c r="H4731">
        <v>0</v>
      </c>
      <c r="I4731">
        <v>0</v>
      </c>
      <c r="J4731">
        <v>14507.1438107336</v>
      </c>
      <c r="K4731">
        <v>15211.872301486401</v>
      </c>
      <c r="L4731">
        <v>37.206000000000003</v>
      </c>
      <c r="M4731">
        <v>74.194999999999993</v>
      </c>
      <c r="N4731">
        <v>23.962</v>
      </c>
    </row>
    <row r="4732" spans="1:14" x14ac:dyDescent="0.45">
      <c r="A4732">
        <v>2002</v>
      </c>
      <c r="B4732" t="s">
        <v>206</v>
      </c>
      <c r="C4732">
        <v>0</v>
      </c>
      <c r="D4732">
        <v>1</v>
      </c>
      <c r="E4732">
        <v>0</v>
      </c>
      <c r="F4732">
        <v>1</v>
      </c>
      <c r="G4732">
        <v>0</v>
      </c>
      <c r="H4732">
        <v>0</v>
      </c>
      <c r="I4732">
        <v>0</v>
      </c>
      <c r="J4732">
        <v>7931.5797503990698</v>
      </c>
      <c r="K4732">
        <v>6627.50290753226</v>
      </c>
      <c r="L4732">
        <v>26.15</v>
      </c>
      <c r="M4732">
        <v>70.814999999999998</v>
      </c>
      <c r="N4732">
        <v>32.768999999999998</v>
      </c>
    </row>
    <row r="4733" spans="1:14" x14ac:dyDescent="0.45">
      <c r="A4733">
        <v>2002</v>
      </c>
      <c r="B4733" t="s">
        <v>207</v>
      </c>
      <c r="C4733">
        <v>0</v>
      </c>
      <c r="D4733">
        <v>0</v>
      </c>
      <c r="E4733">
        <v>0</v>
      </c>
      <c r="F4733">
        <v>1</v>
      </c>
      <c r="G4733">
        <v>0</v>
      </c>
      <c r="H4733">
        <v>0</v>
      </c>
      <c r="I4733">
        <v>0</v>
      </c>
      <c r="J4733">
        <v>4856.4994842956703</v>
      </c>
      <c r="K4733">
        <v>4398.0487196751401</v>
      </c>
      <c r="L4733">
        <v>54.034999999999997</v>
      </c>
      <c r="M4733">
        <v>67.885999999999996</v>
      </c>
      <c r="N4733">
        <v>35.628</v>
      </c>
    </row>
    <row r="4734" spans="1:14" x14ac:dyDescent="0.45">
      <c r="A4734">
        <v>2002</v>
      </c>
      <c r="B4734" t="s">
        <v>208</v>
      </c>
      <c r="C4734">
        <v>0</v>
      </c>
      <c r="D4734">
        <v>0</v>
      </c>
      <c r="E4734">
        <v>0</v>
      </c>
      <c r="F4734">
        <v>0</v>
      </c>
      <c r="G4734">
        <v>1</v>
      </c>
      <c r="H4734">
        <v>0</v>
      </c>
      <c r="I4734">
        <v>0</v>
      </c>
      <c r="J4734">
        <v>16980.825802130701</v>
      </c>
      <c r="K4734">
        <v>15362.9006905446</v>
      </c>
      <c r="L4734">
        <v>30.152999999999999</v>
      </c>
      <c r="M4734">
        <v>65.075999999999993</v>
      </c>
      <c r="N4734">
        <v>24.562999999999999</v>
      </c>
    </row>
    <row r="4735" spans="1:14" x14ac:dyDescent="0.45">
      <c r="A4735">
        <v>2002</v>
      </c>
      <c r="B4735" t="s">
        <v>209</v>
      </c>
      <c r="C4735">
        <v>0</v>
      </c>
      <c r="D4735">
        <v>0</v>
      </c>
      <c r="E4735">
        <v>0</v>
      </c>
      <c r="F4735">
        <v>0</v>
      </c>
      <c r="G4735">
        <v>0</v>
      </c>
      <c r="H4735">
        <v>0</v>
      </c>
      <c r="I4735">
        <v>0</v>
      </c>
      <c r="J4735">
        <v>3100.79509952543</v>
      </c>
      <c r="K4735">
        <v>2804.9834204284898</v>
      </c>
      <c r="L4735">
        <v>86.835999999999999</v>
      </c>
      <c r="M4735">
        <v>61.643000000000001</v>
      </c>
      <c r="N4735">
        <v>69.400000000000006</v>
      </c>
    </row>
    <row r="4736" spans="1:14" x14ac:dyDescent="0.45">
      <c r="A4736">
        <v>2002</v>
      </c>
      <c r="B4736" t="s">
        <v>210</v>
      </c>
      <c r="C4736">
        <v>1</v>
      </c>
      <c r="D4736">
        <v>0</v>
      </c>
      <c r="E4736">
        <v>0</v>
      </c>
      <c r="F4736">
        <v>0</v>
      </c>
      <c r="G4736">
        <v>1</v>
      </c>
      <c r="H4736">
        <v>0</v>
      </c>
      <c r="I4736">
        <v>0</v>
      </c>
      <c r="J4736">
        <v>19166.913705814299</v>
      </c>
      <c r="K4736">
        <v>16544.3252877624</v>
      </c>
      <c r="L4736">
        <v>38.213000000000001</v>
      </c>
      <c r="M4736">
        <v>74.518000000000001</v>
      </c>
      <c r="N4736">
        <v>8.3930000000000007</v>
      </c>
    </row>
    <row r="4737" spans="1:14" x14ac:dyDescent="0.45">
      <c r="A4737">
        <v>2002</v>
      </c>
      <c r="B4737" t="s">
        <v>211</v>
      </c>
      <c r="C4737">
        <v>0</v>
      </c>
      <c r="D4737">
        <v>1</v>
      </c>
      <c r="E4737">
        <v>0</v>
      </c>
      <c r="F4737">
        <v>0</v>
      </c>
      <c r="G4737">
        <v>0</v>
      </c>
      <c r="H4737">
        <v>1</v>
      </c>
      <c r="I4737">
        <v>1</v>
      </c>
      <c r="J4737">
        <v>39879.7295566967</v>
      </c>
      <c r="K4737">
        <v>30637.2326140109</v>
      </c>
      <c r="L4737">
        <v>5.7219999999999898</v>
      </c>
      <c r="M4737">
        <v>76.819000000000003</v>
      </c>
      <c r="N4737">
        <v>10.776</v>
      </c>
    </row>
    <row r="4738" spans="1:14" x14ac:dyDescent="0.45">
      <c r="A4738">
        <v>2002</v>
      </c>
      <c r="B4738" t="s">
        <v>212</v>
      </c>
      <c r="C4738">
        <v>0</v>
      </c>
      <c r="D4738">
        <v>0</v>
      </c>
      <c r="E4738">
        <v>0</v>
      </c>
      <c r="F4738">
        <v>0</v>
      </c>
      <c r="G4738">
        <v>0</v>
      </c>
      <c r="H4738">
        <v>0</v>
      </c>
      <c r="I4738">
        <v>0</v>
      </c>
      <c r="L4738">
        <v>40.43</v>
      </c>
      <c r="M4738">
        <v>60.877000000000002</v>
      </c>
      <c r="N4738">
        <v>98.028000000000006</v>
      </c>
    </row>
    <row r="4739" spans="1:14" x14ac:dyDescent="0.45">
      <c r="A4739">
        <v>2002</v>
      </c>
      <c r="B4739" t="s">
        <v>213</v>
      </c>
      <c r="C4739">
        <v>1</v>
      </c>
      <c r="D4739">
        <v>0</v>
      </c>
      <c r="E4739">
        <v>0</v>
      </c>
      <c r="F4739">
        <v>0</v>
      </c>
      <c r="G4739">
        <v>0</v>
      </c>
      <c r="H4739">
        <v>1</v>
      </c>
      <c r="I4739">
        <v>1</v>
      </c>
      <c r="J4739">
        <v>35578.519876740203</v>
      </c>
      <c r="K4739">
        <v>30753.4710859857</v>
      </c>
      <c r="L4739">
        <v>44.334000000000003</v>
      </c>
      <c r="M4739">
        <v>77.37</v>
      </c>
      <c r="N4739">
        <v>6.6029999999999998</v>
      </c>
    </row>
    <row r="4740" spans="1:14" x14ac:dyDescent="0.45">
      <c r="A4740">
        <v>2002</v>
      </c>
      <c r="B4740" t="s">
        <v>214</v>
      </c>
      <c r="C4740">
        <v>0</v>
      </c>
      <c r="D4740">
        <v>1</v>
      </c>
      <c r="E4740">
        <v>0</v>
      </c>
      <c r="F4740">
        <v>1</v>
      </c>
      <c r="G4740">
        <v>0</v>
      </c>
      <c r="H4740">
        <v>0</v>
      </c>
      <c r="I4740">
        <v>0</v>
      </c>
      <c r="J4740">
        <v>9610.7477784201492</v>
      </c>
      <c r="K4740">
        <v>8768.26035277353</v>
      </c>
      <c r="L4740">
        <v>43.4</v>
      </c>
      <c r="M4740">
        <v>70.539000000000001</v>
      </c>
      <c r="N4740">
        <v>32.136000000000003</v>
      </c>
    </row>
    <row r="4741" spans="1:14" x14ac:dyDescent="0.45">
      <c r="A4741">
        <v>2002</v>
      </c>
      <c r="B4741" t="s">
        <v>215</v>
      </c>
      <c r="C4741">
        <v>0</v>
      </c>
      <c r="D4741">
        <v>0</v>
      </c>
      <c r="E4741">
        <v>0</v>
      </c>
      <c r="F4741">
        <v>1</v>
      </c>
      <c r="G4741">
        <v>0</v>
      </c>
      <c r="H4741">
        <v>0</v>
      </c>
      <c r="I4741">
        <v>0</v>
      </c>
      <c r="J4741">
        <v>3409.1728742269802</v>
      </c>
      <c r="K4741">
        <v>2906.9501227829501</v>
      </c>
      <c r="L4741">
        <v>27.591000000000001</v>
      </c>
      <c r="M4741">
        <v>70.88</v>
      </c>
      <c r="N4741">
        <v>28.989000000000001</v>
      </c>
    </row>
    <row r="4742" spans="1:14" x14ac:dyDescent="0.45">
      <c r="A4742">
        <v>2002</v>
      </c>
      <c r="B4742" t="s">
        <v>216</v>
      </c>
      <c r="C4742">
        <v>0</v>
      </c>
      <c r="D4742">
        <v>0</v>
      </c>
      <c r="E4742">
        <v>0</v>
      </c>
      <c r="F4742">
        <v>0</v>
      </c>
      <c r="G4742">
        <v>0</v>
      </c>
      <c r="H4742">
        <v>1</v>
      </c>
      <c r="I4742">
        <v>1</v>
      </c>
      <c r="L4742">
        <v>44.112000000000002</v>
      </c>
      <c r="M4742">
        <v>79.543999999999997</v>
      </c>
      <c r="N4742">
        <v>10.202</v>
      </c>
    </row>
    <row r="4743" spans="1:14" x14ac:dyDescent="0.45">
      <c r="A4743">
        <v>2002</v>
      </c>
      <c r="B4743" t="s">
        <v>217</v>
      </c>
      <c r="C4743">
        <v>0</v>
      </c>
      <c r="D4743">
        <v>0</v>
      </c>
      <c r="E4743">
        <v>0</v>
      </c>
      <c r="F4743">
        <v>0</v>
      </c>
      <c r="G4743">
        <v>0</v>
      </c>
      <c r="H4743">
        <v>1</v>
      </c>
      <c r="I4743">
        <v>1</v>
      </c>
      <c r="J4743">
        <v>94111.689385267004</v>
      </c>
      <c r="K4743">
        <v>81265.242568467307</v>
      </c>
      <c r="L4743">
        <v>3.30800000000001</v>
      </c>
      <c r="M4743">
        <v>75.766000000000005</v>
      </c>
      <c r="N4743">
        <v>11.616</v>
      </c>
    </row>
    <row r="4744" spans="1:14" x14ac:dyDescent="0.45">
      <c r="A4744">
        <v>2002</v>
      </c>
      <c r="B4744" t="s">
        <v>218</v>
      </c>
      <c r="C4744">
        <v>1</v>
      </c>
      <c r="D4744">
        <v>0</v>
      </c>
      <c r="E4744">
        <v>0</v>
      </c>
      <c r="F4744">
        <v>1</v>
      </c>
      <c r="G4744">
        <v>0</v>
      </c>
      <c r="H4744">
        <v>0</v>
      </c>
      <c r="I4744">
        <v>0</v>
      </c>
      <c r="J4744">
        <v>17059.797230129501</v>
      </c>
      <c r="K4744">
        <v>13866.8184525454</v>
      </c>
      <c r="L4744">
        <v>47.22</v>
      </c>
      <c r="M4744">
        <v>70.834999999999994</v>
      </c>
      <c r="N4744">
        <v>20.221</v>
      </c>
    </row>
    <row r="4745" spans="1:14" x14ac:dyDescent="0.45">
      <c r="A4745">
        <v>2002</v>
      </c>
      <c r="B4745" t="s">
        <v>219</v>
      </c>
      <c r="C4745">
        <v>1</v>
      </c>
      <c r="D4745">
        <v>0</v>
      </c>
      <c r="E4745">
        <v>0</v>
      </c>
      <c r="F4745">
        <v>1</v>
      </c>
      <c r="G4745">
        <v>0</v>
      </c>
      <c r="H4745">
        <v>0</v>
      </c>
      <c r="I4745">
        <v>0</v>
      </c>
      <c r="J4745">
        <v>22319.677734375</v>
      </c>
      <c r="K4745">
        <v>16175.0963973611</v>
      </c>
      <c r="L4745">
        <v>26.658999999999999</v>
      </c>
      <c r="M4745">
        <v>64.73</v>
      </c>
      <c r="N4745">
        <v>17.375</v>
      </c>
    </row>
    <row r="4746" spans="1:14" x14ac:dyDescent="0.45">
      <c r="A4746">
        <v>2002</v>
      </c>
      <c r="B4746" t="s">
        <v>220</v>
      </c>
      <c r="C4746">
        <v>0</v>
      </c>
      <c r="D4746">
        <v>0</v>
      </c>
      <c r="E4746">
        <v>1</v>
      </c>
      <c r="F4746">
        <v>0</v>
      </c>
      <c r="G4746">
        <v>0</v>
      </c>
      <c r="H4746">
        <v>0</v>
      </c>
      <c r="I4746">
        <v>0</v>
      </c>
      <c r="J4746">
        <v>1220.7394919553001</v>
      </c>
      <c r="K4746">
        <v>1021.58055233261</v>
      </c>
      <c r="L4746">
        <v>83.222999999999999</v>
      </c>
      <c r="M4746">
        <v>51.262</v>
      </c>
      <c r="N4746">
        <v>149.02799999999999</v>
      </c>
    </row>
    <row r="4747" spans="1:14" x14ac:dyDescent="0.45">
      <c r="A4747">
        <v>2002</v>
      </c>
      <c r="B4747" t="s">
        <v>221</v>
      </c>
      <c r="C4747">
        <v>0</v>
      </c>
      <c r="D4747">
        <v>0</v>
      </c>
      <c r="E4747">
        <v>0</v>
      </c>
      <c r="F4747">
        <v>0</v>
      </c>
      <c r="G4747">
        <v>1</v>
      </c>
      <c r="H4747">
        <v>0</v>
      </c>
      <c r="I4747">
        <v>0</v>
      </c>
      <c r="J4747">
        <v>50371.978307983401</v>
      </c>
      <c r="K4747">
        <v>46179.9235800643</v>
      </c>
      <c r="L4747">
        <v>19.696000000000002</v>
      </c>
      <c r="M4747">
        <v>73.296000000000006</v>
      </c>
      <c r="N4747">
        <v>19.696000000000002</v>
      </c>
    </row>
    <row r="4748" spans="1:14" x14ac:dyDescent="0.45">
      <c r="A4748">
        <v>2002</v>
      </c>
      <c r="B4748" t="s">
        <v>222</v>
      </c>
      <c r="C4748">
        <v>0</v>
      </c>
      <c r="D4748">
        <v>0</v>
      </c>
      <c r="E4748">
        <v>1</v>
      </c>
      <c r="F4748">
        <v>0</v>
      </c>
      <c r="G4748">
        <v>0</v>
      </c>
      <c r="H4748">
        <v>0</v>
      </c>
      <c r="I4748">
        <v>0</v>
      </c>
      <c r="J4748">
        <v>3814.31323242188</v>
      </c>
      <c r="K4748">
        <v>3994.0889640574501</v>
      </c>
      <c r="L4748">
        <v>67.399000000000001</v>
      </c>
      <c r="M4748">
        <v>59.308</v>
      </c>
      <c r="N4748">
        <v>97.400999999999996</v>
      </c>
    </row>
    <row r="4749" spans="1:14" x14ac:dyDescent="0.45">
      <c r="A4749">
        <v>2002</v>
      </c>
      <c r="B4749" t="s">
        <v>223</v>
      </c>
      <c r="C4749">
        <v>0</v>
      </c>
      <c r="D4749">
        <v>0</v>
      </c>
      <c r="E4749">
        <v>1</v>
      </c>
      <c r="F4749">
        <v>0</v>
      </c>
      <c r="G4749">
        <v>0</v>
      </c>
      <c r="H4749">
        <v>0</v>
      </c>
      <c r="I4749">
        <v>0</v>
      </c>
      <c r="J4749">
        <v>3075.23157503112</v>
      </c>
      <c r="K4749">
        <v>2569.16841920449</v>
      </c>
      <c r="L4749">
        <v>59.393000000000001</v>
      </c>
      <c r="M4749">
        <v>58.911999999999999</v>
      </c>
      <c r="N4749">
        <v>113.652</v>
      </c>
    </row>
    <row r="4750" spans="1:14" x14ac:dyDescent="0.45">
      <c r="A4750">
        <v>2002</v>
      </c>
      <c r="B4750" t="s">
        <v>224</v>
      </c>
      <c r="C4750">
        <v>0</v>
      </c>
      <c r="D4750">
        <v>0</v>
      </c>
      <c r="E4750">
        <v>0</v>
      </c>
      <c r="F4750">
        <v>0</v>
      </c>
      <c r="G4750">
        <v>0</v>
      </c>
      <c r="H4750">
        <v>1</v>
      </c>
      <c r="I4750">
        <v>1</v>
      </c>
      <c r="J4750">
        <v>67744.270267980799</v>
      </c>
      <c r="K4750">
        <v>55688.317913327599</v>
      </c>
      <c r="L4750">
        <v>0</v>
      </c>
      <c r="M4750">
        <v>78.736000000000004</v>
      </c>
      <c r="N4750">
        <v>3.4380000000000002</v>
      </c>
    </row>
    <row r="4751" spans="1:14" x14ac:dyDescent="0.45">
      <c r="A4751">
        <v>2002</v>
      </c>
      <c r="B4751" t="s">
        <v>225</v>
      </c>
      <c r="C4751">
        <v>0</v>
      </c>
      <c r="D4751">
        <v>0</v>
      </c>
      <c r="E4751">
        <v>0</v>
      </c>
      <c r="F4751">
        <v>0</v>
      </c>
      <c r="G4751">
        <v>0</v>
      </c>
      <c r="H4751">
        <v>0</v>
      </c>
      <c r="I4751">
        <v>0</v>
      </c>
      <c r="J4751">
        <v>1960.44099136828</v>
      </c>
      <c r="K4751">
        <v>1773.3619103308299</v>
      </c>
      <c r="L4751">
        <v>83.403000000000006</v>
      </c>
      <c r="M4751">
        <v>67.349999999999994</v>
      </c>
      <c r="N4751">
        <v>30.26</v>
      </c>
    </row>
    <row r="4752" spans="1:14" x14ac:dyDescent="0.45">
      <c r="A4752">
        <v>2002</v>
      </c>
      <c r="B4752" t="s">
        <v>226</v>
      </c>
      <c r="C4752">
        <v>0</v>
      </c>
      <c r="D4752">
        <v>0</v>
      </c>
      <c r="E4752">
        <v>1</v>
      </c>
      <c r="F4752">
        <v>0</v>
      </c>
      <c r="G4752">
        <v>0</v>
      </c>
      <c r="H4752">
        <v>0</v>
      </c>
      <c r="I4752">
        <v>0</v>
      </c>
      <c r="J4752">
        <v>2091.14110506622</v>
      </c>
      <c r="K4752">
        <v>1898.06726090406</v>
      </c>
      <c r="L4752">
        <v>63.890999999999998</v>
      </c>
      <c r="M4752">
        <v>46.173999999999999</v>
      </c>
      <c r="N4752">
        <v>213.58099999999999</v>
      </c>
    </row>
    <row r="4753" spans="1:14" x14ac:dyDescent="0.45">
      <c r="A4753">
        <v>2002</v>
      </c>
      <c r="B4753" t="s">
        <v>227</v>
      </c>
      <c r="C4753">
        <v>0</v>
      </c>
      <c r="D4753">
        <v>1</v>
      </c>
      <c r="E4753">
        <v>0</v>
      </c>
      <c r="F4753">
        <v>1</v>
      </c>
      <c r="G4753">
        <v>0</v>
      </c>
      <c r="H4753">
        <v>0</v>
      </c>
      <c r="I4753">
        <v>0</v>
      </c>
      <c r="J4753">
        <v>7675.6710619511396</v>
      </c>
      <c r="K4753">
        <v>6837.1070332592599</v>
      </c>
      <c r="L4753">
        <v>39.985999999999997</v>
      </c>
      <c r="M4753">
        <v>68.525999999999996</v>
      </c>
      <c r="N4753">
        <v>29.547000000000001</v>
      </c>
    </row>
    <row r="4754" spans="1:14" x14ac:dyDescent="0.45">
      <c r="A4754">
        <v>2002</v>
      </c>
      <c r="B4754" t="s">
        <v>228</v>
      </c>
      <c r="C4754">
        <v>1</v>
      </c>
      <c r="D4754">
        <v>0</v>
      </c>
      <c r="E4754">
        <v>0</v>
      </c>
      <c r="F4754">
        <v>0</v>
      </c>
      <c r="G4754">
        <v>0</v>
      </c>
      <c r="H4754">
        <v>1</v>
      </c>
      <c r="I4754">
        <v>1</v>
      </c>
      <c r="J4754">
        <v>79649.532382750898</v>
      </c>
      <c r="K4754">
        <v>70201.0533637474</v>
      </c>
      <c r="L4754">
        <v>6.0750000000000002</v>
      </c>
      <c r="M4754">
        <v>81.061000000000007</v>
      </c>
      <c r="N4754">
        <v>4.516</v>
      </c>
    </row>
    <row r="4755" spans="1:14" x14ac:dyDescent="0.45">
      <c r="A4755">
        <v>2002</v>
      </c>
      <c r="B4755" t="s">
        <v>229</v>
      </c>
      <c r="C4755">
        <v>0</v>
      </c>
      <c r="D4755">
        <v>0</v>
      </c>
      <c r="E4755">
        <v>1</v>
      </c>
      <c r="F4755">
        <v>0</v>
      </c>
      <c r="G4755">
        <v>0</v>
      </c>
      <c r="H4755">
        <v>0</v>
      </c>
      <c r="I4755">
        <v>0</v>
      </c>
      <c r="J4755">
        <v>749.64447780048295</v>
      </c>
      <c r="K4755">
        <v>695.32095342827802</v>
      </c>
      <c r="L4755">
        <v>66.010000000000005</v>
      </c>
      <c r="M4755">
        <v>50.82</v>
      </c>
      <c r="N4755">
        <v>171.76400000000001</v>
      </c>
    </row>
    <row r="4756" spans="1:14" x14ac:dyDescent="0.45">
      <c r="A4756">
        <v>2002</v>
      </c>
      <c r="B4756" t="s">
        <v>230</v>
      </c>
      <c r="C4756">
        <v>1</v>
      </c>
      <c r="D4756">
        <v>0</v>
      </c>
      <c r="E4756">
        <v>0</v>
      </c>
      <c r="F4756">
        <v>1</v>
      </c>
      <c r="G4756">
        <v>0</v>
      </c>
      <c r="H4756">
        <v>0</v>
      </c>
      <c r="I4756">
        <v>0</v>
      </c>
      <c r="J4756">
        <v>12661.232540962699</v>
      </c>
      <c r="K4756">
        <v>11133.3226325578</v>
      </c>
      <c r="L4756">
        <v>46.784999999999997</v>
      </c>
      <c r="M4756">
        <v>72.599000000000004</v>
      </c>
      <c r="N4756">
        <v>11.667</v>
      </c>
    </row>
    <row r="4757" spans="1:14" x14ac:dyDescent="0.45">
      <c r="A4757">
        <v>2002</v>
      </c>
      <c r="B4757" t="s">
        <v>231</v>
      </c>
      <c r="C4757">
        <v>0</v>
      </c>
      <c r="D4757">
        <v>0</v>
      </c>
      <c r="E4757">
        <v>1</v>
      </c>
      <c r="F4757">
        <v>1</v>
      </c>
      <c r="G4757">
        <v>0</v>
      </c>
      <c r="H4757">
        <v>0</v>
      </c>
      <c r="I4757">
        <v>0</v>
      </c>
      <c r="L4757">
        <v>83.239000000000004</v>
      </c>
      <c r="M4757">
        <v>49.393999999999998</v>
      </c>
      <c r="N4757">
        <v>168.04599999999999</v>
      </c>
    </row>
    <row r="4758" spans="1:14" x14ac:dyDescent="0.45">
      <c r="A4758">
        <v>2002</v>
      </c>
      <c r="B4758" t="s">
        <v>232</v>
      </c>
      <c r="C4758">
        <v>0</v>
      </c>
      <c r="D4758">
        <v>0</v>
      </c>
      <c r="E4758">
        <v>1</v>
      </c>
      <c r="F4758">
        <v>0</v>
      </c>
      <c r="G4758">
        <v>0</v>
      </c>
      <c r="H4758">
        <v>0</v>
      </c>
      <c r="I4758">
        <v>0</v>
      </c>
      <c r="J4758">
        <v>3942.7604069511499</v>
      </c>
      <c r="K4758">
        <v>2453.9121037055102</v>
      </c>
      <c r="L4758">
        <v>44.445</v>
      </c>
      <c r="M4758">
        <v>61.826000000000001</v>
      </c>
      <c r="N4758">
        <v>69.650999999999996</v>
      </c>
    </row>
    <row r="4759" spans="1:14" x14ac:dyDescent="0.45">
      <c r="A4759">
        <v>2002</v>
      </c>
      <c r="B4759" t="s">
        <v>233</v>
      </c>
      <c r="C4759">
        <v>0</v>
      </c>
      <c r="D4759">
        <v>1</v>
      </c>
      <c r="E4759">
        <v>0</v>
      </c>
      <c r="F4759">
        <v>1</v>
      </c>
      <c r="G4759">
        <v>0</v>
      </c>
      <c r="H4759">
        <v>0</v>
      </c>
      <c r="I4759">
        <v>0</v>
      </c>
      <c r="J4759">
        <v>16678.071870658201</v>
      </c>
      <c r="K4759">
        <v>13275.4054162144</v>
      </c>
      <c r="L4759">
        <v>33.408999999999999</v>
      </c>
      <c r="M4759">
        <v>65.274000000000001</v>
      </c>
      <c r="N4759">
        <v>29.088999999999999</v>
      </c>
    </row>
    <row r="4760" spans="1:14" x14ac:dyDescent="0.45">
      <c r="A4760">
        <v>2002</v>
      </c>
      <c r="B4760" t="s">
        <v>234</v>
      </c>
      <c r="C4760">
        <v>1</v>
      </c>
      <c r="D4760">
        <v>0</v>
      </c>
      <c r="E4760">
        <v>0</v>
      </c>
      <c r="F4760">
        <v>0</v>
      </c>
      <c r="G4760">
        <v>1</v>
      </c>
      <c r="H4760">
        <v>0</v>
      </c>
      <c r="I4760">
        <v>0</v>
      </c>
      <c r="J4760">
        <v>19748.893186228401</v>
      </c>
      <c r="K4760">
        <v>17009.382699956899</v>
      </c>
      <c r="L4760">
        <v>43.987000000000002</v>
      </c>
      <c r="M4760">
        <v>73.765000000000001</v>
      </c>
      <c r="N4760">
        <v>9.0169999999999995</v>
      </c>
    </row>
    <row r="4761" spans="1:14" x14ac:dyDescent="0.45">
      <c r="A4761">
        <v>2002</v>
      </c>
      <c r="B4761" t="s">
        <v>235</v>
      </c>
      <c r="C4761">
        <v>1</v>
      </c>
      <c r="D4761">
        <v>0</v>
      </c>
      <c r="E4761">
        <v>0</v>
      </c>
      <c r="F4761">
        <v>0</v>
      </c>
      <c r="G4761">
        <v>0</v>
      </c>
      <c r="H4761">
        <v>1</v>
      </c>
      <c r="I4761">
        <v>1</v>
      </c>
      <c r="J4761">
        <v>31838.546904358602</v>
      </c>
      <c r="K4761">
        <v>27406.7705437605</v>
      </c>
      <c r="L4761">
        <v>49.143000000000001</v>
      </c>
      <c r="M4761">
        <v>76.316000000000003</v>
      </c>
      <c r="N4761">
        <v>4.75</v>
      </c>
    </row>
    <row r="4762" spans="1:14" x14ac:dyDescent="0.45">
      <c r="A4762">
        <v>2002</v>
      </c>
      <c r="B4762" t="s">
        <v>236</v>
      </c>
      <c r="C4762">
        <v>1</v>
      </c>
      <c r="D4762">
        <v>0</v>
      </c>
      <c r="E4762">
        <v>0</v>
      </c>
      <c r="F4762">
        <v>0</v>
      </c>
      <c r="G4762">
        <v>0</v>
      </c>
      <c r="H4762">
        <v>1</v>
      </c>
      <c r="I4762">
        <v>1</v>
      </c>
      <c r="J4762">
        <v>49337.9339663754</v>
      </c>
      <c r="K4762">
        <v>42145.373570658303</v>
      </c>
      <c r="L4762">
        <v>15.867000000000001</v>
      </c>
      <c r="M4762">
        <v>79.935000000000002</v>
      </c>
      <c r="N4762">
        <v>4.0960000000000001</v>
      </c>
    </row>
    <row r="4763" spans="1:14" x14ac:dyDescent="0.45">
      <c r="A4763">
        <v>2002</v>
      </c>
      <c r="B4763" t="s">
        <v>237</v>
      </c>
      <c r="C4763">
        <v>0</v>
      </c>
      <c r="D4763">
        <v>0</v>
      </c>
      <c r="E4763">
        <v>1</v>
      </c>
      <c r="F4763">
        <v>1</v>
      </c>
      <c r="G4763">
        <v>0</v>
      </c>
      <c r="H4763">
        <v>0</v>
      </c>
      <c r="I4763">
        <v>0</v>
      </c>
      <c r="J4763">
        <v>6417.8102331970404</v>
      </c>
      <c r="K4763">
        <v>5682.9721372331396</v>
      </c>
      <c r="L4763">
        <v>77.575000000000003</v>
      </c>
      <c r="M4763">
        <v>45.38</v>
      </c>
      <c r="N4763">
        <v>116.562</v>
      </c>
    </row>
    <row r="4764" spans="1:14" x14ac:dyDescent="0.45">
      <c r="A4764">
        <v>2002</v>
      </c>
      <c r="B4764" t="s">
        <v>238</v>
      </c>
      <c r="C4764">
        <v>0</v>
      </c>
      <c r="D4764">
        <v>1</v>
      </c>
      <c r="E4764">
        <v>0</v>
      </c>
      <c r="F4764">
        <v>0</v>
      </c>
      <c r="G4764">
        <v>0</v>
      </c>
      <c r="H4764">
        <v>1</v>
      </c>
      <c r="I4764">
        <v>1</v>
      </c>
      <c r="L4764">
        <v>0</v>
      </c>
      <c r="M4764">
        <v>74.584999999999994</v>
      </c>
      <c r="N4764">
        <v>18.733000000000001</v>
      </c>
    </row>
    <row r="4765" spans="1:14" x14ac:dyDescent="0.45">
      <c r="A4765">
        <v>2002</v>
      </c>
      <c r="B4765" t="s">
        <v>239</v>
      </c>
      <c r="C4765">
        <v>0</v>
      </c>
      <c r="D4765">
        <v>0</v>
      </c>
      <c r="E4765">
        <v>1</v>
      </c>
      <c r="F4765">
        <v>0</v>
      </c>
      <c r="G4765">
        <v>1</v>
      </c>
      <c r="H4765">
        <v>0</v>
      </c>
      <c r="I4765">
        <v>0</v>
      </c>
      <c r="J4765">
        <v>19777.7525249721</v>
      </c>
      <c r="K4765">
        <v>19201.228664869301</v>
      </c>
      <c r="L4765">
        <v>49.124000000000002</v>
      </c>
      <c r="M4765">
        <v>71.546000000000006</v>
      </c>
      <c r="N4765">
        <v>13.754</v>
      </c>
    </row>
    <row r="4766" spans="1:14" x14ac:dyDescent="0.45">
      <c r="A4766">
        <v>2002</v>
      </c>
      <c r="B4766" t="s">
        <v>240</v>
      </c>
      <c r="C4766">
        <v>0</v>
      </c>
      <c r="D4766">
        <v>0</v>
      </c>
      <c r="E4766">
        <v>0</v>
      </c>
      <c r="F4766">
        <v>1</v>
      </c>
      <c r="G4766">
        <v>0</v>
      </c>
      <c r="H4766">
        <v>0</v>
      </c>
      <c r="I4766">
        <v>0</v>
      </c>
      <c r="J4766">
        <v>7811.8160191097204</v>
      </c>
      <c r="K4766">
        <v>5123.9843930950501</v>
      </c>
      <c r="L4766">
        <v>47.317999999999998</v>
      </c>
      <c r="M4766">
        <v>71.742000000000004</v>
      </c>
      <c r="N4766">
        <v>21.838000000000001</v>
      </c>
    </row>
    <row r="4767" spans="1:14" x14ac:dyDescent="0.45">
      <c r="A4767">
        <v>2002</v>
      </c>
      <c r="B4767" t="s">
        <v>241</v>
      </c>
      <c r="C4767">
        <v>0</v>
      </c>
      <c r="D4767">
        <v>1</v>
      </c>
      <c r="E4767">
        <v>0</v>
      </c>
      <c r="F4767">
        <v>0</v>
      </c>
      <c r="G4767">
        <v>0</v>
      </c>
      <c r="H4767">
        <v>1</v>
      </c>
      <c r="I4767">
        <v>1</v>
      </c>
      <c r="L4767">
        <v>13.993</v>
      </c>
      <c r="M4767">
        <v>74.843000000000004</v>
      </c>
      <c r="N4767">
        <v>9.7750000000000004</v>
      </c>
    </row>
    <row r="4768" spans="1:14" x14ac:dyDescent="0.45">
      <c r="A4768">
        <v>2002</v>
      </c>
      <c r="B4768" t="s">
        <v>242</v>
      </c>
      <c r="C4768">
        <v>0</v>
      </c>
      <c r="D4768">
        <v>0</v>
      </c>
      <c r="E4768">
        <v>1</v>
      </c>
      <c r="F4768">
        <v>0</v>
      </c>
      <c r="G4768">
        <v>0</v>
      </c>
      <c r="H4768">
        <v>0</v>
      </c>
      <c r="I4768">
        <v>0</v>
      </c>
      <c r="J4768">
        <v>1697.9715720153499</v>
      </c>
      <c r="K4768">
        <v>1426.3575507630801</v>
      </c>
      <c r="L4768">
        <v>78.298000000000002</v>
      </c>
      <c r="M4768">
        <v>48.36</v>
      </c>
      <c r="N4768">
        <v>177.417</v>
      </c>
    </row>
    <row r="4769" spans="1:14" x14ac:dyDescent="0.45">
      <c r="A4769">
        <v>2002</v>
      </c>
      <c r="B4769" t="s">
        <v>243</v>
      </c>
      <c r="C4769">
        <v>0</v>
      </c>
      <c r="D4769">
        <v>0</v>
      </c>
      <c r="E4769">
        <v>1</v>
      </c>
      <c r="F4769">
        <v>0</v>
      </c>
      <c r="G4769">
        <v>0</v>
      </c>
      <c r="H4769">
        <v>0</v>
      </c>
      <c r="I4769">
        <v>0</v>
      </c>
      <c r="J4769">
        <v>2084.23035181359</v>
      </c>
      <c r="K4769">
        <v>1732.0740876748901</v>
      </c>
      <c r="L4769">
        <v>66.191000000000003</v>
      </c>
      <c r="M4769">
        <v>55.031999999999996</v>
      </c>
      <c r="N4769">
        <v>113.20699999999999</v>
      </c>
    </row>
    <row r="4770" spans="1:14" x14ac:dyDescent="0.45">
      <c r="A4770">
        <v>2002</v>
      </c>
      <c r="B4770" t="s">
        <v>244</v>
      </c>
      <c r="C4770">
        <v>0</v>
      </c>
      <c r="D4770">
        <v>0</v>
      </c>
      <c r="E4770">
        <v>0</v>
      </c>
      <c r="F4770">
        <v>1</v>
      </c>
      <c r="G4770">
        <v>0</v>
      </c>
      <c r="H4770">
        <v>0</v>
      </c>
      <c r="I4770">
        <v>0</v>
      </c>
      <c r="J4770">
        <v>12512.1831324963</v>
      </c>
      <c r="K4770">
        <v>10942.2429162471</v>
      </c>
      <c r="L4770">
        <v>66.266000000000005</v>
      </c>
      <c r="M4770">
        <v>71.775000000000006</v>
      </c>
      <c r="N4770">
        <v>19.141999999999999</v>
      </c>
    </row>
    <row r="4771" spans="1:14" x14ac:dyDescent="0.45">
      <c r="A4771">
        <v>2002</v>
      </c>
      <c r="B4771" t="s">
        <v>245</v>
      </c>
      <c r="C4771">
        <v>1</v>
      </c>
      <c r="D4771">
        <v>0</v>
      </c>
      <c r="E4771">
        <v>0</v>
      </c>
      <c r="F4771">
        <v>0</v>
      </c>
      <c r="G4771">
        <v>0</v>
      </c>
      <c r="H4771">
        <v>0</v>
      </c>
      <c r="I4771">
        <v>0</v>
      </c>
      <c r="J4771">
        <v>1594.93890470219</v>
      </c>
      <c r="K4771">
        <v>1452.5670063830501</v>
      </c>
      <c r="L4771">
        <v>73.495000000000005</v>
      </c>
      <c r="M4771">
        <v>64.897999999999996</v>
      </c>
      <c r="N4771">
        <v>71.575999999999993</v>
      </c>
    </row>
    <row r="4772" spans="1:14" x14ac:dyDescent="0.45">
      <c r="A4772">
        <v>2002</v>
      </c>
      <c r="B4772" t="s">
        <v>246</v>
      </c>
      <c r="C4772">
        <v>1</v>
      </c>
      <c r="D4772">
        <v>0</v>
      </c>
      <c r="E4772">
        <v>0</v>
      </c>
      <c r="F4772">
        <v>1</v>
      </c>
      <c r="G4772">
        <v>0</v>
      </c>
      <c r="H4772">
        <v>0</v>
      </c>
      <c r="I4772">
        <v>0</v>
      </c>
      <c r="J4772">
        <v>5138.87117760604</v>
      </c>
      <c r="K4772">
        <v>4836.8027929595701</v>
      </c>
      <c r="L4772">
        <v>53.637999999999998</v>
      </c>
      <c r="M4772">
        <v>65.593000000000004</v>
      </c>
      <c r="N4772">
        <v>61.661000000000001</v>
      </c>
    </row>
    <row r="4773" spans="1:14" x14ac:dyDescent="0.45">
      <c r="A4773">
        <v>2002</v>
      </c>
      <c r="B4773" t="s">
        <v>247</v>
      </c>
      <c r="C4773">
        <v>0</v>
      </c>
      <c r="D4773">
        <v>0</v>
      </c>
      <c r="E4773">
        <v>0</v>
      </c>
      <c r="F4773">
        <v>0</v>
      </c>
      <c r="G4773">
        <v>0</v>
      </c>
      <c r="H4773">
        <v>0</v>
      </c>
      <c r="I4773">
        <v>0</v>
      </c>
      <c r="J4773">
        <v>3482.6527221669298</v>
      </c>
      <c r="K4773">
        <v>2810.0223858714298</v>
      </c>
      <c r="L4773">
        <v>75.021000000000001</v>
      </c>
      <c r="M4773">
        <v>59.476999999999997</v>
      </c>
      <c r="N4773">
        <v>101.20399999999999</v>
      </c>
    </row>
    <row r="4774" spans="1:14" x14ac:dyDescent="0.45">
      <c r="A4774">
        <v>2002</v>
      </c>
      <c r="B4774" t="s">
        <v>248</v>
      </c>
      <c r="C4774">
        <v>0</v>
      </c>
      <c r="D4774">
        <v>0</v>
      </c>
      <c r="E4774">
        <v>0</v>
      </c>
      <c r="F4774">
        <v>1</v>
      </c>
      <c r="G4774">
        <v>0</v>
      </c>
      <c r="H4774">
        <v>0</v>
      </c>
      <c r="I4774">
        <v>0</v>
      </c>
      <c r="J4774">
        <v>6085.1132319362896</v>
      </c>
      <c r="K4774">
        <v>5508.4347819213999</v>
      </c>
      <c r="L4774">
        <v>76.930999999999997</v>
      </c>
      <c r="M4774">
        <v>70.03</v>
      </c>
      <c r="N4774">
        <v>15.978999999999999</v>
      </c>
    </row>
    <row r="4775" spans="1:14" x14ac:dyDescent="0.45">
      <c r="A4775">
        <v>2002</v>
      </c>
      <c r="B4775" t="s">
        <v>249</v>
      </c>
      <c r="C4775">
        <v>0</v>
      </c>
      <c r="D4775">
        <v>1</v>
      </c>
      <c r="E4775">
        <v>0</v>
      </c>
      <c r="F4775">
        <v>0</v>
      </c>
      <c r="G4775">
        <v>1</v>
      </c>
      <c r="H4775">
        <v>0</v>
      </c>
      <c r="I4775">
        <v>0</v>
      </c>
      <c r="J4775">
        <v>21904.9209746374</v>
      </c>
      <c r="K4775">
        <v>18281.694260948301</v>
      </c>
      <c r="L4775">
        <v>44.47</v>
      </c>
      <c r="M4775">
        <v>69.231999999999999</v>
      </c>
      <c r="N4775">
        <v>27.012</v>
      </c>
    </row>
    <row r="4776" spans="1:14" x14ac:dyDescent="0.45">
      <c r="A4776">
        <v>2002</v>
      </c>
      <c r="B4776" t="s">
        <v>250</v>
      </c>
      <c r="C4776">
        <v>0</v>
      </c>
      <c r="D4776">
        <v>0</v>
      </c>
      <c r="E4776">
        <v>0</v>
      </c>
      <c r="F4776">
        <v>1</v>
      </c>
      <c r="G4776">
        <v>0</v>
      </c>
      <c r="H4776">
        <v>0</v>
      </c>
      <c r="I4776">
        <v>0</v>
      </c>
      <c r="J4776">
        <v>9407.5464346931403</v>
      </c>
      <c r="K4776">
        <v>8198.5195708971005</v>
      </c>
      <c r="L4776">
        <v>35.798000000000002</v>
      </c>
      <c r="M4776">
        <v>73.069999999999993</v>
      </c>
      <c r="N4776">
        <v>25.93</v>
      </c>
    </row>
    <row r="4777" spans="1:14" x14ac:dyDescent="0.45">
      <c r="A4777">
        <v>2002</v>
      </c>
      <c r="B4777" t="s">
        <v>251</v>
      </c>
      <c r="C4777">
        <v>1</v>
      </c>
      <c r="D4777">
        <v>0</v>
      </c>
      <c r="E4777">
        <v>0</v>
      </c>
      <c r="F4777">
        <v>1</v>
      </c>
      <c r="G4777">
        <v>0</v>
      </c>
      <c r="H4777">
        <v>0</v>
      </c>
      <c r="I4777">
        <v>0</v>
      </c>
      <c r="J4777">
        <v>14427.760862544499</v>
      </c>
      <c r="K4777">
        <v>14466.357438499799</v>
      </c>
      <c r="L4777">
        <v>34.026000000000003</v>
      </c>
      <c r="M4777">
        <v>72.605000000000004</v>
      </c>
      <c r="N4777">
        <v>32.314999999999998</v>
      </c>
    </row>
    <row r="4778" spans="1:14" x14ac:dyDescent="0.45">
      <c r="A4778">
        <v>2002</v>
      </c>
      <c r="B4778" t="s">
        <v>252</v>
      </c>
      <c r="C4778">
        <v>0</v>
      </c>
      <c r="D4778">
        <v>0</v>
      </c>
      <c r="E4778">
        <v>0</v>
      </c>
      <c r="F4778">
        <v>1</v>
      </c>
      <c r="G4778">
        <v>0</v>
      </c>
      <c r="H4778">
        <v>0</v>
      </c>
      <c r="I4778">
        <v>0</v>
      </c>
      <c r="J4778">
        <v>4042.90117614992</v>
      </c>
      <c r="K4778">
        <v>3657.4284020257501</v>
      </c>
      <c r="L4778">
        <v>53.158999999999999</v>
      </c>
      <c r="M4778">
        <v>63.825000000000003</v>
      </c>
      <c r="N4778">
        <v>40.692</v>
      </c>
    </row>
    <row r="4779" spans="1:14" x14ac:dyDescent="0.45">
      <c r="A4779">
        <v>2002</v>
      </c>
      <c r="B4779" t="s">
        <v>253</v>
      </c>
      <c r="C4779">
        <v>0</v>
      </c>
      <c r="D4779">
        <v>0</v>
      </c>
      <c r="E4779">
        <v>0</v>
      </c>
      <c r="F4779">
        <v>0</v>
      </c>
      <c r="G4779">
        <v>0</v>
      </c>
      <c r="H4779">
        <v>1</v>
      </c>
      <c r="I4779">
        <v>1</v>
      </c>
      <c r="L4779">
        <v>61.575000000000003</v>
      </c>
      <c r="M4779">
        <v>76.870999999999995</v>
      </c>
      <c r="N4779">
        <v>7.6820000000000004</v>
      </c>
    </row>
    <row r="4780" spans="1:14" x14ac:dyDescent="0.45">
      <c r="A4780">
        <v>2002</v>
      </c>
      <c r="B4780" t="s">
        <v>254</v>
      </c>
      <c r="C4780">
        <v>0</v>
      </c>
      <c r="D4780">
        <v>0</v>
      </c>
      <c r="E4780">
        <v>1</v>
      </c>
      <c r="F4780">
        <v>0</v>
      </c>
      <c r="G4780">
        <v>0</v>
      </c>
      <c r="H4780">
        <v>0</v>
      </c>
      <c r="I4780">
        <v>0</v>
      </c>
      <c r="J4780">
        <v>1982.64428710938</v>
      </c>
      <c r="K4780">
        <v>1476.8057804857101</v>
      </c>
      <c r="L4780">
        <v>76.956000000000003</v>
      </c>
      <c r="M4780">
        <v>54.94</v>
      </c>
      <c r="N4780">
        <v>113.435</v>
      </c>
    </row>
    <row r="4781" spans="1:14" x14ac:dyDescent="0.45">
      <c r="A4781">
        <v>2002</v>
      </c>
      <c r="B4781" t="s">
        <v>255</v>
      </c>
      <c r="C4781">
        <v>0</v>
      </c>
      <c r="D4781">
        <v>0</v>
      </c>
      <c r="E4781">
        <v>1</v>
      </c>
      <c r="F4781">
        <v>0</v>
      </c>
      <c r="G4781">
        <v>0</v>
      </c>
      <c r="H4781">
        <v>0</v>
      </c>
      <c r="I4781">
        <v>0</v>
      </c>
      <c r="J4781">
        <v>1598.5828380849</v>
      </c>
      <c r="K4781">
        <v>1356.08509575061</v>
      </c>
      <c r="L4781">
        <v>84.373999999999995</v>
      </c>
      <c r="M4781">
        <v>51.442999999999998</v>
      </c>
      <c r="N4781">
        <v>129.245</v>
      </c>
    </row>
    <row r="4782" spans="1:14" x14ac:dyDescent="0.45">
      <c r="A4782">
        <v>2002</v>
      </c>
      <c r="B4782" t="s">
        <v>256</v>
      </c>
      <c r="C4782">
        <v>1</v>
      </c>
      <c r="D4782">
        <v>0</v>
      </c>
      <c r="E4782">
        <v>0</v>
      </c>
      <c r="F4782">
        <v>1</v>
      </c>
      <c r="G4782">
        <v>0</v>
      </c>
      <c r="H4782">
        <v>0</v>
      </c>
      <c r="I4782">
        <v>0</v>
      </c>
      <c r="J4782">
        <v>12092.7890625</v>
      </c>
      <c r="K4782">
        <v>8553.0547598139492</v>
      </c>
      <c r="L4782">
        <v>32.716999999999999</v>
      </c>
      <c r="M4782">
        <v>67.698999999999998</v>
      </c>
      <c r="N4782">
        <v>14.237</v>
      </c>
    </row>
    <row r="4783" spans="1:14" x14ac:dyDescent="0.45">
      <c r="A4783">
        <v>2002</v>
      </c>
      <c r="B4783" t="s">
        <v>257</v>
      </c>
      <c r="C4783">
        <v>0</v>
      </c>
      <c r="D4783">
        <v>1</v>
      </c>
      <c r="E4783">
        <v>0</v>
      </c>
      <c r="F4783">
        <v>0</v>
      </c>
      <c r="G4783">
        <v>1</v>
      </c>
      <c r="H4783">
        <v>0</v>
      </c>
      <c r="I4783">
        <v>0</v>
      </c>
      <c r="J4783">
        <v>16572.788176013401</v>
      </c>
      <c r="K4783">
        <v>13145.014848198</v>
      </c>
      <c r="L4783">
        <v>7.431</v>
      </c>
      <c r="M4783">
        <v>74.978999999999999</v>
      </c>
      <c r="N4783">
        <v>16.867000000000001</v>
      </c>
    </row>
    <row r="4784" spans="1:14" x14ac:dyDescent="0.45">
      <c r="A4784">
        <v>2002</v>
      </c>
      <c r="B4784" t="s">
        <v>258</v>
      </c>
      <c r="C4784">
        <v>0</v>
      </c>
      <c r="D4784">
        <v>0</v>
      </c>
      <c r="E4784">
        <v>0</v>
      </c>
      <c r="F4784">
        <v>0</v>
      </c>
      <c r="G4784">
        <v>0</v>
      </c>
      <c r="H4784">
        <v>1</v>
      </c>
      <c r="I4784">
        <v>1</v>
      </c>
      <c r="J4784">
        <v>55436.1169800356</v>
      </c>
      <c r="K4784">
        <v>50317.955710427603</v>
      </c>
      <c r="L4784">
        <v>20.591000000000001</v>
      </c>
      <c r="M4784">
        <v>76.988</v>
      </c>
      <c r="N4784">
        <v>8.2620000000000005</v>
      </c>
    </row>
    <row r="4785" spans="1:14" x14ac:dyDescent="0.45">
      <c r="A4785">
        <v>2002</v>
      </c>
      <c r="B4785" t="s">
        <v>259</v>
      </c>
      <c r="C4785">
        <v>1</v>
      </c>
      <c r="D4785">
        <v>0</v>
      </c>
      <c r="E4785">
        <v>0</v>
      </c>
      <c r="F4785">
        <v>0</v>
      </c>
      <c r="G4785">
        <v>0</v>
      </c>
      <c r="H4785">
        <v>0</v>
      </c>
      <c r="I4785">
        <v>0</v>
      </c>
      <c r="J4785">
        <v>3604.69346202514</v>
      </c>
      <c r="K4785">
        <v>3502.0930788555402</v>
      </c>
      <c r="L4785">
        <v>52.911999999999999</v>
      </c>
      <c r="M4785">
        <v>66.376000000000005</v>
      </c>
      <c r="N4785">
        <v>55.082999999999998</v>
      </c>
    </row>
    <row r="4786" spans="1:14" x14ac:dyDescent="0.45">
      <c r="A4786">
        <v>2002</v>
      </c>
      <c r="B4786" t="s">
        <v>260</v>
      </c>
      <c r="C4786">
        <v>0</v>
      </c>
      <c r="D4786">
        <v>1</v>
      </c>
      <c r="E4786">
        <v>0</v>
      </c>
      <c r="F4786">
        <v>1</v>
      </c>
      <c r="G4786">
        <v>0</v>
      </c>
      <c r="H4786">
        <v>0</v>
      </c>
      <c r="I4786">
        <v>0</v>
      </c>
      <c r="J4786">
        <v>10736.087871416399</v>
      </c>
      <c r="K4786">
        <v>9382.9240078599305</v>
      </c>
      <c r="L4786">
        <v>54.085999999999999</v>
      </c>
      <c r="M4786">
        <v>70.658000000000001</v>
      </c>
      <c r="N4786">
        <v>18.706</v>
      </c>
    </row>
    <row r="4787" spans="1:14" x14ac:dyDescent="0.45">
      <c r="A4787">
        <v>2002</v>
      </c>
      <c r="B4787" t="s">
        <v>261</v>
      </c>
      <c r="C4787">
        <v>0</v>
      </c>
      <c r="D4787">
        <v>1</v>
      </c>
      <c r="E4787">
        <v>0</v>
      </c>
      <c r="F4787">
        <v>0</v>
      </c>
      <c r="G4787">
        <v>1</v>
      </c>
      <c r="H4787">
        <v>0</v>
      </c>
      <c r="I4787">
        <v>0</v>
      </c>
      <c r="L4787">
        <v>12.124000000000001</v>
      </c>
      <c r="M4787">
        <v>72.822999999999993</v>
      </c>
      <c r="N4787">
        <v>20.431000000000001</v>
      </c>
    </row>
    <row r="4788" spans="1:14" x14ac:dyDescent="0.45">
      <c r="A4788">
        <v>2002</v>
      </c>
      <c r="B4788" t="s">
        <v>262</v>
      </c>
      <c r="C4788">
        <v>0</v>
      </c>
      <c r="D4788">
        <v>1</v>
      </c>
      <c r="E4788">
        <v>0</v>
      </c>
      <c r="F4788">
        <v>0</v>
      </c>
      <c r="G4788">
        <v>0</v>
      </c>
      <c r="H4788">
        <v>1</v>
      </c>
      <c r="I4788">
        <v>1</v>
      </c>
      <c r="L4788">
        <v>57.671999999999997</v>
      </c>
      <c r="M4788">
        <v>74.971000000000004</v>
      </c>
      <c r="N4788">
        <v>16.515000000000001</v>
      </c>
    </row>
    <row r="4789" spans="1:14" x14ac:dyDescent="0.45">
      <c r="A4789">
        <v>2002</v>
      </c>
      <c r="B4789" t="s">
        <v>263</v>
      </c>
      <c r="C4789">
        <v>0</v>
      </c>
      <c r="D4789">
        <v>1</v>
      </c>
      <c r="E4789">
        <v>0</v>
      </c>
      <c r="F4789">
        <v>0</v>
      </c>
      <c r="G4789">
        <v>0</v>
      </c>
      <c r="H4789">
        <v>1</v>
      </c>
      <c r="I4789">
        <v>1</v>
      </c>
      <c r="J4789">
        <v>54299.229869939401</v>
      </c>
      <c r="K4789">
        <v>42525.756757334799</v>
      </c>
      <c r="L4789">
        <v>6.9640000000000004</v>
      </c>
      <c r="M4789">
        <v>72.054000000000002</v>
      </c>
      <c r="N4789">
        <v>11.007999999999999</v>
      </c>
    </row>
    <row r="4790" spans="1:14" x14ac:dyDescent="0.45">
      <c r="A4790">
        <v>2002</v>
      </c>
      <c r="B4790" t="s">
        <v>264</v>
      </c>
      <c r="C4790">
        <v>0</v>
      </c>
      <c r="D4790">
        <v>0</v>
      </c>
      <c r="E4790">
        <v>0</v>
      </c>
      <c r="F4790">
        <v>0</v>
      </c>
      <c r="G4790">
        <v>0</v>
      </c>
      <c r="H4790">
        <v>0</v>
      </c>
      <c r="I4790">
        <v>0</v>
      </c>
      <c r="J4790">
        <v>4809.6215111853498</v>
      </c>
      <c r="K4790">
        <v>4285.7714410257504</v>
      </c>
      <c r="L4790">
        <v>74.489000000000004</v>
      </c>
      <c r="M4790">
        <v>73.138000000000005</v>
      </c>
      <c r="N4790">
        <v>27.908000000000001</v>
      </c>
    </row>
    <row r="4791" spans="1:14" x14ac:dyDescent="0.45">
      <c r="A4791">
        <v>2002</v>
      </c>
      <c r="B4791" t="s">
        <v>265</v>
      </c>
      <c r="C4791">
        <v>0</v>
      </c>
      <c r="D4791">
        <v>0</v>
      </c>
      <c r="E4791">
        <v>0</v>
      </c>
      <c r="F4791">
        <v>1</v>
      </c>
      <c r="G4791">
        <v>0</v>
      </c>
      <c r="H4791">
        <v>0</v>
      </c>
      <c r="I4791">
        <v>0</v>
      </c>
      <c r="J4791">
        <v>2911.0413470179501</v>
      </c>
      <c r="K4791">
        <v>2633.3319205183502</v>
      </c>
      <c r="L4791">
        <v>77.765000000000001</v>
      </c>
      <c r="M4791">
        <v>68.835999999999999</v>
      </c>
      <c r="N4791">
        <v>28.22</v>
      </c>
    </row>
    <row r="4792" spans="1:14" x14ac:dyDescent="0.45">
      <c r="A4792">
        <v>2002</v>
      </c>
      <c r="B4792" t="s">
        <v>266</v>
      </c>
      <c r="C4792">
        <v>0</v>
      </c>
      <c r="D4792">
        <v>0</v>
      </c>
      <c r="E4792">
        <v>0</v>
      </c>
      <c r="F4792">
        <v>1</v>
      </c>
      <c r="G4792">
        <v>0</v>
      </c>
      <c r="H4792">
        <v>0</v>
      </c>
      <c r="I4792">
        <v>0</v>
      </c>
      <c r="J4792">
        <v>5183.4545624422499</v>
      </c>
      <c r="K4792">
        <v>4688.9599736597102</v>
      </c>
      <c r="L4792">
        <v>78.058999999999997</v>
      </c>
      <c r="M4792">
        <v>71.233000000000004</v>
      </c>
      <c r="N4792">
        <v>20.247</v>
      </c>
    </row>
    <row r="4793" spans="1:14" x14ac:dyDescent="0.45">
      <c r="A4793">
        <v>2002</v>
      </c>
      <c r="B4793" t="s">
        <v>267</v>
      </c>
      <c r="C4793">
        <v>1</v>
      </c>
      <c r="D4793">
        <v>0</v>
      </c>
      <c r="E4793">
        <v>0</v>
      </c>
      <c r="F4793">
        <v>1</v>
      </c>
      <c r="G4793">
        <v>0</v>
      </c>
      <c r="H4793">
        <v>0</v>
      </c>
      <c r="I4793">
        <v>0</v>
      </c>
      <c r="J4793">
        <v>5849.2533439900799</v>
      </c>
      <c r="K4793">
        <v>5309.2095404607398</v>
      </c>
      <c r="L4793">
        <v>46.784999999999997</v>
      </c>
      <c r="M4793">
        <v>72.227000000000004</v>
      </c>
      <c r="N4793">
        <v>40.159999999999997</v>
      </c>
    </row>
    <row r="4794" spans="1:14" x14ac:dyDescent="0.45">
      <c r="A4794">
        <v>2002</v>
      </c>
      <c r="B4794" t="s">
        <v>268</v>
      </c>
      <c r="C4794">
        <v>0</v>
      </c>
      <c r="D4794">
        <v>0</v>
      </c>
      <c r="E4794">
        <v>0</v>
      </c>
      <c r="F4794">
        <v>0</v>
      </c>
      <c r="G4794">
        <v>0</v>
      </c>
      <c r="H4794">
        <v>0</v>
      </c>
      <c r="I4794">
        <v>0</v>
      </c>
      <c r="L4794">
        <v>72.685000000000002</v>
      </c>
      <c r="M4794">
        <v>63.807000000000002</v>
      </c>
      <c r="N4794">
        <v>83.495999999999995</v>
      </c>
    </row>
    <row r="4795" spans="1:14" x14ac:dyDescent="0.45">
      <c r="A4795">
        <v>2002</v>
      </c>
      <c r="B4795" t="s">
        <v>269</v>
      </c>
      <c r="C4795">
        <v>0</v>
      </c>
      <c r="D4795">
        <v>0</v>
      </c>
      <c r="E4795">
        <v>1</v>
      </c>
      <c r="F4795">
        <v>1</v>
      </c>
      <c r="G4795">
        <v>0</v>
      </c>
      <c r="H4795">
        <v>0</v>
      </c>
      <c r="I4795">
        <v>0</v>
      </c>
      <c r="J4795">
        <v>11711.883954208701</v>
      </c>
      <c r="K4795">
        <v>11027.2204902289</v>
      </c>
      <c r="L4795">
        <v>42.101999999999997</v>
      </c>
      <c r="M4795">
        <v>55.58</v>
      </c>
      <c r="N4795">
        <v>77.256</v>
      </c>
    </row>
    <row r="4796" spans="1:14" x14ac:dyDescent="0.45">
      <c r="A4796">
        <v>2002</v>
      </c>
      <c r="B4796" t="s">
        <v>270</v>
      </c>
      <c r="C4796">
        <v>0</v>
      </c>
      <c r="D4796">
        <v>0</v>
      </c>
      <c r="E4796">
        <v>1</v>
      </c>
      <c r="F4796">
        <v>0</v>
      </c>
      <c r="G4796">
        <v>0</v>
      </c>
      <c r="H4796">
        <v>0</v>
      </c>
      <c r="I4796">
        <v>0</v>
      </c>
      <c r="J4796">
        <v>2299.3328918811399</v>
      </c>
      <c r="K4796">
        <v>2158.7453947785798</v>
      </c>
      <c r="L4796">
        <v>64.525000000000006</v>
      </c>
      <c r="M4796">
        <v>48.460999999999999</v>
      </c>
      <c r="N4796">
        <v>134.511</v>
      </c>
    </row>
    <row r="4797" spans="1:14" x14ac:dyDescent="0.45">
      <c r="A4797">
        <v>2002</v>
      </c>
      <c r="B4797" t="s">
        <v>271</v>
      </c>
      <c r="C4797">
        <v>0</v>
      </c>
      <c r="D4797">
        <v>0</v>
      </c>
      <c r="E4797">
        <v>1</v>
      </c>
      <c r="F4797">
        <v>0</v>
      </c>
      <c r="G4797">
        <v>0</v>
      </c>
      <c r="H4797">
        <v>0</v>
      </c>
      <c r="I4797">
        <v>0</v>
      </c>
      <c r="J4797">
        <v>3701.4551630321998</v>
      </c>
      <c r="K4797">
        <v>2464.56168284675</v>
      </c>
      <c r="L4797">
        <v>65.415000000000006</v>
      </c>
      <c r="M4797">
        <v>45.938000000000002</v>
      </c>
      <c r="N4797">
        <v>92.385999999999996</v>
      </c>
    </row>
    <row r="4798" spans="1:14" x14ac:dyDescent="0.45">
      <c r="A4798">
        <v>2003</v>
      </c>
      <c r="B4798" t="s">
        <v>54</v>
      </c>
      <c r="C4798">
        <v>0</v>
      </c>
      <c r="D4798">
        <v>1</v>
      </c>
      <c r="E4798">
        <v>0</v>
      </c>
      <c r="F4798">
        <v>0</v>
      </c>
      <c r="G4798">
        <v>0</v>
      </c>
      <c r="H4798">
        <v>1</v>
      </c>
      <c r="I4798">
        <v>1</v>
      </c>
      <c r="J4798">
        <v>39832.579076460897</v>
      </c>
      <c r="K4798">
        <v>38765.356691102097</v>
      </c>
      <c r="L4798">
        <v>54.393999999999998</v>
      </c>
      <c r="M4798">
        <v>73.236000000000004</v>
      </c>
      <c r="N4798">
        <v>20.428999999999998</v>
      </c>
    </row>
    <row r="4799" spans="1:14" x14ac:dyDescent="0.45">
      <c r="A4799">
        <v>2003</v>
      </c>
      <c r="B4799" t="s">
        <v>55</v>
      </c>
      <c r="C4799">
        <v>0</v>
      </c>
      <c r="D4799">
        <v>0</v>
      </c>
      <c r="E4799">
        <v>0</v>
      </c>
      <c r="F4799">
        <v>0</v>
      </c>
      <c r="G4799">
        <v>0</v>
      </c>
      <c r="H4799">
        <v>0</v>
      </c>
      <c r="I4799">
        <v>0</v>
      </c>
      <c r="J4799">
        <v>1815.9281997958601</v>
      </c>
      <c r="K4799">
        <v>1436.38308882401</v>
      </c>
      <c r="L4799">
        <v>77.647000000000006</v>
      </c>
      <c r="M4799">
        <v>57.170999999999999</v>
      </c>
      <c r="N4799">
        <v>117.82599999999999</v>
      </c>
    </row>
    <row r="4800" spans="1:14" x14ac:dyDescent="0.45">
      <c r="A4800">
        <v>2003</v>
      </c>
      <c r="B4800" t="s">
        <v>56</v>
      </c>
      <c r="C4800">
        <v>0</v>
      </c>
      <c r="D4800">
        <v>0</v>
      </c>
      <c r="E4800">
        <v>1</v>
      </c>
      <c r="F4800">
        <v>0</v>
      </c>
      <c r="G4800">
        <v>0</v>
      </c>
      <c r="H4800">
        <v>0</v>
      </c>
      <c r="I4800">
        <v>0</v>
      </c>
      <c r="J4800">
        <v>6609.2148890238605</v>
      </c>
      <c r="K4800">
        <v>5111.2415918057204</v>
      </c>
      <c r="L4800">
        <v>46.354999999999997</v>
      </c>
      <c r="M4800">
        <v>50.218000000000004</v>
      </c>
      <c r="N4800">
        <v>180.15600000000001</v>
      </c>
    </row>
    <row r="4801" spans="1:14" x14ac:dyDescent="0.45">
      <c r="A4801">
        <v>2003</v>
      </c>
      <c r="B4801" t="s">
        <v>57</v>
      </c>
      <c r="C4801">
        <v>1</v>
      </c>
      <c r="D4801">
        <v>0</v>
      </c>
      <c r="E4801">
        <v>0</v>
      </c>
      <c r="F4801">
        <v>1</v>
      </c>
      <c r="G4801">
        <v>0</v>
      </c>
      <c r="H4801">
        <v>0</v>
      </c>
      <c r="I4801">
        <v>0</v>
      </c>
      <c r="J4801">
        <v>8024.8211150654897</v>
      </c>
      <c r="K4801">
        <v>7270.1198503412697</v>
      </c>
      <c r="L4801">
        <v>55.427</v>
      </c>
      <c r="M4801">
        <v>75.557000000000002</v>
      </c>
      <c r="N4801">
        <v>22.661000000000001</v>
      </c>
    </row>
    <row r="4802" spans="1:14" x14ac:dyDescent="0.45">
      <c r="A4802">
        <v>2003</v>
      </c>
      <c r="B4802" t="s">
        <v>58</v>
      </c>
      <c r="C4802">
        <v>1</v>
      </c>
      <c r="D4802">
        <v>0</v>
      </c>
      <c r="E4802">
        <v>0</v>
      </c>
      <c r="F4802">
        <v>0</v>
      </c>
      <c r="G4802">
        <v>0</v>
      </c>
      <c r="H4802">
        <v>1</v>
      </c>
      <c r="I4802">
        <v>1</v>
      </c>
      <c r="J4802">
        <v>63656.1958332184</v>
      </c>
      <c r="K4802">
        <v>53434.515204054602</v>
      </c>
      <c r="L4802">
        <v>8.7930000000000099</v>
      </c>
      <c r="M4802">
        <v>82.718000000000004</v>
      </c>
      <c r="N4802">
        <v>7.0060000000000002</v>
      </c>
    </row>
    <row r="4803" spans="1:14" x14ac:dyDescent="0.45">
      <c r="A4803">
        <v>2003</v>
      </c>
      <c r="B4803" t="s">
        <v>59</v>
      </c>
      <c r="C4803">
        <v>0</v>
      </c>
      <c r="D4803">
        <v>0</v>
      </c>
      <c r="E4803">
        <v>0</v>
      </c>
      <c r="F4803">
        <v>0</v>
      </c>
      <c r="G4803">
        <v>0</v>
      </c>
      <c r="H4803">
        <v>1</v>
      </c>
      <c r="I4803">
        <v>1</v>
      </c>
      <c r="J4803">
        <v>87150.883379182298</v>
      </c>
      <c r="K4803">
        <v>86102.344102841598</v>
      </c>
      <c r="L4803">
        <v>18.527999999999999</v>
      </c>
      <c r="M4803">
        <v>79.599999999999994</v>
      </c>
      <c r="N4803">
        <v>10.282999999999999</v>
      </c>
    </row>
    <row r="4804" spans="1:14" x14ac:dyDescent="0.45">
      <c r="A4804">
        <v>2003</v>
      </c>
      <c r="B4804" t="s">
        <v>60</v>
      </c>
      <c r="C4804">
        <v>0</v>
      </c>
      <c r="D4804">
        <v>1</v>
      </c>
      <c r="E4804">
        <v>0</v>
      </c>
      <c r="F4804">
        <v>0</v>
      </c>
      <c r="G4804">
        <v>1</v>
      </c>
      <c r="H4804">
        <v>0</v>
      </c>
      <c r="I4804">
        <v>0</v>
      </c>
      <c r="J4804">
        <v>20005.1385113465</v>
      </c>
      <c r="K4804">
        <v>16510.4366827144</v>
      </c>
      <c r="L4804">
        <v>10.314</v>
      </c>
      <c r="M4804">
        <v>74.307000000000002</v>
      </c>
      <c r="N4804">
        <v>19.201000000000001</v>
      </c>
    </row>
    <row r="4805" spans="1:14" x14ac:dyDescent="0.45">
      <c r="A4805">
        <v>2003</v>
      </c>
      <c r="B4805" t="s">
        <v>61</v>
      </c>
      <c r="C4805">
        <v>1</v>
      </c>
      <c r="D4805">
        <v>0</v>
      </c>
      <c r="E4805">
        <v>0</v>
      </c>
      <c r="F4805">
        <v>1</v>
      </c>
      <c r="G4805">
        <v>0</v>
      </c>
      <c r="H4805">
        <v>0</v>
      </c>
      <c r="I4805">
        <v>0</v>
      </c>
      <c r="J4805">
        <v>6569.2602344063098</v>
      </c>
      <c r="K4805">
        <v>5564.8284336794104</v>
      </c>
      <c r="L4805">
        <v>35.863</v>
      </c>
      <c r="M4805">
        <v>71.733999999999995</v>
      </c>
      <c r="N4805">
        <v>26.494</v>
      </c>
    </row>
    <row r="4806" spans="1:14" x14ac:dyDescent="0.45">
      <c r="A4806">
        <v>2003</v>
      </c>
      <c r="B4806" t="s">
        <v>62</v>
      </c>
      <c r="C4806">
        <v>0</v>
      </c>
      <c r="D4806">
        <v>0</v>
      </c>
      <c r="E4806">
        <v>0</v>
      </c>
      <c r="F4806">
        <v>0</v>
      </c>
      <c r="G4806">
        <v>1</v>
      </c>
      <c r="H4806">
        <v>0</v>
      </c>
      <c r="I4806">
        <v>0</v>
      </c>
      <c r="L4806">
        <v>11.702999999999999</v>
      </c>
      <c r="M4806">
        <v>71.697999999999993</v>
      </c>
      <c r="N4806">
        <v>15.207000000000001</v>
      </c>
    </row>
    <row r="4807" spans="1:14" x14ac:dyDescent="0.45">
      <c r="A4807">
        <v>2003</v>
      </c>
      <c r="B4807" t="s">
        <v>63</v>
      </c>
      <c r="C4807">
        <v>0</v>
      </c>
      <c r="D4807">
        <v>1</v>
      </c>
      <c r="E4807">
        <v>0</v>
      </c>
      <c r="F4807">
        <v>0</v>
      </c>
      <c r="G4807">
        <v>1</v>
      </c>
      <c r="H4807">
        <v>0</v>
      </c>
      <c r="I4807">
        <v>0</v>
      </c>
      <c r="J4807">
        <v>25136.001691807</v>
      </c>
      <c r="K4807">
        <v>19797.035279011499</v>
      </c>
      <c r="L4807">
        <v>69.536000000000001</v>
      </c>
      <c r="M4807">
        <v>75.313000000000002</v>
      </c>
      <c r="N4807">
        <v>13.884</v>
      </c>
    </row>
    <row r="4808" spans="1:14" x14ac:dyDescent="0.45">
      <c r="A4808">
        <v>2003</v>
      </c>
      <c r="B4808" t="s">
        <v>64</v>
      </c>
      <c r="C4808">
        <v>0</v>
      </c>
      <c r="D4808">
        <v>0</v>
      </c>
      <c r="E4808">
        <v>0</v>
      </c>
      <c r="F4808">
        <v>0</v>
      </c>
      <c r="G4808">
        <v>0</v>
      </c>
      <c r="H4808">
        <v>1</v>
      </c>
      <c r="I4808">
        <v>1</v>
      </c>
      <c r="J4808">
        <v>47500.835116364702</v>
      </c>
      <c r="K4808">
        <v>41142.923907140401</v>
      </c>
      <c r="L4808">
        <v>15.657</v>
      </c>
      <c r="M4808">
        <v>80.44</v>
      </c>
      <c r="N4808">
        <v>5.8959999999999999</v>
      </c>
    </row>
    <row r="4809" spans="1:14" x14ac:dyDescent="0.45">
      <c r="A4809">
        <v>2003</v>
      </c>
      <c r="B4809" t="s">
        <v>65</v>
      </c>
      <c r="C4809">
        <v>1</v>
      </c>
      <c r="D4809">
        <v>0</v>
      </c>
      <c r="E4809">
        <v>0</v>
      </c>
      <c r="F4809">
        <v>0</v>
      </c>
      <c r="G4809">
        <v>0</v>
      </c>
      <c r="H4809">
        <v>1</v>
      </c>
      <c r="I4809">
        <v>1</v>
      </c>
      <c r="J4809">
        <v>54986.743566720703</v>
      </c>
      <c r="K4809">
        <v>46857.257834426397</v>
      </c>
      <c r="L4809">
        <v>40.625</v>
      </c>
      <c r="M4809">
        <v>78.849000000000004</v>
      </c>
      <c r="N4809">
        <v>5.5640000000000001</v>
      </c>
    </row>
    <row r="4810" spans="1:14" x14ac:dyDescent="0.45">
      <c r="A4810">
        <v>2003</v>
      </c>
      <c r="B4810" t="s">
        <v>66</v>
      </c>
      <c r="C4810">
        <v>1</v>
      </c>
      <c r="D4810">
        <v>0</v>
      </c>
      <c r="E4810">
        <v>0</v>
      </c>
      <c r="F4810">
        <v>1</v>
      </c>
      <c r="G4810">
        <v>0</v>
      </c>
      <c r="H4810">
        <v>0</v>
      </c>
      <c r="I4810">
        <v>0</v>
      </c>
      <c r="J4810">
        <v>7329.4060508829198</v>
      </c>
      <c r="K4810">
        <v>5337.3640426923803</v>
      </c>
      <c r="L4810">
        <v>48.012</v>
      </c>
      <c r="M4810">
        <v>67.036000000000001</v>
      </c>
      <c r="N4810">
        <v>60.777000000000001</v>
      </c>
    </row>
    <row r="4811" spans="1:14" x14ac:dyDescent="0.45">
      <c r="A4811">
        <v>2003</v>
      </c>
      <c r="B4811" t="s">
        <v>67</v>
      </c>
      <c r="C4811">
        <v>0</v>
      </c>
      <c r="D4811">
        <v>0</v>
      </c>
      <c r="E4811">
        <v>1</v>
      </c>
      <c r="F4811">
        <v>0</v>
      </c>
      <c r="G4811">
        <v>0</v>
      </c>
      <c r="H4811">
        <v>0</v>
      </c>
      <c r="I4811">
        <v>0</v>
      </c>
      <c r="J4811">
        <v>955.669204427762</v>
      </c>
      <c r="K4811">
        <v>825.79685894417105</v>
      </c>
      <c r="L4811">
        <v>91.091999999999999</v>
      </c>
      <c r="M4811">
        <v>50.997</v>
      </c>
      <c r="N4811">
        <v>135.86099999999999</v>
      </c>
    </row>
    <row r="4812" spans="1:14" x14ac:dyDescent="0.45">
      <c r="A4812">
        <v>2003</v>
      </c>
      <c r="B4812" t="s">
        <v>68</v>
      </c>
      <c r="C4812">
        <v>1</v>
      </c>
      <c r="D4812">
        <v>0</v>
      </c>
      <c r="E4812">
        <v>0</v>
      </c>
      <c r="F4812">
        <v>0</v>
      </c>
      <c r="G4812">
        <v>0</v>
      </c>
      <c r="H4812">
        <v>1</v>
      </c>
      <c r="I4812">
        <v>1</v>
      </c>
      <c r="J4812">
        <v>51811.692353153099</v>
      </c>
      <c r="K4812">
        <v>43600.400560890099</v>
      </c>
      <c r="L4812">
        <v>2.70399999999999</v>
      </c>
      <c r="M4812">
        <v>78.319999999999993</v>
      </c>
      <c r="N4812">
        <v>5.194</v>
      </c>
    </row>
    <row r="4813" spans="1:14" x14ac:dyDescent="0.45">
      <c r="A4813">
        <v>2003</v>
      </c>
      <c r="B4813" t="s">
        <v>69</v>
      </c>
      <c r="C4813">
        <v>0</v>
      </c>
      <c r="D4813">
        <v>0</v>
      </c>
      <c r="E4813">
        <v>1</v>
      </c>
      <c r="F4813">
        <v>0</v>
      </c>
      <c r="G4813">
        <v>0</v>
      </c>
      <c r="H4813">
        <v>0</v>
      </c>
      <c r="I4813">
        <v>0</v>
      </c>
      <c r="J4813">
        <v>2639.0437011464101</v>
      </c>
      <c r="K4813">
        <v>2503.7976848180601</v>
      </c>
      <c r="L4813">
        <v>60.463999999999999</v>
      </c>
      <c r="M4813">
        <v>57.091999999999999</v>
      </c>
      <c r="N4813">
        <v>127.236</v>
      </c>
    </row>
    <row r="4814" spans="1:14" x14ac:dyDescent="0.45">
      <c r="A4814">
        <v>2003</v>
      </c>
      <c r="B4814" t="s">
        <v>70</v>
      </c>
      <c r="C4814">
        <v>0</v>
      </c>
      <c r="D4814">
        <v>0</v>
      </c>
      <c r="E4814">
        <v>1</v>
      </c>
      <c r="F4814">
        <v>0</v>
      </c>
      <c r="G4814">
        <v>0</v>
      </c>
      <c r="H4814">
        <v>0</v>
      </c>
      <c r="I4814">
        <v>0</v>
      </c>
      <c r="J4814">
        <v>1561.8331018491499</v>
      </c>
      <c r="K4814">
        <v>1428.9790283039099</v>
      </c>
      <c r="L4814">
        <v>80.004000000000005</v>
      </c>
      <c r="M4814">
        <v>51.959000000000003</v>
      </c>
      <c r="N4814">
        <v>164.42500000000001</v>
      </c>
    </row>
    <row r="4815" spans="1:14" x14ac:dyDescent="0.45">
      <c r="A4815">
        <v>2003</v>
      </c>
      <c r="B4815" t="s">
        <v>71</v>
      </c>
      <c r="C4815">
        <v>0</v>
      </c>
      <c r="D4815">
        <v>0</v>
      </c>
      <c r="E4815">
        <v>0</v>
      </c>
      <c r="F4815">
        <v>0</v>
      </c>
      <c r="G4815">
        <v>0</v>
      </c>
      <c r="H4815">
        <v>0</v>
      </c>
      <c r="I4815">
        <v>0</v>
      </c>
      <c r="J4815">
        <v>2958.9150311563299</v>
      </c>
      <c r="K4815">
        <v>2405.5818383973701</v>
      </c>
      <c r="L4815">
        <v>74.570999999999998</v>
      </c>
      <c r="M4815">
        <v>64.287999999999997</v>
      </c>
      <c r="N4815">
        <v>72.358999999999995</v>
      </c>
    </row>
    <row r="4816" spans="1:14" x14ac:dyDescent="0.45">
      <c r="A4816">
        <v>2003</v>
      </c>
      <c r="B4816" t="s">
        <v>72</v>
      </c>
      <c r="C4816">
        <v>1</v>
      </c>
      <c r="D4816">
        <v>0</v>
      </c>
      <c r="E4816">
        <v>0</v>
      </c>
      <c r="F4816">
        <v>1</v>
      </c>
      <c r="G4816">
        <v>0</v>
      </c>
      <c r="H4816">
        <v>0</v>
      </c>
      <c r="I4816">
        <v>0</v>
      </c>
      <c r="J4816">
        <v>15265.574356912701</v>
      </c>
      <c r="K4816">
        <v>12667.3655524036</v>
      </c>
      <c r="L4816">
        <v>30.120999999999999</v>
      </c>
      <c r="M4816">
        <v>72.373000000000005</v>
      </c>
      <c r="N4816">
        <v>14.733000000000001</v>
      </c>
    </row>
    <row r="4817" spans="1:14" x14ac:dyDescent="0.45">
      <c r="A4817">
        <v>2003</v>
      </c>
      <c r="B4817" t="s">
        <v>73</v>
      </c>
      <c r="C4817">
        <v>0</v>
      </c>
      <c r="D4817">
        <v>0</v>
      </c>
      <c r="E4817">
        <v>0</v>
      </c>
      <c r="F4817">
        <v>0</v>
      </c>
      <c r="G4817">
        <v>0</v>
      </c>
      <c r="H4817">
        <v>1</v>
      </c>
      <c r="I4817">
        <v>1</v>
      </c>
      <c r="J4817">
        <v>54431.876355965796</v>
      </c>
      <c r="K4817">
        <v>50717.567483128601</v>
      </c>
      <c r="L4817">
        <v>11.617000000000001</v>
      </c>
      <c r="M4817">
        <v>75.486000000000004</v>
      </c>
      <c r="N4817">
        <v>11.294</v>
      </c>
    </row>
    <row r="4818" spans="1:14" x14ac:dyDescent="0.45">
      <c r="A4818">
        <v>2003</v>
      </c>
      <c r="B4818" t="s">
        <v>74</v>
      </c>
      <c r="C4818">
        <v>0</v>
      </c>
      <c r="D4818">
        <v>1</v>
      </c>
      <c r="E4818">
        <v>0</v>
      </c>
      <c r="F4818">
        <v>0</v>
      </c>
      <c r="G4818">
        <v>0</v>
      </c>
      <c r="H4818">
        <v>1</v>
      </c>
      <c r="I4818">
        <v>1</v>
      </c>
      <c r="J4818">
        <v>34740.676297561302</v>
      </c>
      <c r="K4818">
        <v>36036.016627662997</v>
      </c>
      <c r="L4818">
        <v>17.866</v>
      </c>
      <c r="M4818">
        <v>73.212999999999994</v>
      </c>
      <c r="N4818">
        <v>16.535</v>
      </c>
    </row>
    <row r="4819" spans="1:14" x14ac:dyDescent="0.45">
      <c r="A4819">
        <v>2003</v>
      </c>
      <c r="B4819" t="s">
        <v>75</v>
      </c>
      <c r="C4819">
        <v>1</v>
      </c>
      <c r="D4819">
        <v>0</v>
      </c>
      <c r="E4819">
        <v>0</v>
      </c>
      <c r="F4819">
        <v>1</v>
      </c>
      <c r="G4819">
        <v>0</v>
      </c>
      <c r="H4819">
        <v>0</v>
      </c>
      <c r="I4819">
        <v>0</v>
      </c>
      <c r="J4819">
        <v>8707.0651086220405</v>
      </c>
      <c r="K4819">
        <v>7521.6965082995603</v>
      </c>
      <c r="L4819">
        <v>56.67</v>
      </c>
      <c r="M4819">
        <v>76.448999999999998</v>
      </c>
      <c r="N4819">
        <v>8.3130000000000006</v>
      </c>
    </row>
    <row r="4820" spans="1:14" x14ac:dyDescent="0.45">
      <c r="A4820">
        <v>2003</v>
      </c>
      <c r="B4820" t="s">
        <v>76</v>
      </c>
      <c r="C4820">
        <v>1</v>
      </c>
      <c r="D4820">
        <v>0</v>
      </c>
      <c r="E4820">
        <v>0</v>
      </c>
      <c r="F4820">
        <v>1</v>
      </c>
      <c r="G4820">
        <v>0</v>
      </c>
      <c r="H4820">
        <v>0</v>
      </c>
      <c r="I4820">
        <v>0</v>
      </c>
      <c r="J4820">
        <v>13413.926555682299</v>
      </c>
      <c r="K4820">
        <v>9684.7888193902909</v>
      </c>
      <c r="L4820">
        <v>28.585000000000001</v>
      </c>
      <c r="M4820">
        <v>68.429000000000002</v>
      </c>
      <c r="N4820">
        <v>10.087999999999999</v>
      </c>
    </row>
    <row r="4821" spans="1:14" x14ac:dyDescent="0.45">
      <c r="A4821">
        <v>2003</v>
      </c>
      <c r="B4821" t="s">
        <v>77</v>
      </c>
      <c r="C4821">
        <v>0</v>
      </c>
      <c r="D4821">
        <v>1</v>
      </c>
      <c r="E4821">
        <v>0</v>
      </c>
      <c r="F4821">
        <v>0</v>
      </c>
      <c r="G4821">
        <v>1</v>
      </c>
      <c r="H4821">
        <v>0</v>
      </c>
      <c r="I4821">
        <v>0</v>
      </c>
      <c r="J4821">
        <v>12577.097152013301</v>
      </c>
      <c r="K4821">
        <v>9911.9244554660509</v>
      </c>
      <c r="L4821">
        <v>54.652999999999999</v>
      </c>
      <c r="M4821">
        <v>69.819000000000003</v>
      </c>
      <c r="N4821">
        <v>22.158000000000001</v>
      </c>
    </row>
    <row r="4822" spans="1:14" x14ac:dyDescent="0.45">
      <c r="A4822">
        <v>2003</v>
      </c>
      <c r="B4822" t="s">
        <v>78</v>
      </c>
      <c r="C4822">
        <v>0</v>
      </c>
      <c r="D4822">
        <v>0</v>
      </c>
      <c r="E4822">
        <v>0</v>
      </c>
      <c r="F4822">
        <v>0</v>
      </c>
      <c r="G4822">
        <v>0</v>
      </c>
      <c r="H4822">
        <v>1</v>
      </c>
      <c r="I4822">
        <v>1</v>
      </c>
      <c r="J4822">
        <v>105642.976098631</v>
      </c>
      <c r="K4822">
        <v>93859.972480033204</v>
      </c>
      <c r="L4822">
        <v>0</v>
      </c>
      <c r="M4822">
        <v>78.715000000000003</v>
      </c>
      <c r="N4822">
        <v>5.48</v>
      </c>
    </row>
    <row r="4823" spans="1:14" x14ac:dyDescent="0.45">
      <c r="A4823">
        <v>2003</v>
      </c>
      <c r="B4823" t="s">
        <v>79</v>
      </c>
      <c r="C4823">
        <v>0</v>
      </c>
      <c r="D4823">
        <v>1</v>
      </c>
      <c r="E4823">
        <v>0</v>
      </c>
      <c r="F4823">
        <v>1</v>
      </c>
      <c r="G4823">
        <v>0</v>
      </c>
      <c r="H4823">
        <v>0</v>
      </c>
      <c r="I4823">
        <v>0</v>
      </c>
      <c r="J4823">
        <v>6255.5155826186501</v>
      </c>
      <c r="K4823">
        <v>5520.8066080502203</v>
      </c>
      <c r="L4823">
        <v>36.752000000000002</v>
      </c>
      <c r="M4823">
        <v>63.454999999999998</v>
      </c>
      <c r="N4823">
        <v>84.998999999999995</v>
      </c>
    </row>
    <row r="4824" spans="1:14" x14ac:dyDescent="0.45">
      <c r="A4824">
        <v>2003</v>
      </c>
      <c r="B4824" t="s">
        <v>80</v>
      </c>
      <c r="C4824">
        <v>0</v>
      </c>
      <c r="D4824">
        <v>1</v>
      </c>
      <c r="E4824">
        <v>0</v>
      </c>
      <c r="F4824">
        <v>1</v>
      </c>
      <c r="G4824">
        <v>0</v>
      </c>
      <c r="H4824">
        <v>0</v>
      </c>
      <c r="I4824">
        <v>0</v>
      </c>
      <c r="J4824">
        <v>14259.366408932199</v>
      </c>
      <c r="K4824">
        <v>11712.773918615099</v>
      </c>
      <c r="L4824">
        <v>17.797000000000001</v>
      </c>
      <c r="M4824">
        <v>70.884</v>
      </c>
      <c r="N4824">
        <v>28.303000000000001</v>
      </c>
    </row>
    <row r="4825" spans="1:14" x14ac:dyDescent="0.45">
      <c r="A4825">
        <v>2003</v>
      </c>
      <c r="B4825" t="s">
        <v>81</v>
      </c>
      <c r="C4825">
        <v>0</v>
      </c>
      <c r="D4825">
        <v>1</v>
      </c>
      <c r="E4825">
        <v>0</v>
      </c>
      <c r="F4825">
        <v>0</v>
      </c>
      <c r="G4825">
        <v>1</v>
      </c>
      <c r="H4825">
        <v>0</v>
      </c>
      <c r="I4825">
        <v>0</v>
      </c>
      <c r="J4825">
        <v>18689.3419390136</v>
      </c>
      <c r="K4825">
        <v>17850.1824388438</v>
      </c>
      <c r="L4825">
        <v>66.766000000000005</v>
      </c>
      <c r="M4825">
        <v>74.864999999999995</v>
      </c>
      <c r="N4825">
        <v>15.175000000000001</v>
      </c>
    </row>
    <row r="4826" spans="1:14" x14ac:dyDescent="0.45">
      <c r="A4826">
        <v>2003</v>
      </c>
      <c r="B4826" t="s">
        <v>82</v>
      </c>
      <c r="C4826">
        <v>0</v>
      </c>
      <c r="D4826">
        <v>0</v>
      </c>
      <c r="E4826">
        <v>0</v>
      </c>
      <c r="F4826">
        <v>0</v>
      </c>
      <c r="G4826">
        <v>0</v>
      </c>
      <c r="H4826">
        <v>1</v>
      </c>
      <c r="I4826">
        <v>1</v>
      </c>
      <c r="J4826">
        <v>103226.91428163199</v>
      </c>
      <c r="K4826">
        <v>80600.036483135904</v>
      </c>
      <c r="L4826">
        <v>27.579000000000001</v>
      </c>
      <c r="M4826">
        <v>74.509</v>
      </c>
      <c r="N4826">
        <v>9.8369999999999997</v>
      </c>
    </row>
    <row r="4827" spans="1:14" x14ac:dyDescent="0.45">
      <c r="A4827">
        <v>2003</v>
      </c>
      <c r="B4827" t="s">
        <v>83</v>
      </c>
      <c r="C4827">
        <v>0</v>
      </c>
      <c r="D4827">
        <v>0</v>
      </c>
      <c r="E4827">
        <v>0</v>
      </c>
      <c r="F4827">
        <v>0</v>
      </c>
      <c r="G4827">
        <v>0</v>
      </c>
      <c r="H4827">
        <v>0</v>
      </c>
      <c r="I4827">
        <v>0</v>
      </c>
      <c r="J4827">
        <v>6323.5411950973003</v>
      </c>
      <c r="K4827">
        <v>5476.98635624693</v>
      </c>
      <c r="L4827">
        <v>71.311999999999998</v>
      </c>
      <c r="M4827">
        <v>64.662000000000006</v>
      </c>
      <c r="N4827">
        <v>64.600999999999999</v>
      </c>
    </row>
    <row r="4828" spans="1:14" x14ac:dyDescent="0.45">
      <c r="A4828">
        <v>2003</v>
      </c>
      <c r="B4828" t="s">
        <v>84</v>
      </c>
      <c r="C4828">
        <v>0</v>
      </c>
      <c r="D4828">
        <v>0</v>
      </c>
      <c r="E4828">
        <v>1</v>
      </c>
      <c r="F4828">
        <v>0</v>
      </c>
      <c r="G4828">
        <v>1</v>
      </c>
      <c r="H4828">
        <v>0</v>
      </c>
      <c r="I4828">
        <v>0</v>
      </c>
      <c r="J4828">
        <v>13857.258825225301</v>
      </c>
      <c r="K4828">
        <v>12537.8598109098</v>
      </c>
      <c r="L4828">
        <v>44.970999999999997</v>
      </c>
      <c r="M4828">
        <v>52.850999999999999</v>
      </c>
      <c r="N4828">
        <v>72.924999999999997</v>
      </c>
    </row>
    <row r="4829" spans="1:14" x14ac:dyDescent="0.45">
      <c r="A4829">
        <v>2003</v>
      </c>
      <c r="B4829" t="s">
        <v>85</v>
      </c>
      <c r="C4829">
        <v>0</v>
      </c>
      <c r="D4829">
        <v>0</v>
      </c>
      <c r="E4829">
        <v>1</v>
      </c>
      <c r="F4829">
        <v>0</v>
      </c>
      <c r="G4829">
        <v>0</v>
      </c>
      <c r="H4829">
        <v>0</v>
      </c>
      <c r="I4829">
        <v>0</v>
      </c>
      <c r="J4829">
        <v>1191.8731520061999</v>
      </c>
      <c r="K4829">
        <v>954.27362502754102</v>
      </c>
      <c r="L4829">
        <v>62.116</v>
      </c>
      <c r="M4829">
        <v>47.305999999999997</v>
      </c>
      <c r="N4829">
        <v>155.364</v>
      </c>
    </row>
    <row r="4830" spans="1:14" x14ac:dyDescent="0.45">
      <c r="A4830">
        <v>2003</v>
      </c>
      <c r="B4830" t="s">
        <v>86</v>
      </c>
      <c r="C4830">
        <v>0</v>
      </c>
      <c r="D4830">
        <v>0</v>
      </c>
      <c r="E4830">
        <v>0</v>
      </c>
      <c r="F4830">
        <v>0</v>
      </c>
      <c r="G4830">
        <v>0</v>
      </c>
      <c r="H4830">
        <v>1</v>
      </c>
      <c r="I4830">
        <v>1</v>
      </c>
      <c r="J4830">
        <v>50139.786234700703</v>
      </c>
      <c r="K4830">
        <v>43401.830058874802</v>
      </c>
      <c r="L4830">
        <v>20.033000000000001</v>
      </c>
      <c r="M4830">
        <v>79.736000000000004</v>
      </c>
      <c r="N4830">
        <v>6.2190000000000003</v>
      </c>
    </row>
    <row r="4831" spans="1:14" x14ac:dyDescent="0.45">
      <c r="A4831">
        <v>2003</v>
      </c>
      <c r="B4831" t="s">
        <v>87</v>
      </c>
      <c r="C4831">
        <v>1</v>
      </c>
      <c r="D4831">
        <v>0</v>
      </c>
      <c r="E4831">
        <v>0</v>
      </c>
      <c r="F4831">
        <v>0</v>
      </c>
      <c r="G4831">
        <v>0</v>
      </c>
      <c r="H4831">
        <v>1</v>
      </c>
      <c r="I4831">
        <v>1</v>
      </c>
      <c r="J4831">
        <v>66926.167976443001</v>
      </c>
      <c r="K4831">
        <v>58223.550986967901</v>
      </c>
      <c r="L4831">
        <v>26.573</v>
      </c>
      <c r="M4831">
        <v>80.531999999999996</v>
      </c>
      <c r="N4831">
        <v>5.0519999999999996</v>
      </c>
    </row>
    <row r="4832" spans="1:14" x14ac:dyDescent="0.45">
      <c r="A4832">
        <v>2003</v>
      </c>
      <c r="B4832" t="s">
        <v>88</v>
      </c>
      <c r="C4832">
        <v>1</v>
      </c>
      <c r="D4832">
        <v>0</v>
      </c>
      <c r="E4832">
        <v>0</v>
      </c>
      <c r="F4832">
        <v>0</v>
      </c>
      <c r="G4832">
        <v>0</v>
      </c>
      <c r="H4832">
        <v>1</v>
      </c>
      <c r="I4832">
        <v>1</v>
      </c>
      <c r="L4832">
        <v>69.381</v>
      </c>
      <c r="M4832">
        <v>79.352886009538906</v>
      </c>
      <c r="N4832">
        <v>10.560642488076301</v>
      </c>
    </row>
    <row r="4833" spans="1:14" x14ac:dyDescent="0.45">
      <c r="A4833">
        <v>2003</v>
      </c>
      <c r="B4833" t="s">
        <v>89</v>
      </c>
      <c r="C4833">
        <v>0</v>
      </c>
      <c r="D4833">
        <v>1</v>
      </c>
      <c r="E4833">
        <v>0</v>
      </c>
      <c r="F4833">
        <v>0</v>
      </c>
      <c r="G4833">
        <v>1</v>
      </c>
      <c r="H4833">
        <v>0</v>
      </c>
      <c r="I4833">
        <v>0</v>
      </c>
      <c r="J4833">
        <v>18902.8708740806</v>
      </c>
      <c r="K4833">
        <v>16465.9495649454</v>
      </c>
      <c r="L4833">
        <v>13.335000000000001</v>
      </c>
      <c r="M4833">
        <v>77.884</v>
      </c>
      <c r="N4833">
        <v>10.101000000000001</v>
      </c>
    </row>
    <row r="4834" spans="1:14" x14ac:dyDescent="0.45">
      <c r="A4834">
        <v>2003</v>
      </c>
      <c r="B4834" t="s">
        <v>90</v>
      </c>
      <c r="C4834">
        <v>0</v>
      </c>
      <c r="D4834">
        <v>0</v>
      </c>
      <c r="E4834">
        <v>0</v>
      </c>
      <c r="F4834">
        <v>1</v>
      </c>
      <c r="G4834">
        <v>0</v>
      </c>
      <c r="H4834">
        <v>0</v>
      </c>
      <c r="I4834">
        <v>0</v>
      </c>
      <c r="J4834">
        <v>5192.0060460858704</v>
      </c>
      <c r="K4834">
        <v>4654.2972399579703</v>
      </c>
      <c r="L4834">
        <v>60.223999999999997</v>
      </c>
      <c r="M4834">
        <v>73.385000000000005</v>
      </c>
      <c r="N4834">
        <v>28.577999999999999</v>
      </c>
    </row>
    <row r="4835" spans="1:14" x14ac:dyDescent="0.45">
      <c r="A4835">
        <v>2003</v>
      </c>
      <c r="B4835" t="s">
        <v>91</v>
      </c>
      <c r="C4835">
        <v>0</v>
      </c>
      <c r="D4835">
        <v>0</v>
      </c>
      <c r="E4835">
        <v>1</v>
      </c>
      <c r="F4835">
        <v>0</v>
      </c>
      <c r="G4835">
        <v>0</v>
      </c>
      <c r="H4835">
        <v>0</v>
      </c>
      <c r="I4835">
        <v>0</v>
      </c>
      <c r="J4835">
        <v>4060.0003803842701</v>
      </c>
      <c r="K4835">
        <v>3427.2382466088402</v>
      </c>
      <c r="L4835">
        <v>55.600999999999999</v>
      </c>
      <c r="M4835">
        <v>51.442999999999998</v>
      </c>
      <c r="N4835">
        <v>129.738</v>
      </c>
    </row>
    <row r="4836" spans="1:14" x14ac:dyDescent="0.45">
      <c r="A4836">
        <v>2003</v>
      </c>
      <c r="B4836" t="s">
        <v>92</v>
      </c>
      <c r="C4836">
        <v>0</v>
      </c>
      <c r="D4836">
        <v>0</v>
      </c>
      <c r="E4836">
        <v>1</v>
      </c>
      <c r="F4836">
        <v>0</v>
      </c>
      <c r="G4836">
        <v>0</v>
      </c>
      <c r="H4836">
        <v>0</v>
      </c>
      <c r="I4836">
        <v>0</v>
      </c>
      <c r="J4836">
        <v>4054.7813324651702</v>
      </c>
      <c r="K4836">
        <v>3183.8652501198098</v>
      </c>
      <c r="L4836">
        <v>52.661999999999999</v>
      </c>
      <c r="M4836">
        <v>54.253</v>
      </c>
      <c r="N4836">
        <v>134.53800000000001</v>
      </c>
    </row>
    <row r="4837" spans="1:14" x14ac:dyDescent="0.45">
      <c r="A4837">
        <v>2003</v>
      </c>
      <c r="B4837" t="s">
        <v>93</v>
      </c>
      <c r="C4837">
        <v>0</v>
      </c>
      <c r="D4837">
        <v>0</v>
      </c>
      <c r="E4837">
        <v>1</v>
      </c>
      <c r="F4837">
        <v>0</v>
      </c>
      <c r="G4837">
        <v>0</v>
      </c>
      <c r="H4837">
        <v>0</v>
      </c>
      <c r="I4837">
        <v>0</v>
      </c>
      <c r="J4837">
        <v>861.08157428730999</v>
      </c>
      <c r="K4837">
        <v>689.35135332351695</v>
      </c>
      <c r="L4837">
        <v>63.473999999999997</v>
      </c>
      <c r="M4837">
        <v>52.951999999999998</v>
      </c>
      <c r="N4837">
        <v>145.34299999999999</v>
      </c>
    </row>
    <row r="4838" spans="1:14" x14ac:dyDescent="0.45">
      <c r="A4838">
        <v>2003</v>
      </c>
      <c r="B4838" t="s">
        <v>94</v>
      </c>
      <c r="C4838">
        <v>0</v>
      </c>
      <c r="D4838">
        <v>0</v>
      </c>
      <c r="E4838">
        <v>1</v>
      </c>
      <c r="F4838">
        <v>0</v>
      </c>
      <c r="G4838">
        <v>0</v>
      </c>
      <c r="H4838">
        <v>0</v>
      </c>
      <c r="I4838">
        <v>0</v>
      </c>
      <c r="J4838">
        <v>7577.4563045635196</v>
      </c>
      <c r="K4838">
        <v>4568.0332498153803</v>
      </c>
      <c r="L4838">
        <v>39.923999999999999</v>
      </c>
      <c r="M4838">
        <v>57.131</v>
      </c>
      <c r="N4838">
        <v>97.581000000000003</v>
      </c>
    </row>
    <row r="4839" spans="1:14" x14ac:dyDescent="0.45">
      <c r="A4839">
        <v>2003</v>
      </c>
      <c r="B4839" t="s">
        <v>95</v>
      </c>
      <c r="C4839">
        <v>0</v>
      </c>
      <c r="D4839">
        <v>1</v>
      </c>
      <c r="E4839">
        <v>0</v>
      </c>
      <c r="F4839">
        <v>1</v>
      </c>
      <c r="G4839">
        <v>0</v>
      </c>
      <c r="H4839">
        <v>0</v>
      </c>
      <c r="I4839">
        <v>0</v>
      </c>
      <c r="J4839">
        <v>11183.291181979301</v>
      </c>
      <c r="K4839">
        <v>9311.3143085877891</v>
      </c>
      <c r="L4839">
        <v>24.789000000000001</v>
      </c>
      <c r="M4839">
        <v>72.308999999999997</v>
      </c>
      <c r="N4839">
        <v>22.9</v>
      </c>
    </row>
    <row r="4840" spans="1:14" x14ac:dyDescent="0.45">
      <c r="A4840">
        <v>2003</v>
      </c>
      <c r="B4840" t="s">
        <v>96</v>
      </c>
      <c r="C4840">
        <v>0</v>
      </c>
      <c r="D4840">
        <v>0</v>
      </c>
      <c r="E4840">
        <v>1</v>
      </c>
      <c r="F4840">
        <v>0</v>
      </c>
      <c r="G4840">
        <v>0</v>
      </c>
      <c r="H4840">
        <v>0</v>
      </c>
      <c r="I4840">
        <v>0</v>
      </c>
      <c r="J4840">
        <v>2422.58708932215</v>
      </c>
      <c r="K4840">
        <v>2505.2642240872101</v>
      </c>
      <c r="L4840">
        <v>72.052999999999997</v>
      </c>
      <c r="M4840">
        <v>60.24</v>
      </c>
      <c r="N4840">
        <v>89.192999999999998</v>
      </c>
    </row>
    <row r="4841" spans="1:14" x14ac:dyDescent="0.45">
      <c r="A4841">
        <v>2003</v>
      </c>
      <c r="B4841" t="s">
        <v>97</v>
      </c>
      <c r="C4841">
        <v>0</v>
      </c>
      <c r="D4841">
        <v>0</v>
      </c>
      <c r="E4841">
        <v>1</v>
      </c>
      <c r="F4841">
        <v>1</v>
      </c>
      <c r="G4841">
        <v>0</v>
      </c>
      <c r="H4841">
        <v>0</v>
      </c>
      <c r="I4841">
        <v>0</v>
      </c>
      <c r="J4841">
        <v>4841.2653987149997</v>
      </c>
      <c r="K4841">
        <v>4665.5957578725302</v>
      </c>
      <c r="L4841">
        <v>44.003</v>
      </c>
      <c r="M4841">
        <v>70.006</v>
      </c>
      <c r="N4841">
        <v>29.03</v>
      </c>
    </row>
    <row r="4842" spans="1:14" x14ac:dyDescent="0.45">
      <c r="A4842">
        <v>2003</v>
      </c>
      <c r="B4842" t="s">
        <v>98</v>
      </c>
      <c r="C4842">
        <v>0</v>
      </c>
      <c r="D4842">
        <v>1</v>
      </c>
      <c r="E4842">
        <v>0</v>
      </c>
      <c r="F4842">
        <v>0</v>
      </c>
      <c r="G4842">
        <v>1</v>
      </c>
      <c r="H4842">
        <v>0</v>
      </c>
      <c r="I4842">
        <v>0</v>
      </c>
      <c r="J4842">
        <v>14891.3398216979</v>
      </c>
      <c r="K4842">
        <v>13333.0272569145</v>
      </c>
      <c r="L4842">
        <v>36.92</v>
      </c>
      <c r="M4842">
        <v>78.213999999999999</v>
      </c>
      <c r="N4842">
        <v>11.94</v>
      </c>
    </row>
    <row r="4843" spans="1:14" x14ac:dyDescent="0.45">
      <c r="A4843">
        <v>2003</v>
      </c>
      <c r="B4843" t="s">
        <v>99</v>
      </c>
      <c r="C4843">
        <v>0</v>
      </c>
      <c r="D4843">
        <v>1</v>
      </c>
      <c r="E4843">
        <v>0</v>
      </c>
      <c r="F4843">
        <v>1</v>
      </c>
      <c r="G4843">
        <v>0</v>
      </c>
      <c r="H4843">
        <v>0</v>
      </c>
      <c r="I4843">
        <v>0</v>
      </c>
      <c r="L4843">
        <v>24.053000000000001</v>
      </c>
      <c r="M4843">
        <v>77.405000000000001</v>
      </c>
      <c r="N4843">
        <v>7.6779999999999999</v>
      </c>
    </row>
    <row r="4844" spans="1:14" x14ac:dyDescent="0.45">
      <c r="A4844">
        <v>2003</v>
      </c>
      <c r="B4844" t="s">
        <v>100</v>
      </c>
      <c r="C4844">
        <v>0</v>
      </c>
      <c r="D4844">
        <v>1</v>
      </c>
      <c r="E4844">
        <v>0</v>
      </c>
      <c r="F4844">
        <v>0</v>
      </c>
      <c r="G4844">
        <v>0</v>
      </c>
      <c r="H4844">
        <v>1</v>
      </c>
      <c r="I4844">
        <v>1</v>
      </c>
      <c r="J4844">
        <v>34812.790720791098</v>
      </c>
      <c r="K4844">
        <v>28480.775970650899</v>
      </c>
      <c r="L4844">
        <v>9.2249999999999908</v>
      </c>
      <c r="M4844">
        <v>73.602999999999994</v>
      </c>
      <c r="N4844">
        <v>16.914999999999999</v>
      </c>
    </row>
    <row r="4845" spans="1:14" x14ac:dyDescent="0.45">
      <c r="A4845">
        <v>2003</v>
      </c>
      <c r="B4845" t="s">
        <v>101</v>
      </c>
      <c r="C4845">
        <v>0</v>
      </c>
      <c r="D4845">
        <v>1</v>
      </c>
      <c r="E4845">
        <v>0</v>
      </c>
      <c r="F4845">
        <v>0</v>
      </c>
      <c r="G4845">
        <v>0</v>
      </c>
      <c r="H4845">
        <v>1</v>
      </c>
      <c r="I4845">
        <v>1</v>
      </c>
      <c r="L4845">
        <v>0</v>
      </c>
      <c r="M4845">
        <v>74.638999999999996</v>
      </c>
      <c r="N4845">
        <v>6.0380000000000003</v>
      </c>
    </row>
    <row r="4846" spans="1:14" x14ac:dyDescent="0.45">
      <c r="A4846">
        <v>2003</v>
      </c>
      <c r="B4846" t="s">
        <v>102</v>
      </c>
      <c r="C4846">
        <v>1</v>
      </c>
      <c r="D4846">
        <v>0</v>
      </c>
      <c r="E4846">
        <v>0</v>
      </c>
      <c r="F4846">
        <v>0</v>
      </c>
      <c r="G4846">
        <v>0</v>
      </c>
      <c r="H4846">
        <v>1</v>
      </c>
      <c r="I4846">
        <v>1</v>
      </c>
      <c r="J4846">
        <v>38618.921875</v>
      </c>
      <c r="K4846">
        <v>34403.363481007596</v>
      </c>
      <c r="L4846">
        <v>31.446999999999999</v>
      </c>
      <c r="M4846">
        <v>78.908000000000001</v>
      </c>
      <c r="N4846">
        <v>5.3419999999999996</v>
      </c>
    </row>
    <row r="4847" spans="1:14" x14ac:dyDescent="0.45">
      <c r="A4847">
        <v>2003</v>
      </c>
      <c r="B4847" t="s">
        <v>103</v>
      </c>
      <c r="C4847">
        <v>1</v>
      </c>
      <c r="D4847">
        <v>0</v>
      </c>
      <c r="E4847">
        <v>0</v>
      </c>
      <c r="F4847">
        <v>0</v>
      </c>
      <c r="G4847">
        <v>1</v>
      </c>
      <c r="H4847">
        <v>0</v>
      </c>
      <c r="I4847">
        <v>0</v>
      </c>
      <c r="J4847">
        <v>31949.296314503401</v>
      </c>
      <c r="K4847">
        <v>26601.065358057502</v>
      </c>
      <c r="L4847">
        <v>26.26</v>
      </c>
      <c r="M4847">
        <v>75.396000000000001</v>
      </c>
      <c r="N4847">
        <v>4.9109999999999996</v>
      </c>
    </row>
    <row r="4848" spans="1:14" x14ac:dyDescent="0.45">
      <c r="A4848">
        <v>2003</v>
      </c>
      <c r="B4848" t="s">
        <v>104</v>
      </c>
      <c r="C4848">
        <v>1</v>
      </c>
      <c r="D4848">
        <v>0</v>
      </c>
      <c r="E4848">
        <v>0</v>
      </c>
      <c r="F4848">
        <v>0</v>
      </c>
      <c r="G4848">
        <v>0</v>
      </c>
      <c r="H4848">
        <v>1</v>
      </c>
      <c r="I4848">
        <v>1</v>
      </c>
      <c r="J4848">
        <v>50215.425393035803</v>
      </c>
      <c r="K4848">
        <v>43539.391699251799</v>
      </c>
      <c r="L4848">
        <v>24.422999999999998</v>
      </c>
      <c r="M4848">
        <v>78.536000000000001</v>
      </c>
      <c r="N4848">
        <v>5.0750000000000002</v>
      </c>
    </row>
    <row r="4849" spans="1:14" x14ac:dyDescent="0.45">
      <c r="A4849">
        <v>2003</v>
      </c>
      <c r="B4849" t="s">
        <v>105</v>
      </c>
      <c r="C4849">
        <v>0</v>
      </c>
      <c r="D4849">
        <v>0</v>
      </c>
      <c r="E4849">
        <v>0</v>
      </c>
      <c r="F4849">
        <v>1</v>
      </c>
      <c r="G4849">
        <v>0</v>
      </c>
      <c r="H4849">
        <v>0</v>
      </c>
      <c r="I4849">
        <v>0</v>
      </c>
      <c r="J4849">
        <v>3612.8208062907402</v>
      </c>
      <c r="K4849">
        <v>3116.2416400909601</v>
      </c>
      <c r="L4849">
        <v>23.33</v>
      </c>
      <c r="M4849">
        <v>58.040999999999997</v>
      </c>
      <c r="N4849">
        <v>92.534999999999997</v>
      </c>
    </row>
    <row r="4850" spans="1:14" x14ac:dyDescent="0.45">
      <c r="A4850">
        <v>2003</v>
      </c>
      <c r="B4850" t="s">
        <v>106</v>
      </c>
      <c r="C4850">
        <v>0</v>
      </c>
      <c r="D4850">
        <v>1</v>
      </c>
      <c r="E4850">
        <v>0</v>
      </c>
      <c r="F4850">
        <v>0</v>
      </c>
      <c r="G4850">
        <v>1</v>
      </c>
      <c r="H4850">
        <v>0</v>
      </c>
      <c r="I4850">
        <v>0</v>
      </c>
      <c r="J4850">
        <v>14398.0017636834</v>
      </c>
      <c r="K4850">
        <v>11204.9328732875</v>
      </c>
      <c r="L4850">
        <v>34.006</v>
      </c>
      <c r="M4850">
        <v>71.941999999999993</v>
      </c>
      <c r="N4850">
        <v>18.838000000000001</v>
      </c>
    </row>
    <row r="4851" spans="1:14" x14ac:dyDescent="0.45">
      <c r="A4851">
        <v>2003</v>
      </c>
      <c r="B4851" t="s">
        <v>107</v>
      </c>
      <c r="C4851">
        <v>1</v>
      </c>
      <c r="D4851">
        <v>0</v>
      </c>
      <c r="E4851">
        <v>0</v>
      </c>
      <c r="F4851">
        <v>0</v>
      </c>
      <c r="G4851">
        <v>0</v>
      </c>
      <c r="H4851">
        <v>1</v>
      </c>
      <c r="I4851">
        <v>1</v>
      </c>
      <c r="J4851">
        <v>57946.1771134796</v>
      </c>
      <c r="K4851">
        <v>48973.042880605397</v>
      </c>
      <c r="L4851">
        <v>14.64</v>
      </c>
      <c r="M4851">
        <v>77.400999999999996</v>
      </c>
      <c r="N4851">
        <v>5.4329999999999998</v>
      </c>
    </row>
    <row r="4852" spans="1:14" x14ac:dyDescent="0.45">
      <c r="A4852">
        <v>2003</v>
      </c>
      <c r="B4852" t="s">
        <v>108</v>
      </c>
      <c r="C4852">
        <v>0</v>
      </c>
      <c r="D4852">
        <v>1</v>
      </c>
      <c r="E4852">
        <v>0</v>
      </c>
      <c r="F4852">
        <v>1</v>
      </c>
      <c r="G4852">
        <v>0</v>
      </c>
      <c r="H4852">
        <v>0</v>
      </c>
      <c r="I4852">
        <v>0</v>
      </c>
      <c r="J4852">
        <v>11000.8684059352</v>
      </c>
      <c r="K4852">
        <v>9502.8251164323792</v>
      </c>
      <c r="L4852">
        <v>35.395000000000003</v>
      </c>
      <c r="M4852">
        <v>70.855999999999995</v>
      </c>
      <c r="N4852">
        <v>38.61</v>
      </c>
    </row>
    <row r="4853" spans="1:14" x14ac:dyDescent="0.45">
      <c r="A4853">
        <v>2003</v>
      </c>
      <c r="B4853" t="s">
        <v>109</v>
      </c>
      <c r="C4853">
        <v>0</v>
      </c>
      <c r="D4853">
        <v>0</v>
      </c>
      <c r="E4853">
        <v>0</v>
      </c>
      <c r="F4853">
        <v>1</v>
      </c>
      <c r="G4853">
        <v>0</v>
      </c>
      <c r="H4853">
        <v>0</v>
      </c>
      <c r="I4853">
        <v>0</v>
      </c>
      <c r="J4853">
        <v>12835.181441333099</v>
      </c>
      <c r="K4853">
        <v>11226.0876608286</v>
      </c>
      <c r="L4853">
        <v>37.716000000000001</v>
      </c>
      <c r="M4853">
        <v>71.906000000000006</v>
      </c>
      <c r="N4853">
        <v>37.429000000000002</v>
      </c>
    </row>
    <row r="4854" spans="1:14" x14ac:dyDescent="0.45">
      <c r="A4854">
        <v>2003</v>
      </c>
      <c r="B4854" t="s">
        <v>110</v>
      </c>
      <c r="C4854">
        <v>0</v>
      </c>
      <c r="D4854">
        <v>1</v>
      </c>
      <c r="E4854">
        <v>0</v>
      </c>
      <c r="F4854">
        <v>1</v>
      </c>
      <c r="G4854">
        <v>0</v>
      </c>
      <c r="H4854">
        <v>0</v>
      </c>
      <c r="I4854">
        <v>0</v>
      </c>
      <c r="J4854">
        <v>9802.8140820212502</v>
      </c>
      <c r="K4854">
        <v>8153.4688131524099</v>
      </c>
      <c r="L4854">
        <v>38.683999999999997</v>
      </c>
      <c r="M4854">
        <v>73.632000000000005</v>
      </c>
      <c r="N4854">
        <v>25.588000000000001</v>
      </c>
    </row>
    <row r="4855" spans="1:14" x14ac:dyDescent="0.45">
      <c r="A4855">
        <v>2003</v>
      </c>
      <c r="B4855" t="s">
        <v>111</v>
      </c>
      <c r="C4855">
        <v>0</v>
      </c>
      <c r="D4855">
        <v>0</v>
      </c>
      <c r="E4855">
        <v>0</v>
      </c>
      <c r="F4855">
        <v>1</v>
      </c>
      <c r="G4855">
        <v>0</v>
      </c>
      <c r="H4855">
        <v>0</v>
      </c>
      <c r="I4855">
        <v>0</v>
      </c>
      <c r="J4855">
        <v>10250.376550045899</v>
      </c>
      <c r="K4855">
        <v>8134.5261253488097</v>
      </c>
      <c r="L4855">
        <v>57.064999999999998</v>
      </c>
      <c r="M4855">
        <v>68.045000000000002</v>
      </c>
      <c r="N4855">
        <v>39.655999999999999</v>
      </c>
    </row>
    <row r="4856" spans="1:14" x14ac:dyDescent="0.45">
      <c r="A4856">
        <v>2003</v>
      </c>
      <c r="B4856" t="s">
        <v>112</v>
      </c>
      <c r="C4856">
        <v>0</v>
      </c>
      <c r="D4856">
        <v>0</v>
      </c>
      <c r="E4856">
        <v>1</v>
      </c>
      <c r="F4856">
        <v>0</v>
      </c>
      <c r="G4856">
        <v>0</v>
      </c>
      <c r="H4856">
        <v>0</v>
      </c>
      <c r="I4856">
        <v>0</v>
      </c>
      <c r="L4856">
        <v>70.756</v>
      </c>
      <c r="M4856">
        <v>59.454999999999998</v>
      </c>
      <c r="N4856">
        <v>74.195999999999998</v>
      </c>
    </row>
    <row r="4857" spans="1:14" x14ac:dyDescent="0.45">
      <c r="A4857">
        <v>2003</v>
      </c>
      <c r="B4857" t="s">
        <v>113</v>
      </c>
      <c r="C4857">
        <v>1</v>
      </c>
      <c r="D4857">
        <v>0</v>
      </c>
      <c r="E4857">
        <v>0</v>
      </c>
      <c r="F4857">
        <v>0</v>
      </c>
      <c r="G4857">
        <v>0</v>
      </c>
      <c r="H4857">
        <v>1</v>
      </c>
      <c r="I4857">
        <v>1</v>
      </c>
      <c r="J4857">
        <v>42223.130174521997</v>
      </c>
      <c r="K4857">
        <v>37157.477524601702</v>
      </c>
      <c r="L4857">
        <v>23.222000000000001</v>
      </c>
      <c r="M4857">
        <v>79.748000000000005</v>
      </c>
      <c r="N4857">
        <v>4.9690000000000003</v>
      </c>
    </row>
    <row r="4858" spans="1:14" x14ac:dyDescent="0.45">
      <c r="A4858">
        <v>2003</v>
      </c>
      <c r="B4858" t="s">
        <v>114</v>
      </c>
      <c r="C4858">
        <v>1</v>
      </c>
      <c r="D4858">
        <v>0</v>
      </c>
      <c r="E4858">
        <v>0</v>
      </c>
      <c r="F4858">
        <v>0</v>
      </c>
      <c r="G4858">
        <v>1</v>
      </c>
      <c r="H4858">
        <v>0</v>
      </c>
      <c r="I4858">
        <v>0</v>
      </c>
      <c r="J4858">
        <v>25749.2797728847</v>
      </c>
      <c r="K4858">
        <v>21845.840239909001</v>
      </c>
      <c r="L4858">
        <v>31.010999999999999</v>
      </c>
      <c r="M4858">
        <v>71.923000000000002</v>
      </c>
      <c r="N4858">
        <v>9.0239999999999991</v>
      </c>
    </row>
    <row r="4859" spans="1:14" x14ac:dyDescent="0.45">
      <c r="A4859">
        <v>2003</v>
      </c>
      <c r="B4859" t="s">
        <v>115</v>
      </c>
      <c r="C4859">
        <v>0</v>
      </c>
      <c r="D4859">
        <v>0</v>
      </c>
      <c r="E4859">
        <v>1</v>
      </c>
      <c r="F4859">
        <v>0</v>
      </c>
      <c r="G4859">
        <v>0</v>
      </c>
      <c r="H4859">
        <v>0</v>
      </c>
      <c r="I4859">
        <v>0</v>
      </c>
      <c r="J4859">
        <v>795.77213835010696</v>
      </c>
      <c r="K4859">
        <v>717.69925446128798</v>
      </c>
      <c r="L4859">
        <v>84.69</v>
      </c>
      <c r="M4859">
        <v>52.877000000000002</v>
      </c>
      <c r="N4859">
        <v>121.88500000000001</v>
      </c>
    </row>
    <row r="4860" spans="1:14" x14ac:dyDescent="0.45">
      <c r="A4860">
        <v>2003</v>
      </c>
      <c r="B4860" t="s">
        <v>116</v>
      </c>
      <c r="C4860">
        <v>1</v>
      </c>
      <c r="D4860">
        <v>0</v>
      </c>
      <c r="E4860">
        <v>0</v>
      </c>
      <c r="F4860">
        <v>0</v>
      </c>
      <c r="G4860">
        <v>0</v>
      </c>
      <c r="H4860">
        <v>1</v>
      </c>
      <c r="I4860">
        <v>1</v>
      </c>
      <c r="J4860">
        <v>49655.545156406697</v>
      </c>
      <c r="K4860">
        <v>41744.563326436801</v>
      </c>
      <c r="L4860">
        <v>17.361999999999998</v>
      </c>
      <c r="M4860">
        <v>78.533000000000001</v>
      </c>
      <c r="N4860">
        <v>3.9550000000000001</v>
      </c>
    </row>
    <row r="4861" spans="1:14" x14ac:dyDescent="0.45">
      <c r="A4861">
        <v>2003</v>
      </c>
      <c r="B4861" t="s">
        <v>117</v>
      </c>
      <c r="C4861">
        <v>0</v>
      </c>
      <c r="D4861">
        <v>0</v>
      </c>
      <c r="E4861">
        <v>0</v>
      </c>
      <c r="F4861">
        <v>1</v>
      </c>
      <c r="G4861">
        <v>0</v>
      </c>
      <c r="H4861">
        <v>0</v>
      </c>
      <c r="I4861">
        <v>0</v>
      </c>
      <c r="J4861">
        <v>9727.9565220076001</v>
      </c>
      <c r="K4861">
        <v>9526.6140663303595</v>
      </c>
      <c r="L4861">
        <v>50.914999999999999</v>
      </c>
      <c r="M4861">
        <v>65.653000000000006</v>
      </c>
      <c r="N4861">
        <v>23.170999999999999</v>
      </c>
    </row>
    <row r="4862" spans="1:14" x14ac:dyDescent="0.45">
      <c r="A4862">
        <v>2003</v>
      </c>
      <c r="B4862" t="s">
        <v>118</v>
      </c>
      <c r="C4862">
        <v>1</v>
      </c>
      <c r="D4862">
        <v>0</v>
      </c>
      <c r="E4862">
        <v>0</v>
      </c>
      <c r="F4862">
        <v>0</v>
      </c>
      <c r="G4862">
        <v>0</v>
      </c>
      <c r="H4862">
        <v>1</v>
      </c>
      <c r="I4862">
        <v>1</v>
      </c>
      <c r="J4862">
        <v>46730.975806379</v>
      </c>
      <c r="K4862">
        <v>39015.635053573002</v>
      </c>
      <c r="L4862">
        <v>23.367999999999999</v>
      </c>
      <c r="M4862">
        <v>79.418999999999997</v>
      </c>
      <c r="N4862">
        <v>5.0650000000000004</v>
      </c>
    </row>
    <row r="4863" spans="1:14" x14ac:dyDescent="0.45">
      <c r="A4863">
        <v>2003</v>
      </c>
      <c r="B4863" t="s">
        <v>119</v>
      </c>
      <c r="C4863">
        <v>1</v>
      </c>
      <c r="D4863">
        <v>0</v>
      </c>
      <c r="E4863">
        <v>0</v>
      </c>
      <c r="F4863">
        <v>0</v>
      </c>
      <c r="G4863">
        <v>0</v>
      </c>
      <c r="H4863">
        <v>1</v>
      </c>
      <c r="I4863">
        <v>1</v>
      </c>
      <c r="L4863">
        <v>61.286000000000001</v>
      </c>
      <c r="M4863">
        <v>78.385999999999996</v>
      </c>
      <c r="N4863">
        <v>9.1080000000000005</v>
      </c>
    </row>
    <row r="4864" spans="1:14" x14ac:dyDescent="0.45">
      <c r="A4864">
        <v>2003</v>
      </c>
      <c r="B4864" t="s">
        <v>120</v>
      </c>
      <c r="C4864">
        <v>0</v>
      </c>
      <c r="D4864">
        <v>0</v>
      </c>
      <c r="E4864">
        <v>0</v>
      </c>
      <c r="F4864">
        <v>1</v>
      </c>
      <c r="G4864">
        <v>0</v>
      </c>
      <c r="H4864">
        <v>0</v>
      </c>
      <c r="I4864">
        <v>0</v>
      </c>
      <c r="J4864">
        <v>3760.1504583805099</v>
      </c>
      <c r="K4864">
        <v>3403.45503036216</v>
      </c>
      <c r="L4864">
        <v>77.67</v>
      </c>
      <c r="M4864">
        <v>64.915000000000006</v>
      </c>
      <c r="N4864">
        <v>36.06</v>
      </c>
    </row>
    <row r="4865" spans="1:14" x14ac:dyDescent="0.45">
      <c r="A4865">
        <v>2003</v>
      </c>
      <c r="B4865" t="s">
        <v>121</v>
      </c>
      <c r="C4865">
        <v>0</v>
      </c>
      <c r="D4865">
        <v>0</v>
      </c>
      <c r="E4865">
        <v>1</v>
      </c>
      <c r="F4865">
        <v>0</v>
      </c>
      <c r="G4865">
        <v>1</v>
      </c>
      <c r="H4865">
        <v>0</v>
      </c>
      <c r="I4865">
        <v>0</v>
      </c>
      <c r="J4865">
        <v>20875.454932584398</v>
      </c>
      <c r="K4865">
        <v>15795.2025083769</v>
      </c>
      <c r="L4865">
        <v>18.917000000000002</v>
      </c>
      <c r="M4865">
        <v>62.463000000000001</v>
      </c>
      <c r="N4865">
        <v>77.748000000000005</v>
      </c>
    </row>
    <row r="4866" spans="1:14" x14ac:dyDescent="0.45">
      <c r="A4866">
        <v>2003</v>
      </c>
      <c r="B4866" t="s">
        <v>122</v>
      </c>
      <c r="C4866">
        <v>1</v>
      </c>
      <c r="D4866">
        <v>0</v>
      </c>
      <c r="E4866">
        <v>0</v>
      </c>
      <c r="F4866">
        <v>0</v>
      </c>
      <c r="G4866">
        <v>0</v>
      </c>
      <c r="H4866">
        <v>1</v>
      </c>
      <c r="I4866">
        <v>1</v>
      </c>
      <c r="J4866">
        <v>45990.715889490202</v>
      </c>
      <c r="K4866">
        <v>39622.388674586</v>
      </c>
      <c r="L4866">
        <v>20.661000000000001</v>
      </c>
      <c r="M4866">
        <v>78.33</v>
      </c>
      <c r="N4866">
        <v>6.3550000000000004</v>
      </c>
    </row>
    <row r="4867" spans="1:14" x14ac:dyDescent="0.45">
      <c r="A4867">
        <v>2003</v>
      </c>
      <c r="B4867" t="s">
        <v>123</v>
      </c>
      <c r="C4867">
        <v>1</v>
      </c>
      <c r="D4867">
        <v>0</v>
      </c>
      <c r="E4867">
        <v>0</v>
      </c>
      <c r="F4867">
        <v>1</v>
      </c>
      <c r="G4867">
        <v>0</v>
      </c>
      <c r="H4867">
        <v>0</v>
      </c>
      <c r="I4867">
        <v>0</v>
      </c>
      <c r="J4867">
        <v>7227.7370596070105</v>
      </c>
      <c r="K4867">
        <v>6106.6115388954504</v>
      </c>
      <c r="L4867">
        <v>47.17</v>
      </c>
      <c r="M4867">
        <v>71.376999999999995</v>
      </c>
      <c r="N4867">
        <v>28.25</v>
      </c>
    </row>
    <row r="4868" spans="1:14" x14ac:dyDescent="0.45">
      <c r="A4868">
        <v>2003</v>
      </c>
      <c r="B4868" t="s">
        <v>124</v>
      </c>
      <c r="C4868">
        <v>0</v>
      </c>
      <c r="D4868">
        <v>0</v>
      </c>
      <c r="E4868">
        <v>1</v>
      </c>
      <c r="F4868">
        <v>0</v>
      </c>
      <c r="G4868">
        <v>0</v>
      </c>
      <c r="H4868">
        <v>0</v>
      </c>
      <c r="I4868">
        <v>0</v>
      </c>
      <c r="J4868">
        <v>3507.7510574484299</v>
      </c>
      <c r="K4868">
        <v>3026.2867112200001</v>
      </c>
      <c r="L4868">
        <v>54.048999999999999</v>
      </c>
      <c r="M4868">
        <v>59.014000000000003</v>
      </c>
      <c r="N4868">
        <v>89.421000000000006</v>
      </c>
    </row>
    <row r="4869" spans="1:14" x14ac:dyDescent="0.45">
      <c r="A4869">
        <v>2003</v>
      </c>
      <c r="B4869" t="s">
        <v>125</v>
      </c>
      <c r="C4869">
        <v>1</v>
      </c>
      <c r="D4869">
        <v>0</v>
      </c>
      <c r="E4869">
        <v>0</v>
      </c>
      <c r="F4869">
        <v>0</v>
      </c>
      <c r="G4869">
        <v>0</v>
      </c>
      <c r="H4869">
        <v>1</v>
      </c>
      <c r="I4869">
        <v>1</v>
      </c>
      <c r="L4869">
        <v>0</v>
      </c>
      <c r="M4869">
        <v>80.712999999999994</v>
      </c>
      <c r="N4869">
        <v>14.101000000000001</v>
      </c>
    </row>
    <row r="4870" spans="1:14" x14ac:dyDescent="0.45">
      <c r="A4870">
        <v>2003</v>
      </c>
      <c r="B4870" t="s">
        <v>126</v>
      </c>
      <c r="C4870">
        <v>0</v>
      </c>
      <c r="D4870">
        <v>0</v>
      </c>
      <c r="E4870">
        <v>1</v>
      </c>
      <c r="F4870">
        <v>0</v>
      </c>
      <c r="G4870">
        <v>0</v>
      </c>
      <c r="H4870">
        <v>0</v>
      </c>
      <c r="I4870">
        <v>0</v>
      </c>
      <c r="J4870">
        <v>2473.2341829547099</v>
      </c>
      <c r="K4870">
        <v>1994.0841653401101</v>
      </c>
      <c r="L4870">
        <v>68.302000000000007</v>
      </c>
      <c r="M4870">
        <v>53.588999999999999</v>
      </c>
      <c r="N4870">
        <v>148.62700000000001</v>
      </c>
    </row>
    <row r="4871" spans="1:14" x14ac:dyDescent="0.45">
      <c r="A4871">
        <v>2003</v>
      </c>
      <c r="B4871" t="s">
        <v>127</v>
      </c>
      <c r="C4871">
        <v>0</v>
      </c>
      <c r="D4871">
        <v>0</v>
      </c>
      <c r="E4871">
        <v>1</v>
      </c>
      <c r="F4871">
        <v>0</v>
      </c>
      <c r="G4871">
        <v>0</v>
      </c>
      <c r="H4871">
        <v>0</v>
      </c>
      <c r="I4871">
        <v>0</v>
      </c>
      <c r="J4871">
        <v>2682.4799331013301</v>
      </c>
      <c r="K4871">
        <v>2159.1199573835902</v>
      </c>
      <c r="L4871">
        <v>49.445</v>
      </c>
      <c r="M4871">
        <v>58.222999999999999</v>
      </c>
      <c r="N4871">
        <v>99.555000000000007</v>
      </c>
    </row>
    <row r="4872" spans="1:14" x14ac:dyDescent="0.45">
      <c r="A4872">
        <v>2003</v>
      </c>
      <c r="B4872" t="s">
        <v>128</v>
      </c>
      <c r="C4872">
        <v>0</v>
      </c>
      <c r="D4872">
        <v>0</v>
      </c>
      <c r="E4872">
        <v>1</v>
      </c>
      <c r="F4872">
        <v>0</v>
      </c>
      <c r="G4872">
        <v>0</v>
      </c>
      <c r="H4872">
        <v>0</v>
      </c>
      <c r="I4872">
        <v>0</v>
      </c>
      <c r="J4872">
        <v>1978.12329209327</v>
      </c>
      <c r="K4872">
        <v>1779.5166449082801</v>
      </c>
      <c r="L4872">
        <v>62.613</v>
      </c>
      <c r="M4872">
        <v>52.186</v>
      </c>
      <c r="N4872">
        <v>155.904</v>
      </c>
    </row>
    <row r="4873" spans="1:14" x14ac:dyDescent="0.45">
      <c r="A4873">
        <v>2003</v>
      </c>
      <c r="B4873" t="s">
        <v>129</v>
      </c>
      <c r="C4873">
        <v>0</v>
      </c>
      <c r="D4873">
        <v>0</v>
      </c>
      <c r="E4873">
        <v>1</v>
      </c>
      <c r="F4873">
        <v>0</v>
      </c>
      <c r="G4873">
        <v>0</v>
      </c>
      <c r="H4873">
        <v>0</v>
      </c>
      <c r="I4873">
        <v>0</v>
      </c>
      <c r="J4873">
        <v>21709.575124195901</v>
      </c>
      <c r="K4873">
        <v>17986.6599719593</v>
      </c>
      <c r="L4873">
        <v>45.692999999999998</v>
      </c>
      <c r="M4873">
        <v>54.790999999999997</v>
      </c>
      <c r="N4873">
        <v>141.994</v>
      </c>
    </row>
    <row r="4874" spans="1:14" x14ac:dyDescent="0.45">
      <c r="A4874">
        <v>2003</v>
      </c>
      <c r="B4874" t="s">
        <v>130</v>
      </c>
      <c r="C4874">
        <v>1</v>
      </c>
      <c r="D4874">
        <v>0</v>
      </c>
      <c r="E4874">
        <v>0</v>
      </c>
      <c r="F4874">
        <v>0</v>
      </c>
      <c r="G4874">
        <v>0</v>
      </c>
      <c r="H4874">
        <v>1</v>
      </c>
      <c r="I4874">
        <v>1</v>
      </c>
      <c r="J4874">
        <v>35970.701680847502</v>
      </c>
      <c r="K4874">
        <v>32200.760356742401</v>
      </c>
      <c r="L4874">
        <v>26.311</v>
      </c>
      <c r="M4874">
        <v>79.084999999999994</v>
      </c>
      <c r="N4874">
        <v>5.2709999999999999</v>
      </c>
    </row>
    <row r="4875" spans="1:14" x14ac:dyDescent="0.45">
      <c r="A4875">
        <v>2003</v>
      </c>
      <c r="B4875" t="s">
        <v>131</v>
      </c>
      <c r="C4875">
        <v>0</v>
      </c>
      <c r="D4875">
        <v>1</v>
      </c>
      <c r="E4875">
        <v>0</v>
      </c>
      <c r="F4875">
        <v>0</v>
      </c>
      <c r="G4875">
        <v>1</v>
      </c>
      <c r="H4875">
        <v>0</v>
      </c>
      <c r="I4875">
        <v>0</v>
      </c>
      <c r="J4875">
        <v>12734.325090509101</v>
      </c>
      <c r="K4875">
        <v>11750.026352479001</v>
      </c>
      <c r="L4875">
        <v>64.093000000000004</v>
      </c>
      <c r="M4875">
        <v>73.290999999999997</v>
      </c>
      <c r="N4875">
        <v>14.817</v>
      </c>
    </row>
    <row r="4876" spans="1:14" x14ac:dyDescent="0.45">
      <c r="A4876">
        <v>2003</v>
      </c>
      <c r="B4876" t="s">
        <v>132</v>
      </c>
      <c r="C4876">
        <v>1</v>
      </c>
      <c r="D4876">
        <v>0</v>
      </c>
      <c r="E4876">
        <v>0</v>
      </c>
      <c r="F4876">
        <v>0</v>
      </c>
      <c r="G4876">
        <v>0</v>
      </c>
      <c r="H4876">
        <v>1</v>
      </c>
      <c r="I4876">
        <v>1</v>
      </c>
      <c r="J4876">
        <v>46649.048077975604</v>
      </c>
      <c r="K4876">
        <v>42225.233488977297</v>
      </c>
      <c r="L4876">
        <v>17.661999999999999</v>
      </c>
      <c r="M4876">
        <v>67.617000000000004</v>
      </c>
      <c r="N4876">
        <v>16.608000000000001</v>
      </c>
    </row>
    <row r="4877" spans="1:14" x14ac:dyDescent="0.45">
      <c r="A4877">
        <v>2003</v>
      </c>
      <c r="B4877" t="s">
        <v>133</v>
      </c>
      <c r="C4877">
        <v>0</v>
      </c>
      <c r="D4877">
        <v>1</v>
      </c>
      <c r="E4877">
        <v>0</v>
      </c>
      <c r="F4877">
        <v>1</v>
      </c>
      <c r="G4877">
        <v>0</v>
      </c>
      <c r="H4877">
        <v>0</v>
      </c>
      <c r="I4877">
        <v>0</v>
      </c>
      <c r="J4877">
        <v>8926.1533261086097</v>
      </c>
      <c r="K4877">
        <v>7753.9321293936</v>
      </c>
      <c r="L4877">
        <v>53.682000000000002</v>
      </c>
      <c r="M4877">
        <v>68.203999999999994</v>
      </c>
      <c r="N4877">
        <v>46.152000000000001</v>
      </c>
    </row>
    <row r="4878" spans="1:14" x14ac:dyDescent="0.45">
      <c r="A4878">
        <v>2003</v>
      </c>
      <c r="B4878" t="s">
        <v>134</v>
      </c>
      <c r="C4878">
        <v>0</v>
      </c>
      <c r="D4878">
        <v>0</v>
      </c>
      <c r="E4878">
        <v>0</v>
      </c>
      <c r="F4878">
        <v>0</v>
      </c>
      <c r="G4878">
        <v>0</v>
      </c>
      <c r="H4878">
        <v>1</v>
      </c>
      <c r="I4878">
        <v>1</v>
      </c>
      <c r="L4878">
        <v>6.5650000000000004</v>
      </c>
      <c r="M4878">
        <v>75.885000000000005</v>
      </c>
      <c r="N4878">
        <v>12.180999999999999</v>
      </c>
    </row>
    <row r="4879" spans="1:14" x14ac:dyDescent="0.45">
      <c r="A4879">
        <v>2003</v>
      </c>
      <c r="B4879" t="s">
        <v>135</v>
      </c>
      <c r="C4879">
        <v>0</v>
      </c>
      <c r="D4879">
        <v>1</v>
      </c>
      <c r="E4879">
        <v>0</v>
      </c>
      <c r="F4879">
        <v>1</v>
      </c>
      <c r="G4879">
        <v>0</v>
      </c>
      <c r="H4879">
        <v>0</v>
      </c>
      <c r="I4879">
        <v>0</v>
      </c>
      <c r="J4879">
        <v>8267.4291054536297</v>
      </c>
      <c r="K4879">
        <v>7906.7967239025002</v>
      </c>
      <c r="L4879">
        <v>71.692999999999998</v>
      </c>
      <c r="M4879">
        <v>64.117000000000004</v>
      </c>
      <c r="N4879">
        <v>43.265000000000001</v>
      </c>
    </row>
    <row r="4880" spans="1:14" x14ac:dyDescent="0.45">
      <c r="A4880">
        <v>2003</v>
      </c>
      <c r="B4880" t="s">
        <v>136</v>
      </c>
      <c r="C4880">
        <v>0</v>
      </c>
      <c r="D4880">
        <v>0</v>
      </c>
      <c r="E4880">
        <v>0</v>
      </c>
      <c r="F4880">
        <v>0</v>
      </c>
      <c r="G4880">
        <v>0</v>
      </c>
      <c r="H4880">
        <v>1</v>
      </c>
      <c r="I4880">
        <v>1</v>
      </c>
      <c r="J4880">
        <v>41570.596227470996</v>
      </c>
      <c r="K4880">
        <v>37517.606426044498</v>
      </c>
      <c r="L4880">
        <v>0</v>
      </c>
      <c r="M4880">
        <v>81.141999999999996</v>
      </c>
      <c r="N4880">
        <v>4.1020000000000003</v>
      </c>
    </row>
    <row r="4881" spans="1:14" x14ac:dyDescent="0.45">
      <c r="A4881">
        <v>2003</v>
      </c>
      <c r="B4881" t="s">
        <v>137</v>
      </c>
      <c r="C4881">
        <v>0</v>
      </c>
      <c r="D4881">
        <v>1</v>
      </c>
      <c r="E4881">
        <v>0</v>
      </c>
      <c r="F4881">
        <v>1</v>
      </c>
      <c r="G4881">
        <v>0</v>
      </c>
      <c r="H4881">
        <v>0</v>
      </c>
      <c r="I4881">
        <v>0</v>
      </c>
      <c r="J4881">
        <v>4714.8670100097097</v>
      </c>
      <c r="K4881">
        <v>4344.6463753818798</v>
      </c>
      <c r="L4881">
        <v>52.732999999999997</v>
      </c>
      <c r="M4881">
        <v>68.873999999999995</v>
      </c>
      <c r="N4881">
        <v>32.703000000000003</v>
      </c>
    </row>
    <row r="4882" spans="1:14" x14ac:dyDescent="0.45">
      <c r="A4882">
        <v>2003</v>
      </c>
      <c r="B4882" t="s">
        <v>138</v>
      </c>
      <c r="C4882">
        <v>1</v>
      </c>
      <c r="D4882">
        <v>0</v>
      </c>
      <c r="E4882">
        <v>0</v>
      </c>
      <c r="F4882">
        <v>0</v>
      </c>
      <c r="G4882">
        <v>1</v>
      </c>
      <c r="H4882">
        <v>0</v>
      </c>
      <c r="I4882">
        <v>0</v>
      </c>
      <c r="J4882">
        <v>25474.2482215034</v>
      </c>
      <c r="K4882">
        <v>21969.2245084598</v>
      </c>
      <c r="L4882">
        <v>46.021000000000001</v>
      </c>
      <c r="M4882">
        <v>74.709000000000003</v>
      </c>
      <c r="N4882">
        <v>8.4139999999999997</v>
      </c>
    </row>
    <row r="4883" spans="1:14" x14ac:dyDescent="0.45">
      <c r="A4883">
        <v>2003</v>
      </c>
      <c r="B4883" t="s">
        <v>139</v>
      </c>
      <c r="C4883">
        <v>0</v>
      </c>
      <c r="D4883">
        <v>1</v>
      </c>
      <c r="E4883">
        <v>0</v>
      </c>
      <c r="F4883">
        <v>0</v>
      </c>
      <c r="G4883">
        <v>0</v>
      </c>
      <c r="H4883">
        <v>0</v>
      </c>
      <c r="I4883">
        <v>0</v>
      </c>
      <c r="J4883">
        <v>3216.8016445787898</v>
      </c>
      <c r="K4883">
        <v>3091.8474290863101</v>
      </c>
      <c r="L4883">
        <v>59.354999999999997</v>
      </c>
      <c r="M4883">
        <v>59.44</v>
      </c>
      <c r="N4883">
        <v>94.581999999999994</v>
      </c>
    </row>
    <row r="4884" spans="1:14" x14ac:dyDescent="0.45">
      <c r="A4884">
        <v>2003</v>
      </c>
      <c r="B4884" t="s">
        <v>140</v>
      </c>
      <c r="C4884">
        <v>1</v>
      </c>
      <c r="D4884">
        <v>0</v>
      </c>
      <c r="E4884">
        <v>0</v>
      </c>
      <c r="F4884">
        <v>0</v>
      </c>
      <c r="G4884">
        <v>1</v>
      </c>
      <c r="H4884">
        <v>0</v>
      </c>
      <c r="I4884">
        <v>0</v>
      </c>
      <c r="J4884">
        <v>25255.871130056701</v>
      </c>
      <c r="K4884">
        <v>22008.407572821401</v>
      </c>
      <c r="L4884">
        <v>34.511000000000003</v>
      </c>
      <c r="M4884">
        <v>72.513000000000005</v>
      </c>
      <c r="N4884">
        <v>8.5079999999999991</v>
      </c>
    </row>
    <row r="4885" spans="1:14" x14ac:dyDescent="0.45">
      <c r="A4885">
        <v>2003</v>
      </c>
      <c r="B4885" t="s">
        <v>141</v>
      </c>
      <c r="C4885">
        <v>0</v>
      </c>
      <c r="D4885">
        <v>0</v>
      </c>
      <c r="E4885">
        <v>0</v>
      </c>
      <c r="F4885">
        <v>1</v>
      </c>
      <c r="G4885">
        <v>0</v>
      </c>
      <c r="H4885">
        <v>0</v>
      </c>
      <c r="I4885">
        <v>0</v>
      </c>
      <c r="J4885">
        <v>6599.0919359703403</v>
      </c>
      <c r="K4885">
        <v>5990.9353731701203</v>
      </c>
      <c r="L4885">
        <v>55.643999999999998</v>
      </c>
      <c r="M4885">
        <v>67.134</v>
      </c>
      <c r="N4885">
        <v>45.442</v>
      </c>
    </row>
    <row r="4886" spans="1:14" x14ac:dyDescent="0.45">
      <c r="A4886">
        <v>2003</v>
      </c>
      <c r="B4886" t="s">
        <v>142</v>
      </c>
      <c r="C4886">
        <v>1</v>
      </c>
      <c r="D4886">
        <v>0</v>
      </c>
      <c r="E4886">
        <v>0</v>
      </c>
      <c r="F4886">
        <v>0</v>
      </c>
      <c r="G4886">
        <v>0</v>
      </c>
      <c r="H4886">
        <v>1</v>
      </c>
      <c r="I4886">
        <v>1</v>
      </c>
      <c r="L4886">
        <v>48.131</v>
      </c>
      <c r="M4886">
        <v>76.319000000000003</v>
      </c>
      <c r="N4886">
        <v>21.03</v>
      </c>
    </row>
    <row r="4887" spans="1:14" x14ac:dyDescent="0.45">
      <c r="A4887">
        <v>2003</v>
      </c>
      <c r="B4887" t="s">
        <v>143</v>
      </c>
      <c r="C4887">
        <v>0</v>
      </c>
      <c r="D4887">
        <v>0</v>
      </c>
      <c r="E4887">
        <v>0</v>
      </c>
      <c r="F4887">
        <v>0</v>
      </c>
      <c r="G4887">
        <v>0</v>
      </c>
      <c r="H4887">
        <v>0</v>
      </c>
      <c r="I4887">
        <v>0</v>
      </c>
      <c r="J4887">
        <v>3445.9259235239501</v>
      </c>
      <c r="K4887">
        <v>2890.0475789945099</v>
      </c>
      <c r="L4887">
        <v>71.427999999999997</v>
      </c>
      <c r="M4887">
        <v>64.085999999999999</v>
      </c>
      <c r="N4887">
        <v>80.626999999999995</v>
      </c>
    </row>
    <row r="4888" spans="1:14" x14ac:dyDescent="0.45">
      <c r="A4888">
        <v>2003</v>
      </c>
      <c r="B4888" t="s">
        <v>144</v>
      </c>
      <c r="C4888">
        <v>1</v>
      </c>
      <c r="D4888">
        <v>0</v>
      </c>
      <c r="E4888">
        <v>0</v>
      </c>
      <c r="F4888">
        <v>0</v>
      </c>
      <c r="G4888">
        <v>0</v>
      </c>
      <c r="H4888">
        <v>1</v>
      </c>
      <c r="I4888">
        <v>1</v>
      </c>
      <c r="J4888">
        <v>58785.2141241344</v>
      </c>
      <c r="K4888">
        <v>54049.937423705698</v>
      </c>
      <c r="L4888">
        <v>40.075000000000003</v>
      </c>
      <c r="M4888">
        <v>78.099999999999994</v>
      </c>
      <c r="N4888">
        <v>6.2530000000000001</v>
      </c>
    </row>
    <row r="4889" spans="1:14" x14ac:dyDescent="0.45">
      <c r="A4889">
        <v>2003</v>
      </c>
      <c r="B4889" t="s">
        <v>145</v>
      </c>
      <c r="C4889">
        <v>0</v>
      </c>
      <c r="D4889">
        <v>0</v>
      </c>
      <c r="E4889">
        <v>0</v>
      </c>
      <c r="F4889">
        <v>1</v>
      </c>
      <c r="G4889">
        <v>0</v>
      </c>
      <c r="H4889">
        <v>0</v>
      </c>
      <c r="I4889">
        <v>0</v>
      </c>
      <c r="J4889">
        <v>12666.201161351701</v>
      </c>
      <c r="K4889">
        <v>12634.468171812599</v>
      </c>
      <c r="L4889">
        <v>33.828000000000003</v>
      </c>
      <c r="M4889">
        <v>70.463999999999999</v>
      </c>
      <c r="N4889">
        <v>33.118000000000002</v>
      </c>
    </row>
    <row r="4890" spans="1:14" x14ac:dyDescent="0.45">
      <c r="A4890">
        <v>2003</v>
      </c>
      <c r="B4890" t="s">
        <v>146</v>
      </c>
      <c r="C4890">
        <v>0</v>
      </c>
      <c r="D4890">
        <v>0</v>
      </c>
      <c r="E4890">
        <v>0</v>
      </c>
      <c r="F4890">
        <v>1</v>
      </c>
      <c r="G4890">
        <v>0</v>
      </c>
      <c r="H4890">
        <v>0</v>
      </c>
      <c r="I4890">
        <v>0</v>
      </c>
      <c r="J4890">
        <v>6849.3320080050798</v>
      </c>
      <c r="K4890">
        <v>4841.7158588124403</v>
      </c>
      <c r="L4890">
        <v>31.341999999999999</v>
      </c>
      <c r="M4890">
        <v>64.834000000000003</v>
      </c>
      <c r="N4890">
        <v>41.713000000000001</v>
      </c>
    </row>
    <row r="4891" spans="1:14" x14ac:dyDescent="0.45">
      <c r="A4891">
        <v>2003</v>
      </c>
      <c r="B4891" t="s">
        <v>147</v>
      </c>
      <c r="C4891">
        <v>1</v>
      </c>
      <c r="D4891">
        <v>0</v>
      </c>
      <c r="E4891">
        <v>0</v>
      </c>
      <c r="F4891">
        <v>0</v>
      </c>
      <c r="G4891">
        <v>0</v>
      </c>
      <c r="H4891">
        <v>1</v>
      </c>
      <c r="I4891">
        <v>1</v>
      </c>
      <c r="J4891">
        <v>49571.197162672099</v>
      </c>
      <c r="K4891">
        <v>42893.405960381802</v>
      </c>
      <c r="L4891">
        <v>7.2110000000000003</v>
      </c>
      <c r="M4891">
        <v>80.768000000000001</v>
      </c>
      <c r="N4891">
        <v>3.3130000000000002</v>
      </c>
    </row>
    <row r="4892" spans="1:14" x14ac:dyDescent="0.45">
      <c r="A4892">
        <v>2003</v>
      </c>
      <c r="B4892" t="s">
        <v>148</v>
      </c>
      <c r="C4892">
        <v>0</v>
      </c>
      <c r="D4892">
        <v>0</v>
      </c>
      <c r="E4892">
        <v>0</v>
      </c>
      <c r="F4892">
        <v>0</v>
      </c>
      <c r="G4892">
        <v>0</v>
      </c>
      <c r="H4892">
        <v>1</v>
      </c>
      <c r="I4892">
        <v>1</v>
      </c>
      <c r="J4892">
        <v>31780.779608098499</v>
      </c>
      <c r="K4892">
        <v>29151.783724029799</v>
      </c>
      <c r="L4892">
        <v>8.6069999999999993</v>
      </c>
      <c r="M4892">
        <v>79.819000000000003</v>
      </c>
      <c r="N4892">
        <v>6.4820000000000002</v>
      </c>
    </row>
    <row r="4893" spans="1:14" x14ac:dyDescent="0.45">
      <c r="A4893">
        <v>2003</v>
      </c>
      <c r="B4893" t="s">
        <v>149</v>
      </c>
      <c r="C4893">
        <v>1</v>
      </c>
      <c r="D4893">
        <v>0</v>
      </c>
      <c r="E4893">
        <v>0</v>
      </c>
      <c r="F4893">
        <v>0</v>
      </c>
      <c r="G4893">
        <v>0</v>
      </c>
      <c r="H4893">
        <v>1</v>
      </c>
      <c r="I4893">
        <v>1</v>
      </c>
      <c r="J4893">
        <v>51126.258554403801</v>
      </c>
      <c r="K4893">
        <v>43547.665803271499</v>
      </c>
      <c r="L4893">
        <v>32.499000000000002</v>
      </c>
      <c r="M4893">
        <v>80.191000000000003</v>
      </c>
      <c r="N4893">
        <v>4.43</v>
      </c>
    </row>
    <row r="4894" spans="1:14" x14ac:dyDescent="0.45">
      <c r="A4894">
        <v>2003</v>
      </c>
      <c r="B4894" t="s">
        <v>150</v>
      </c>
      <c r="C4894">
        <v>0</v>
      </c>
      <c r="D4894">
        <v>1</v>
      </c>
      <c r="E4894">
        <v>0</v>
      </c>
      <c r="F4894">
        <v>1</v>
      </c>
      <c r="G4894">
        <v>0</v>
      </c>
      <c r="H4894">
        <v>0</v>
      </c>
      <c r="I4894">
        <v>0</v>
      </c>
      <c r="J4894">
        <v>10012.2870477793</v>
      </c>
      <c r="K4894">
        <v>9867.4108314106397</v>
      </c>
      <c r="L4894">
        <v>47.563000000000002</v>
      </c>
      <c r="M4894">
        <v>71.584999999999994</v>
      </c>
      <c r="N4894">
        <v>19.541</v>
      </c>
    </row>
    <row r="4895" spans="1:14" x14ac:dyDescent="0.45">
      <c r="A4895">
        <v>2003</v>
      </c>
      <c r="B4895" t="s">
        <v>151</v>
      </c>
      <c r="C4895">
        <v>0</v>
      </c>
      <c r="D4895">
        <v>0</v>
      </c>
      <c r="E4895">
        <v>0</v>
      </c>
      <c r="F4895">
        <v>1</v>
      </c>
      <c r="G4895">
        <v>0</v>
      </c>
      <c r="H4895">
        <v>0</v>
      </c>
      <c r="I4895">
        <v>0</v>
      </c>
      <c r="J4895">
        <v>8800.4967464915808</v>
      </c>
      <c r="K4895">
        <v>8730.4913569639193</v>
      </c>
      <c r="L4895">
        <v>21.692</v>
      </c>
      <c r="M4895">
        <v>72.584999999999994</v>
      </c>
      <c r="N4895">
        <v>24.68</v>
      </c>
    </row>
    <row r="4896" spans="1:14" x14ac:dyDescent="0.45">
      <c r="A4896">
        <v>2003</v>
      </c>
      <c r="B4896" t="s">
        <v>152</v>
      </c>
      <c r="C4896">
        <v>0</v>
      </c>
      <c r="D4896">
        <v>0</v>
      </c>
      <c r="E4896">
        <v>0</v>
      </c>
      <c r="F4896">
        <v>0</v>
      </c>
      <c r="G4896">
        <v>0</v>
      </c>
      <c r="H4896">
        <v>1</v>
      </c>
      <c r="I4896">
        <v>1</v>
      </c>
      <c r="J4896">
        <v>39501.806782419</v>
      </c>
      <c r="K4896">
        <v>36591.800453840602</v>
      </c>
      <c r="L4896">
        <v>16.803999999999998</v>
      </c>
      <c r="M4896">
        <v>81.853999999999999</v>
      </c>
      <c r="N4896">
        <v>3.9580000000000002</v>
      </c>
    </row>
    <row r="4897" spans="1:14" x14ac:dyDescent="0.45">
      <c r="A4897">
        <v>2003</v>
      </c>
      <c r="B4897" t="s">
        <v>153</v>
      </c>
      <c r="C4897">
        <v>1</v>
      </c>
      <c r="D4897">
        <v>0</v>
      </c>
      <c r="E4897">
        <v>0</v>
      </c>
      <c r="F4897">
        <v>1</v>
      </c>
      <c r="G4897">
        <v>0</v>
      </c>
      <c r="H4897">
        <v>0</v>
      </c>
      <c r="I4897">
        <v>0</v>
      </c>
      <c r="J4897">
        <v>17344.752672995</v>
      </c>
      <c r="K4897">
        <v>13189.980416118</v>
      </c>
      <c r="L4897">
        <v>43.683</v>
      </c>
      <c r="M4897">
        <v>64.753</v>
      </c>
      <c r="N4897">
        <v>35.061999999999998</v>
      </c>
    </row>
    <row r="4898" spans="1:14" x14ac:dyDescent="0.45">
      <c r="A4898">
        <v>2003</v>
      </c>
      <c r="B4898" t="s">
        <v>154</v>
      </c>
      <c r="C4898">
        <v>0</v>
      </c>
      <c r="D4898">
        <v>0</v>
      </c>
      <c r="E4898">
        <v>1</v>
      </c>
      <c r="F4898">
        <v>0</v>
      </c>
      <c r="G4898">
        <v>0</v>
      </c>
      <c r="H4898">
        <v>0</v>
      </c>
      <c r="I4898">
        <v>0</v>
      </c>
      <c r="J4898">
        <v>3674.0859275840899</v>
      </c>
      <c r="K4898">
        <v>3166.4971391839699</v>
      </c>
      <c r="L4898">
        <v>79.052000000000007</v>
      </c>
      <c r="M4898">
        <v>57.369</v>
      </c>
      <c r="N4898">
        <v>80.433999999999997</v>
      </c>
    </row>
    <row r="4899" spans="1:14" x14ac:dyDescent="0.45">
      <c r="A4899">
        <v>2003</v>
      </c>
      <c r="B4899" t="s">
        <v>155</v>
      </c>
      <c r="C4899">
        <v>1</v>
      </c>
      <c r="D4899">
        <v>0</v>
      </c>
      <c r="E4899">
        <v>0</v>
      </c>
      <c r="F4899">
        <v>0</v>
      </c>
      <c r="G4899">
        <v>0</v>
      </c>
      <c r="H4899">
        <v>0</v>
      </c>
      <c r="I4899">
        <v>0</v>
      </c>
      <c r="J4899">
        <v>3982.92722017802</v>
      </c>
      <c r="K4899">
        <v>3366.2427742114201</v>
      </c>
      <c r="L4899">
        <v>64.706999999999994</v>
      </c>
      <c r="M4899">
        <v>65.447999999999993</v>
      </c>
      <c r="N4899">
        <v>42.865000000000002</v>
      </c>
    </row>
    <row r="4900" spans="1:14" x14ac:dyDescent="0.45">
      <c r="A4900">
        <v>2003</v>
      </c>
      <c r="B4900" t="s">
        <v>156</v>
      </c>
      <c r="C4900">
        <v>0</v>
      </c>
      <c r="D4900">
        <v>0</v>
      </c>
      <c r="E4900">
        <v>0</v>
      </c>
      <c r="F4900">
        <v>0</v>
      </c>
      <c r="G4900">
        <v>0</v>
      </c>
      <c r="H4900">
        <v>0</v>
      </c>
      <c r="I4900">
        <v>0</v>
      </c>
      <c r="J4900">
        <v>2309.8393148271298</v>
      </c>
      <c r="K4900">
        <v>2071.1596619879701</v>
      </c>
      <c r="L4900">
        <v>81.063000000000002</v>
      </c>
      <c r="M4900">
        <v>62.344999999999999</v>
      </c>
      <c r="N4900">
        <v>78.846999999999994</v>
      </c>
    </row>
    <row r="4901" spans="1:14" x14ac:dyDescent="0.45">
      <c r="A4901">
        <v>2003</v>
      </c>
      <c r="B4901" t="s">
        <v>157</v>
      </c>
      <c r="C4901">
        <v>0</v>
      </c>
      <c r="D4901">
        <v>0</v>
      </c>
      <c r="E4901">
        <v>0</v>
      </c>
      <c r="F4901">
        <v>1</v>
      </c>
      <c r="G4901">
        <v>0</v>
      </c>
      <c r="H4901">
        <v>0</v>
      </c>
      <c r="I4901">
        <v>0</v>
      </c>
      <c r="J4901">
        <v>2258.0338183098502</v>
      </c>
      <c r="K4901">
        <v>2042.61580550245</v>
      </c>
      <c r="L4901">
        <v>56.488</v>
      </c>
      <c r="M4901">
        <v>65.287000000000006</v>
      </c>
      <c r="N4901">
        <v>62.064</v>
      </c>
    </row>
    <row r="4902" spans="1:14" x14ac:dyDescent="0.45">
      <c r="A4902">
        <v>2003</v>
      </c>
      <c r="B4902" t="s">
        <v>158</v>
      </c>
      <c r="C4902">
        <v>0</v>
      </c>
      <c r="D4902">
        <v>1</v>
      </c>
      <c r="E4902">
        <v>0</v>
      </c>
      <c r="F4902">
        <v>0</v>
      </c>
      <c r="G4902">
        <v>1</v>
      </c>
      <c r="H4902">
        <v>0</v>
      </c>
      <c r="I4902">
        <v>0</v>
      </c>
      <c r="J4902">
        <v>19927.181831413702</v>
      </c>
      <c r="K4902">
        <v>19680.802518365999</v>
      </c>
      <c r="L4902">
        <v>67.688000000000002</v>
      </c>
      <c r="M4902">
        <v>70.614000000000004</v>
      </c>
      <c r="N4902">
        <v>20.928999999999998</v>
      </c>
    </row>
    <row r="4903" spans="1:14" x14ac:dyDescent="0.45">
      <c r="A4903">
        <v>2003</v>
      </c>
      <c r="B4903" t="s">
        <v>159</v>
      </c>
      <c r="C4903">
        <v>0</v>
      </c>
      <c r="D4903">
        <v>0</v>
      </c>
      <c r="E4903">
        <v>0</v>
      </c>
      <c r="F4903">
        <v>0</v>
      </c>
      <c r="G4903">
        <v>0</v>
      </c>
      <c r="H4903">
        <v>1</v>
      </c>
      <c r="I4903">
        <v>1</v>
      </c>
      <c r="J4903">
        <v>28716.1691006656</v>
      </c>
      <c r="K4903">
        <v>26178.3057664525</v>
      </c>
      <c r="L4903">
        <v>19.347999999999999</v>
      </c>
      <c r="M4903">
        <v>77.497</v>
      </c>
      <c r="N4903">
        <v>6.3659999999999997</v>
      </c>
    </row>
    <row r="4904" spans="1:14" x14ac:dyDescent="0.45">
      <c r="A4904">
        <v>2003</v>
      </c>
      <c r="B4904" t="s">
        <v>160</v>
      </c>
      <c r="C4904">
        <v>0</v>
      </c>
      <c r="D4904">
        <v>0</v>
      </c>
      <c r="E4904">
        <v>0</v>
      </c>
      <c r="F4904">
        <v>0</v>
      </c>
      <c r="G4904">
        <v>0</v>
      </c>
      <c r="H4904">
        <v>1</v>
      </c>
      <c r="I4904">
        <v>1</v>
      </c>
      <c r="J4904">
        <v>67984.314541604894</v>
      </c>
      <c r="K4904">
        <v>60546.839043362597</v>
      </c>
      <c r="L4904">
        <v>0</v>
      </c>
      <c r="M4904">
        <v>76.304000000000002</v>
      </c>
      <c r="N4904">
        <v>12.132999999999999</v>
      </c>
    </row>
    <row r="4905" spans="1:14" x14ac:dyDescent="0.45">
      <c r="A4905">
        <v>2003</v>
      </c>
      <c r="B4905" t="s">
        <v>161</v>
      </c>
      <c r="C4905">
        <v>0</v>
      </c>
      <c r="D4905">
        <v>0</v>
      </c>
      <c r="E4905">
        <v>0</v>
      </c>
      <c r="F4905">
        <v>0</v>
      </c>
      <c r="G4905">
        <v>0</v>
      </c>
      <c r="H4905">
        <v>0</v>
      </c>
      <c r="I4905">
        <v>0</v>
      </c>
      <c r="J4905">
        <v>3282.9853971272</v>
      </c>
      <c r="K4905">
        <v>3154.6456040889898</v>
      </c>
      <c r="L4905">
        <v>74.873999999999995</v>
      </c>
      <c r="M4905">
        <v>59.643000000000001</v>
      </c>
      <c r="N4905">
        <v>94.242000000000004</v>
      </c>
    </row>
    <row r="4906" spans="1:14" x14ac:dyDescent="0.45">
      <c r="A4906">
        <v>2003</v>
      </c>
      <c r="B4906" t="s">
        <v>162</v>
      </c>
      <c r="C4906">
        <v>0</v>
      </c>
      <c r="D4906">
        <v>0</v>
      </c>
      <c r="E4906">
        <v>0</v>
      </c>
      <c r="F4906">
        <v>0</v>
      </c>
      <c r="G4906">
        <v>1</v>
      </c>
      <c r="H4906">
        <v>0</v>
      </c>
      <c r="I4906">
        <v>0</v>
      </c>
      <c r="J4906">
        <v>12272.3440677497</v>
      </c>
      <c r="K4906">
        <v>15951.511926921499</v>
      </c>
      <c r="L4906">
        <v>13.634</v>
      </c>
      <c r="M4906">
        <v>75.275000000000006</v>
      </c>
      <c r="N4906">
        <v>16.841000000000001</v>
      </c>
    </row>
    <row r="4907" spans="1:14" x14ac:dyDescent="0.45">
      <c r="A4907">
        <v>2003</v>
      </c>
      <c r="B4907" t="s">
        <v>163</v>
      </c>
      <c r="C4907">
        <v>0</v>
      </c>
      <c r="D4907">
        <v>0</v>
      </c>
      <c r="E4907">
        <v>1</v>
      </c>
      <c r="F4907">
        <v>0</v>
      </c>
      <c r="G4907">
        <v>0</v>
      </c>
      <c r="H4907">
        <v>0</v>
      </c>
      <c r="I4907">
        <v>0</v>
      </c>
      <c r="J4907">
        <v>1308.1509014027399</v>
      </c>
      <c r="K4907">
        <v>1932.72159467197</v>
      </c>
      <c r="L4907">
        <v>54.639000000000003</v>
      </c>
      <c r="M4907">
        <v>53.045000000000002</v>
      </c>
      <c r="N4907">
        <v>157.96299999999999</v>
      </c>
    </row>
    <row r="4908" spans="1:14" x14ac:dyDescent="0.45">
      <c r="A4908">
        <v>2003</v>
      </c>
      <c r="B4908" t="s">
        <v>164</v>
      </c>
      <c r="C4908">
        <v>0</v>
      </c>
      <c r="D4908">
        <v>0</v>
      </c>
      <c r="E4908">
        <v>0</v>
      </c>
      <c r="F4908">
        <v>0</v>
      </c>
      <c r="G4908">
        <v>1</v>
      </c>
      <c r="H4908">
        <v>0</v>
      </c>
      <c r="I4908">
        <v>0</v>
      </c>
      <c r="J4908">
        <v>18417.884344697199</v>
      </c>
      <c r="K4908">
        <v>21524.892002381799</v>
      </c>
      <c r="L4908">
        <v>23.231999999999999</v>
      </c>
      <c r="M4908">
        <v>70.995999999999995</v>
      </c>
      <c r="N4908">
        <v>24.873000000000001</v>
      </c>
    </row>
    <row r="4909" spans="1:14" x14ac:dyDescent="0.45">
      <c r="A4909">
        <v>2003</v>
      </c>
      <c r="B4909" t="s">
        <v>165</v>
      </c>
      <c r="C4909">
        <v>0</v>
      </c>
      <c r="D4909">
        <v>1</v>
      </c>
      <c r="E4909">
        <v>0</v>
      </c>
      <c r="F4909">
        <v>0</v>
      </c>
      <c r="G4909">
        <v>1</v>
      </c>
      <c r="H4909">
        <v>0</v>
      </c>
      <c r="I4909">
        <v>0</v>
      </c>
      <c r="J4909">
        <v>18522.512963015699</v>
      </c>
      <c r="K4909">
        <v>13325.2256192607</v>
      </c>
      <c r="L4909">
        <v>74.784000000000006</v>
      </c>
      <c r="M4909">
        <v>72.188000000000002</v>
      </c>
      <c r="N4909">
        <v>18.091999999999999</v>
      </c>
    </row>
    <row r="4910" spans="1:14" x14ac:dyDescent="0.45">
      <c r="A4910">
        <v>2003</v>
      </c>
      <c r="B4910" t="s">
        <v>166</v>
      </c>
      <c r="C4910">
        <v>1</v>
      </c>
      <c r="D4910">
        <v>0</v>
      </c>
      <c r="E4910">
        <v>0</v>
      </c>
      <c r="F4910">
        <v>0</v>
      </c>
      <c r="G4910">
        <v>0</v>
      </c>
      <c r="H4910">
        <v>1</v>
      </c>
      <c r="I4910">
        <v>1</v>
      </c>
      <c r="L4910">
        <v>85.15</v>
      </c>
      <c r="M4910">
        <v>80.238</v>
      </c>
      <c r="N4910">
        <v>9.6340000000000003</v>
      </c>
    </row>
    <row r="4911" spans="1:14" x14ac:dyDescent="0.45">
      <c r="A4911">
        <v>2003</v>
      </c>
      <c r="B4911" t="s">
        <v>167</v>
      </c>
      <c r="C4911">
        <v>0</v>
      </c>
      <c r="D4911">
        <v>0</v>
      </c>
      <c r="E4911">
        <v>0</v>
      </c>
      <c r="F4911">
        <v>1</v>
      </c>
      <c r="G4911">
        <v>0</v>
      </c>
      <c r="H4911">
        <v>0</v>
      </c>
      <c r="I4911">
        <v>0</v>
      </c>
      <c r="J4911">
        <v>6741.0124884942397</v>
      </c>
      <c r="K4911">
        <v>6295.9991218738396</v>
      </c>
      <c r="L4911">
        <v>81.665999999999997</v>
      </c>
      <c r="M4911">
        <v>72.441999999999993</v>
      </c>
      <c r="N4911">
        <v>15.305999999999999</v>
      </c>
    </row>
    <row r="4912" spans="1:14" x14ac:dyDescent="0.45">
      <c r="A4912">
        <v>2003</v>
      </c>
      <c r="B4912" t="s">
        <v>168</v>
      </c>
      <c r="C4912">
        <v>0</v>
      </c>
      <c r="D4912">
        <v>0</v>
      </c>
      <c r="E4912">
        <v>1</v>
      </c>
      <c r="F4912">
        <v>0</v>
      </c>
      <c r="G4912">
        <v>0</v>
      </c>
      <c r="H4912">
        <v>0</v>
      </c>
      <c r="I4912">
        <v>0</v>
      </c>
      <c r="J4912">
        <v>2127.37302160132</v>
      </c>
      <c r="K4912">
        <v>1904.8927674323199</v>
      </c>
      <c r="L4912">
        <v>78.863</v>
      </c>
      <c r="M4912">
        <v>44.920999999999999</v>
      </c>
      <c r="N4912">
        <v>114.05500000000001</v>
      </c>
    </row>
    <row r="4913" spans="1:14" x14ac:dyDescent="0.45">
      <c r="A4913">
        <v>2003</v>
      </c>
      <c r="B4913" t="s">
        <v>169</v>
      </c>
      <c r="C4913">
        <v>1</v>
      </c>
      <c r="D4913">
        <v>0</v>
      </c>
      <c r="E4913">
        <v>0</v>
      </c>
      <c r="F4913">
        <v>0</v>
      </c>
      <c r="G4913">
        <v>1</v>
      </c>
      <c r="H4913">
        <v>0</v>
      </c>
      <c r="I4913">
        <v>0</v>
      </c>
      <c r="J4913">
        <v>20302.9848798403</v>
      </c>
      <c r="K4913">
        <v>17370.557379131398</v>
      </c>
      <c r="L4913">
        <v>33.262999999999998</v>
      </c>
      <c r="M4913">
        <v>72.087999999999994</v>
      </c>
      <c r="N4913">
        <v>8.8439999999999994</v>
      </c>
    </row>
    <row r="4914" spans="1:14" x14ac:dyDescent="0.45">
      <c r="A4914">
        <v>2003</v>
      </c>
      <c r="B4914" t="s">
        <v>170</v>
      </c>
      <c r="C4914">
        <v>1</v>
      </c>
      <c r="D4914">
        <v>0</v>
      </c>
      <c r="E4914">
        <v>0</v>
      </c>
      <c r="F4914">
        <v>0</v>
      </c>
      <c r="G4914">
        <v>0</v>
      </c>
      <c r="H4914">
        <v>1</v>
      </c>
      <c r="I4914">
        <v>1</v>
      </c>
      <c r="J4914">
        <v>120396.257843179</v>
      </c>
      <c r="K4914">
        <v>102885.984204735</v>
      </c>
      <c r="L4914">
        <v>14.257</v>
      </c>
      <c r="M4914">
        <v>77.262</v>
      </c>
      <c r="N4914">
        <v>7.4109999999999996</v>
      </c>
    </row>
    <row r="4915" spans="1:14" x14ac:dyDescent="0.45">
      <c r="A4915">
        <v>2003</v>
      </c>
      <c r="B4915" t="s">
        <v>171</v>
      </c>
      <c r="C4915">
        <v>1</v>
      </c>
      <c r="D4915">
        <v>0</v>
      </c>
      <c r="E4915">
        <v>0</v>
      </c>
      <c r="F4915">
        <v>0</v>
      </c>
      <c r="G4915">
        <v>1</v>
      </c>
      <c r="H4915">
        <v>0</v>
      </c>
      <c r="I4915">
        <v>0</v>
      </c>
      <c r="J4915">
        <v>18717.667552553801</v>
      </c>
      <c r="K4915">
        <v>16239.247789317</v>
      </c>
      <c r="L4915">
        <v>32.200000000000003</v>
      </c>
      <c r="M4915">
        <v>70.635999999999996</v>
      </c>
      <c r="N4915">
        <v>12.750999999999999</v>
      </c>
    </row>
    <row r="4916" spans="1:14" x14ac:dyDescent="0.45">
      <c r="A4916">
        <v>2003</v>
      </c>
      <c r="B4916" t="s">
        <v>172</v>
      </c>
      <c r="C4916">
        <v>0</v>
      </c>
      <c r="D4916">
        <v>0</v>
      </c>
      <c r="E4916">
        <v>0</v>
      </c>
      <c r="F4916">
        <v>0</v>
      </c>
      <c r="G4916">
        <v>0</v>
      </c>
      <c r="H4916">
        <v>1</v>
      </c>
      <c r="I4916">
        <v>1</v>
      </c>
      <c r="J4916">
        <v>67925.708377052593</v>
      </c>
      <c r="K4916">
        <v>61557.094876586001</v>
      </c>
      <c r="L4916">
        <v>0</v>
      </c>
      <c r="M4916">
        <v>80.215000000000003</v>
      </c>
      <c r="N4916">
        <v>6.5289999999999999</v>
      </c>
    </row>
    <row r="4917" spans="1:14" x14ac:dyDescent="0.45">
      <c r="A4917">
        <v>2003</v>
      </c>
      <c r="B4917" t="s">
        <v>173</v>
      </c>
      <c r="C4917">
        <v>0</v>
      </c>
      <c r="D4917">
        <v>1</v>
      </c>
      <c r="E4917">
        <v>0</v>
      </c>
      <c r="F4917">
        <v>0</v>
      </c>
      <c r="G4917">
        <v>0</v>
      </c>
      <c r="H4917">
        <v>1</v>
      </c>
      <c r="I4917">
        <v>1</v>
      </c>
      <c r="L4917">
        <v>0</v>
      </c>
      <c r="M4917">
        <v>77.418999999999997</v>
      </c>
      <c r="N4917">
        <v>13.488</v>
      </c>
    </row>
    <row r="4918" spans="1:14" x14ac:dyDescent="0.45">
      <c r="A4918">
        <v>2003</v>
      </c>
      <c r="B4918" t="s">
        <v>174</v>
      </c>
      <c r="C4918">
        <v>0</v>
      </c>
      <c r="D4918">
        <v>0</v>
      </c>
      <c r="E4918">
        <v>0</v>
      </c>
      <c r="F4918">
        <v>1</v>
      </c>
      <c r="G4918">
        <v>0</v>
      </c>
      <c r="H4918">
        <v>0</v>
      </c>
      <c r="I4918">
        <v>0</v>
      </c>
      <c r="J4918">
        <v>5810.05322265625</v>
      </c>
      <c r="K4918">
        <v>5579.79174795567</v>
      </c>
      <c r="L4918">
        <v>45.683</v>
      </c>
      <c r="M4918">
        <v>67.957999999999998</v>
      </c>
      <c r="N4918">
        <v>45.222000000000001</v>
      </c>
    </row>
    <row r="4919" spans="1:14" x14ac:dyDescent="0.45">
      <c r="A4919">
        <v>2003</v>
      </c>
      <c r="B4919" t="s">
        <v>175</v>
      </c>
      <c r="C4919">
        <v>1</v>
      </c>
      <c r="D4919">
        <v>0</v>
      </c>
      <c r="E4919">
        <v>0</v>
      </c>
      <c r="F4919">
        <v>0</v>
      </c>
      <c r="G4919">
        <v>0</v>
      </c>
      <c r="H4919">
        <v>1</v>
      </c>
      <c r="I4919">
        <v>1</v>
      </c>
      <c r="L4919">
        <v>0</v>
      </c>
      <c r="M4919">
        <v>83.613</v>
      </c>
      <c r="N4919">
        <v>6.5209999999999999</v>
      </c>
    </row>
    <row r="4920" spans="1:14" x14ac:dyDescent="0.45">
      <c r="A4920">
        <v>2003</v>
      </c>
      <c r="B4920" t="s">
        <v>176</v>
      </c>
      <c r="C4920">
        <v>1</v>
      </c>
      <c r="D4920">
        <v>0</v>
      </c>
      <c r="E4920">
        <v>0</v>
      </c>
      <c r="F4920">
        <v>0</v>
      </c>
      <c r="G4920">
        <v>0</v>
      </c>
      <c r="H4920">
        <v>0</v>
      </c>
      <c r="I4920">
        <v>0</v>
      </c>
      <c r="J4920">
        <v>7034.3578491168701</v>
      </c>
      <c r="K4920">
        <v>6033.4224612487096</v>
      </c>
      <c r="L4920">
        <v>56.610999999999997</v>
      </c>
      <c r="M4920">
        <v>67.900000000000006</v>
      </c>
      <c r="N4920">
        <v>24.157</v>
      </c>
    </row>
    <row r="4921" spans="1:14" x14ac:dyDescent="0.45">
      <c r="A4921">
        <v>2003</v>
      </c>
      <c r="B4921" t="s">
        <v>177</v>
      </c>
      <c r="C4921">
        <v>0</v>
      </c>
      <c r="D4921">
        <v>0</v>
      </c>
      <c r="E4921">
        <v>1</v>
      </c>
      <c r="F4921">
        <v>0</v>
      </c>
      <c r="G4921">
        <v>0</v>
      </c>
      <c r="H4921">
        <v>0</v>
      </c>
      <c r="I4921">
        <v>0</v>
      </c>
      <c r="J4921">
        <v>1584.74925232124</v>
      </c>
      <c r="K4921">
        <v>1468.153773453</v>
      </c>
      <c r="L4921">
        <v>72.063999999999993</v>
      </c>
      <c r="M4921">
        <v>59.692999999999998</v>
      </c>
      <c r="N4921">
        <v>92.186999999999998</v>
      </c>
    </row>
    <row r="4922" spans="1:14" x14ac:dyDescent="0.45">
      <c r="A4922">
        <v>2003</v>
      </c>
      <c r="B4922" t="s">
        <v>178</v>
      </c>
      <c r="C4922">
        <v>0</v>
      </c>
      <c r="D4922">
        <v>0</v>
      </c>
      <c r="E4922">
        <v>0</v>
      </c>
      <c r="F4922">
        <v>1</v>
      </c>
      <c r="G4922">
        <v>0</v>
      </c>
      <c r="H4922">
        <v>0</v>
      </c>
      <c r="I4922">
        <v>0</v>
      </c>
      <c r="J4922">
        <v>15316.1192843398</v>
      </c>
      <c r="K4922">
        <v>15110.6274837818</v>
      </c>
      <c r="L4922">
        <v>68.748000000000005</v>
      </c>
      <c r="M4922">
        <v>73.263000000000005</v>
      </c>
      <c r="N4922">
        <v>27.420999999999999</v>
      </c>
    </row>
    <row r="4923" spans="1:14" x14ac:dyDescent="0.45">
      <c r="A4923">
        <v>2003</v>
      </c>
      <c r="B4923" t="s">
        <v>179</v>
      </c>
      <c r="C4923">
        <v>0</v>
      </c>
      <c r="D4923">
        <v>1</v>
      </c>
      <c r="E4923">
        <v>0</v>
      </c>
      <c r="F4923">
        <v>0</v>
      </c>
      <c r="G4923">
        <v>1</v>
      </c>
      <c r="H4923">
        <v>0</v>
      </c>
      <c r="I4923">
        <v>0</v>
      </c>
      <c r="J4923">
        <v>19701.463387553202</v>
      </c>
      <c r="K4923">
        <v>18315.961745611901</v>
      </c>
      <c r="L4923">
        <v>24.318000000000001</v>
      </c>
      <c r="M4923">
        <v>73.308000000000007</v>
      </c>
      <c r="N4923">
        <v>24.762</v>
      </c>
    </row>
    <row r="4924" spans="1:14" x14ac:dyDescent="0.45">
      <c r="A4924">
        <v>2003</v>
      </c>
      <c r="B4924" t="s">
        <v>180</v>
      </c>
      <c r="C4924">
        <v>0</v>
      </c>
      <c r="D4924">
        <v>0</v>
      </c>
      <c r="E4924">
        <v>0</v>
      </c>
      <c r="F4924">
        <v>1</v>
      </c>
      <c r="G4924">
        <v>0</v>
      </c>
      <c r="H4924">
        <v>0</v>
      </c>
      <c r="I4924">
        <v>0</v>
      </c>
      <c r="J4924">
        <v>4040.6551193498199</v>
      </c>
      <c r="K4924">
        <v>3654.7114887691901</v>
      </c>
      <c r="L4924">
        <v>29.87</v>
      </c>
      <c r="M4924">
        <v>63.956000000000003</v>
      </c>
      <c r="N4924">
        <v>41.624000000000002</v>
      </c>
    </row>
    <row r="4925" spans="1:14" x14ac:dyDescent="0.45">
      <c r="A4925">
        <v>2003</v>
      </c>
      <c r="B4925" t="s">
        <v>181</v>
      </c>
      <c r="C4925">
        <v>1</v>
      </c>
      <c r="D4925">
        <v>0</v>
      </c>
      <c r="E4925">
        <v>0</v>
      </c>
      <c r="F4925">
        <v>1</v>
      </c>
      <c r="G4925">
        <v>0</v>
      </c>
      <c r="H4925">
        <v>0</v>
      </c>
      <c r="I4925">
        <v>0</v>
      </c>
      <c r="J4925">
        <v>12077.1838387932</v>
      </c>
      <c r="K4925">
        <v>10195.4122064032</v>
      </c>
      <c r="L4925">
        <v>42.079000000000001</v>
      </c>
      <c r="M4925">
        <v>73.046999999999997</v>
      </c>
      <c r="N4925">
        <v>14.747999999999999</v>
      </c>
    </row>
    <row r="4926" spans="1:14" x14ac:dyDescent="0.45">
      <c r="A4926">
        <v>2003</v>
      </c>
      <c r="B4926" t="s">
        <v>182</v>
      </c>
      <c r="C4926">
        <v>0</v>
      </c>
      <c r="D4926">
        <v>0</v>
      </c>
      <c r="E4926">
        <v>1</v>
      </c>
      <c r="F4926">
        <v>0</v>
      </c>
      <c r="G4926">
        <v>0</v>
      </c>
      <c r="H4926">
        <v>0</v>
      </c>
      <c r="I4926">
        <v>0</v>
      </c>
      <c r="J4926">
        <v>2262.0513272181101</v>
      </c>
      <c r="K4926">
        <v>2093.7768354045102</v>
      </c>
      <c r="L4926">
        <v>69.453000000000003</v>
      </c>
      <c r="M4926">
        <v>52.631999999999998</v>
      </c>
      <c r="N4926">
        <v>170.042</v>
      </c>
    </row>
    <row r="4927" spans="1:14" x14ac:dyDescent="0.45">
      <c r="A4927">
        <v>2003</v>
      </c>
      <c r="B4927" t="s">
        <v>183</v>
      </c>
      <c r="C4927">
        <v>0</v>
      </c>
      <c r="D4927">
        <v>0</v>
      </c>
      <c r="E4927">
        <v>0</v>
      </c>
      <c r="F4927">
        <v>0</v>
      </c>
      <c r="G4927">
        <v>0</v>
      </c>
      <c r="H4927">
        <v>1</v>
      </c>
      <c r="I4927">
        <v>1</v>
      </c>
      <c r="J4927">
        <v>32117.342897878701</v>
      </c>
      <c r="K4927">
        <v>27783.073614566802</v>
      </c>
      <c r="L4927">
        <v>6.84</v>
      </c>
      <c r="M4927">
        <v>78.695999999999998</v>
      </c>
      <c r="N4927">
        <v>6.36</v>
      </c>
    </row>
    <row r="4928" spans="1:14" x14ac:dyDescent="0.45">
      <c r="A4928">
        <v>2003</v>
      </c>
      <c r="B4928" t="s">
        <v>184</v>
      </c>
      <c r="C4928">
        <v>0</v>
      </c>
      <c r="D4928">
        <v>0</v>
      </c>
      <c r="E4928">
        <v>0</v>
      </c>
      <c r="F4928">
        <v>0</v>
      </c>
      <c r="G4928">
        <v>0</v>
      </c>
      <c r="H4928">
        <v>0</v>
      </c>
      <c r="I4928">
        <v>0</v>
      </c>
      <c r="J4928">
        <v>1874.1712826938899</v>
      </c>
      <c r="K4928">
        <v>1500.65481614335</v>
      </c>
      <c r="L4928">
        <v>72.424999999999997</v>
      </c>
      <c r="M4928">
        <v>61.195999999999998</v>
      </c>
      <c r="N4928">
        <v>81.734999999999999</v>
      </c>
    </row>
    <row r="4929" spans="1:14" x14ac:dyDescent="0.45">
      <c r="A4929">
        <v>2003</v>
      </c>
      <c r="B4929" t="s">
        <v>185</v>
      </c>
      <c r="C4929">
        <v>1</v>
      </c>
      <c r="D4929">
        <v>0</v>
      </c>
      <c r="E4929">
        <v>0</v>
      </c>
      <c r="F4929">
        <v>1</v>
      </c>
      <c r="G4929">
        <v>0</v>
      </c>
      <c r="H4929">
        <v>0</v>
      </c>
      <c r="I4929">
        <v>0</v>
      </c>
      <c r="J4929">
        <v>15055.3371759656</v>
      </c>
      <c r="K4929">
        <v>12720.8408282826</v>
      </c>
      <c r="L4929">
        <v>38.432000000000002</v>
      </c>
      <c r="M4929">
        <v>74.225999999999999</v>
      </c>
      <c r="N4929">
        <v>11.818</v>
      </c>
    </row>
    <row r="4930" spans="1:14" x14ac:dyDescent="0.45">
      <c r="A4930">
        <v>2003</v>
      </c>
      <c r="B4930" t="s">
        <v>186</v>
      </c>
      <c r="C4930">
        <v>0</v>
      </c>
      <c r="D4930">
        <v>0</v>
      </c>
      <c r="E4930">
        <v>0</v>
      </c>
      <c r="F4930">
        <v>0</v>
      </c>
      <c r="G4930">
        <v>0</v>
      </c>
      <c r="H4930">
        <v>0</v>
      </c>
      <c r="I4930">
        <v>0</v>
      </c>
      <c r="J4930">
        <v>6463.7896665176204</v>
      </c>
      <c r="K4930">
        <v>4980.1941707331898</v>
      </c>
      <c r="L4930">
        <v>39.622</v>
      </c>
      <c r="M4930">
        <v>64.135000000000005</v>
      </c>
      <c r="N4930">
        <v>48.686</v>
      </c>
    </row>
    <row r="4931" spans="1:14" x14ac:dyDescent="0.45">
      <c r="A4931">
        <v>2003</v>
      </c>
      <c r="B4931" t="s">
        <v>187</v>
      </c>
      <c r="C4931">
        <v>0</v>
      </c>
      <c r="D4931">
        <v>0</v>
      </c>
      <c r="E4931">
        <v>0</v>
      </c>
      <c r="F4931">
        <v>0</v>
      </c>
      <c r="G4931">
        <v>1</v>
      </c>
      <c r="H4931">
        <v>0</v>
      </c>
      <c r="I4931">
        <v>0</v>
      </c>
      <c r="L4931">
        <v>9.6020000000000003</v>
      </c>
      <c r="M4931">
        <v>76.504999999999995</v>
      </c>
      <c r="N4931">
        <v>6.4740000000000002</v>
      </c>
    </row>
    <row r="4932" spans="1:14" x14ac:dyDescent="0.45">
      <c r="A4932">
        <v>2003</v>
      </c>
      <c r="B4932" t="s">
        <v>188</v>
      </c>
      <c r="C4932">
        <v>0</v>
      </c>
      <c r="D4932">
        <v>0</v>
      </c>
      <c r="E4932">
        <v>1</v>
      </c>
      <c r="F4932">
        <v>0</v>
      </c>
      <c r="G4932">
        <v>0</v>
      </c>
      <c r="H4932">
        <v>0</v>
      </c>
      <c r="I4932">
        <v>0</v>
      </c>
      <c r="J4932">
        <v>883.23912147219403</v>
      </c>
      <c r="K4932">
        <v>739.53603295682399</v>
      </c>
      <c r="L4932">
        <v>70.363</v>
      </c>
      <c r="M4932">
        <v>51.383000000000003</v>
      </c>
      <c r="N4932">
        <v>147.45500000000001</v>
      </c>
    </row>
    <row r="4933" spans="1:14" x14ac:dyDescent="0.45">
      <c r="A4933">
        <v>2003</v>
      </c>
      <c r="B4933" t="s">
        <v>189</v>
      </c>
      <c r="C4933">
        <v>0</v>
      </c>
      <c r="D4933">
        <v>0</v>
      </c>
      <c r="E4933">
        <v>1</v>
      </c>
      <c r="F4933">
        <v>0</v>
      </c>
      <c r="G4933">
        <v>0</v>
      </c>
      <c r="H4933">
        <v>0</v>
      </c>
      <c r="I4933">
        <v>0</v>
      </c>
      <c r="J4933">
        <v>5023.65213880391</v>
      </c>
      <c r="K4933">
        <v>4444.4922168993298</v>
      </c>
      <c r="L4933">
        <v>59.649000000000001</v>
      </c>
      <c r="M4933">
        <v>62.805</v>
      </c>
      <c r="N4933">
        <v>82.236999999999995</v>
      </c>
    </row>
    <row r="4934" spans="1:14" x14ac:dyDescent="0.45">
      <c r="A4934">
        <v>2003</v>
      </c>
      <c r="B4934" t="s">
        <v>190</v>
      </c>
      <c r="C4934">
        <v>0</v>
      </c>
      <c r="D4934">
        <v>0</v>
      </c>
      <c r="E4934">
        <v>1</v>
      </c>
      <c r="F4934">
        <v>0</v>
      </c>
      <c r="G4934">
        <v>1</v>
      </c>
      <c r="H4934">
        <v>0</v>
      </c>
      <c r="I4934">
        <v>0</v>
      </c>
      <c r="J4934">
        <v>14495.693666715601</v>
      </c>
      <c r="K4934">
        <v>13606.015877156</v>
      </c>
      <c r="L4934">
        <v>57.664999999999999</v>
      </c>
      <c r="M4934">
        <v>72.307000000000002</v>
      </c>
      <c r="N4934">
        <v>15.766999999999999</v>
      </c>
    </row>
    <row r="4935" spans="1:14" x14ac:dyDescent="0.45">
      <c r="A4935">
        <v>2003</v>
      </c>
      <c r="B4935" t="s">
        <v>191</v>
      </c>
      <c r="C4935">
        <v>0</v>
      </c>
      <c r="D4935">
        <v>0</v>
      </c>
      <c r="E4935">
        <v>1</v>
      </c>
      <c r="F4935">
        <v>0</v>
      </c>
      <c r="G4935">
        <v>0</v>
      </c>
      <c r="H4935">
        <v>0</v>
      </c>
      <c r="I4935">
        <v>0</v>
      </c>
      <c r="J4935">
        <v>1176.12385998737</v>
      </c>
      <c r="K4935">
        <v>1006.36375180937</v>
      </c>
      <c r="L4935">
        <v>85.125</v>
      </c>
      <c r="M4935">
        <v>49.600999999999999</v>
      </c>
      <c r="N4935">
        <v>132.58699999999999</v>
      </c>
    </row>
    <row r="4936" spans="1:14" x14ac:dyDescent="0.45">
      <c r="A4936">
        <v>2003</v>
      </c>
      <c r="B4936" t="s">
        <v>192</v>
      </c>
      <c r="C4936">
        <v>0</v>
      </c>
      <c r="D4936">
        <v>0</v>
      </c>
      <c r="E4936">
        <v>0</v>
      </c>
      <c r="F4936">
        <v>0</v>
      </c>
      <c r="G4936">
        <v>1</v>
      </c>
      <c r="H4936">
        <v>0</v>
      </c>
      <c r="I4936">
        <v>0</v>
      </c>
      <c r="J4936">
        <v>19329.0062757538</v>
      </c>
      <c r="K4936">
        <v>17277.850955321901</v>
      </c>
      <c r="L4936">
        <v>35.22</v>
      </c>
      <c r="M4936">
        <v>73.727000000000004</v>
      </c>
      <c r="N4936">
        <v>8.7940000000000005</v>
      </c>
    </row>
    <row r="4937" spans="1:14" x14ac:dyDescent="0.45">
      <c r="A4937">
        <v>2003</v>
      </c>
      <c r="B4937" t="s">
        <v>193</v>
      </c>
      <c r="C4937">
        <v>0</v>
      </c>
      <c r="D4937">
        <v>0</v>
      </c>
      <c r="E4937">
        <v>1</v>
      </c>
      <c r="F4937">
        <v>1</v>
      </c>
      <c r="G4937">
        <v>0</v>
      </c>
      <c r="H4937">
        <v>0</v>
      </c>
      <c r="I4937">
        <v>0</v>
      </c>
      <c r="J4937">
        <v>8237.3659724559693</v>
      </c>
      <c r="K4937">
        <v>7139.32347716001</v>
      </c>
      <c r="L4937">
        <v>65.290999999999997</v>
      </c>
      <c r="M4937">
        <v>51.917999999999999</v>
      </c>
      <c r="N4937">
        <v>73.132999999999996</v>
      </c>
    </row>
    <row r="4938" spans="1:14" x14ac:dyDescent="0.45">
      <c r="A4938">
        <v>2003</v>
      </c>
      <c r="B4938" t="s">
        <v>194</v>
      </c>
      <c r="C4938">
        <v>0</v>
      </c>
      <c r="D4938">
        <v>0</v>
      </c>
      <c r="E4938">
        <v>0</v>
      </c>
      <c r="F4938">
        <v>0</v>
      </c>
      <c r="G4938">
        <v>0</v>
      </c>
      <c r="H4938">
        <v>1</v>
      </c>
      <c r="I4938">
        <v>1</v>
      </c>
      <c r="L4938">
        <v>37.012999999999998</v>
      </c>
      <c r="M4938">
        <v>74.5</v>
      </c>
      <c r="N4938">
        <v>20.265000000000001</v>
      </c>
    </row>
    <row r="4939" spans="1:14" x14ac:dyDescent="0.45">
      <c r="A4939">
        <v>2003</v>
      </c>
      <c r="B4939" t="s">
        <v>195</v>
      </c>
      <c r="C4939">
        <v>0</v>
      </c>
      <c r="D4939">
        <v>0</v>
      </c>
      <c r="E4939">
        <v>1</v>
      </c>
      <c r="F4939">
        <v>0</v>
      </c>
      <c r="G4939">
        <v>0</v>
      </c>
      <c r="H4939">
        <v>0</v>
      </c>
      <c r="I4939">
        <v>0</v>
      </c>
      <c r="J4939">
        <v>1231.2780915085</v>
      </c>
      <c r="K4939">
        <v>978.65945450616096</v>
      </c>
      <c r="L4939">
        <v>83.748999999999995</v>
      </c>
      <c r="M4939">
        <v>51.545000000000002</v>
      </c>
      <c r="N4939">
        <v>195.767</v>
      </c>
    </row>
    <row r="4940" spans="1:14" x14ac:dyDescent="0.45">
      <c r="A4940">
        <v>2003</v>
      </c>
      <c r="B4940" t="s">
        <v>196</v>
      </c>
      <c r="C4940">
        <v>0</v>
      </c>
      <c r="D4940">
        <v>0</v>
      </c>
      <c r="E4940">
        <v>1</v>
      </c>
      <c r="F4940">
        <v>0</v>
      </c>
      <c r="G4940">
        <v>0</v>
      </c>
      <c r="H4940">
        <v>0</v>
      </c>
      <c r="I4940">
        <v>0</v>
      </c>
      <c r="J4940">
        <v>3974.76787469397</v>
      </c>
      <c r="K4940">
        <v>3514.23051245439</v>
      </c>
      <c r="L4940">
        <v>62.643999999999998</v>
      </c>
      <c r="M4940">
        <v>48.618000000000002</v>
      </c>
      <c r="N4940">
        <v>165.42599999999999</v>
      </c>
    </row>
    <row r="4941" spans="1:14" x14ac:dyDescent="0.45">
      <c r="A4941">
        <v>2003</v>
      </c>
      <c r="B4941" t="s">
        <v>197</v>
      </c>
      <c r="C4941">
        <v>0</v>
      </c>
      <c r="D4941">
        <v>1</v>
      </c>
      <c r="E4941">
        <v>0</v>
      </c>
      <c r="F4941">
        <v>0</v>
      </c>
      <c r="G4941">
        <v>0</v>
      </c>
      <c r="H4941">
        <v>0</v>
      </c>
      <c r="I4941">
        <v>0</v>
      </c>
      <c r="J4941">
        <v>5000.6117655633998</v>
      </c>
      <c r="K4941">
        <v>4211.8410263945098</v>
      </c>
      <c r="L4941">
        <v>44.366999999999997</v>
      </c>
      <c r="M4941">
        <v>68.748999999999995</v>
      </c>
      <c r="N4941">
        <v>32.759</v>
      </c>
    </row>
    <row r="4942" spans="1:14" x14ac:dyDescent="0.45">
      <c r="A4942">
        <v>2003</v>
      </c>
      <c r="B4942" t="s">
        <v>198</v>
      </c>
      <c r="C4942">
        <v>1</v>
      </c>
      <c r="D4942">
        <v>0</v>
      </c>
      <c r="E4942">
        <v>0</v>
      </c>
      <c r="F4942">
        <v>0</v>
      </c>
      <c r="G4942">
        <v>0</v>
      </c>
      <c r="H4942">
        <v>1</v>
      </c>
      <c r="I4942">
        <v>1</v>
      </c>
      <c r="J4942">
        <v>56452.867480564397</v>
      </c>
      <c r="K4942">
        <v>47654.294323771202</v>
      </c>
      <c r="L4942">
        <v>19.658999999999999</v>
      </c>
      <c r="M4942">
        <v>78.665000000000006</v>
      </c>
      <c r="N4942">
        <v>5.681</v>
      </c>
    </row>
    <row r="4943" spans="1:14" x14ac:dyDescent="0.45">
      <c r="A4943">
        <v>2003</v>
      </c>
      <c r="B4943" t="s">
        <v>199</v>
      </c>
      <c r="C4943">
        <v>1</v>
      </c>
      <c r="D4943">
        <v>0</v>
      </c>
      <c r="E4943">
        <v>0</v>
      </c>
      <c r="F4943">
        <v>0</v>
      </c>
      <c r="G4943">
        <v>0</v>
      </c>
      <c r="H4943">
        <v>1</v>
      </c>
      <c r="I4943">
        <v>1</v>
      </c>
      <c r="J4943">
        <v>79728.784997330906</v>
      </c>
      <c r="K4943">
        <v>58910.6111789688</v>
      </c>
      <c r="L4943">
        <v>22.916</v>
      </c>
      <c r="M4943">
        <v>79.528999999999996</v>
      </c>
      <c r="N4943">
        <v>4.4480000000000004</v>
      </c>
    </row>
    <row r="4944" spans="1:14" x14ac:dyDescent="0.45">
      <c r="A4944">
        <v>2003</v>
      </c>
      <c r="B4944" t="s">
        <v>200</v>
      </c>
      <c r="C4944">
        <v>0</v>
      </c>
      <c r="D4944">
        <v>0</v>
      </c>
      <c r="E4944">
        <v>0</v>
      </c>
      <c r="F4944">
        <v>0</v>
      </c>
      <c r="G4944">
        <v>0</v>
      </c>
      <c r="H4944">
        <v>0</v>
      </c>
      <c r="I4944">
        <v>0</v>
      </c>
      <c r="J4944">
        <v>2439.49479601556</v>
      </c>
      <c r="K4944">
        <v>2159.7016307457502</v>
      </c>
      <c r="L4944">
        <v>85.462000000000003</v>
      </c>
      <c r="M4944">
        <v>64.228999999999999</v>
      </c>
      <c r="N4944">
        <v>67.206999999999994</v>
      </c>
    </row>
    <row r="4945" spans="1:14" x14ac:dyDescent="0.45">
      <c r="A4945">
        <v>2003</v>
      </c>
      <c r="B4945" t="s">
        <v>201</v>
      </c>
      <c r="C4945">
        <v>0</v>
      </c>
      <c r="D4945">
        <v>0</v>
      </c>
      <c r="E4945">
        <v>0</v>
      </c>
      <c r="F4945">
        <v>0</v>
      </c>
      <c r="G4945">
        <v>0</v>
      </c>
      <c r="H4945">
        <v>1</v>
      </c>
      <c r="I4945">
        <v>1</v>
      </c>
      <c r="J4945">
        <v>7632.0829791292899</v>
      </c>
      <c r="K4945">
        <v>6904.90169539616</v>
      </c>
      <c r="L4945">
        <v>0</v>
      </c>
      <c r="M4945">
        <v>59.359000000000002</v>
      </c>
      <c r="N4945">
        <v>40.197000000000003</v>
      </c>
    </row>
    <row r="4946" spans="1:14" x14ac:dyDescent="0.45">
      <c r="A4946">
        <v>2003</v>
      </c>
      <c r="B4946" t="s">
        <v>202</v>
      </c>
      <c r="C4946">
        <v>0</v>
      </c>
      <c r="D4946">
        <v>0</v>
      </c>
      <c r="E4946">
        <v>0</v>
      </c>
      <c r="F4946">
        <v>0</v>
      </c>
      <c r="G4946">
        <v>0</v>
      </c>
      <c r="H4946">
        <v>1</v>
      </c>
      <c r="I4946">
        <v>1</v>
      </c>
      <c r="J4946">
        <v>38976.912625757803</v>
      </c>
      <c r="K4946">
        <v>35451.528834138502</v>
      </c>
      <c r="L4946">
        <v>13.779</v>
      </c>
      <c r="M4946">
        <v>79.141000000000005</v>
      </c>
      <c r="N4946">
        <v>6.3579999999999997</v>
      </c>
    </row>
    <row r="4947" spans="1:14" x14ac:dyDescent="0.45">
      <c r="A4947">
        <v>2003</v>
      </c>
      <c r="B4947" t="s">
        <v>203</v>
      </c>
      <c r="C4947">
        <v>0</v>
      </c>
      <c r="D4947">
        <v>0</v>
      </c>
      <c r="E4947">
        <v>0</v>
      </c>
      <c r="F4947">
        <v>0</v>
      </c>
      <c r="G4947">
        <v>1</v>
      </c>
      <c r="H4947">
        <v>0</v>
      </c>
      <c r="I4947">
        <v>0</v>
      </c>
      <c r="J4947">
        <v>41247.587373310504</v>
      </c>
      <c r="K4947">
        <v>35840.877805188997</v>
      </c>
      <c r="L4947">
        <v>28.491</v>
      </c>
      <c r="M4947">
        <v>74.521000000000001</v>
      </c>
      <c r="N4947">
        <v>14.352</v>
      </c>
    </row>
    <row r="4948" spans="1:14" x14ac:dyDescent="0.45">
      <c r="A4948">
        <v>2003</v>
      </c>
      <c r="B4948" t="s">
        <v>204</v>
      </c>
      <c r="C4948">
        <v>0</v>
      </c>
      <c r="D4948">
        <v>0</v>
      </c>
      <c r="E4948">
        <v>0</v>
      </c>
      <c r="F4948">
        <v>0</v>
      </c>
      <c r="G4948">
        <v>0</v>
      </c>
      <c r="H4948">
        <v>0</v>
      </c>
      <c r="I4948">
        <v>0</v>
      </c>
      <c r="J4948">
        <v>3668.7793885250799</v>
      </c>
      <c r="K4948">
        <v>3492.3066245465602</v>
      </c>
      <c r="L4948">
        <v>66.42</v>
      </c>
      <c r="M4948">
        <v>62.834000000000003</v>
      </c>
      <c r="N4948">
        <v>100.955</v>
      </c>
    </row>
    <row r="4949" spans="1:14" x14ac:dyDescent="0.45">
      <c r="A4949">
        <v>2003</v>
      </c>
      <c r="B4949" t="s">
        <v>205</v>
      </c>
      <c r="C4949">
        <v>0</v>
      </c>
      <c r="D4949">
        <v>1</v>
      </c>
      <c r="E4949">
        <v>0</v>
      </c>
      <c r="F4949">
        <v>0</v>
      </c>
      <c r="G4949">
        <v>1</v>
      </c>
      <c r="H4949">
        <v>0</v>
      </c>
      <c r="I4949">
        <v>0</v>
      </c>
      <c r="J4949">
        <v>14957.553263539599</v>
      </c>
      <c r="K4949">
        <v>15684.1617589327</v>
      </c>
      <c r="L4949">
        <v>36.908999999999999</v>
      </c>
      <c r="M4949">
        <v>74.566999999999993</v>
      </c>
      <c r="N4949">
        <v>23.166</v>
      </c>
    </row>
    <row r="4950" spans="1:14" x14ac:dyDescent="0.45">
      <c r="A4950">
        <v>2003</v>
      </c>
      <c r="B4950" t="s">
        <v>206</v>
      </c>
      <c r="C4950">
        <v>0</v>
      </c>
      <c r="D4950">
        <v>1</v>
      </c>
      <c r="E4950">
        <v>0</v>
      </c>
      <c r="F4950">
        <v>1</v>
      </c>
      <c r="G4950">
        <v>0</v>
      </c>
      <c r="H4950">
        <v>0</v>
      </c>
      <c r="I4950">
        <v>0</v>
      </c>
      <c r="J4950">
        <v>8174.37942683849</v>
      </c>
      <c r="K4950">
        <v>6830.38248665635</v>
      </c>
      <c r="L4950">
        <v>25.751000000000001</v>
      </c>
      <c r="M4950">
        <v>71.278000000000006</v>
      </c>
      <c r="N4950">
        <v>30.481999999999999</v>
      </c>
    </row>
    <row r="4951" spans="1:14" x14ac:dyDescent="0.45">
      <c r="A4951">
        <v>2003</v>
      </c>
      <c r="B4951" t="s">
        <v>207</v>
      </c>
      <c r="C4951">
        <v>0</v>
      </c>
      <c r="D4951">
        <v>0</v>
      </c>
      <c r="E4951">
        <v>0</v>
      </c>
      <c r="F4951">
        <v>1</v>
      </c>
      <c r="G4951">
        <v>0</v>
      </c>
      <c r="H4951">
        <v>0</v>
      </c>
      <c r="I4951">
        <v>0</v>
      </c>
      <c r="J4951">
        <v>5003.3831771871601</v>
      </c>
      <c r="K4951">
        <v>4531.0666762406699</v>
      </c>
      <c r="L4951">
        <v>54.12</v>
      </c>
      <c r="M4951">
        <v>68.049000000000007</v>
      </c>
      <c r="N4951">
        <v>34.905999999999999</v>
      </c>
    </row>
    <row r="4952" spans="1:14" x14ac:dyDescent="0.45">
      <c r="A4952">
        <v>2003</v>
      </c>
      <c r="B4952" t="s">
        <v>208</v>
      </c>
      <c r="C4952">
        <v>0</v>
      </c>
      <c r="D4952">
        <v>0</v>
      </c>
      <c r="E4952">
        <v>0</v>
      </c>
      <c r="F4952">
        <v>0</v>
      </c>
      <c r="G4952">
        <v>1</v>
      </c>
      <c r="H4952">
        <v>0</v>
      </c>
      <c r="I4952">
        <v>0</v>
      </c>
      <c r="J4952">
        <v>16303.0821432469</v>
      </c>
      <c r="K4952">
        <v>14749.7321293447</v>
      </c>
      <c r="L4952">
        <v>30.4</v>
      </c>
      <c r="M4952">
        <v>65.445999999999998</v>
      </c>
      <c r="N4952">
        <v>23.683</v>
      </c>
    </row>
    <row r="4953" spans="1:14" x14ac:dyDescent="0.45">
      <c r="A4953">
        <v>2003</v>
      </c>
      <c r="B4953" t="s">
        <v>209</v>
      </c>
      <c r="C4953">
        <v>0</v>
      </c>
      <c r="D4953">
        <v>0</v>
      </c>
      <c r="E4953">
        <v>0</v>
      </c>
      <c r="F4953">
        <v>0</v>
      </c>
      <c r="G4953">
        <v>0</v>
      </c>
      <c r="H4953">
        <v>0</v>
      </c>
      <c r="I4953">
        <v>0</v>
      </c>
      <c r="J4953">
        <v>3064.4440299534499</v>
      </c>
      <c r="K4953">
        <v>2772.1001939683301</v>
      </c>
      <c r="L4953">
        <v>86.853999999999999</v>
      </c>
      <c r="M4953">
        <v>61.741</v>
      </c>
      <c r="N4953">
        <v>67.902000000000001</v>
      </c>
    </row>
    <row r="4954" spans="1:14" x14ac:dyDescent="0.45">
      <c r="A4954">
        <v>2003</v>
      </c>
      <c r="B4954" t="s">
        <v>210</v>
      </c>
      <c r="C4954">
        <v>1</v>
      </c>
      <c r="D4954">
        <v>0</v>
      </c>
      <c r="E4954">
        <v>0</v>
      </c>
      <c r="F4954">
        <v>0</v>
      </c>
      <c r="G4954">
        <v>1</v>
      </c>
      <c r="H4954">
        <v>0</v>
      </c>
      <c r="I4954">
        <v>0</v>
      </c>
      <c r="J4954">
        <v>19855.631798918101</v>
      </c>
      <c r="K4954">
        <v>17138.806816649299</v>
      </c>
      <c r="L4954">
        <v>38.323999999999998</v>
      </c>
      <c r="M4954">
        <v>74.772000000000006</v>
      </c>
      <c r="N4954">
        <v>8.0679999999999996</v>
      </c>
    </row>
    <row r="4955" spans="1:14" x14ac:dyDescent="0.45">
      <c r="A4955">
        <v>2003</v>
      </c>
      <c r="B4955" t="s">
        <v>211</v>
      </c>
      <c r="C4955">
        <v>0</v>
      </c>
      <c r="D4955">
        <v>1</v>
      </c>
      <c r="E4955">
        <v>0</v>
      </c>
      <c r="F4955">
        <v>0</v>
      </c>
      <c r="G4955">
        <v>0</v>
      </c>
      <c r="H4955">
        <v>1</v>
      </c>
      <c r="I4955">
        <v>1</v>
      </c>
      <c r="J4955">
        <v>39876.067023777301</v>
      </c>
      <c r="K4955">
        <v>30634.418907040999</v>
      </c>
      <c r="L4955">
        <v>5.7759999999999998</v>
      </c>
      <c r="M4955">
        <v>76.941000000000003</v>
      </c>
      <c r="N4955">
        <v>10.625</v>
      </c>
    </row>
    <row r="4956" spans="1:14" x14ac:dyDescent="0.45">
      <c r="A4956">
        <v>2003</v>
      </c>
      <c r="B4956" t="s">
        <v>212</v>
      </c>
      <c r="C4956">
        <v>0</v>
      </c>
      <c r="D4956">
        <v>0</v>
      </c>
      <c r="E4956">
        <v>0</v>
      </c>
      <c r="F4956">
        <v>0</v>
      </c>
      <c r="G4956">
        <v>0</v>
      </c>
      <c r="H4956">
        <v>0</v>
      </c>
      <c r="I4956">
        <v>0</v>
      </c>
      <c r="L4956">
        <v>40.351999999999997</v>
      </c>
      <c r="M4956">
        <v>69.399000000000001</v>
      </c>
      <c r="N4956">
        <v>34.624000000000002</v>
      </c>
    </row>
    <row r="4957" spans="1:14" x14ac:dyDescent="0.45">
      <c r="A4957">
        <v>2003</v>
      </c>
      <c r="B4957" t="s">
        <v>213</v>
      </c>
      <c r="C4957">
        <v>1</v>
      </c>
      <c r="D4957">
        <v>0</v>
      </c>
      <c r="E4957">
        <v>0</v>
      </c>
      <c r="F4957">
        <v>0</v>
      </c>
      <c r="G4957">
        <v>0</v>
      </c>
      <c r="H4957">
        <v>1</v>
      </c>
      <c r="I4957">
        <v>1</v>
      </c>
      <c r="J4957">
        <v>35115.379363939399</v>
      </c>
      <c r="K4957">
        <v>30353.140256639399</v>
      </c>
      <c r="L4957">
        <v>43.713000000000001</v>
      </c>
      <c r="M4957">
        <v>77.582999999999998</v>
      </c>
      <c r="N4957">
        <v>5.1829999999999998</v>
      </c>
    </row>
    <row r="4958" spans="1:14" x14ac:dyDescent="0.45">
      <c r="A4958">
        <v>2003</v>
      </c>
      <c r="B4958" t="s">
        <v>214</v>
      </c>
      <c r="C4958">
        <v>0</v>
      </c>
      <c r="D4958">
        <v>1</v>
      </c>
      <c r="E4958">
        <v>0</v>
      </c>
      <c r="F4958">
        <v>1</v>
      </c>
      <c r="G4958">
        <v>0</v>
      </c>
      <c r="H4958">
        <v>0</v>
      </c>
      <c r="I4958">
        <v>0</v>
      </c>
      <c r="J4958">
        <v>9903.4502899203308</v>
      </c>
      <c r="K4958">
        <v>9035.30427962666</v>
      </c>
      <c r="L4958">
        <v>43.023000000000003</v>
      </c>
      <c r="M4958">
        <v>70.795000000000002</v>
      </c>
      <c r="N4958">
        <v>31.315999999999999</v>
      </c>
    </row>
    <row r="4959" spans="1:14" x14ac:dyDescent="0.45">
      <c r="A4959">
        <v>2003</v>
      </c>
      <c r="B4959" t="s">
        <v>215</v>
      </c>
      <c r="C4959">
        <v>0</v>
      </c>
      <c r="D4959">
        <v>0</v>
      </c>
      <c r="E4959">
        <v>0</v>
      </c>
      <c r="F4959">
        <v>1</v>
      </c>
      <c r="G4959">
        <v>0</v>
      </c>
      <c r="H4959">
        <v>0</v>
      </c>
      <c r="I4959">
        <v>0</v>
      </c>
      <c r="J4959">
        <v>3788.9265272112798</v>
      </c>
      <c r="K4959">
        <v>3230.7603163098202</v>
      </c>
      <c r="L4959">
        <v>27.373000000000001</v>
      </c>
      <c r="M4959">
        <v>70.966999999999999</v>
      </c>
      <c r="N4959">
        <v>27.526</v>
      </c>
    </row>
    <row r="4960" spans="1:14" x14ac:dyDescent="0.45">
      <c r="A4960">
        <v>2003</v>
      </c>
      <c r="B4960" t="s">
        <v>216</v>
      </c>
      <c r="C4960">
        <v>0</v>
      </c>
      <c r="D4960">
        <v>0</v>
      </c>
      <c r="E4960">
        <v>0</v>
      </c>
      <c r="F4960">
        <v>0</v>
      </c>
      <c r="G4960">
        <v>0</v>
      </c>
      <c r="H4960">
        <v>1</v>
      </c>
      <c r="I4960">
        <v>1</v>
      </c>
      <c r="L4960">
        <v>43.758000000000003</v>
      </c>
      <c r="M4960">
        <v>79.709999999999994</v>
      </c>
      <c r="N4960">
        <v>10.007</v>
      </c>
    </row>
    <row r="4961" spans="1:14" x14ac:dyDescent="0.45">
      <c r="A4961">
        <v>2003</v>
      </c>
      <c r="B4961" t="s">
        <v>217</v>
      </c>
      <c r="C4961">
        <v>0</v>
      </c>
      <c r="D4961">
        <v>0</v>
      </c>
      <c r="E4961">
        <v>0</v>
      </c>
      <c r="F4961">
        <v>0</v>
      </c>
      <c r="G4961">
        <v>0</v>
      </c>
      <c r="H4961">
        <v>1</v>
      </c>
      <c r="I4961">
        <v>1</v>
      </c>
      <c r="J4961">
        <v>93224.454171012301</v>
      </c>
      <c r="K4961">
        <v>80499.116857913701</v>
      </c>
      <c r="L4961">
        <v>3.1320000000000099</v>
      </c>
      <c r="M4961">
        <v>76.096999999999994</v>
      </c>
      <c r="N4961">
        <v>11.212</v>
      </c>
    </row>
    <row r="4962" spans="1:14" x14ac:dyDescent="0.45">
      <c r="A4962">
        <v>2003</v>
      </c>
      <c r="B4962" t="s">
        <v>218</v>
      </c>
      <c r="C4962">
        <v>1</v>
      </c>
      <c r="D4962">
        <v>0</v>
      </c>
      <c r="E4962">
        <v>0</v>
      </c>
      <c r="F4962">
        <v>1</v>
      </c>
      <c r="G4962">
        <v>0</v>
      </c>
      <c r="H4962">
        <v>0</v>
      </c>
      <c r="I4962">
        <v>0</v>
      </c>
      <c r="J4962">
        <v>17585.5740124781</v>
      </c>
      <c r="K4962">
        <v>14294.188783449101</v>
      </c>
      <c r="L4962">
        <v>47.088000000000001</v>
      </c>
      <c r="M4962">
        <v>70.819000000000003</v>
      </c>
      <c r="N4962">
        <v>19.501000000000001</v>
      </c>
    </row>
    <row r="4963" spans="1:14" x14ac:dyDescent="0.45">
      <c r="A4963">
        <v>2003</v>
      </c>
      <c r="B4963" t="s">
        <v>219</v>
      </c>
      <c r="C4963">
        <v>1</v>
      </c>
      <c r="D4963">
        <v>0</v>
      </c>
      <c r="E4963">
        <v>0</v>
      </c>
      <c r="F4963">
        <v>1</v>
      </c>
      <c r="G4963">
        <v>0</v>
      </c>
      <c r="H4963">
        <v>0</v>
      </c>
      <c r="I4963">
        <v>0</v>
      </c>
      <c r="J4963">
        <v>24057.927734375</v>
      </c>
      <c r="K4963">
        <v>17434.808192814598</v>
      </c>
      <c r="L4963">
        <v>26.626999999999999</v>
      </c>
      <c r="M4963">
        <v>64.715000000000003</v>
      </c>
      <c r="N4963">
        <v>15.72</v>
      </c>
    </row>
    <row r="4964" spans="1:14" x14ac:dyDescent="0.45">
      <c r="A4964">
        <v>2003</v>
      </c>
      <c r="B4964" t="s">
        <v>220</v>
      </c>
      <c r="C4964">
        <v>0</v>
      </c>
      <c r="D4964">
        <v>0</v>
      </c>
      <c r="E4964">
        <v>1</v>
      </c>
      <c r="F4964">
        <v>0</v>
      </c>
      <c r="G4964">
        <v>0</v>
      </c>
      <c r="H4964">
        <v>0</v>
      </c>
      <c r="I4964">
        <v>0</v>
      </c>
      <c r="J4964">
        <v>1220.4991668674199</v>
      </c>
      <c r="K4964">
        <v>1021.37943535587</v>
      </c>
      <c r="L4964">
        <v>83.096000000000004</v>
      </c>
      <c r="M4964">
        <v>53.529000000000003</v>
      </c>
      <c r="N4964">
        <v>133.03100000000001</v>
      </c>
    </row>
    <row r="4965" spans="1:14" x14ac:dyDescent="0.45">
      <c r="A4965">
        <v>2003</v>
      </c>
      <c r="B4965" t="s">
        <v>221</v>
      </c>
      <c r="C4965">
        <v>0</v>
      </c>
      <c r="D4965">
        <v>0</v>
      </c>
      <c r="E4965">
        <v>0</v>
      </c>
      <c r="F4965">
        <v>0</v>
      </c>
      <c r="G4965">
        <v>1</v>
      </c>
      <c r="H4965">
        <v>0</v>
      </c>
      <c r="I4965">
        <v>0</v>
      </c>
      <c r="J4965">
        <v>52234.649280791004</v>
      </c>
      <c r="K4965">
        <v>47887.579425009098</v>
      </c>
      <c r="L4965">
        <v>19.47</v>
      </c>
      <c r="M4965">
        <v>73.656999999999996</v>
      </c>
      <c r="N4965">
        <v>18.567</v>
      </c>
    </row>
    <row r="4966" spans="1:14" x14ac:dyDescent="0.45">
      <c r="A4966">
        <v>2003</v>
      </c>
      <c r="B4966" t="s">
        <v>222</v>
      </c>
      <c r="C4966">
        <v>0</v>
      </c>
      <c r="D4966">
        <v>0</v>
      </c>
      <c r="E4966">
        <v>1</v>
      </c>
      <c r="F4966">
        <v>0</v>
      </c>
      <c r="G4966">
        <v>0</v>
      </c>
      <c r="H4966">
        <v>0</v>
      </c>
      <c r="I4966">
        <v>0</v>
      </c>
      <c r="J4966">
        <v>3946.92260742188</v>
      </c>
      <c r="K4966">
        <v>4132.9484674448404</v>
      </c>
      <c r="L4966">
        <v>67.346000000000004</v>
      </c>
      <c r="M4966">
        <v>58.319000000000003</v>
      </c>
      <c r="N4966">
        <v>99.182000000000002</v>
      </c>
    </row>
    <row r="4967" spans="1:14" x14ac:dyDescent="0.45">
      <c r="A4967">
        <v>2003</v>
      </c>
      <c r="B4967" t="s">
        <v>223</v>
      </c>
      <c r="C4967">
        <v>0</v>
      </c>
      <c r="D4967">
        <v>0</v>
      </c>
      <c r="E4967">
        <v>1</v>
      </c>
      <c r="F4967">
        <v>0</v>
      </c>
      <c r="G4967">
        <v>0</v>
      </c>
      <c r="H4967">
        <v>0</v>
      </c>
      <c r="I4967">
        <v>0</v>
      </c>
      <c r="J4967">
        <v>3170.0349468847899</v>
      </c>
      <c r="K4967">
        <v>2648.3708542269901</v>
      </c>
      <c r="L4967">
        <v>59.101999999999997</v>
      </c>
      <c r="M4967">
        <v>59.473999999999997</v>
      </c>
      <c r="N4967">
        <v>106.429</v>
      </c>
    </row>
    <row r="4968" spans="1:14" x14ac:dyDescent="0.45">
      <c r="A4968">
        <v>2003</v>
      </c>
      <c r="B4968" t="s">
        <v>224</v>
      </c>
      <c r="C4968">
        <v>0</v>
      </c>
      <c r="D4968">
        <v>0</v>
      </c>
      <c r="E4968">
        <v>0</v>
      </c>
      <c r="F4968">
        <v>0</v>
      </c>
      <c r="G4968">
        <v>0</v>
      </c>
      <c r="H4968">
        <v>1</v>
      </c>
      <c r="I4968">
        <v>1</v>
      </c>
      <c r="J4968">
        <v>71877.534863355206</v>
      </c>
      <c r="K4968">
        <v>59086.015635903903</v>
      </c>
      <c r="L4968">
        <v>0</v>
      </c>
      <c r="M4968">
        <v>79.177999999999997</v>
      </c>
      <c r="N4968">
        <v>3.3359999999999999</v>
      </c>
    </row>
    <row r="4969" spans="1:14" x14ac:dyDescent="0.45">
      <c r="A4969">
        <v>2003</v>
      </c>
      <c r="B4969" t="s">
        <v>225</v>
      </c>
      <c r="C4969">
        <v>0</v>
      </c>
      <c r="D4969">
        <v>0</v>
      </c>
      <c r="E4969">
        <v>0</v>
      </c>
      <c r="F4969">
        <v>0</v>
      </c>
      <c r="G4969">
        <v>0</v>
      </c>
      <c r="H4969">
        <v>0</v>
      </c>
      <c r="I4969">
        <v>0</v>
      </c>
      <c r="J4969">
        <v>2050.3266013082298</v>
      </c>
      <c r="K4969">
        <v>1854.6700025693499</v>
      </c>
      <c r="L4969">
        <v>82.998999999999995</v>
      </c>
      <c r="M4969">
        <v>67.478999999999999</v>
      </c>
      <c r="N4969">
        <v>29.925999999999998</v>
      </c>
    </row>
    <row r="4970" spans="1:14" x14ac:dyDescent="0.45">
      <c r="A4970">
        <v>2003</v>
      </c>
      <c r="B4970" t="s">
        <v>226</v>
      </c>
      <c r="C4970">
        <v>0</v>
      </c>
      <c r="D4970">
        <v>0</v>
      </c>
      <c r="E4970">
        <v>1</v>
      </c>
      <c r="F4970">
        <v>0</v>
      </c>
      <c r="G4970">
        <v>0</v>
      </c>
      <c r="H4970">
        <v>0</v>
      </c>
      <c r="I4970">
        <v>0</v>
      </c>
      <c r="J4970">
        <v>2198.2572054634002</v>
      </c>
      <c r="K4970">
        <v>1995.2933939407201</v>
      </c>
      <c r="L4970">
        <v>63.648000000000003</v>
      </c>
      <c r="M4970">
        <v>46.783999999999999</v>
      </c>
      <c r="N4970">
        <v>207.71</v>
      </c>
    </row>
    <row r="4971" spans="1:14" x14ac:dyDescent="0.45">
      <c r="A4971">
        <v>2003</v>
      </c>
      <c r="B4971" t="s">
        <v>227</v>
      </c>
      <c r="C4971">
        <v>0</v>
      </c>
      <c r="D4971">
        <v>1</v>
      </c>
      <c r="E4971">
        <v>0</v>
      </c>
      <c r="F4971">
        <v>1</v>
      </c>
      <c r="G4971">
        <v>0</v>
      </c>
      <c r="H4971">
        <v>0</v>
      </c>
      <c r="I4971">
        <v>0</v>
      </c>
      <c r="J4971">
        <v>7780.2717768559896</v>
      </c>
      <c r="K4971">
        <v>6930.2801614180498</v>
      </c>
      <c r="L4971">
        <v>39.439</v>
      </c>
      <c r="M4971">
        <v>68.792000000000002</v>
      </c>
      <c r="N4971">
        <v>28.370999999999999</v>
      </c>
    </row>
    <row r="4972" spans="1:14" x14ac:dyDescent="0.45">
      <c r="A4972">
        <v>2003</v>
      </c>
      <c r="B4972" t="s">
        <v>228</v>
      </c>
      <c r="C4972">
        <v>1</v>
      </c>
      <c r="D4972">
        <v>0</v>
      </c>
      <c r="E4972">
        <v>0</v>
      </c>
      <c r="F4972">
        <v>0</v>
      </c>
      <c r="G4972">
        <v>0</v>
      </c>
      <c r="H4972">
        <v>1</v>
      </c>
      <c r="I4972">
        <v>1</v>
      </c>
      <c r="J4972">
        <v>81688.378683434203</v>
      </c>
      <c r="K4972">
        <v>71998.040159187003</v>
      </c>
      <c r="L4972">
        <v>6.0250000000000101</v>
      </c>
      <c r="M4972">
        <v>81.33</v>
      </c>
      <c r="N4972">
        <v>4.1900000000000004</v>
      </c>
    </row>
    <row r="4973" spans="1:14" x14ac:dyDescent="0.45">
      <c r="A4973">
        <v>2003</v>
      </c>
      <c r="B4973" t="s">
        <v>229</v>
      </c>
      <c r="C4973">
        <v>0</v>
      </c>
      <c r="D4973">
        <v>0</v>
      </c>
      <c r="E4973">
        <v>1</v>
      </c>
      <c r="F4973">
        <v>0</v>
      </c>
      <c r="G4973">
        <v>0</v>
      </c>
      <c r="H4973">
        <v>0</v>
      </c>
      <c r="I4973">
        <v>0</v>
      </c>
      <c r="J4973">
        <v>777.60544347215796</v>
      </c>
      <c r="K4973">
        <v>721.25570768225202</v>
      </c>
      <c r="L4973">
        <v>65.244</v>
      </c>
      <c r="M4973">
        <v>50.720999999999997</v>
      </c>
      <c r="N4973">
        <v>171.84100000000001</v>
      </c>
    </row>
    <row r="4974" spans="1:14" x14ac:dyDescent="0.45">
      <c r="A4974">
        <v>2003</v>
      </c>
      <c r="B4974" t="s">
        <v>230</v>
      </c>
      <c r="C4974">
        <v>1</v>
      </c>
      <c r="D4974">
        <v>0</v>
      </c>
      <c r="E4974">
        <v>0</v>
      </c>
      <c r="F4974">
        <v>1</v>
      </c>
      <c r="G4974">
        <v>0</v>
      </c>
      <c r="H4974">
        <v>0</v>
      </c>
      <c r="I4974">
        <v>0</v>
      </c>
      <c r="J4974">
        <v>13272.9487742652</v>
      </c>
      <c r="K4974">
        <v>11671.219252250699</v>
      </c>
      <c r="L4974">
        <v>46.563000000000002</v>
      </c>
      <c r="M4974">
        <v>72.721999999999994</v>
      </c>
      <c r="N4974">
        <v>10.57</v>
      </c>
    </row>
    <row r="4975" spans="1:14" x14ac:dyDescent="0.45">
      <c r="A4975">
        <v>2003</v>
      </c>
      <c r="B4975" t="s">
        <v>231</v>
      </c>
      <c r="C4975">
        <v>0</v>
      </c>
      <c r="D4975">
        <v>0</v>
      </c>
      <c r="E4975">
        <v>1</v>
      </c>
      <c r="F4975">
        <v>1</v>
      </c>
      <c r="G4975">
        <v>0</v>
      </c>
      <c r="H4975">
        <v>0</v>
      </c>
      <c r="I4975">
        <v>0</v>
      </c>
      <c r="L4975">
        <v>83.108999999999995</v>
      </c>
      <c r="M4975">
        <v>52.323999999999998</v>
      </c>
      <c r="N4975">
        <v>156.077</v>
      </c>
    </row>
    <row r="4976" spans="1:14" x14ac:dyDescent="0.45">
      <c r="A4976">
        <v>2003</v>
      </c>
      <c r="B4976" t="s">
        <v>232</v>
      </c>
      <c r="C4976">
        <v>0</v>
      </c>
      <c r="D4976">
        <v>0</v>
      </c>
      <c r="E4976">
        <v>1</v>
      </c>
      <c r="F4976">
        <v>0</v>
      </c>
      <c r="G4976">
        <v>0</v>
      </c>
      <c r="H4976">
        <v>0</v>
      </c>
      <c r="I4976">
        <v>0</v>
      </c>
      <c r="J4976">
        <v>4161.63833167542</v>
      </c>
      <c r="K4976">
        <v>2590.1382836600201</v>
      </c>
      <c r="L4976">
        <v>43.234000000000002</v>
      </c>
      <c r="M4976">
        <v>62.158000000000001</v>
      </c>
      <c r="N4976">
        <v>64.628</v>
      </c>
    </row>
    <row r="4977" spans="1:14" x14ac:dyDescent="0.45">
      <c r="A4977">
        <v>2003</v>
      </c>
      <c r="B4977" t="s">
        <v>233</v>
      </c>
      <c r="C4977">
        <v>0</v>
      </c>
      <c r="D4977">
        <v>1</v>
      </c>
      <c r="E4977">
        <v>0</v>
      </c>
      <c r="F4977">
        <v>1</v>
      </c>
      <c r="G4977">
        <v>0</v>
      </c>
      <c r="H4977">
        <v>0</v>
      </c>
      <c r="I4977">
        <v>0</v>
      </c>
      <c r="J4977">
        <v>17383.501550561199</v>
      </c>
      <c r="K4977">
        <v>13836.913069255501</v>
      </c>
      <c r="L4977">
        <v>33.335999999999999</v>
      </c>
      <c r="M4977">
        <v>65.778000000000006</v>
      </c>
      <c r="N4977">
        <v>28.166</v>
      </c>
    </row>
    <row r="4978" spans="1:14" x14ac:dyDescent="0.45">
      <c r="A4978">
        <v>2003</v>
      </c>
      <c r="B4978" t="s">
        <v>234</v>
      </c>
      <c r="C4978">
        <v>1</v>
      </c>
      <c r="D4978">
        <v>0</v>
      </c>
      <c r="E4978">
        <v>0</v>
      </c>
      <c r="F4978">
        <v>0</v>
      </c>
      <c r="G4978">
        <v>1</v>
      </c>
      <c r="H4978">
        <v>0</v>
      </c>
      <c r="I4978">
        <v>0</v>
      </c>
      <c r="J4978">
        <v>20721.672217631902</v>
      </c>
      <c r="K4978">
        <v>17847.2205813818</v>
      </c>
      <c r="L4978">
        <v>44.137</v>
      </c>
      <c r="M4978">
        <v>73.819000000000003</v>
      </c>
      <c r="N4978">
        <v>9.6820000000000004</v>
      </c>
    </row>
    <row r="4979" spans="1:14" x14ac:dyDescent="0.45">
      <c r="A4979">
        <v>2003</v>
      </c>
      <c r="B4979" t="s">
        <v>235</v>
      </c>
      <c r="C4979">
        <v>1</v>
      </c>
      <c r="D4979">
        <v>0</v>
      </c>
      <c r="E4979">
        <v>0</v>
      </c>
      <c r="F4979">
        <v>0</v>
      </c>
      <c r="G4979">
        <v>0</v>
      </c>
      <c r="H4979">
        <v>1</v>
      </c>
      <c r="I4979">
        <v>1</v>
      </c>
      <c r="J4979">
        <v>32835.993386037</v>
      </c>
      <c r="K4979">
        <v>28265.377154645099</v>
      </c>
      <c r="L4979">
        <v>48.917999999999999</v>
      </c>
      <c r="M4979">
        <v>76.316999999999993</v>
      </c>
      <c r="N4979">
        <v>5.4279999999999999</v>
      </c>
    </row>
    <row r="4980" spans="1:14" x14ac:dyDescent="0.45">
      <c r="A4980">
        <v>2003</v>
      </c>
      <c r="B4980" t="s">
        <v>236</v>
      </c>
      <c r="C4980">
        <v>1</v>
      </c>
      <c r="D4980">
        <v>0</v>
      </c>
      <c r="E4980">
        <v>0</v>
      </c>
      <c r="F4980">
        <v>0</v>
      </c>
      <c r="G4980">
        <v>0</v>
      </c>
      <c r="H4980">
        <v>1</v>
      </c>
      <c r="I4980">
        <v>1</v>
      </c>
      <c r="J4980">
        <v>50079.264412651501</v>
      </c>
      <c r="K4980">
        <v>42778.631716791897</v>
      </c>
      <c r="L4980">
        <v>15.804</v>
      </c>
      <c r="M4980">
        <v>80.194999999999993</v>
      </c>
      <c r="N4980">
        <v>3.93</v>
      </c>
    </row>
    <row r="4981" spans="1:14" x14ac:dyDescent="0.45">
      <c r="A4981">
        <v>2003</v>
      </c>
      <c r="B4981" t="s">
        <v>237</v>
      </c>
      <c r="C4981">
        <v>0</v>
      </c>
      <c r="D4981">
        <v>0</v>
      </c>
      <c r="E4981">
        <v>1</v>
      </c>
      <c r="F4981">
        <v>1</v>
      </c>
      <c r="G4981">
        <v>0</v>
      </c>
      <c r="H4981">
        <v>0</v>
      </c>
      <c r="I4981">
        <v>0</v>
      </c>
      <c r="J4981">
        <v>6621.4665121592298</v>
      </c>
      <c r="K4981">
        <v>5863.3098095638097</v>
      </c>
      <c r="L4981">
        <v>77.703999999999994</v>
      </c>
      <c r="M4981">
        <v>44.631999999999998</v>
      </c>
      <c r="N4981">
        <v>117.051</v>
      </c>
    </row>
    <row r="4982" spans="1:14" x14ac:dyDescent="0.45">
      <c r="A4982">
        <v>2003</v>
      </c>
      <c r="B4982" t="s">
        <v>238</v>
      </c>
      <c r="C4982">
        <v>0</v>
      </c>
      <c r="D4982">
        <v>1</v>
      </c>
      <c r="E4982">
        <v>0</v>
      </c>
      <c r="F4982">
        <v>0</v>
      </c>
      <c r="G4982">
        <v>0</v>
      </c>
      <c r="H4982">
        <v>1</v>
      </c>
      <c r="I4982">
        <v>1</v>
      </c>
      <c r="L4982">
        <v>0</v>
      </c>
      <c r="M4982">
        <v>74.587999999999994</v>
      </c>
      <c r="N4982">
        <v>18.773</v>
      </c>
    </row>
    <row r="4983" spans="1:14" x14ac:dyDescent="0.45">
      <c r="A4983">
        <v>2003</v>
      </c>
      <c r="B4983" t="s">
        <v>239</v>
      </c>
      <c r="C4983">
        <v>0</v>
      </c>
      <c r="D4983">
        <v>0</v>
      </c>
      <c r="E4983">
        <v>1</v>
      </c>
      <c r="F4983">
        <v>0</v>
      </c>
      <c r="G4983">
        <v>1</v>
      </c>
      <c r="H4983">
        <v>0</v>
      </c>
      <c r="I4983">
        <v>0</v>
      </c>
      <c r="J4983">
        <v>18825.2206936189</v>
      </c>
      <c r="K4983">
        <v>18276.463250736098</v>
      </c>
      <c r="L4983">
        <v>48.877000000000002</v>
      </c>
      <c r="M4983">
        <v>71.683999999999997</v>
      </c>
      <c r="N4983">
        <v>13.757999999999999</v>
      </c>
    </row>
    <row r="4984" spans="1:14" x14ac:dyDescent="0.45">
      <c r="A4984">
        <v>2003</v>
      </c>
      <c r="B4984" t="s">
        <v>240</v>
      </c>
      <c r="C4984">
        <v>0</v>
      </c>
      <c r="D4984">
        <v>0</v>
      </c>
      <c r="E4984">
        <v>0</v>
      </c>
      <c r="F4984">
        <v>1</v>
      </c>
      <c r="G4984">
        <v>0</v>
      </c>
      <c r="H4984">
        <v>0</v>
      </c>
      <c r="I4984">
        <v>0</v>
      </c>
      <c r="J4984">
        <v>8177.54506854394</v>
      </c>
      <c r="K4984">
        <v>5363.8761080071999</v>
      </c>
      <c r="L4984">
        <v>46.951000000000001</v>
      </c>
      <c r="M4984">
        <v>72.188000000000002</v>
      </c>
      <c r="N4984">
        <v>21.152999999999999</v>
      </c>
    </row>
    <row r="4985" spans="1:14" x14ac:dyDescent="0.45">
      <c r="A4985">
        <v>2003</v>
      </c>
      <c r="B4985" t="s">
        <v>241</v>
      </c>
      <c r="C4985">
        <v>0</v>
      </c>
      <c r="D4985">
        <v>1</v>
      </c>
      <c r="E4985">
        <v>0</v>
      </c>
      <c r="F4985">
        <v>0</v>
      </c>
      <c r="G4985">
        <v>0</v>
      </c>
      <c r="H4985">
        <v>1</v>
      </c>
      <c r="I4985">
        <v>1</v>
      </c>
      <c r="L4985">
        <v>13.391999999999999</v>
      </c>
      <c r="M4985">
        <v>75.262</v>
      </c>
      <c r="N4985">
        <v>9.3610000000000007</v>
      </c>
    </row>
    <row r="4986" spans="1:14" x14ac:dyDescent="0.45">
      <c r="A4986">
        <v>2003</v>
      </c>
      <c r="B4986" t="s">
        <v>242</v>
      </c>
      <c r="C4986">
        <v>0</v>
      </c>
      <c r="D4986">
        <v>0</v>
      </c>
      <c r="E4986">
        <v>1</v>
      </c>
      <c r="F4986">
        <v>0</v>
      </c>
      <c r="G4986">
        <v>0</v>
      </c>
      <c r="H4986">
        <v>0</v>
      </c>
      <c r="I4986">
        <v>0</v>
      </c>
      <c r="J4986">
        <v>1871.63990238473</v>
      </c>
      <c r="K4986">
        <v>1572.24523135409</v>
      </c>
      <c r="L4986">
        <v>78.265000000000001</v>
      </c>
      <c r="M4986">
        <v>48.609000000000002</v>
      </c>
      <c r="N4986">
        <v>173.989</v>
      </c>
    </row>
    <row r="4987" spans="1:14" x14ac:dyDescent="0.45">
      <c r="A4987">
        <v>2003</v>
      </c>
      <c r="B4987" t="s">
        <v>243</v>
      </c>
      <c r="C4987">
        <v>0</v>
      </c>
      <c r="D4987">
        <v>0</v>
      </c>
      <c r="E4987">
        <v>1</v>
      </c>
      <c r="F4987">
        <v>0</v>
      </c>
      <c r="G4987">
        <v>0</v>
      </c>
      <c r="H4987">
        <v>0</v>
      </c>
      <c r="I4987">
        <v>0</v>
      </c>
      <c r="J4987">
        <v>2168.6512643728402</v>
      </c>
      <c r="K4987">
        <v>1802.2310523187</v>
      </c>
      <c r="L4987">
        <v>65.734999999999999</v>
      </c>
      <c r="M4987">
        <v>55.298999999999999</v>
      </c>
      <c r="N4987">
        <v>109.857</v>
      </c>
    </row>
    <row r="4988" spans="1:14" x14ac:dyDescent="0.45">
      <c r="A4988">
        <v>2003</v>
      </c>
      <c r="B4988" t="s">
        <v>244</v>
      </c>
      <c r="C4988">
        <v>0</v>
      </c>
      <c r="D4988">
        <v>0</v>
      </c>
      <c r="E4988">
        <v>0</v>
      </c>
      <c r="F4988">
        <v>1</v>
      </c>
      <c r="G4988">
        <v>0</v>
      </c>
      <c r="H4988">
        <v>0</v>
      </c>
      <c r="I4988">
        <v>0</v>
      </c>
      <c r="J4988">
        <v>13287.304898745901</v>
      </c>
      <c r="K4988">
        <v>11620.1078872245</v>
      </c>
      <c r="L4988">
        <v>65.058999999999997</v>
      </c>
      <c r="M4988">
        <v>72.100999999999999</v>
      </c>
      <c r="N4988">
        <v>18.065999999999999</v>
      </c>
    </row>
    <row r="4989" spans="1:14" x14ac:dyDescent="0.45">
      <c r="A4989">
        <v>2003</v>
      </c>
      <c r="B4989" t="s">
        <v>245</v>
      </c>
      <c r="C4989">
        <v>1</v>
      </c>
      <c r="D4989">
        <v>0</v>
      </c>
      <c r="E4989">
        <v>0</v>
      </c>
      <c r="F4989">
        <v>0</v>
      </c>
      <c r="G4989">
        <v>0</v>
      </c>
      <c r="H4989">
        <v>0</v>
      </c>
      <c r="I4989">
        <v>0</v>
      </c>
      <c r="J4989">
        <v>1736.6403974985501</v>
      </c>
      <c r="K4989">
        <v>1581.61954412251</v>
      </c>
      <c r="L4989">
        <v>73.492999999999995</v>
      </c>
      <c r="M4989">
        <v>65.873999999999995</v>
      </c>
      <c r="N4989">
        <v>66.156000000000006</v>
      </c>
    </row>
    <row r="4990" spans="1:14" x14ac:dyDescent="0.45">
      <c r="A4990">
        <v>2003</v>
      </c>
      <c r="B4990" t="s">
        <v>246</v>
      </c>
      <c r="C4990">
        <v>1</v>
      </c>
      <c r="D4990">
        <v>0</v>
      </c>
      <c r="E4990">
        <v>0</v>
      </c>
      <c r="F4990">
        <v>1</v>
      </c>
      <c r="G4990">
        <v>0</v>
      </c>
      <c r="H4990">
        <v>0</v>
      </c>
      <c r="I4990">
        <v>0</v>
      </c>
      <c r="J4990">
        <v>5203.8543813176002</v>
      </c>
      <c r="K4990">
        <v>4897.9662139414504</v>
      </c>
      <c r="L4990">
        <v>53.412999999999997</v>
      </c>
      <c r="M4990">
        <v>65.853999999999999</v>
      </c>
      <c r="N4990">
        <v>58.366</v>
      </c>
    </row>
    <row r="4991" spans="1:14" x14ac:dyDescent="0.45">
      <c r="A4991">
        <v>2003</v>
      </c>
      <c r="B4991" t="s">
        <v>247</v>
      </c>
      <c r="C4991">
        <v>0</v>
      </c>
      <c r="D4991">
        <v>0</v>
      </c>
      <c r="E4991">
        <v>0</v>
      </c>
      <c r="F4991">
        <v>0</v>
      </c>
      <c r="G4991">
        <v>0</v>
      </c>
      <c r="H4991">
        <v>0</v>
      </c>
      <c r="I4991">
        <v>0</v>
      </c>
      <c r="J4991">
        <v>3266.50743247743</v>
      </c>
      <c r="K4991">
        <v>2635.62282579981</v>
      </c>
      <c r="L4991">
        <v>74.656999999999996</v>
      </c>
      <c r="M4991">
        <v>60.13</v>
      </c>
      <c r="N4991">
        <v>96.522999999999996</v>
      </c>
    </row>
    <row r="4992" spans="1:14" x14ac:dyDescent="0.45">
      <c r="A4992">
        <v>2003</v>
      </c>
      <c r="B4992" t="s">
        <v>248</v>
      </c>
      <c r="C4992">
        <v>0</v>
      </c>
      <c r="D4992">
        <v>0</v>
      </c>
      <c r="E4992">
        <v>0</v>
      </c>
      <c r="F4992">
        <v>1</v>
      </c>
      <c r="G4992">
        <v>0</v>
      </c>
      <c r="H4992">
        <v>0</v>
      </c>
      <c r="I4992">
        <v>0</v>
      </c>
      <c r="J4992">
        <v>6053.8798660639304</v>
      </c>
      <c r="K4992">
        <v>5480.1613624516003</v>
      </c>
      <c r="L4992">
        <v>76.902000000000001</v>
      </c>
      <c r="M4992">
        <v>70.227999999999994</v>
      </c>
      <c r="N4992">
        <v>15.565</v>
      </c>
    </row>
    <row r="4993" spans="1:14" x14ac:dyDescent="0.45">
      <c r="A4993">
        <v>2003</v>
      </c>
      <c r="B4993" t="s">
        <v>249</v>
      </c>
      <c r="C4993">
        <v>0</v>
      </c>
      <c r="D4993">
        <v>1</v>
      </c>
      <c r="E4993">
        <v>0</v>
      </c>
      <c r="F4993">
        <v>0</v>
      </c>
      <c r="G4993">
        <v>1</v>
      </c>
      <c r="H4993">
        <v>0</v>
      </c>
      <c r="I4993">
        <v>0</v>
      </c>
      <c r="J4993">
        <v>24942.7838566885</v>
      </c>
      <c r="K4993">
        <v>20817.073433539099</v>
      </c>
      <c r="L4993">
        <v>44.656999999999996</v>
      </c>
      <c r="M4993">
        <v>69.453999999999994</v>
      </c>
      <c r="N4993">
        <v>26.613</v>
      </c>
    </row>
    <row r="4994" spans="1:14" x14ac:dyDescent="0.45">
      <c r="A4994">
        <v>2003</v>
      </c>
      <c r="B4994" t="s">
        <v>250</v>
      </c>
      <c r="C4994">
        <v>0</v>
      </c>
      <c r="D4994">
        <v>0</v>
      </c>
      <c r="E4994">
        <v>0</v>
      </c>
      <c r="F4994">
        <v>1</v>
      </c>
      <c r="G4994">
        <v>0</v>
      </c>
      <c r="H4994">
        <v>0</v>
      </c>
      <c r="I4994">
        <v>0</v>
      </c>
      <c r="J4994">
        <v>9752.0137130174899</v>
      </c>
      <c r="K4994">
        <v>8498.7170498551695</v>
      </c>
      <c r="L4994">
        <v>35.414999999999999</v>
      </c>
      <c r="M4994">
        <v>73.304000000000002</v>
      </c>
      <c r="N4994">
        <v>24.448</v>
      </c>
    </row>
    <row r="4995" spans="1:14" x14ac:dyDescent="0.45">
      <c r="A4995">
        <v>2003</v>
      </c>
      <c r="B4995" t="s">
        <v>251</v>
      </c>
      <c r="C4995">
        <v>1</v>
      </c>
      <c r="D4995">
        <v>0</v>
      </c>
      <c r="E4995">
        <v>0</v>
      </c>
      <c r="F4995">
        <v>1</v>
      </c>
      <c r="G4995">
        <v>0</v>
      </c>
      <c r="H4995">
        <v>0</v>
      </c>
      <c r="I4995">
        <v>0</v>
      </c>
      <c r="J4995">
        <v>15083.1352817439</v>
      </c>
      <c r="K4995">
        <v>15123.485089457799</v>
      </c>
      <c r="L4995">
        <v>33.398000000000003</v>
      </c>
      <c r="M4995">
        <v>72.906000000000006</v>
      </c>
      <c r="N4995">
        <v>29.978999999999999</v>
      </c>
    </row>
    <row r="4996" spans="1:14" x14ac:dyDescent="0.45">
      <c r="A4996">
        <v>2003</v>
      </c>
      <c r="B4996" t="s">
        <v>252</v>
      </c>
      <c r="C4996">
        <v>0</v>
      </c>
      <c r="D4996">
        <v>0</v>
      </c>
      <c r="E4996">
        <v>0</v>
      </c>
      <c r="F4996">
        <v>1</v>
      </c>
      <c r="G4996">
        <v>0</v>
      </c>
      <c r="H4996">
        <v>0</v>
      </c>
      <c r="I4996">
        <v>0</v>
      </c>
      <c r="J4996">
        <v>3838.4036432854</v>
      </c>
      <c r="K4996">
        <v>3472.4288058805</v>
      </c>
      <c r="L4996">
        <v>52.344000000000001</v>
      </c>
      <c r="M4996">
        <v>63.896999999999998</v>
      </c>
      <c r="N4996">
        <v>39.731999999999999</v>
      </c>
    </row>
    <row r="4997" spans="1:14" x14ac:dyDescent="0.45">
      <c r="A4997">
        <v>2003</v>
      </c>
      <c r="B4997" t="s">
        <v>253</v>
      </c>
      <c r="C4997">
        <v>0</v>
      </c>
      <c r="D4997">
        <v>0</v>
      </c>
      <c r="E4997">
        <v>0</v>
      </c>
      <c r="F4997">
        <v>0</v>
      </c>
      <c r="G4997">
        <v>0</v>
      </c>
      <c r="H4997">
        <v>1</v>
      </c>
      <c r="I4997">
        <v>1</v>
      </c>
      <c r="L4997">
        <v>60.223999999999997</v>
      </c>
      <c r="M4997">
        <v>77.043000000000006</v>
      </c>
      <c r="N4997">
        <v>7.3630000000000004</v>
      </c>
    </row>
    <row r="4998" spans="1:14" x14ac:dyDescent="0.45">
      <c r="A4998">
        <v>2003</v>
      </c>
      <c r="B4998" t="s">
        <v>254</v>
      </c>
      <c r="C4998">
        <v>0</v>
      </c>
      <c r="D4998">
        <v>0</v>
      </c>
      <c r="E4998">
        <v>1</v>
      </c>
      <c r="F4998">
        <v>0</v>
      </c>
      <c r="G4998">
        <v>0</v>
      </c>
      <c r="H4998">
        <v>0</v>
      </c>
      <c r="I4998">
        <v>0</v>
      </c>
      <c r="J4998">
        <v>2059.83740234375</v>
      </c>
      <c r="K4998">
        <v>1534.3043643381</v>
      </c>
      <c r="L4998">
        <v>76.388999999999996</v>
      </c>
      <c r="M4998">
        <v>55.929000000000002</v>
      </c>
      <c r="N4998">
        <v>106.19499999999999</v>
      </c>
    </row>
    <row r="4999" spans="1:14" x14ac:dyDescent="0.45">
      <c r="A4999">
        <v>2003</v>
      </c>
      <c r="B4999" t="s">
        <v>255</v>
      </c>
      <c r="C4999">
        <v>0</v>
      </c>
      <c r="D4999">
        <v>0</v>
      </c>
      <c r="E4999">
        <v>1</v>
      </c>
      <c r="F4999">
        <v>0</v>
      </c>
      <c r="G4999">
        <v>0</v>
      </c>
      <c r="H4999">
        <v>0</v>
      </c>
      <c r="I4999">
        <v>0</v>
      </c>
      <c r="J4999">
        <v>1649.1482601447999</v>
      </c>
      <c r="K4999">
        <v>1398.9799733773</v>
      </c>
      <c r="L4999">
        <v>83.938999999999993</v>
      </c>
      <c r="M4999">
        <v>52.414000000000001</v>
      </c>
      <c r="N4999">
        <v>122.447</v>
      </c>
    </row>
    <row r="5000" spans="1:14" x14ac:dyDescent="0.45">
      <c r="A5000">
        <v>2003</v>
      </c>
      <c r="B5000" t="s">
        <v>256</v>
      </c>
      <c r="C5000">
        <v>1</v>
      </c>
      <c r="D5000">
        <v>0</v>
      </c>
      <c r="E5000">
        <v>0</v>
      </c>
      <c r="F5000">
        <v>1</v>
      </c>
      <c r="G5000">
        <v>0</v>
      </c>
      <c r="H5000">
        <v>0</v>
      </c>
      <c r="I5000">
        <v>0</v>
      </c>
      <c r="J5000">
        <v>13342.8798828125</v>
      </c>
      <c r="K5000">
        <v>9437.2259121935094</v>
      </c>
      <c r="L5000">
        <v>32.573</v>
      </c>
      <c r="M5000">
        <v>67.638000000000005</v>
      </c>
      <c r="N5000">
        <v>13.271000000000001</v>
      </c>
    </row>
    <row r="5001" spans="1:14" x14ac:dyDescent="0.45">
      <c r="A5001">
        <v>2003</v>
      </c>
      <c r="B5001" t="s">
        <v>257</v>
      </c>
      <c r="C5001">
        <v>0</v>
      </c>
      <c r="D5001">
        <v>1</v>
      </c>
      <c r="E5001">
        <v>0</v>
      </c>
      <c r="F5001">
        <v>0</v>
      </c>
      <c r="G5001">
        <v>1</v>
      </c>
      <c r="H5001">
        <v>0</v>
      </c>
      <c r="I5001">
        <v>0</v>
      </c>
      <c r="J5001">
        <v>16694.438923159501</v>
      </c>
      <c r="K5001">
        <v>13241.504398450301</v>
      </c>
      <c r="L5001">
        <v>7.1719999999999997</v>
      </c>
      <c r="M5001">
        <v>75.085999999999999</v>
      </c>
      <c r="N5001">
        <v>16.574000000000002</v>
      </c>
    </row>
    <row r="5002" spans="1:14" x14ac:dyDescent="0.45">
      <c r="A5002">
        <v>2003</v>
      </c>
      <c r="B5002" t="s">
        <v>258</v>
      </c>
      <c r="C5002">
        <v>0</v>
      </c>
      <c r="D5002">
        <v>0</v>
      </c>
      <c r="E5002">
        <v>0</v>
      </c>
      <c r="F5002">
        <v>0</v>
      </c>
      <c r="G5002">
        <v>0</v>
      </c>
      <c r="H5002">
        <v>1</v>
      </c>
      <c r="I5002">
        <v>1</v>
      </c>
      <c r="J5002">
        <v>56498.207831228901</v>
      </c>
      <c r="K5002">
        <v>51281.988606707899</v>
      </c>
      <c r="L5002">
        <v>20.417000000000002</v>
      </c>
      <c r="M5002">
        <v>77.137</v>
      </c>
      <c r="N5002">
        <v>8.2590000000000003</v>
      </c>
    </row>
    <row r="5003" spans="1:14" x14ac:dyDescent="0.45">
      <c r="A5003">
        <v>2003</v>
      </c>
      <c r="B5003" t="s">
        <v>259</v>
      </c>
      <c r="C5003">
        <v>1</v>
      </c>
      <c r="D5003">
        <v>0</v>
      </c>
      <c r="E5003">
        <v>0</v>
      </c>
      <c r="F5003">
        <v>0</v>
      </c>
      <c r="G5003">
        <v>0</v>
      </c>
      <c r="H5003">
        <v>0</v>
      </c>
      <c r="I5003">
        <v>0</v>
      </c>
      <c r="J5003">
        <v>3711.7785305442299</v>
      </c>
      <c r="K5003">
        <v>3606.1301852725701</v>
      </c>
      <c r="L5003">
        <v>52.429000000000002</v>
      </c>
      <c r="M5003">
        <v>66.852000000000004</v>
      </c>
      <c r="N5003">
        <v>51.978999999999999</v>
      </c>
    </row>
    <row r="5004" spans="1:14" x14ac:dyDescent="0.45">
      <c r="A5004">
        <v>2003</v>
      </c>
      <c r="B5004" t="s">
        <v>260</v>
      </c>
      <c r="C5004">
        <v>0</v>
      </c>
      <c r="D5004">
        <v>1</v>
      </c>
      <c r="E5004">
        <v>0</v>
      </c>
      <c r="F5004">
        <v>0</v>
      </c>
      <c r="G5004">
        <v>1</v>
      </c>
      <c r="H5004">
        <v>0</v>
      </c>
      <c r="I5004">
        <v>0</v>
      </c>
      <c r="J5004">
        <v>11475.331241453099</v>
      </c>
      <c r="K5004">
        <v>10028.994014685801</v>
      </c>
      <c r="L5004">
        <v>53.716999999999999</v>
      </c>
      <c r="M5004">
        <v>70.430000000000007</v>
      </c>
      <c r="N5004">
        <v>23.564</v>
      </c>
    </row>
    <row r="5005" spans="1:14" x14ac:dyDescent="0.45">
      <c r="A5005">
        <v>2003</v>
      </c>
      <c r="B5005" t="s">
        <v>261</v>
      </c>
      <c r="C5005">
        <v>0</v>
      </c>
      <c r="D5005">
        <v>1</v>
      </c>
      <c r="E5005">
        <v>0</v>
      </c>
      <c r="F5005">
        <v>0</v>
      </c>
      <c r="G5005">
        <v>1</v>
      </c>
      <c r="H5005">
        <v>0</v>
      </c>
      <c r="I5005">
        <v>0</v>
      </c>
      <c r="L5005">
        <v>12.098000000000001</v>
      </c>
      <c r="M5005">
        <v>72.055999999999997</v>
      </c>
      <c r="N5005">
        <v>19.786999999999999</v>
      </c>
    </row>
    <row r="5006" spans="1:14" x14ac:dyDescent="0.45">
      <c r="A5006">
        <v>2003</v>
      </c>
      <c r="B5006" t="s">
        <v>262</v>
      </c>
      <c r="C5006">
        <v>0</v>
      </c>
      <c r="D5006">
        <v>1</v>
      </c>
      <c r="E5006">
        <v>0</v>
      </c>
      <c r="F5006">
        <v>0</v>
      </c>
      <c r="G5006">
        <v>0</v>
      </c>
      <c r="H5006">
        <v>1</v>
      </c>
      <c r="I5006">
        <v>1</v>
      </c>
      <c r="L5006">
        <v>57.384999999999998</v>
      </c>
      <c r="M5006">
        <v>75.183000000000007</v>
      </c>
      <c r="N5006">
        <v>16.295999999999999</v>
      </c>
    </row>
    <row r="5007" spans="1:14" x14ac:dyDescent="0.45">
      <c r="A5007">
        <v>2003</v>
      </c>
      <c r="B5007" t="s">
        <v>263</v>
      </c>
      <c r="C5007">
        <v>0</v>
      </c>
      <c r="D5007">
        <v>1</v>
      </c>
      <c r="E5007">
        <v>0</v>
      </c>
      <c r="F5007">
        <v>0</v>
      </c>
      <c r="G5007">
        <v>0</v>
      </c>
      <c r="H5007">
        <v>1</v>
      </c>
      <c r="I5007">
        <v>1</v>
      </c>
      <c r="J5007">
        <v>54086.154794567301</v>
      </c>
      <c r="K5007">
        <v>42358.881852330996</v>
      </c>
      <c r="L5007">
        <v>6.7489999999999997</v>
      </c>
      <c r="M5007">
        <v>72.007000000000005</v>
      </c>
      <c r="N5007">
        <v>10.98</v>
      </c>
    </row>
    <row r="5008" spans="1:14" x14ac:dyDescent="0.45">
      <c r="A5008">
        <v>2003</v>
      </c>
      <c r="B5008" t="s">
        <v>264</v>
      </c>
      <c r="C5008">
        <v>0</v>
      </c>
      <c r="D5008">
        <v>0</v>
      </c>
      <c r="E5008">
        <v>0</v>
      </c>
      <c r="F5008">
        <v>0</v>
      </c>
      <c r="G5008">
        <v>0</v>
      </c>
      <c r="H5008">
        <v>0</v>
      </c>
      <c r="I5008">
        <v>0</v>
      </c>
      <c r="J5008">
        <v>5090.28990869885</v>
      </c>
      <c r="K5008">
        <v>4535.8702481074297</v>
      </c>
      <c r="L5008">
        <v>73.908000000000001</v>
      </c>
      <c r="M5008">
        <v>73.236000000000004</v>
      </c>
      <c r="N5008">
        <v>26.881</v>
      </c>
    </row>
    <row r="5009" spans="1:14" x14ac:dyDescent="0.45">
      <c r="A5009">
        <v>2003</v>
      </c>
      <c r="B5009" t="s">
        <v>265</v>
      </c>
      <c r="C5009">
        <v>0</v>
      </c>
      <c r="D5009">
        <v>0</v>
      </c>
      <c r="E5009">
        <v>0</v>
      </c>
      <c r="F5009">
        <v>1</v>
      </c>
      <c r="G5009">
        <v>0</v>
      </c>
      <c r="H5009">
        <v>0</v>
      </c>
      <c r="I5009">
        <v>0</v>
      </c>
      <c r="J5009">
        <v>2962.0310729213402</v>
      </c>
      <c r="K5009">
        <v>2679.45729519824</v>
      </c>
      <c r="L5009">
        <v>77.478999999999999</v>
      </c>
      <c r="M5009">
        <v>68.933000000000007</v>
      </c>
      <c r="N5009">
        <v>27.849</v>
      </c>
    </row>
    <row r="5010" spans="1:14" x14ac:dyDescent="0.45">
      <c r="A5010">
        <v>2003</v>
      </c>
      <c r="B5010" t="s">
        <v>266</v>
      </c>
      <c r="C5010">
        <v>0</v>
      </c>
      <c r="D5010">
        <v>0</v>
      </c>
      <c r="E5010">
        <v>0</v>
      </c>
      <c r="F5010">
        <v>1</v>
      </c>
      <c r="G5010">
        <v>0</v>
      </c>
      <c r="H5010">
        <v>0</v>
      </c>
      <c r="I5010">
        <v>0</v>
      </c>
      <c r="J5010">
        <v>5425.4438355798402</v>
      </c>
      <c r="K5010">
        <v>4907.8637958362797</v>
      </c>
      <c r="L5010">
        <v>78.302000000000007</v>
      </c>
      <c r="M5010">
        <v>71.441000000000003</v>
      </c>
      <c r="N5010">
        <v>19.849</v>
      </c>
    </row>
    <row r="5011" spans="1:14" x14ac:dyDescent="0.45">
      <c r="A5011">
        <v>2003</v>
      </c>
      <c r="B5011" t="s">
        <v>267</v>
      </c>
      <c r="C5011">
        <v>1</v>
      </c>
      <c r="D5011">
        <v>0</v>
      </c>
      <c r="E5011">
        <v>0</v>
      </c>
      <c r="F5011">
        <v>1</v>
      </c>
      <c r="G5011">
        <v>0</v>
      </c>
      <c r="H5011">
        <v>0</v>
      </c>
      <c r="I5011">
        <v>0</v>
      </c>
      <c r="J5011">
        <v>5793.3780180141703</v>
      </c>
      <c r="K5011">
        <v>5258.4930137005404</v>
      </c>
      <c r="L5011">
        <v>46.563000000000002</v>
      </c>
      <c r="M5011">
        <v>72.677999999999997</v>
      </c>
      <c r="N5011">
        <v>36.665999999999997</v>
      </c>
    </row>
    <row r="5012" spans="1:14" x14ac:dyDescent="0.45">
      <c r="A5012">
        <v>2003</v>
      </c>
      <c r="B5012" t="s">
        <v>268</v>
      </c>
      <c r="C5012">
        <v>0</v>
      </c>
      <c r="D5012">
        <v>0</v>
      </c>
      <c r="E5012">
        <v>0</v>
      </c>
      <c r="F5012">
        <v>0</v>
      </c>
      <c r="G5012">
        <v>0</v>
      </c>
      <c r="H5012">
        <v>0</v>
      </c>
      <c r="I5012">
        <v>0</v>
      </c>
      <c r="L5012">
        <v>72.150999999999996</v>
      </c>
      <c r="M5012">
        <v>64.406999999999996</v>
      </c>
      <c r="N5012">
        <v>79.146000000000001</v>
      </c>
    </row>
    <row r="5013" spans="1:14" x14ac:dyDescent="0.45">
      <c r="A5013">
        <v>2003</v>
      </c>
      <c r="B5013" t="s">
        <v>269</v>
      </c>
      <c r="C5013">
        <v>0</v>
      </c>
      <c r="D5013">
        <v>0</v>
      </c>
      <c r="E5013">
        <v>1</v>
      </c>
      <c r="F5013">
        <v>1</v>
      </c>
      <c r="G5013">
        <v>0</v>
      </c>
      <c r="H5013">
        <v>0</v>
      </c>
      <c r="I5013">
        <v>0</v>
      </c>
      <c r="J5013">
        <v>11937.7154170418</v>
      </c>
      <c r="K5013">
        <v>11239.8501016584</v>
      </c>
      <c r="L5013">
        <v>41.554000000000002</v>
      </c>
      <c r="M5013">
        <v>54.244999999999997</v>
      </c>
      <c r="N5013">
        <v>80.129000000000005</v>
      </c>
    </row>
    <row r="5014" spans="1:14" x14ac:dyDescent="0.45">
      <c r="A5014">
        <v>2003</v>
      </c>
      <c r="B5014" t="s">
        <v>270</v>
      </c>
      <c r="C5014">
        <v>0</v>
      </c>
      <c r="D5014">
        <v>0</v>
      </c>
      <c r="E5014">
        <v>1</v>
      </c>
      <c r="F5014">
        <v>0</v>
      </c>
      <c r="G5014">
        <v>0</v>
      </c>
      <c r="H5014">
        <v>0</v>
      </c>
      <c r="I5014">
        <v>0</v>
      </c>
      <c r="J5014">
        <v>2383.8761174108899</v>
      </c>
      <c r="K5014">
        <v>2238.11941644221</v>
      </c>
      <c r="L5014">
        <v>64.049000000000007</v>
      </c>
      <c r="M5014">
        <v>49.616</v>
      </c>
      <c r="N5014">
        <v>125.313</v>
      </c>
    </row>
    <row r="5015" spans="1:14" x14ac:dyDescent="0.45">
      <c r="A5015">
        <v>2003</v>
      </c>
      <c r="B5015" t="s">
        <v>271</v>
      </c>
      <c r="C5015">
        <v>0</v>
      </c>
      <c r="D5015">
        <v>0</v>
      </c>
      <c r="E5015">
        <v>1</v>
      </c>
      <c r="F5015">
        <v>0</v>
      </c>
      <c r="G5015">
        <v>0</v>
      </c>
      <c r="H5015">
        <v>0</v>
      </c>
      <c r="I5015">
        <v>0</v>
      </c>
      <c r="J5015">
        <v>3036.0533574454598</v>
      </c>
      <c r="K5015">
        <v>2021.51328120065</v>
      </c>
      <c r="L5015">
        <v>65.521000000000001</v>
      </c>
      <c r="M5015">
        <v>45.372999999999998</v>
      </c>
      <c r="N5015">
        <v>91.697000000000003</v>
      </c>
    </row>
    <row r="5016" spans="1:14" x14ac:dyDescent="0.45">
      <c r="A5016">
        <v>2004</v>
      </c>
      <c r="B5016" t="s">
        <v>54</v>
      </c>
      <c r="C5016">
        <v>0</v>
      </c>
      <c r="D5016">
        <v>1</v>
      </c>
      <c r="E5016">
        <v>0</v>
      </c>
      <c r="F5016">
        <v>0</v>
      </c>
      <c r="G5016">
        <v>0</v>
      </c>
      <c r="H5016">
        <v>1</v>
      </c>
      <c r="I5016">
        <v>1</v>
      </c>
      <c r="J5016">
        <v>41834.927581105498</v>
      </c>
      <c r="K5016">
        <v>40714.056870757697</v>
      </c>
      <c r="L5016">
        <v>54.76</v>
      </c>
      <c r="M5016">
        <v>73.222999999999999</v>
      </c>
      <c r="N5016">
        <v>20.123999999999999</v>
      </c>
    </row>
    <row r="5017" spans="1:14" x14ac:dyDescent="0.45">
      <c r="A5017">
        <v>2004</v>
      </c>
      <c r="B5017" t="s">
        <v>55</v>
      </c>
      <c r="C5017">
        <v>0</v>
      </c>
      <c r="D5017">
        <v>0</v>
      </c>
      <c r="E5017">
        <v>0</v>
      </c>
      <c r="F5017">
        <v>0</v>
      </c>
      <c r="G5017">
        <v>0</v>
      </c>
      <c r="H5017">
        <v>0</v>
      </c>
      <c r="I5017">
        <v>0</v>
      </c>
      <c r="J5017">
        <v>1776.91820712187</v>
      </c>
      <c r="K5017">
        <v>1405.5265308508699</v>
      </c>
      <c r="L5017">
        <v>77.5</v>
      </c>
      <c r="M5017">
        <v>57.81</v>
      </c>
      <c r="N5017">
        <v>113.374</v>
      </c>
    </row>
    <row r="5018" spans="1:14" x14ac:dyDescent="0.45">
      <c r="A5018">
        <v>2004</v>
      </c>
      <c r="B5018" t="s">
        <v>56</v>
      </c>
      <c r="C5018">
        <v>0</v>
      </c>
      <c r="D5018">
        <v>0</v>
      </c>
      <c r="E5018">
        <v>1</v>
      </c>
      <c r="F5018">
        <v>1</v>
      </c>
      <c r="G5018">
        <v>0</v>
      </c>
      <c r="H5018">
        <v>0</v>
      </c>
      <c r="I5018">
        <v>0</v>
      </c>
      <c r="J5018">
        <v>7074.0259473762499</v>
      </c>
      <c r="K5018">
        <v>5470.7035935220601</v>
      </c>
      <c r="L5018">
        <v>45.173000000000002</v>
      </c>
      <c r="M5018">
        <v>51.122999999999998</v>
      </c>
      <c r="N5018">
        <v>171.916</v>
      </c>
    </row>
    <row r="5019" spans="1:14" x14ac:dyDescent="0.45">
      <c r="A5019">
        <v>2004</v>
      </c>
      <c r="B5019" t="s">
        <v>57</v>
      </c>
      <c r="C5019">
        <v>1</v>
      </c>
      <c r="D5019">
        <v>0</v>
      </c>
      <c r="E5019">
        <v>0</v>
      </c>
      <c r="F5019">
        <v>1</v>
      </c>
      <c r="G5019">
        <v>0</v>
      </c>
      <c r="H5019">
        <v>0</v>
      </c>
      <c r="I5019">
        <v>0</v>
      </c>
      <c r="J5019">
        <v>8482.8075333757606</v>
      </c>
      <c r="K5019">
        <v>7685.0345385569799</v>
      </c>
      <c r="L5019">
        <v>54.348999999999997</v>
      </c>
      <c r="M5019">
        <v>75.950999999999993</v>
      </c>
      <c r="N5019">
        <v>21.222999999999999</v>
      </c>
    </row>
    <row r="5020" spans="1:14" x14ac:dyDescent="0.45">
      <c r="A5020">
        <v>2004</v>
      </c>
      <c r="B5020" t="s">
        <v>58</v>
      </c>
      <c r="C5020">
        <v>1</v>
      </c>
      <c r="D5020">
        <v>0</v>
      </c>
      <c r="E5020">
        <v>0</v>
      </c>
      <c r="F5020">
        <v>0</v>
      </c>
      <c r="G5020">
        <v>0</v>
      </c>
      <c r="H5020">
        <v>1</v>
      </c>
      <c r="I5020">
        <v>1</v>
      </c>
      <c r="J5020">
        <v>64353.485811353101</v>
      </c>
      <c r="K5020">
        <v>54019.836891135797</v>
      </c>
      <c r="L5020">
        <v>9.2490000000000006</v>
      </c>
      <c r="M5020">
        <v>82.814999999999998</v>
      </c>
      <c r="N5020">
        <v>6.96</v>
      </c>
    </row>
    <row r="5021" spans="1:14" x14ac:dyDescent="0.45">
      <c r="A5021">
        <v>2004</v>
      </c>
      <c r="B5021" t="s">
        <v>59</v>
      </c>
      <c r="C5021">
        <v>0</v>
      </c>
      <c r="D5021">
        <v>0</v>
      </c>
      <c r="E5021">
        <v>0</v>
      </c>
      <c r="F5021">
        <v>0</v>
      </c>
      <c r="G5021">
        <v>0</v>
      </c>
      <c r="H5021">
        <v>1</v>
      </c>
      <c r="I5021">
        <v>1</v>
      </c>
      <c r="J5021">
        <v>90388.983770025196</v>
      </c>
      <c r="K5021">
        <v>89301.485904753601</v>
      </c>
      <c r="L5021">
        <v>18.129000000000001</v>
      </c>
      <c r="M5021">
        <v>80.272000000000006</v>
      </c>
      <c r="N5021">
        <v>9.9939999999999998</v>
      </c>
    </row>
    <row r="5022" spans="1:14" x14ac:dyDescent="0.45">
      <c r="A5022">
        <v>2004</v>
      </c>
      <c r="B5022" t="s">
        <v>60</v>
      </c>
      <c r="C5022">
        <v>0</v>
      </c>
      <c r="D5022">
        <v>1</v>
      </c>
      <c r="E5022">
        <v>0</v>
      </c>
      <c r="F5022">
        <v>0</v>
      </c>
      <c r="G5022">
        <v>1</v>
      </c>
      <c r="H5022">
        <v>0</v>
      </c>
      <c r="I5022">
        <v>0</v>
      </c>
      <c r="J5022">
        <v>21591.449396517</v>
      </c>
      <c r="K5022">
        <v>17819.6345877354</v>
      </c>
      <c r="L5022">
        <v>10.14</v>
      </c>
      <c r="M5022">
        <v>74.870999999999995</v>
      </c>
      <c r="N5022">
        <v>18.515999999999998</v>
      </c>
    </row>
    <row r="5023" spans="1:14" x14ac:dyDescent="0.45">
      <c r="A5023">
        <v>2004</v>
      </c>
      <c r="B5023" t="s">
        <v>61</v>
      </c>
      <c r="C5023">
        <v>1</v>
      </c>
      <c r="D5023">
        <v>0</v>
      </c>
      <c r="E5023">
        <v>0</v>
      </c>
      <c r="F5023">
        <v>1</v>
      </c>
      <c r="G5023">
        <v>0</v>
      </c>
      <c r="H5023">
        <v>0</v>
      </c>
      <c r="I5023">
        <v>0</v>
      </c>
      <c r="J5023">
        <v>7299.4000185886598</v>
      </c>
      <c r="K5023">
        <v>6183.3307439240398</v>
      </c>
      <c r="L5023">
        <v>35.962000000000003</v>
      </c>
      <c r="M5023">
        <v>71.926000000000002</v>
      </c>
      <c r="N5023">
        <v>25.210999999999999</v>
      </c>
    </row>
    <row r="5024" spans="1:14" x14ac:dyDescent="0.45">
      <c r="A5024">
        <v>2004</v>
      </c>
      <c r="B5024" t="s">
        <v>62</v>
      </c>
      <c r="C5024">
        <v>0</v>
      </c>
      <c r="D5024">
        <v>0</v>
      </c>
      <c r="E5024">
        <v>0</v>
      </c>
      <c r="F5024">
        <v>0</v>
      </c>
      <c r="G5024">
        <v>1</v>
      </c>
      <c r="H5024">
        <v>0</v>
      </c>
      <c r="I5024">
        <v>0</v>
      </c>
      <c r="L5024">
        <v>11.802</v>
      </c>
      <c r="M5024">
        <v>72.277000000000001</v>
      </c>
      <c r="N5024">
        <v>12.595000000000001</v>
      </c>
    </row>
    <row r="5025" spans="1:14" x14ac:dyDescent="0.45">
      <c r="A5025">
        <v>2004</v>
      </c>
      <c r="B5025" t="s">
        <v>63</v>
      </c>
      <c r="C5025">
        <v>0</v>
      </c>
      <c r="D5025">
        <v>1</v>
      </c>
      <c r="E5025">
        <v>0</v>
      </c>
      <c r="F5025">
        <v>0</v>
      </c>
      <c r="G5025">
        <v>1</v>
      </c>
      <c r="H5025">
        <v>0</v>
      </c>
      <c r="I5025">
        <v>0</v>
      </c>
      <c r="J5025">
        <v>26303.617904660499</v>
      </c>
      <c r="K5025">
        <v>20716.646108196801</v>
      </c>
      <c r="L5025">
        <v>70.162999999999997</v>
      </c>
      <c r="M5025">
        <v>75.328999999999994</v>
      </c>
      <c r="N5025">
        <v>13.567</v>
      </c>
    </row>
    <row r="5026" spans="1:14" x14ac:dyDescent="0.45">
      <c r="A5026">
        <v>2004</v>
      </c>
      <c r="B5026" t="s">
        <v>64</v>
      </c>
      <c r="C5026">
        <v>0</v>
      </c>
      <c r="D5026">
        <v>0</v>
      </c>
      <c r="E5026">
        <v>0</v>
      </c>
      <c r="F5026">
        <v>0</v>
      </c>
      <c r="G5026">
        <v>0</v>
      </c>
      <c r="H5026">
        <v>1</v>
      </c>
      <c r="I5026">
        <v>1</v>
      </c>
      <c r="J5026">
        <v>48980.893175443198</v>
      </c>
      <c r="K5026">
        <v>42424.878549698602</v>
      </c>
      <c r="L5026">
        <v>15.537000000000001</v>
      </c>
      <c r="M5026">
        <v>80.733000000000004</v>
      </c>
      <c r="N5026">
        <v>5.7320000000000002</v>
      </c>
    </row>
    <row r="5027" spans="1:14" x14ac:dyDescent="0.45">
      <c r="A5027">
        <v>2004</v>
      </c>
      <c r="B5027" t="s">
        <v>65</v>
      </c>
      <c r="C5027">
        <v>1</v>
      </c>
      <c r="D5027">
        <v>0</v>
      </c>
      <c r="E5027">
        <v>0</v>
      </c>
      <c r="F5027">
        <v>0</v>
      </c>
      <c r="G5027">
        <v>0</v>
      </c>
      <c r="H5027">
        <v>1</v>
      </c>
      <c r="I5027">
        <v>1</v>
      </c>
      <c r="J5027">
        <v>56048.480887494901</v>
      </c>
      <c r="K5027">
        <v>47762.023168121501</v>
      </c>
      <c r="L5027">
        <v>40.905999999999999</v>
      </c>
      <c r="M5027">
        <v>79.361999999999995</v>
      </c>
      <c r="N5027">
        <v>5.1669999999999998</v>
      </c>
    </row>
    <row r="5028" spans="1:14" x14ac:dyDescent="0.45">
      <c r="A5028">
        <v>2004</v>
      </c>
      <c r="B5028" t="s">
        <v>66</v>
      </c>
      <c r="C5028">
        <v>1</v>
      </c>
      <c r="D5028">
        <v>0</v>
      </c>
      <c r="E5028">
        <v>0</v>
      </c>
      <c r="F5028">
        <v>1</v>
      </c>
      <c r="G5028">
        <v>0</v>
      </c>
      <c r="H5028">
        <v>0</v>
      </c>
      <c r="I5028">
        <v>0</v>
      </c>
      <c r="J5028">
        <v>7937.8594802863099</v>
      </c>
      <c r="K5028">
        <v>5780.4473475611703</v>
      </c>
      <c r="L5028">
        <v>47.811</v>
      </c>
      <c r="M5028">
        <v>67.488</v>
      </c>
      <c r="N5028">
        <v>56.677999999999997</v>
      </c>
    </row>
    <row r="5029" spans="1:14" x14ac:dyDescent="0.45">
      <c r="A5029">
        <v>2004</v>
      </c>
      <c r="B5029" t="s">
        <v>67</v>
      </c>
      <c r="C5029">
        <v>0</v>
      </c>
      <c r="D5029">
        <v>0</v>
      </c>
      <c r="E5029">
        <v>1</v>
      </c>
      <c r="F5029">
        <v>0</v>
      </c>
      <c r="G5029">
        <v>0</v>
      </c>
      <c r="H5029">
        <v>0</v>
      </c>
      <c r="I5029">
        <v>0</v>
      </c>
      <c r="J5029">
        <v>965.20411811602105</v>
      </c>
      <c r="K5029">
        <v>834.03600878554596</v>
      </c>
      <c r="L5029">
        <v>90.861000000000004</v>
      </c>
      <c r="M5029">
        <v>52.216999999999999</v>
      </c>
      <c r="N5029">
        <v>128.78899999999999</v>
      </c>
    </row>
    <row r="5030" spans="1:14" x14ac:dyDescent="0.45">
      <c r="A5030">
        <v>2004</v>
      </c>
      <c r="B5030" t="s">
        <v>68</v>
      </c>
      <c r="C5030">
        <v>1</v>
      </c>
      <c r="D5030">
        <v>0</v>
      </c>
      <c r="E5030">
        <v>0</v>
      </c>
      <c r="F5030">
        <v>0</v>
      </c>
      <c r="G5030">
        <v>0</v>
      </c>
      <c r="H5030">
        <v>1</v>
      </c>
      <c r="I5030">
        <v>1</v>
      </c>
      <c r="J5030">
        <v>53430.254019446496</v>
      </c>
      <c r="K5030">
        <v>44962.447114048002</v>
      </c>
      <c r="L5030">
        <v>2.6500000000000101</v>
      </c>
      <c r="M5030">
        <v>78.959999999999994</v>
      </c>
      <c r="N5030">
        <v>4.7009999999999996</v>
      </c>
    </row>
    <row r="5031" spans="1:14" x14ac:dyDescent="0.45">
      <c r="A5031">
        <v>2004</v>
      </c>
      <c r="B5031" t="s">
        <v>69</v>
      </c>
      <c r="C5031">
        <v>0</v>
      </c>
      <c r="D5031">
        <v>0</v>
      </c>
      <c r="E5031">
        <v>1</v>
      </c>
      <c r="F5031">
        <v>0</v>
      </c>
      <c r="G5031">
        <v>0</v>
      </c>
      <c r="H5031">
        <v>0</v>
      </c>
      <c r="I5031">
        <v>0</v>
      </c>
      <c r="J5031">
        <v>2672.8440435715702</v>
      </c>
      <c r="K5031">
        <v>2535.8658233916699</v>
      </c>
      <c r="L5031">
        <v>59.960999999999999</v>
      </c>
      <c r="M5031">
        <v>57.345999999999997</v>
      </c>
      <c r="N5031">
        <v>124.285</v>
      </c>
    </row>
    <row r="5032" spans="1:14" x14ac:dyDescent="0.45">
      <c r="A5032">
        <v>2004</v>
      </c>
      <c r="B5032" t="s">
        <v>70</v>
      </c>
      <c r="C5032">
        <v>0</v>
      </c>
      <c r="D5032">
        <v>0</v>
      </c>
      <c r="E5032">
        <v>1</v>
      </c>
      <c r="F5032">
        <v>0</v>
      </c>
      <c r="G5032">
        <v>0</v>
      </c>
      <c r="H5032">
        <v>0</v>
      </c>
      <c r="I5032">
        <v>0</v>
      </c>
      <c r="J5032">
        <v>1581.25620933294</v>
      </c>
      <c r="K5032">
        <v>1446.7499496820999</v>
      </c>
      <c r="L5032">
        <v>79.242999999999995</v>
      </c>
      <c r="M5032">
        <v>52.6</v>
      </c>
      <c r="N5032">
        <v>158.29599999999999</v>
      </c>
    </row>
    <row r="5033" spans="1:14" x14ac:dyDescent="0.45">
      <c r="A5033">
        <v>2004</v>
      </c>
      <c r="B5033" t="s">
        <v>71</v>
      </c>
      <c r="C5033">
        <v>0</v>
      </c>
      <c r="D5033">
        <v>0</v>
      </c>
      <c r="E5033">
        <v>0</v>
      </c>
      <c r="F5033">
        <v>0</v>
      </c>
      <c r="G5033">
        <v>0</v>
      </c>
      <c r="H5033">
        <v>0</v>
      </c>
      <c r="I5033">
        <v>0</v>
      </c>
      <c r="J5033">
        <v>3071.83778764611</v>
      </c>
      <c r="K5033">
        <v>2497.3874256796198</v>
      </c>
      <c r="L5033">
        <v>73.885999999999996</v>
      </c>
      <c r="M5033">
        <v>64.912000000000006</v>
      </c>
      <c r="N5033">
        <v>68.484999999999999</v>
      </c>
    </row>
    <row r="5034" spans="1:14" x14ac:dyDescent="0.45">
      <c r="A5034">
        <v>2004</v>
      </c>
      <c r="B5034" t="s">
        <v>72</v>
      </c>
      <c r="C5034">
        <v>1</v>
      </c>
      <c r="D5034">
        <v>0</v>
      </c>
      <c r="E5034">
        <v>0</v>
      </c>
      <c r="F5034">
        <v>1</v>
      </c>
      <c r="G5034">
        <v>0</v>
      </c>
      <c r="H5034">
        <v>0</v>
      </c>
      <c r="I5034">
        <v>0</v>
      </c>
      <c r="J5034">
        <v>16382.6181531611</v>
      </c>
      <c r="K5034">
        <v>13594.2879055554</v>
      </c>
      <c r="L5034">
        <v>29.766999999999999</v>
      </c>
      <c r="M5034">
        <v>72.575000000000003</v>
      </c>
      <c r="N5034">
        <v>14.763999999999999</v>
      </c>
    </row>
    <row r="5035" spans="1:14" x14ac:dyDescent="0.45">
      <c r="A5035">
        <v>2004</v>
      </c>
      <c r="B5035" t="s">
        <v>73</v>
      </c>
      <c r="C5035">
        <v>0</v>
      </c>
      <c r="D5035">
        <v>0</v>
      </c>
      <c r="E5035">
        <v>0</v>
      </c>
      <c r="F5035">
        <v>0</v>
      </c>
      <c r="G5035">
        <v>0</v>
      </c>
      <c r="H5035">
        <v>1</v>
      </c>
      <c r="I5035">
        <v>1</v>
      </c>
      <c r="J5035">
        <v>54045.092888858002</v>
      </c>
      <c r="K5035">
        <v>50357.177250278502</v>
      </c>
      <c r="L5035">
        <v>11.601000000000001</v>
      </c>
      <c r="M5035">
        <v>75.787000000000006</v>
      </c>
      <c r="N5035">
        <v>10.928000000000001</v>
      </c>
    </row>
    <row r="5036" spans="1:14" x14ac:dyDescent="0.45">
      <c r="A5036">
        <v>2004</v>
      </c>
      <c r="B5036" t="s">
        <v>74</v>
      </c>
      <c r="C5036">
        <v>0</v>
      </c>
      <c r="D5036">
        <v>1</v>
      </c>
      <c r="E5036">
        <v>0</v>
      </c>
      <c r="F5036">
        <v>0</v>
      </c>
      <c r="G5036">
        <v>0</v>
      </c>
      <c r="H5036">
        <v>1</v>
      </c>
      <c r="I5036">
        <v>1</v>
      </c>
      <c r="J5036">
        <v>34617.718166595303</v>
      </c>
      <c r="K5036">
        <v>35908.473881688697</v>
      </c>
      <c r="L5036">
        <v>17.824000000000002</v>
      </c>
      <c r="M5036">
        <v>73.234999999999999</v>
      </c>
      <c r="N5036">
        <v>17.027999999999999</v>
      </c>
    </row>
    <row r="5037" spans="1:14" x14ac:dyDescent="0.45">
      <c r="A5037">
        <v>2004</v>
      </c>
      <c r="B5037" t="s">
        <v>75</v>
      </c>
      <c r="C5037">
        <v>1</v>
      </c>
      <c r="D5037">
        <v>0</v>
      </c>
      <c r="E5037">
        <v>0</v>
      </c>
      <c r="F5037">
        <v>1</v>
      </c>
      <c r="G5037">
        <v>0</v>
      </c>
      <c r="H5037">
        <v>0</v>
      </c>
      <c r="I5037">
        <v>0</v>
      </c>
      <c r="J5037">
        <v>9341.7276245185203</v>
      </c>
      <c r="K5037">
        <v>8069.9568888312397</v>
      </c>
      <c r="L5037">
        <v>56.351999999999997</v>
      </c>
      <c r="M5037">
        <v>76.489000000000004</v>
      </c>
      <c r="N5037">
        <v>7.9539999999999997</v>
      </c>
    </row>
    <row r="5038" spans="1:14" x14ac:dyDescent="0.45">
      <c r="A5038">
        <v>2004</v>
      </c>
      <c r="B5038" t="s">
        <v>76</v>
      </c>
      <c r="C5038">
        <v>1</v>
      </c>
      <c r="D5038">
        <v>0</v>
      </c>
      <c r="E5038">
        <v>0</v>
      </c>
      <c r="F5038">
        <v>1</v>
      </c>
      <c r="G5038">
        <v>0</v>
      </c>
      <c r="H5038">
        <v>0</v>
      </c>
      <c r="I5038">
        <v>0</v>
      </c>
      <c r="J5038">
        <v>15052.118211274799</v>
      </c>
      <c r="K5038">
        <v>10867.5551156155</v>
      </c>
      <c r="L5038">
        <v>28.113</v>
      </c>
      <c r="M5038">
        <v>68.688000000000002</v>
      </c>
      <c r="N5038">
        <v>9.33</v>
      </c>
    </row>
    <row r="5039" spans="1:14" x14ac:dyDescent="0.45">
      <c r="A5039">
        <v>2004</v>
      </c>
      <c r="B5039" t="s">
        <v>77</v>
      </c>
      <c r="C5039">
        <v>0</v>
      </c>
      <c r="D5039">
        <v>1</v>
      </c>
      <c r="E5039">
        <v>0</v>
      </c>
      <c r="F5039">
        <v>0</v>
      </c>
      <c r="G5039">
        <v>1</v>
      </c>
      <c r="H5039">
        <v>0</v>
      </c>
      <c r="I5039">
        <v>0</v>
      </c>
      <c r="J5039">
        <v>12794.805859308901</v>
      </c>
      <c r="K5039">
        <v>10083.499202319799</v>
      </c>
      <c r="L5039">
        <v>54.67</v>
      </c>
      <c r="M5039">
        <v>70.152000000000001</v>
      </c>
      <c r="N5039">
        <v>21.523</v>
      </c>
    </row>
    <row r="5040" spans="1:14" x14ac:dyDescent="0.45">
      <c r="A5040">
        <v>2004</v>
      </c>
      <c r="B5040" t="s">
        <v>78</v>
      </c>
      <c r="C5040">
        <v>0</v>
      </c>
      <c r="D5040">
        <v>0</v>
      </c>
      <c r="E5040">
        <v>0</v>
      </c>
      <c r="F5040">
        <v>0</v>
      </c>
      <c r="G5040">
        <v>0</v>
      </c>
      <c r="H5040">
        <v>1</v>
      </c>
      <c r="I5040">
        <v>1</v>
      </c>
      <c r="J5040">
        <v>107803.19935807701</v>
      </c>
      <c r="K5040">
        <v>95779.252901412401</v>
      </c>
      <c r="L5040">
        <v>0</v>
      </c>
      <c r="M5040">
        <v>78.897999999999996</v>
      </c>
      <c r="N5040">
        <v>4.7779999999999996</v>
      </c>
    </row>
    <row r="5041" spans="1:14" x14ac:dyDescent="0.45">
      <c r="A5041">
        <v>2004</v>
      </c>
      <c r="B5041" t="s">
        <v>79</v>
      </c>
      <c r="C5041">
        <v>0</v>
      </c>
      <c r="D5041">
        <v>1</v>
      </c>
      <c r="E5041">
        <v>0</v>
      </c>
      <c r="F5041">
        <v>1</v>
      </c>
      <c r="G5041">
        <v>0</v>
      </c>
      <c r="H5041">
        <v>0</v>
      </c>
      <c r="I5041">
        <v>0</v>
      </c>
      <c r="J5041">
        <v>6407.8381179562602</v>
      </c>
      <c r="K5041">
        <v>5655.2388940129404</v>
      </c>
      <c r="L5041">
        <v>36.289000000000001</v>
      </c>
      <c r="M5041">
        <v>63.819000000000003</v>
      </c>
      <c r="N5041">
        <v>81.19</v>
      </c>
    </row>
    <row r="5042" spans="1:14" x14ac:dyDescent="0.45">
      <c r="A5042">
        <v>2004</v>
      </c>
      <c r="B5042" t="s">
        <v>80</v>
      </c>
      <c r="C5042">
        <v>0</v>
      </c>
      <c r="D5042">
        <v>1</v>
      </c>
      <c r="E5042">
        <v>0</v>
      </c>
      <c r="F5042">
        <v>1</v>
      </c>
      <c r="G5042">
        <v>0</v>
      </c>
      <c r="H5042">
        <v>0</v>
      </c>
      <c r="I5042">
        <v>0</v>
      </c>
      <c r="J5042">
        <v>14911.260960859199</v>
      </c>
      <c r="K5042">
        <v>12248.2460627852</v>
      </c>
      <c r="L5042">
        <v>17.478999999999999</v>
      </c>
      <c r="M5042">
        <v>71.361000000000004</v>
      </c>
      <c r="N5042">
        <v>26.495000000000001</v>
      </c>
    </row>
    <row r="5043" spans="1:14" x14ac:dyDescent="0.45">
      <c r="A5043">
        <v>2004</v>
      </c>
      <c r="B5043" t="s">
        <v>81</v>
      </c>
      <c r="C5043">
        <v>0</v>
      </c>
      <c r="D5043">
        <v>1</v>
      </c>
      <c r="E5043">
        <v>0</v>
      </c>
      <c r="F5043">
        <v>0</v>
      </c>
      <c r="G5043">
        <v>1</v>
      </c>
      <c r="H5043">
        <v>0</v>
      </c>
      <c r="I5043">
        <v>0</v>
      </c>
      <c r="J5043">
        <v>18845.240710317699</v>
      </c>
      <c r="K5043">
        <v>17999.0812881907</v>
      </c>
      <c r="L5043">
        <v>66.962999999999994</v>
      </c>
      <c r="M5043">
        <v>75.150000000000006</v>
      </c>
      <c r="N5043">
        <v>15.262</v>
      </c>
    </row>
    <row r="5044" spans="1:14" x14ac:dyDescent="0.45">
      <c r="A5044">
        <v>2004</v>
      </c>
      <c r="B5044" t="s">
        <v>82</v>
      </c>
      <c r="C5044">
        <v>0</v>
      </c>
      <c r="D5044">
        <v>0</v>
      </c>
      <c r="E5044">
        <v>0</v>
      </c>
      <c r="F5044">
        <v>0</v>
      </c>
      <c r="G5044">
        <v>0</v>
      </c>
      <c r="H5044">
        <v>1</v>
      </c>
      <c r="I5044">
        <v>1</v>
      </c>
      <c r="J5044">
        <v>101497.754704576</v>
      </c>
      <c r="K5044">
        <v>79249.900949532399</v>
      </c>
      <c r="L5044">
        <v>27.206</v>
      </c>
      <c r="M5044">
        <v>74.602999999999994</v>
      </c>
      <c r="N5044">
        <v>9.7149999999999999</v>
      </c>
    </row>
    <row r="5045" spans="1:14" x14ac:dyDescent="0.45">
      <c r="A5045">
        <v>2004</v>
      </c>
      <c r="B5045" t="s">
        <v>83</v>
      </c>
      <c r="C5045">
        <v>0</v>
      </c>
      <c r="D5045">
        <v>0</v>
      </c>
      <c r="E5045">
        <v>0</v>
      </c>
      <c r="F5045">
        <v>0</v>
      </c>
      <c r="G5045">
        <v>0</v>
      </c>
      <c r="H5045">
        <v>0</v>
      </c>
      <c r="I5045">
        <v>0</v>
      </c>
      <c r="J5045">
        <v>6517.9968329021603</v>
      </c>
      <c r="K5045">
        <v>5645.4095296388004</v>
      </c>
      <c r="L5045">
        <v>70.165000000000006</v>
      </c>
      <c r="M5045">
        <v>65.290000000000006</v>
      </c>
      <c r="N5045">
        <v>60.506</v>
      </c>
    </row>
    <row r="5046" spans="1:14" x14ac:dyDescent="0.45">
      <c r="A5046">
        <v>2004</v>
      </c>
      <c r="B5046" t="s">
        <v>84</v>
      </c>
      <c r="C5046">
        <v>0</v>
      </c>
      <c r="D5046">
        <v>0</v>
      </c>
      <c r="E5046">
        <v>1</v>
      </c>
      <c r="F5046">
        <v>0</v>
      </c>
      <c r="G5046">
        <v>1</v>
      </c>
      <c r="H5046">
        <v>0</v>
      </c>
      <c r="I5046">
        <v>0</v>
      </c>
      <c r="J5046">
        <v>13984.8415100042</v>
      </c>
      <c r="K5046">
        <v>12653.2948934346</v>
      </c>
      <c r="L5046">
        <v>44.512</v>
      </c>
      <c r="M5046">
        <v>53.573</v>
      </c>
      <c r="N5046">
        <v>71.073999999999998</v>
      </c>
    </row>
    <row r="5047" spans="1:14" x14ac:dyDescent="0.45">
      <c r="A5047">
        <v>2004</v>
      </c>
      <c r="B5047" t="s">
        <v>85</v>
      </c>
      <c r="C5047">
        <v>0</v>
      </c>
      <c r="D5047">
        <v>0</v>
      </c>
      <c r="E5047">
        <v>1</v>
      </c>
      <c r="F5047">
        <v>0</v>
      </c>
      <c r="G5047">
        <v>0</v>
      </c>
      <c r="H5047">
        <v>0</v>
      </c>
      <c r="I5047">
        <v>0</v>
      </c>
      <c r="J5047">
        <v>1236.2853471216599</v>
      </c>
      <c r="K5047">
        <v>989.83226342536204</v>
      </c>
      <c r="L5047">
        <v>62.033999999999999</v>
      </c>
      <c r="M5047">
        <v>47.695999999999998</v>
      </c>
      <c r="N5047">
        <v>151.81899999999999</v>
      </c>
    </row>
    <row r="5048" spans="1:14" x14ac:dyDescent="0.45">
      <c r="A5048">
        <v>2004</v>
      </c>
      <c r="B5048" t="s">
        <v>86</v>
      </c>
      <c r="C5048">
        <v>0</v>
      </c>
      <c r="D5048">
        <v>0</v>
      </c>
      <c r="E5048">
        <v>0</v>
      </c>
      <c r="F5048">
        <v>0</v>
      </c>
      <c r="G5048">
        <v>0</v>
      </c>
      <c r="H5048">
        <v>1</v>
      </c>
      <c r="I5048">
        <v>1</v>
      </c>
      <c r="J5048">
        <v>51210.6796118735</v>
      </c>
      <c r="K5048">
        <v>44328.813116793397</v>
      </c>
      <c r="L5048">
        <v>19.954999999999998</v>
      </c>
      <c r="M5048">
        <v>80.028999999999996</v>
      </c>
      <c r="N5048">
        <v>6.0739999999999998</v>
      </c>
    </row>
    <row r="5049" spans="1:14" x14ac:dyDescent="0.45">
      <c r="A5049">
        <v>2004</v>
      </c>
      <c r="B5049" t="s">
        <v>87</v>
      </c>
      <c r="C5049">
        <v>1</v>
      </c>
      <c r="D5049">
        <v>0</v>
      </c>
      <c r="E5049">
        <v>0</v>
      </c>
      <c r="F5049">
        <v>0</v>
      </c>
      <c r="G5049">
        <v>0</v>
      </c>
      <c r="H5049">
        <v>1</v>
      </c>
      <c r="I5049">
        <v>1</v>
      </c>
      <c r="J5049">
        <v>68263.441139081697</v>
      </c>
      <c r="K5049">
        <v>59386.9343767924</v>
      </c>
      <c r="L5049">
        <v>26.547999999999998</v>
      </c>
      <c r="M5049">
        <v>81.055000000000007</v>
      </c>
      <c r="N5049">
        <v>5.35</v>
      </c>
    </row>
    <row r="5050" spans="1:14" x14ac:dyDescent="0.45">
      <c r="A5050">
        <v>2004</v>
      </c>
      <c r="B5050" t="s">
        <v>88</v>
      </c>
      <c r="C5050">
        <v>1</v>
      </c>
      <c r="D5050">
        <v>0</v>
      </c>
      <c r="E5050">
        <v>0</v>
      </c>
      <c r="F5050">
        <v>0</v>
      </c>
      <c r="G5050">
        <v>0</v>
      </c>
      <c r="H5050">
        <v>1</v>
      </c>
      <c r="I5050">
        <v>1</v>
      </c>
      <c r="L5050">
        <v>69.319000000000003</v>
      </c>
      <c r="M5050">
        <v>79.830137977755697</v>
      </c>
      <c r="N5050">
        <v>10.016687547274101</v>
      </c>
    </row>
    <row r="5051" spans="1:14" x14ac:dyDescent="0.45">
      <c r="A5051">
        <v>2004</v>
      </c>
      <c r="B5051" t="s">
        <v>89</v>
      </c>
      <c r="C5051">
        <v>0</v>
      </c>
      <c r="D5051">
        <v>1</v>
      </c>
      <c r="E5051">
        <v>0</v>
      </c>
      <c r="F5051">
        <v>0</v>
      </c>
      <c r="G5051">
        <v>1</v>
      </c>
      <c r="H5051">
        <v>0</v>
      </c>
      <c r="I5051">
        <v>0</v>
      </c>
      <c r="J5051">
        <v>19961.9835794233</v>
      </c>
      <c r="K5051">
        <v>17388.5235224112</v>
      </c>
      <c r="L5051">
        <v>13.275</v>
      </c>
      <c r="M5051">
        <v>78.275999999999996</v>
      </c>
      <c r="N5051">
        <v>9.8350000000000009</v>
      </c>
    </row>
    <row r="5052" spans="1:14" x14ac:dyDescent="0.45">
      <c r="A5052">
        <v>2004</v>
      </c>
      <c r="B5052" t="s">
        <v>90</v>
      </c>
      <c r="C5052">
        <v>0</v>
      </c>
      <c r="D5052">
        <v>0</v>
      </c>
      <c r="E5052">
        <v>0</v>
      </c>
      <c r="F5052">
        <v>1</v>
      </c>
      <c r="G5052">
        <v>0</v>
      </c>
      <c r="H5052">
        <v>0</v>
      </c>
      <c r="I5052">
        <v>0</v>
      </c>
      <c r="J5052">
        <v>5684.1687305098103</v>
      </c>
      <c r="K5052">
        <v>5095.4892192029702</v>
      </c>
      <c r="L5052">
        <v>58.856000000000002</v>
      </c>
      <c r="M5052">
        <v>73.727000000000004</v>
      </c>
      <c r="N5052">
        <v>26.303000000000001</v>
      </c>
    </row>
    <row r="5053" spans="1:14" x14ac:dyDescent="0.45">
      <c r="A5053">
        <v>2004</v>
      </c>
      <c r="B5053" t="s">
        <v>91</v>
      </c>
      <c r="C5053">
        <v>0</v>
      </c>
      <c r="D5053">
        <v>0</v>
      </c>
      <c r="E5053">
        <v>1</v>
      </c>
      <c r="F5053">
        <v>0</v>
      </c>
      <c r="G5053">
        <v>0</v>
      </c>
      <c r="H5053">
        <v>0</v>
      </c>
      <c r="I5053">
        <v>0</v>
      </c>
      <c r="J5053">
        <v>4088.9451732847201</v>
      </c>
      <c r="K5053">
        <v>3451.6719145828301</v>
      </c>
      <c r="L5053">
        <v>55.183</v>
      </c>
      <c r="M5053">
        <v>51.939</v>
      </c>
      <c r="N5053">
        <v>125.813</v>
      </c>
    </row>
    <row r="5054" spans="1:14" x14ac:dyDescent="0.45">
      <c r="A5054">
        <v>2004</v>
      </c>
      <c r="B5054" t="s">
        <v>92</v>
      </c>
      <c r="C5054">
        <v>0</v>
      </c>
      <c r="D5054">
        <v>0</v>
      </c>
      <c r="E5054">
        <v>1</v>
      </c>
      <c r="F5054">
        <v>0</v>
      </c>
      <c r="G5054">
        <v>0</v>
      </c>
      <c r="H5054">
        <v>0</v>
      </c>
      <c r="I5054">
        <v>0</v>
      </c>
      <c r="J5054">
        <v>4222.96638689885</v>
      </c>
      <c r="K5054">
        <v>3315.9262680872998</v>
      </c>
      <c r="L5054">
        <v>52.06</v>
      </c>
      <c r="M5054">
        <v>54.578000000000003</v>
      </c>
      <c r="N5054">
        <v>131.28200000000001</v>
      </c>
    </row>
    <row r="5055" spans="1:14" x14ac:dyDescent="0.45">
      <c r="A5055">
        <v>2004</v>
      </c>
      <c r="B5055" t="s">
        <v>93</v>
      </c>
      <c r="C5055">
        <v>0</v>
      </c>
      <c r="D5055">
        <v>0</v>
      </c>
      <c r="E5055">
        <v>1</v>
      </c>
      <c r="F5055">
        <v>0</v>
      </c>
      <c r="G5055">
        <v>0</v>
      </c>
      <c r="H5055">
        <v>0</v>
      </c>
      <c r="I5055">
        <v>0</v>
      </c>
      <c r="J5055">
        <v>892.43529110777604</v>
      </c>
      <c r="K5055">
        <v>714.45202643895198</v>
      </c>
      <c r="L5055">
        <v>63</v>
      </c>
      <c r="M5055">
        <v>53.533999999999999</v>
      </c>
      <c r="N5055">
        <v>140.53100000000001</v>
      </c>
    </row>
    <row r="5056" spans="1:14" x14ac:dyDescent="0.45">
      <c r="A5056">
        <v>2004</v>
      </c>
      <c r="B5056" t="s">
        <v>94</v>
      </c>
      <c r="C5056">
        <v>0</v>
      </c>
      <c r="D5056">
        <v>0</v>
      </c>
      <c r="E5056">
        <v>1</v>
      </c>
      <c r="F5056">
        <v>0</v>
      </c>
      <c r="G5056">
        <v>0</v>
      </c>
      <c r="H5056">
        <v>0</v>
      </c>
      <c r="I5056">
        <v>0</v>
      </c>
      <c r="J5056">
        <v>7577.4459727415297</v>
      </c>
      <c r="K5056">
        <v>4568.02702132596</v>
      </c>
      <c r="L5056">
        <v>39.466999999999999</v>
      </c>
      <c r="M5056">
        <v>57.957000000000001</v>
      </c>
      <c r="N5056">
        <v>91.548000000000002</v>
      </c>
    </row>
    <row r="5057" spans="1:14" x14ac:dyDescent="0.45">
      <c r="A5057">
        <v>2004</v>
      </c>
      <c r="B5057" t="s">
        <v>95</v>
      </c>
      <c r="C5057">
        <v>0</v>
      </c>
      <c r="D5057">
        <v>1</v>
      </c>
      <c r="E5057">
        <v>0</v>
      </c>
      <c r="F5057">
        <v>1</v>
      </c>
      <c r="G5057">
        <v>0</v>
      </c>
      <c r="H5057">
        <v>0</v>
      </c>
      <c r="I5057">
        <v>0</v>
      </c>
      <c r="J5057">
        <v>11607.938493510501</v>
      </c>
      <c r="K5057">
        <v>9664.8796878327994</v>
      </c>
      <c r="L5057">
        <v>24.38</v>
      </c>
      <c r="M5057">
        <v>72.760000000000005</v>
      </c>
      <c r="N5057">
        <v>22.213000000000001</v>
      </c>
    </row>
    <row r="5058" spans="1:14" x14ac:dyDescent="0.45">
      <c r="A5058">
        <v>2004</v>
      </c>
      <c r="B5058" t="s">
        <v>96</v>
      </c>
      <c r="C5058">
        <v>0</v>
      </c>
      <c r="D5058">
        <v>0</v>
      </c>
      <c r="E5058">
        <v>1</v>
      </c>
      <c r="F5058">
        <v>0</v>
      </c>
      <c r="G5058">
        <v>0</v>
      </c>
      <c r="H5058">
        <v>0</v>
      </c>
      <c r="I5058">
        <v>0</v>
      </c>
      <c r="J5058">
        <v>2422.7213514853702</v>
      </c>
      <c r="K5058">
        <v>2505.4030682987</v>
      </c>
      <c r="L5058">
        <v>72.096999999999994</v>
      </c>
      <c r="M5058">
        <v>60.557000000000002</v>
      </c>
      <c r="N5058">
        <v>86.808999999999997</v>
      </c>
    </row>
    <row r="5059" spans="1:14" x14ac:dyDescent="0.45">
      <c r="A5059">
        <v>2004</v>
      </c>
      <c r="B5059" t="s">
        <v>97</v>
      </c>
      <c r="C5059">
        <v>0</v>
      </c>
      <c r="D5059">
        <v>0</v>
      </c>
      <c r="E5059">
        <v>1</v>
      </c>
      <c r="F5059">
        <v>1</v>
      </c>
      <c r="G5059">
        <v>0</v>
      </c>
      <c r="H5059">
        <v>0</v>
      </c>
      <c r="I5059">
        <v>0</v>
      </c>
      <c r="J5059">
        <v>5268.3031248570796</v>
      </c>
      <c r="K5059">
        <v>5077.1380385475004</v>
      </c>
      <c r="L5059">
        <v>43.154000000000003</v>
      </c>
      <c r="M5059">
        <v>70.498999999999995</v>
      </c>
      <c r="N5059">
        <v>28.053000000000001</v>
      </c>
    </row>
    <row r="5060" spans="1:14" x14ac:dyDescent="0.45">
      <c r="A5060">
        <v>2004</v>
      </c>
      <c r="B5060" t="s">
        <v>98</v>
      </c>
      <c r="C5060">
        <v>0</v>
      </c>
      <c r="D5060">
        <v>1</v>
      </c>
      <c r="E5060">
        <v>0</v>
      </c>
      <c r="F5060">
        <v>0</v>
      </c>
      <c r="G5060">
        <v>1</v>
      </c>
      <c r="H5060">
        <v>0</v>
      </c>
      <c r="I5060">
        <v>0</v>
      </c>
      <c r="J5060">
        <v>15323.289220156301</v>
      </c>
      <c r="K5060">
        <v>13719.77506955</v>
      </c>
      <c r="L5060">
        <v>35.612000000000002</v>
      </c>
      <c r="M5060">
        <v>78.512</v>
      </c>
      <c r="N5060">
        <v>11.667</v>
      </c>
    </row>
    <row r="5061" spans="1:14" x14ac:dyDescent="0.45">
      <c r="A5061">
        <v>2004</v>
      </c>
      <c r="B5061" t="s">
        <v>99</v>
      </c>
      <c r="C5061">
        <v>0</v>
      </c>
      <c r="D5061">
        <v>1</v>
      </c>
      <c r="E5061">
        <v>0</v>
      </c>
      <c r="F5061">
        <v>1</v>
      </c>
      <c r="G5061">
        <v>0</v>
      </c>
      <c r="H5061">
        <v>0</v>
      </c>
      <c r="I5061">
        <v>0</v>
      </c>
      <c r="L5061">
        <v>23.959</v>
      </c>
      <c r="M5061">
        <v>77.325999999999993</v>
      </c>
      <c r="N5061">
        <v>7.4039999999999999</v>
      </c>
    </row>
    <row r="5062" spans="1:14" x14ac:dyDescent="0.45">
      <c r="A5062">
        <v>2004</v>
      </c>
      <c r="B5062" t="s">
        <v>100</v>
      </c>
      <c r="C5062">
        <v>0</v>
      </c>
      <c r="D5062">
        <v>1</v>
      </c>
      <c r="E5062">
        <v>0</v>
      </c>
      <c r="F5062">
        <v>0</v>
      </c>
      <c r="G5062">
        <v>0</v>
      </c>
      <c r="H5062">
        <v>1</v>
      </c>
      <c r="I5062">
        <v>1</v>
      </c>
      <c r="J5062">
        <v>34288.739793239598</v>
      </c>
      <c r="K5062">
        <v>28052.043405528198</v>
      </c>
      <c r="L5062">
        <v>9.3450000000000006</v>
      </c>
      <c r="M5062">
        <v>73.734999999999999</v>
      </c>
      <c r="N5062">
        <v>16.591999999999999</v>
      </c>
    </row>
    <row r="5063" spans="1:14" x14ac:dyDescent="0.45">
      <c r="A5063">
        <v>2004</v>
      </c>
      <c r="B5063" t="s">
        <v>101</v>
      </c>
      <c r="C5063">
        <v>0</v>
      </c>
      <c r="D5063">
        <v>1</v>
      </c>
      <c r="E5063">
        <v>0</v>
      </c>
      <c r="F5063">
        <v>0</v>
      </c>
      <c r="G5063">
        <v>0</v>
      </c>
      <c r="H5063">
        <v>1</v>
      </c>
      <c r="I5063">
        <v>1</v>
      </c>
      <c r="L5063">
        <v>0</v>
      </c>
      <c r="M5063">
        <v>74.596000000000004</v>
      </c>
      <c r="N5063">
        <v>6.5540000000000003</v>
      </c>
    </row>
    <row r="5064" spans="1:14" x14ac:dyDescent="0.45">
      <c r="A5064">
        <v>2004</v>
      </c>
      <c r="B5064" t="s">
        <v>102</v>
      </c>
      <c r="C5064">
        <v>1</v>
      </c>
      <c r="D5064">
        <v>0</v>
      </c>
      <c r="E5064">
        <v>0</v>
      </c>
      <c r="F5064">
        <v>0</v>
      </c>
      <c r="G5064">
        <v>0</v>
      </c>
      <c r="H5064">
        <v>1</v>
      </c>
      <c r="I5064">
        <v>1</v>
      </c>
      <c r="J5064">
        <v>40021.07421875</v>
      </c>
      <c r="K5064">
        <v>35652.459892707397</v>
      </c>
      <c r="L5064">
        <v>31.59</v>
      </c>
      <c r="M5064">
        <v>79.007000000000005</v>
      </c>
      <c r="N5064">
        <v>4.9950000000000001</v>
      </c>
    </row>
    <row r="5065" spans="1:14" x14ac:dyDescent="0.45">
      <c r="A5065">
        <v>2004</v>
      </c>
      <c r="B5065" t="s">
        <v>103</v>
      </c>
      <c r="C5065">
        <v>1</v>
      </c>
      <c r="D5065">
        <v>0</v>
      </c>
      <c r="E5065">
        <v>0</v>
      </c>
      <c r="F5065">
        <v>0</v>
      </c>
      <c r="G5065">
        <v>1</v>
      </c>
      <c r="H5065">
        <v>0</v>
      </c>
      <c r="I5065">
        <v>0</v>
      </c>
      <c r="J5065">
        <v>33452.3408000614</v>
      </c>
      <c r="K5065">
        <v>27852.504018953699</v>
      </c>
      <c r="L5065">
        <v>26.329000000000001</v>
      </c>
      <c r="M5065">
        <v>75.941999999999993</v>
      </c>
      <c r="N5065">
        <v>4.6580000000000004</v>
      </c>
    </row>
    <row r="5066" spans="1:14" x14ac:dyDescent="0.45">
      <c r="A5066">
        <v>2004</v>
      </c>
      <c r="B5066" t="s">
        <v>104</v>
      </c>
      <c r="C5066">
        <v>1</v>
      </c>
      <c r="D5066">
        <v>0</v>
      </c>
      <c r="E5066">
        <v>0</v>
      </c>
      <c r="F5066">
        <v>0</v>
      </c>
      <c r="G5066">
        <v>0</v>
      </c>
      <c r="H5066">
        <v>1</v>
      </c>
      <c r="I5066">
        <v>1</v>
      </c>
      <c r="J5066">
        <v>50810.143103041199</v>
      </c>
      <c r="K5066">
        <v>44055.042958277001</v>
      </c>
      <c r="L5066">
        <v>24.221</v>
      </c>
      <c r="M5066">
        <v>79.119</v>
      </c>
      <c r="N5066">
        <v>4.9669999999999996</v>
      </c>
    </row>
    <row r="5067" spans="1:14" x14ac:dyDescent="0.45">
      <c r="A5067">
        <v>2004</v>
      </c>
      <c r="B5067" t="s">
        <v>105</v>
      </c>
      <c r="C5067">
        <v>0</v>
      </c>
      <c r="D5067">
        <v>0</v>
      </c>
      <c r="E5067">
        <v>0</v>
      </c>
      <c r="F5067">
        <v>1</v>
      </c>
      <c r="G5067">
        <v>0</v>
      </c>
      <c r="H5067">
        <v>0</v>
      </c>
      <c r="I5067">
        <v>0</v>
      </c>
      <c r="J5067">
        <v>3645.70775627087</v>
      </c>
      <c r="K5067">
        <v>3144.6083065930002</v>
      </c>
      <c r="L5067">
        <v>23.283999999999999</v>
      </c>
      <c r="M5067">
        <v>58.103000000000002</v>
      </c>
      <c r="N5067">
        <v>91.424999999999997</v>
      </c>
    </row>
    <row r="5068" spans="1:14" x14ac:dyDescent="0.45">
      <c r="A5068">
        <v>2004</v>
      </c>
      <c r="B5068" t="s">
        <v>106</v>
      </c>
      <c r="C5068">
        <v>0</v>
      </c>
      <c r="D5068">
        <v>1</v>
      </c>
      <c r="E5068">
        <v>0</v>
      </c>
      <c r="F5068">
        <v>0</v>
      </c>
      <c r="G5068">
        <v>1</v>
      </c>
      <c r="H5068">
        <v>0</v>
      </c>
      <c r="I5068">
        <v>0</v>
      </c>
      <c r="J5068">
        <v>14962.2456326016</v>
      </c>
      <c r="K5068">
        <v>11644.043437320001</v>
      </c>
      <c r="L5068">
        <v>33.701000000000001</v>
      </c>
      <c r="M5068">
        <v>71.986999999999995</v>
      </c>
      <c r="N5068">
        <v>19.321999999999999</v>
      </c>
    </row>
    <row r="5069" spans="1:14" x14ac:dyDescent="0.45">
      <c r="A5069">
        <v>2004</v>
      </c>
      <c r="B5069" t="s">
        <v>107</v>
      </c>
      <c r="C5069">
        <v>1</v>
      </c>
      <c r="D5069">
        <v>0</v>
      </c>
      <c r="E5069">
        <v>0</v>
      </c>
      <c r="F5069">
        <v>0</v>
      </c>
      <c r="G5069">
        <v>0</v>
      </c>
      <c r="H5069">
        <v>1</v>
      </c>
      <c r="I5069">
        <v>1</v>
      </c>
      <c r="J5069">
        <v>59401.2562936057</v>
      </c>
      <c r="K5069">
        <v>50202.798813312402</v>
      </c>
      <c r="L5069">
        <v>14.433999999999999</v>
      </c>
      <c r="M5069">
        <v>77.784999999999997</v>
      </c>
      <c r="N5069">
        <v>5.2569999999999997</v>
      </c>
    </row>
    <row r="5070" spans="1:14" x14ac:dyDescent="0.45">
      <c r="A5070">
        <v>2004</v>
      </c>
      <c r="B5070" t="s">
        <v>108</v>
      </c>
      <c r="C5070">
        <v>0</v>
      </c>
      <c r="D5070">
        <v>1</v>
      </c>
      <c r="E5070">
        <v>0</v>
      </c>
      <c r="F5070">
        <v>1</v>
      </c>
      <c r="G5070">
        <v>0</v>
      </c>
      <c r="H5070">
        <v>0</v>
      </c>
      <c r="I5070">
        <v>0</v>
      </c>
      <c r="J5070">
        <v>11131.2709216332</v>
      </c>
      <c r="K5070">
        <v>9615.4700691483195</v>
      </c>
      <c r="L5070">
        <v>33.997</v>
      </c>
      <c r="M5070">
        <v>70.73</v>
      </c>
      <c r="N5070">
        <v>38.92</v>
      </c>
    </row>
    <row r="5071" spans="1:14" x14ac:dyDescent="0.45">
      <c r="A5071">
        <v>2004</v>
      </c>
      <c r="B5071" t="s">
        <v>109</v>
      </c>
      <c r="C5071">
        <v>0</v>
      </c>
      <c r="D5071">
        <v>0</v>
      </c>
      <c r="E5071">
        <v>0</v>
      </c>
      <c r="F5071">
        <v>1</v>
      </c>
      <c r="G5071">
        <v>0</v>
      </c>
      <c r="H5071">
        <v>0</v>
      </c>
      <c r="I5071">
        <v>0</v>
      </c>
      <c r="J5071">
        <v>13226.7650481165</v>
      </c>
      <c r="K5071">
        <v>11568.5800452477</v>
      </c>
      <c r="L5071">
        <v>36.939</v>
      </c>
      <c r="M5071">
        <v>72.536000000000001</v>
      </c>
      <c r="N5071">
        <v>35.338000000000001</v>
      </c>
    </row>
    <row r="5072" spans="1:14" x14ac:dyDescent="0.45">
      <c r="A5072">
        <v>2004</v>
      </c>
      <c r="B5072" t="s">
        <v>110</v>
      </c>
      <c r="C5072">
        <v>0</v>
      </c>
      <c r="D5072">
        <v>1</v>
      </c>
      <c r="E5072">
        <v>0</v>
      </c>
      <c r="F5072">
        <v>1</v>
      </c>
      <c r="G5072">
        <v>0</v>
      </c>
      <c r="H5072">
        <v>0</v>
      </c>
      <c r="I5072">
        <v>0</v>
      </c>
      <c r="J5072">
        <v>10290.6634264766</v>
      </c>
      <c r="K5072">
        <v>8559.2364205202502</v>
      </c>
      <c r="L5072">
        <v>38.485999999999997</v>
      </c>
      <c r="M5072">
        <v>73.867999999999995</v>
      </c>
      <c r="N5072">
        <v>24.462</v>
      </c>
    </row>
    <row r="5073" spans="1:14" x14ac:dyDescent="0.45">
      <c r="A5073">
        <v>2004</v>
      </c>
      <c r="B5073" t="s">
        <v>111</v>
      </c>
      <c r="C5073">
        <v>0</v>
      </c>
      <c r="D5073">
        <v>0</v>
      </c>
      <c r="E5073">
        <v>0</v>
      </c>
      <c r="F5073">
        <v>1</v>
      </c>
      <c r="G5073">
        <v>0</v>
      </c>
      <c r="H5073">
        <v>0</v>
      </c>
      <c r="I5073">
        <v>0</v>
      </c>
      <c r="J5073">
        <v>10451.8217511537</v>
      </c>
      <c r="K5073">
        <v>8294.3896428729695</v>
      </c>
      <c r="L5073">
        <v>57.018999999999998</v>
      </c>
      <c r="M5073">
        <v>68.210999999999999</v>
      </c>
      <c r="N5073">
        <v>37.697000000000003</v>
      </c>
    </row>
    <row r="5074" spans="1:14" x14ac:dyDescent="0.45">
      <c r="A5074">
        <v>2004</v>
      </c>
      <c r="B5074" t="s">
        <v>112</v>
      </c>
      <c r="C5074">
        <v>0</v>
      </c>
      <c r="D5074">
        <v>0</v>
      </c>
      <c r="E5074">
        <v>1</v>
      </c>
      <c r="F5074">
        <v>0</v>
      </c>
      <c r="G5074">
        <v>0</v>
      </c>
      <c r="H5074">
        <v>0</v>
      </c>
      <c r="I5074">
        <v>0</v>
      </c>
      <c r="L5074">
        <v>69.835999999999999</v>
      </c>
      <c r="M5074">
        <v>60.063000000000002</v>
      </c>
      <c r="N5074">
        <v>71.010000000000005</v>
      </c>
    </row>
    <row r="5075" spans="1:14" x14ac:dyDescent="0.45">
      <c r="A5075">
        <v>2004</v>
      </c>
      <c r="B5075" t="s">
        <v>113</v>
      </c>
      <c r="C5075">
        <v>1</v>
      </c>
      <c r="D5075">
        <v>0</v>
      </c>
      <c r="E5075">
        <v>0</v>
      </c>
      <c r="F5075">
        <v>0</v>
      </c>
      <c r="G5075">
        <v>0</v>
      </c>
      <c r="H5075">
        <v>1</v>
      </c>
      <c r="I5075">
        <v>1</v>
      </c>
      <c r="J5075">
        <v>42793.390232600599</v>
      </c>
      <c r="K5075">
        <v>37659.321542410202</v>
      </c>
      <c r="L5075">
        <v>22.978000000000002</v>
      </c>
      <c r="M5075">
        <v>80.328000000000003</v>
      </c>
      <c r="N5075">
        <v>4.8330000000000002</v>
      </c>
    </row>
    <row r="5076" spans="1:14" x14ac:dyDescent="0.45">
      <c r="A5076">
        <v>2004</v>
      </c>
      <c r="B5076" t="s">
        <v>114</v>
      </c>
      <c r="C5076">
        <v>1</v>
      </c>
      <c r="D5076">
        <v>0</v>
      </c>
      <c r="E5076">
        <v>0</v>
      </c>
      <c r="F5076">
        <v>0</v>
      </c>
      <c r="G5076">
        <v>1</v>
      </c>
      <c r="H5076">
        <v>0</v>
      </c>
      <c r="I5076">
        <v>0</v>
      </c>
      <c r="J5076">
        <v>27665.306825408901</v>
      </c>
      <c r="K5076">
        <v>23471.4088481955</v>
      </c>
      <c r="L5076">
        <v>31.138000000000002</v>
      </c>
      <c r="M5076">
        <v>72.375</v>
      </c>
      <c r="N5076">
        <v>7.9429999999999996</v>
      </c>
    </row>
    <row r="5077" spans="1:14" x14ac:dyDescent="0.45">
      <c r="A5077">
        <v>2004</v>
      </c>
      <c r="B5077" t="s">
        <v>115</v>
      </c>
      <c r="C5077">
        <v>0</v>
      </c>
      <c r="D5077">
        <v>0</v>
      </c>
      <c r="E5077">
        <v>1</v>
      </c>
      <c r="F5077">
        <v>0</v>
      </c>
      <c r="G5077">
        <v>0</v>
      </c>
      <c r="H5077">
        <v>0</v>
      </c>
      <c r="I5077">
        <v>0</v>
      </c>
      <c r="J5077">
        <v>877.11449498938305</v>
      </c>
      <c r="K5077">
        <v>791.06114526230601</v>
      </c>
      <c r="L5077">
        <v>84.495999999999995</v>
      </c>
      <c r="M5077">
        <v>53.734999999999999</v>
      </c>
      <c r="N5077">
        <v>115.399</v>
      </c>
    </row>
    <row r="5078" spans="1:14" x14ac:dyDescent="0.45">
      <c r="A5078">
        <v>2004</v>
      </c>
      <c r="B5078" t="s">
        <v>116</v>
      </c>
      <c r="C5078">
        <v>1</v>
      </c>
      <c r="D5078">
        <v>0</v>
      </c>
      <c r="E5078">
        <v>0</v>
      </c>
      <c r="F5078">
        <v>0</v>
      </c>
      <c r="G5078">
        <v>0</v>
      </c>
      <c r="H5078">
        <v>1</v>
      </c>
      <c r="I5078">
        <v>1</v>
      </c>
      <c r="J5078">
        <v>51494.705860401002</v>
      </c>
      <c r="K5078">
        <v>43290.714118529802</v>
      </c>
      <c r="L5078">
        <v>17.228000000000002</v>
      </c>
      <c r="M5078">
        <v>78.846000000000004</v>
      </c>
      <c r="N5078">
        <v>4.17</v>
      </c>
    </row>
    <row r="5079" spans="1:14" x14ac:dyDescent="0.45">
      <c r="A5079">
        <v>2004</v>
      </c>
      <c r="B5079" t="s">
        <v>117</v>
      </c>
      <c r="C5079">
        <v>0</v>
      </c>
      <c r="D5079">
        <v>0</v>
      </c>
      <c r="E5079">
        <v>0</v>
      </c>
      <c r="F5079">
        <v>1</v>
      </c>
      <c r="G5079">
        <v>0</v>
      </c>
      <c r="H5079">
        <v>0</v>
      </c>
      <c r="I5079">
        <v>0</v>
      </c>
      <c r="J5079">
        <v>10148.8778423941</v>
      </c>
      <c r="K5079">
        <v>9938.8234509570902</v>
      </c>
      <c r="L5079">
        <v>50.521000000000001</v>
      </c>
      <c r="M5079">
        <v>65.840999999999994</v>
      </c>
      <c r="N5079">
        <v>23.263000000000002</v>
      </c>
    </row>
    <row r="5080" spans="1:14" x14ac:dyDescent="0.45">
      <c r="A5080">
        <v>2004</v>
      </c>
      <c r="B5080" t="s">
        <v>118</v>
      </c>
      <c r="C5080">
        <v>1</v>
      </c>
      <c r="D5080">
        <v>0</v>
      </c>
      <c r="E5080">
        <v>0</v>
      </c>
      <c r="F5080">
        <v>0</v>
      </c>
      <c r="G5080">
        <v>0</v>
      </c>
      <c r="H5080">
        <v>1</v>
      </c>
      <c r="I5080">
        <v>1</v>
      </c>
      <c r="J5080">
        <v>47720.441335110299</v>
      </c>
      <c r="K5080">
        <v>39841.738624083097</v>
      </c>
      <c r="L5080">
        <v>23.117000000000001</v>
      </c>
      <c r="M5080">
        <v>80.335999999999999</v>
      </c>
      <c r="N5080">
        <v>4.8659999999999997</v>
      </c>
    </row>
    <row r="5081" spans="1:14" x14ac:dyDescent="0.45">
      <c r="A5081">
        <v>2004</v>
      </c>
      <c r="B5081" t="s">
        <v>119</v>
      </c>
      <c r="C5081">
        <v>1</v>
      </c>
      <c r="D5081">
        <v>0</v>
      </c>
      <c r="E5081">
        <v>0</v>
      </c>
      <c r="F5081">
        <v>0</v>
      </c>
      <c r="G5081">
        <v>0</v>
      </c>
      <c r="H5081">
        <v>1</v>
      </c>
      <c r="I5081">
        <v>1</v>
      </c>
      <c r="L5081">
        <v>60.753</v>
      </c>
      <c r="M5081">
        <v>78.376000000000005</v>
      </c>
      <c r="N5081">
        <v>8.9649999999999999</v>
      </c>
    </row>
    <row r="5082" spans="1:14" x14ac:dyDescent="0.45">
      <c r="A5082">
        <v>2004</v>
      </c>
      <c r="B5082" t="s">
        <v>120</v>
      </c>
      <c r="C5082">
        <v>0</v>
      </c>
      <c r="D5082">
        <v>0</v>
      </c>
      <c r="E5082">
        <v>0</v>
      </c>
      <c r="F5082">
        <v>1</v>
      </c>
      <c r="G5082">
        <v>0</v>
      </c>
      <c r="H5082">
        <v>0</v>
      </c>
      <c r="I5082">
        <v>0</v>
      </c>
      <c r="J5082">
        <v>3656.0538433581801</v>
      </c>
      <c r="K5082">
        <v>3309.2332294095399</v>
      </c>
      <c r="L5082">
        <v>77.67</v>
      </c>
      <c r="M5082">
        <v>64.897999999999996</v>
      </c>
      <c r="N5082">
        <v>35.792000000000002</v>
      </c>
    </row>
    <row r="5083" spans="1:14" x14ac:dyDescent="0.45">
      <c r="A5083">
        <v>2004</v>
      </c>
      <c r="B5083" t="s">
        <v>121</v>
      </c>
      <c r="C5083">
        <v>0</v>
      </c>
      <c r="D5083">
        <v>0</v>
      </c>
      <c r="E5083">
        <v>1</v>
      </c>
      <c r="F5083">
        <v>0</v>
      </c>
      <c r="G5083">
        <v>1</v>
      </c>
      <c r="H5083">
        <v>0</v>
      </c>
      <c r="I5083">
        <v>0</v>
      </c>
      <c r="J5083">
        <v>20438.930706659299</v>
      </c>
      <c r="K5083">
        <v>15464.9108538685</v>
      </c>
      <c r="L5083">
        <v>18.222000000000001</v>
      </c>
      <c r="M5083">
        <v>62.694000000000003</v>
      </c>
      <c r="N5083">
        <v>75.688999999999993</v>
      </c>
    </row>
    <row r="5084" spans="1:14" x14ac:dyDescent="0.45">
      <c r="A5084">
        <v>2004</v>
      </c>
      <c r="B5084" t="s">
        <v>122</v>
      </c>
      <c r="C5084">
        <v>1</v>
      </c>
      <c r="D5084">
        <v>0</v>
      </c>
      <c r="E5084">
        <v>0</v>
      </c>
      <c r="F5084">
        <v>0</v>
      </c>
      <c r="G5084">
        <v>0</v>
      </c>
      <c r="H5084">
        <v>1</v>
      </c>
      <c r="I5084">
        <v>1</v>
      </c>
      <c r="J5084">
        <v>46853.792550293103</v>
      </c>
      <c r="K5084">
        <v>40365.955245553603</v>
      </c>
      <c r="L5084">
        <v>20.370999999999999</v>
      </c>
      <c r="M5084">
        <v>78.900000000000006</v>
      </c>
      <c r="N5084">
        <v>5.9820000000000002</v>
      </c>
    </row>
    <row r="5085" spans="1:14" x14ac:dyDescent="0.45">
      <c r="A5085">
        <v>2004</v>
      </c>
      <c r="B5085" t="s">
        <v>123</v>
      </c>
      <c r="C5085">
        <v>1</v>
      </c>
      <c r="D5085">
        <v>0</v>
      </c>
      <c r="E5085">
        <v>0</v>
      </c>
      <c r="F5085">
        <v>1</v>
      </c>
      <c r="G5085">
        <v>0</v>
      </c>
      <c r="H5085">
        <v>0</v>
      </c>
      <c r="I5085">
        <v>0</v>
      </c>
      <c r="J5085">
        <v>7693.9152539206698</v>
      </c>
      <c r="K5085">
        <v>6500.4788194979401</v>
      </c>
      <c r="L5085">
        <v>46.781999999999996</v>
      </c>
      <c r="M5085">
        <v>71.010999999999996</v>
      </c>
      <c r="N5085">
        <v>25.736000000000001</v>
      </c>
    </row>
    <row r="5086" spans="1:14" x14ac:dyDescent="0.45">
      <c r="A5086">
        <v>2004</v>
      </c>
      <c r="B5086" t="s">
        <v>124</v>
      </c>
      <c r="C5086">
        <v>0</v>
      </c>
      <c r="D5086">
        <v>0</v>
      </c>
      <c r="E5086">
        <v>1</v>
      </c>
      <c r="F5086">
        <v>0</v>
      </c>
      <c r="G5086">
        <v>0</v>
      </c>
      <c r="H5086">
        <v>0</v>
      </c>
      <c r="I5086">
        <v>0</v>
      </c>
      <c r="J5086">
        <v>3607.3652228502101</v>
      </c>
      <c r="K5086">
        <v>3112.22810787771</v>
      </c>
      <c r="L5086">
        <v>53.37</v>
      </c>
      <c r="M5086">
        <v>59.316000000000003</v>
      </c>
      <c r="N5086">
        <v>86.376999999999995</v>
      </c>
    </row>
    <row r="5087" spans="1:14" x14ac:dyDescent="0.45">
      <c r="A5087">
        <v>2004</v>
      </c>
      <c r="B5087" t="s">
        <v>125</v>
      </c>
      <c r="C5087">
        <v>1</v>
      </c>
      <c r="D5087">
        <v>0</v>
      </c>
      <c r="E5087">
        <v>0</v>
      </c>
      <c r="F5087">
        <v>0</v>
      </c>
      <c r="G5087">
        <v>0</v>
      </c>
      <c r="H5087">
        <v>1</v>
      </c>
      <c r="I5087">
        <v>1</v>
      </c>
      <c r="L5087">
        <v>0</v>
      </c>
      <c r="M5087">
        <v>80.855999999999995</v>
      </c>
      <c r="N5087">
        <v>13.888999999999999</v>
      </c>
    </row>
    <row r="5088" spans="1:14" x14ac:dyDescent="0.45">
      <c r="A5088">
        <v>2004</v>
      </c>
      <c r="B5088" t="s">
        <v>126</v>
      </c>
      <c r="C5088">
        <v>0</v>
      </c>
      <c r="D5088">
        <v>0</v>
      </c>
      <c r="E5088">
        <v>1</v>
      </c>
      <c r="F5088">
        <v>0</v>
      </c>
      <c r="G5088">
        <v>0</v>
      </c>
      <c r="H5088">
        <v>0</v>
      </c>
      <c r="I5088">
        <v>0</v>
      </c>
      <c r="J5088">
        <v>2477.50282602363</v>
      </c>
      <c r="K5088">
        <v>1997.5258263077201</v>
      </c>
      <c r="L5088">
        <v>68.022999999999996</v>
      </c>
      <c r="M5088">
        <v>53.975000000000001</v>
      </c>
      <c r="N5088">
        <v>143.626</v>
      </c>
    </row>
    <row r="5089" spans="1:14" x14ac:dyDescent="0.45">
      <c r="A5089">
        <v>2004</v>
      </c>
      <c r="B5089" t="s">
        <v>127</v>
      </c>
      <c r="C5089">
        <v>0</v>
      </c>
      <c r="D5089">
        <v>0</v>
      </c>
      <c r="E5089">
        <v>1</v>
      </c>
      <c r="F5089">
        <v>0</v>
      </c>
      <c r="G5089">
        <v>0</v>
      </c>
      <c r="H5089">
        <v>0</v>
      </c>
      <c r="I5089">
        <v>0</v>
      </c>
      <c r="J5089">
        <v>2794.19352609118</v>
      </c>
      <c r="K5089">
        <v>2249.0378893535599</v>
      </c>
      <c r="L5089">
        <v>48.712000000000003</v>
      </c>
      <c r="M5089">
        <v>58.749000000000002</v>
      </c>
      <c r="N5089">
        <v>95.337999999999994</v>
      </c>
    </row>
    <row r="5090" spans="1:14" x14ac:dyDescent="0.45">
      <c r="A5090">
        <v>2004</v>
      </c>
      <c r="B5090" t="s">
        <v>128</v>
      </c>
      <c r="C5090">
        <v>0</v>
      </c>
      <c r="D5090">
        <v>0</v>
      </c>
      <c r="E5090">
        <v>1</v>
      </c>
      <c r="F5090">
        <v>0</v>
      </c>
      <c r="G5090">
        <v>0</v>
      </c>
      <c r="H5090">
        <v>0</v>
      </c>
      <c r="I5090">
        <v>0</v>
      </c>
      <c r="J5090">
        <v>1955.6943349769499</v>
      </c>
      <c r="K5090">
        <v>1759.3395898804399</v>
      </c>
      <c r="L5090">
        <v>62.228000000000002</v>
      </c>
      <c r="M5090">
        <v>52.8</v>
      </c>
      <c r="N5090">
        <v>150.041</v>
      </c>
    </row>
    <row r="5091" spans="1:14" x14ac:dyDescent="0.45">
      <c r="A5091">
        <v>2004</v>
      </c>
      <c r="B5091" t="s">
        <v>129</v>
      </c>
      <c r="C5091">
        <v>0</v>
      </c>
      <c r="D5091">
        <v>0</v>
      </c>
      <c r="E5091">
        <v>1</v>
      </c>
      <c r="F5091">
        <v>0</v>
      </c>
      <c r="G5091">
        <v>1</v>
      </c>
      <c r="H5091">
        <v>0</v>
      </c>
      <c r="I5091">
        <v>0</v>
      </c>
      <c r="J5091">
        <v>28225.985816122</v>
      </c>
      <c r="K5091">
        <v>23385.589369830501</v>
      </c>
      <c r="L5091">
        <v>43.966999999999999</v>
      </c>
      <c r="M5091">
        <v>55.307000000000002</v>
      </c>
      <c r="N5091">
        <v>137.49</v>
      </c>
    </row>
    <row r="5092" spans="1:14" x14ac:dyDescent="0.45">
      <c r="A5092">
        <v>2004</v>
      </c>
      <c r="B5092" t="s">
        <v>130</v>
      </c>
      <c r="C5092">
        <v>1</v>
      </c>
      <c r="D5092">
        <v>0</v>
      </c>
      <c r="E5092">
        <v>0</v>
      </c>
      <c r="F5092">
        <v>0</v>
      </c>
      <c r="G5092">
        <v>0</v>
      </c>
      <c r="H5092">
        <v>1</v>
      </c>
      <c r="I5092">
        <v>1</v>
      </c>
      <c r="J5092">
        <v>37811.491366448303</v>
      </c>
      <c r="K5092">
        <v>33848.624445108399</v>
      </c>
      <c r="L5092">
        <v>25.927</v>
      </c>
      <c r="M5092">
        <v>79.349999999999994</v>
      </c>
      <c r="N5092">
        <v>4.9820000000000002</v>
      </c>
    </row>
    <row r="5093" spans="1:14" x14ac:dyDescent="0.45">
      <c r="A5093">
        <v>2004</v>
      </c>
      <c r="B5093" t="s">
        <v>131</v>
      </c>
      <c r="C5093">
        <v>0</v>
      </c>
      <c r="D5093">
        <v>1</v>
      </c>
      <c r="E5093">
        <v>0</v>
      </c>
      <c r="F5093">
        <v>0</v>
      </c>
      <c r="G5093">
        <v>1</v>
      </c>
      <c r="H5093">
        <v>0</v>
      </c>
      <c r="I5093">
        <v>0</v>
      </c>
      <c r="J5093">
        <v>12601.071490127701</v>
      </c>
      <c r="K5093">
        <v>11627.0725795137</v>
      </c>
      <c r="L5093">
        <v>64.099000000000004</v>
      </c>
      <c r="M5093">
        <v>72.447000000000003</v>
      </c>
      <c r="N5093">
        <v>18.954999999999998</v>
      </c>
    </row>
    <row r="5094" spans="1:14" x14ac:dyDescent="0.45">
      <c r="A5094">
        <v>2004</v>
      </c>
      <c r="B5094" t="s">
        <v>132</v>
      </c>
      <c r="C5094">
        <v>1</v>
      </c>
      <c r="D5094">
        <v>0</v>
      </c>
      <c r="E5094">
        <v>0</v>
      </c>
      <c r="F5094">
        <v>0</v>
      </c>
      <c r="G5094">
        <v>0</v>
      </c>
      <c r="H5094">
        <v>1</v>
      </c>
      <c r="I5094">
        <v>1</v>
      </c>
      <c r="J5094">
        <v>49742.058226672598</v>
      </c>
      <c r="K5094">
        <v>45024.927825594801</v>
      </c>
      <c r="L5094">
        <v>17.420000000000002</v>
      </c>
      <c r="M5094">
        <v>67.546000000000006</v>
      </c>
      <c r="N5094">
        <v>15.587</v>
      </c>
    </row>
    <row r="5095" spans="1:14" x14ac:dyDescent="0.45">
      <c r="A5095">
        <v>2004</v>
      </c>
      <c r="B5095" t="s">
        <v>133</v>
      </c>
      <c r="C5095">
        <v>0</v>
      </c>
      <c r="D5095">
        <v>1</v>
      </c>
      <c r="E5095">
        <v>0</v>
      </c>
      <c r="F5095">
        <v>1</v>
      </c>
      <c r="G5095">
        <v>0</v>
      </c>
      <c r="H5095">
        <v>0</v>
      </c>
      <c r="I5095">
        <v>0</v>
      </c>
      <c r="J5095">
        <v>9003.8569339019195</v>
      </c>
      <c r="K5095">
        <v>7821.4313621567298</v>
      </c>
      <c r="L5095">
        <v>53.384</v>
      </c>
      <c r="M5095">
        <v>68.245000000000005</v>
      </c>
      <c r="N5095">
        <v>44.326000000000001</v>
      </c>
    </row>
    <row r="5096" spans="1:14" x14ac:dyDescent="0.45">
      <c r="A5096">
        <v>2004</v>
      </c>
      <c r="B5096" t="s">
        <v>134</v>
      </c>
      <c r="C5096">
        <v>0</v>
      </c>
      <c r="D5096">
        <v>0</v>
      </c>
      <c r="E5096">
        <v>0</v>
      </c>
      <c r="F5096">
        <v>0</v>
      </c>
      <c r="G5096">
        <v>0</v>
      </c>
      <c r="H5096">
        <v>1</v>
      </c>
      <c r="I5096">
        <v>1</v>
      </c>
      <c r="L5096">
        <v>6.4659999999999904</v>
      </c>
      <c r="M5096">
        <v>76.114000000000004</v>
      </c>
      <c r="N5096">
        <v>12.407</v>
      </c>
    </row>
    <row r="5097" spans="1:14" x14ac:dyDescent="0.45">
      <c r="A5097">
        <v>2004</v>
      </c>
      <c r="B5097" t="s">
        <v>135</v>
      </c>
      <c r="C5097">
        <v>0</v>
      </c>
      <c r="D5097">
        <v>1</v>
      </c>
      <c r="E5097">
        <v>0</v>
      </c>
      <c r="F5097">
        <v>1</v>
      </c>
      <c r="G5097">
        <v>0</v>
      </c>
      <c r="H5097">
        <v>0</v>
      </c>
      <c r="I5097">
        <v>0</v>
      </c>
      <c r="J5097">
        <v>8404.2001629707993</v>
      </c>
      <c r="K5097">
        <v>8037.6017100363497</v>
      </c>
      <c r="L5097">
        <v>71.936000000000007</v>
      </c>
      <c r="M5097">
        <v>64.213999999999999</v>
      </c>
      <c r="N5097">
        <v>42.280999999999999</v>
      </c>
    </row>
    <row r="5098" spans="1:14" x14ac:dyDescent="0.45">
      <c r="A5098">
        <v>2004</v>
      </c>
      <c r="B5098" t="s">
        <v>136</v>
      </c>
      <c r="C5098">
        <v>0</v>
      </c>
      <c r="D5098">
        <v>0</v>
      </c>
      <c r="E5098">
        <v>0</v>
      </c>
      <c r="F5098">
        <v>0</v>
      </c>
      <c r="G5098">
        <v>0</v>
      </c>
      <c r="H5098">
        <v>1</v>
      </c>
      <c r="I5098">
        <v>1</v>
      </c>
      <c r="J5098">
        <v>44836.204761952002</v>
      </c>
      <c r="K5098">
        <v>40464.8293878654</v>
      </c>
      <c r="L5098">
        <v>0</v>
      </c>
      <c r="M5098">
        <v>81.454999999999998</v>
      </c>
      <c r="N5098">
        <v>3.6829999999999998</v>
      </c>
    </row>
    <row r="5099" spans="1:14" x14ac:dyDescent="0.45">
      <c r="A5099">
        <v>2004</v>
      </c>
      <c r="B5099" t="s">
        <v>137</v>
      </c>
      <c r="C5099">
        <v>0</v>
      </c>
      <c r="D5099">
        <v>1</v>
      </c>
      <c r="E5099">
        <v>0</v>
      </c>
      <c r="F5099">
        <v>1</v>
      </c>
      <c r="G5099">
        <v>0</v>
      </c>
      <c r="H5099">
        <v>0</v>
      </c>
      <c r="I5099">
        <v>0</v>
      </c>
      <c r="J5099">
        <v>4885.3425834342197</v>
      </c>
      <c r="K5099">
        <v>4501.7358713522899</v>
      </c>
      <c r="L5099">
        <v>52.073</v>
      </c>
      <c r="M5099">
        <v>69.05</v>
      </c>
      <c r="N5099">
        <v>31.268000000000001</v>
      </c>
    </row>
    <row r="5100" spans="1:14" x14ac:dyDescent="0.45">
      <c r="A5100">
        <v>2004</v>
      </c>
      <c r="B5100" t="s">
        <v>138</v>
      </c>
      <c r="C5100">
        <v>1</v>
      </c>
      <c r="D5100">
        <v>0</v>
      </c>
      <c r="E5100">
        <v>0</v>
      </c>
      <c r="F5100">
        <v>0</v>
      </c>
      <c r="G5100">
        <v>1</v>
      </c>
      <c r="H5100">
        <v>0</v>
      </c>
      <c r="I5100">
        <v>0</v>
      </c>
      <c r="J5100">
        <v>26529.2440630194</v>
      </c>
      <c r="K5100">
        <v>22879.062565160199</v>
      </c>
      <c r="L5100">
        <v>45.853000000000002</v>
      </c>
      <c r="M5100">
        <v>75.266000000000005</v>
      </c>
      <c r="N5100">
        <v>7.141</v>
      </c>
    </row>
    <row r="5101" spans="1:14" x14ac:dyDescent="0.45">
      <c r="A5101">
        <v>2004</v>
      </c>
      <c r="B5101" t="s">
        <v>139</v>
      </c>
      <c r="C5101">
        <v>0</v>
      </c>
      <c r="D5101">
        <v>1</v>
      </c>
      <c r="E5101">
        <v>0</v>
      </c>
      <c r="F5101">
        <v>0</v>
      </c>
      <c r="G5101">
        <v>0</v>
      </c>
      <c r="H5101">
        <v>0</v>
      </c>
      <c r="I5101">
        <v>0</v>
      </c>
      <c r="J5101">
        <v>3120.8441095820699</v>
      </c>
      <c r="K5101">
        <v>2999.6172916200799</v>
      </c>
      <c r="L5101">
        <v>58.320999999999998</v>
      </c>
      <c r="M5101">
        <v>58.517000000000003</v>
      </c>
      <c r="N5101">
        <v>100.816</v>
      </c>
    </row>
    <row r="5102" spans="1:14" x14ac:dyDescent="0.45">
      <c r="A5102">
        <v>2004</v>
      </c>
      <c r="B5102" t="s">
        <v>140</v>
      </c>
      <c r="C5102">
        <v>1</v>
      </c>
      <c r="D5102">
        <v>0</v>
      </c>
      <c r="E5102">
        <v>0</v>
      </c>
      <c r="F5102">
        <v>0</v>
      </c>
      <c r="G5102">
        <v>1</v>
      </c>
      <c r="H5102">
        <v>0</v>
      </c>
      <c r="I5102">
        <v>0</v>
      </c>
      <c r="J5102">
        <v>26568.118861864001</v>
      </c>
      <c r="K5102">
        <v>23151.923184276799</v>
      </c>
      <c r="L5102">
        <v>34.103999999999999</v>
      </c>
      <c r="M5102">
        <v>72.906000000000006</v>
      </c>
      <c r="N5102">
        <v>7.8710000000000004</v>
      </c>
    </row>
    <row r="5103" spans="1:14" x14ac:dyDescent="0.45">
      <c r="A5103">
        <v>2004</v>
      </c>
      <c r="B5103" t="s">
        <v>141</v>
      </c>
      <c r="C5103">
        <v>0</v>
      </c>
      <c r="D5103">
        <v>0</v>
      </c>
      <c r="E5103">
        <v>0</v>
      </c>
      <c r="F5103">
        <v>1</v>
      </c>
      <c r="G5103">
        <v>0</v>
      </c>
      <c r="H5103">
        <v>0</v>
      </c>
      <c r="I5103">
        <v>0</v>
      </c>
      <c r="J5103">
        <v>6843.5465497236401</v>
      </c>
      <c r="K5103">
        <v>6212.8616331584899</v>
      </c>
      <c r="L5103">
        <v>54.850999999999999</v>
      </c>
      <c r="M5103">
        <v>65.521000000000001</v>
      </c>
      <c r="N5103">
        <v>49.567999999999998</v>
      </c>
    </row>
    <row r="5104" spans="1:14" x14ac:dyDescent="0.45">
      <c r="A5104">
        <v>2004</v>
      </c>
      <c r="B5104" t="s">
        <v>142</v>
      </c>
      <c r="C5104">
        <v>1</v>
      </c>
      <c r="D5104">
        <v>0</v>
      </c>
      <c r="E5104">
        <v>0</v>
      </c>
      <c r="F5104">
        <v>0</v>
      </c>
      <c r="G5104">
        <v>0</v>
      </c>
      <c r="H5104">
        <v>1</v>
      </c>
      <c r="I5104">
        <v>1</v>
      </c>
      <c r="L5104">
        <v>48.113</v>
      </c>
      <c r="M5104">
        <v>76.876000000000005</v>
      </c>
      <c r="N5104">
        <v>19.885000000000002</v>
      </c>
    </row>
    <row r="5105" spans="1:14" x14ac:dyDescent="0.45">
      <c r="A5105">
        <v>2004</v>
      </c>
      <c r="B5105" t="s">
        <v>143</v>
      </c>
      <c r="C5105">
        <v>0</v>
      </c>
      <c r="D5105">
        <v>0</v>
      </c>
      <c r="E5105">
        <v>0</v>
      </c>
      <c r="F5105">
        <v>0</v>
      </c>
      <c r="G5105">
        <v>0</v>
      </c>
      <c r="H5105">
        <v>0</v>
      </c>
      <c r="I5105">
        <v>0</v>
      </c>
      <c r="J5105">
        <v>3656.1262065209798</v>
      </c>
      <c r="K5105">
        <v>3066.3394762847201</v>
      </c>
      <c r="L5105">
        <v>71.096999999999994</v>
      </c>
      <c r="M5105">
        <v>64.483999999999995</v>
      </c>
      <c r="N5105">
        <v>77.353999999999999</v>
      </c>
    </row>
    <row r="5106" spans="1:14" x14ac:dyDescent="0.45">
      <c r="A5106">
        <v>2004</v>
      </c>
      <c r="B5106" t="s">
        <v>144</v>
      </c>
      <c r="C5106">
        <v>1</v>
      </c>
      <c r="D5106">
        <v>0</v>
      </c>
      <c r="E5106">
        <v>0</v>
      </c>
      <c r="F5106">
        <v>0</v>
      </c>
      <c r="G5106">
        <v>0</v>
      </c>
      <c r="H5106">
        <v>1</v>
      </c>
      <c r="I5106">
        <v>1</v>
      </c>
      <c r="J5106">
        <v>61638.328959224302</v>
      </c>
      <c r="K5106">
        <v>56673.227660832599</v>
      </c>
      <c r="L5106">
        <v>39.798000000000002</v>
      </c>
      <c r="M5106">
        <v>78.503</v>
      </c>
      <c r="N5106">
        <v>5.4660000000000002</v>
      </c>
    </row>
    <row r="5107" spans="1:14" x14ac:dyDescent="0.45">
      <c r="A5107">
        <v>2004</v>
      </c>
      <c r="B5107" t="s">
        <v>145</v>
      </c>
      <c r="C5107">
        <v>0</v>
      </c>
      <c r="D5107">
        <v>0</v>
      </c>
      <c r="E5107">
        <v>0</v>
      </c>
      <c r="F5107">
        <v>1</v>
      </c>
      <c r="G5107">
        <v>0</v>
      </c>
      <c r="H5107">
        <v>0</v>
      </c>
      <c r="I5107">
        <v>0</v>
      </c>
      <c r="J5107">
        <v>12935.7859087138</v>
      </c>
      <c r="K5107">
        <v>12903.377520935001</v>
      </c>
      <c r="L5107">
        <v>33.131</v>
      </c>
      <c r="M5107">
        <v>72.040000000000006</v>
      </c>
      <c r="N5107">
        <v>28.318000000000001</v>
      </c>
    </row>
    <row r="5108" spans="1:14" x14ac:dyDescent="0.45">
      <c r="A5108">
        <v>2004</v>
      </c>
      <c r="B5108" t="s">
        <v>146</v>
      </c>
      <c r="C5108">
        <v>0</v>
      </c>
      <c r="D5108">
        <v>0</v>
      </c>
      <c r="E5108">
        <v>0</v>
      </c>
      <c r="F5108">
        <v>1</v>
      </c>
      <c r="G5108">
        <v>0</v>
      </c>
      <c r="H5108">
        <v>0</v>
      </c>
      <c r="I5108">
        <v>0</v>
      </c>
      <c r="J5108">
        <v>10210.5631004959</v>
      </c>
      <c r="K5108">
        <v>7217.7323618270602</v>
      </c>
      <c r="L5108">
        <v>31.288</v>
      </c>
      <c r="M5108">
        <v>64.634</v>
      </c>
      <c r="N5108">
        <v>40.770000000000003</v>
      </c>
    </row>
    <row r="5109" spans="1:14" x14ac:dyDescent="0.45">
      <c r="A5109">
        <v>2004</v>
      </c>
      <c r="B5109" t="s">
        <v>147</v>
      </c>
      <c r="C5109">
        <v>1</v>
      </c>
      <c r="D5109">
        <v>0</v>
      </c>
      <c r="E5109">
        <v>0</v>
      </c>
      <c r="F5109">
        <v>0</v>
      </c>
      <c r="G5109">
        <v>0</v>
      </c>
      <c r="H5109">
        <v>1</v>
      </c>
      <c r="I5109">
        <v>1</v>
      </c>
      <c r="J5109">
        <v>52971.833651196299</v>
      </c>
      <c r="K5109">
        <v>45835.938918528598</v>
      </c>
      <c r="L5109">
        <v>7.0860000000000003</v>
      </c>
      <c r="M5109">
        <v>80.721000000000004</v>
      </c>
      <c r="N5109">
        <v>3.4239999999999999</v>
      </c>
    </row>
    <row r="5110" spans="1:14" x14ac:dyDescent="0.45">
      <c r="A5110">
        <v>2004</v>
      </c>
      <c r="B5110" t="s">
        <v>148</v>
      </c>
      <c r="C5110">
        <v>0</v>
      </c>
      <c r="D5110">
        <v>0</v>
      </c>
      <c r="E5110">
        <v>0</v>
      </c>
      <c r="F5110">
        <v>0</v>
      </c>
      <c r="G5110">
        <v>0</v>
      </c>
      <c r="H5110">
        <v>1</v>
      </c>
      <c r="I5110">
        <v>1</v>
      </c>
      <c r="J5110">
        <v>32675.208064486302</v>
      </c>
      <c r="K5110">
        <v>29972.2225313456</v>
      </c>
      <c r="L5110">
        <v>8.5440000000000005</v>
      </c>
      <c r="M5110">
        <v>80.305000000000007</v>
      </c>
      <c r="N5110">
        <v>5.8609999999999998</v>
      </c>
    </row>
    <row r="5111" spans="1:14" x14ac:dyDescent="0.45">
      <c r="A5111">
        <v>2004</v>
      </c>
      <c r="B5111" t="s">
        <v>149</v>
      </c>
      <c r="C5111">
        <v>1</v>
      </c>
      <c r="D5111">
        <v>0</v>
      </c>
      <c r="E5111">
        <v>0</v>
      </c>
      <c r="F5111">
        <v>0</v>
      </c>
      <c r="G5111">
        <v>0</v>
      </c>
      <c r="H5111">
        <v>1</v>
      </c>
      <c r="I5111">
        <v>1</v>
      </c>
      <c r="J5111">
        <v>51495.002884136396</v>
      </c>
      <c r="K5111">
        <v>43861.750097567303</v>
      </c>
      <c r="L5111">
        <v>32.380000000000003</v>
      </c>
      <c r="M5111">
        <v>81.016999999999996</v>
      </c>
      <c r="N5111">
        <v>4.4870000000000001</v>
      </c>
    </row>
    <row r="5112" spans="1:14" x14ac:dyDescent="0.45">
      <c r="A5112">
        <v>2004</v>
      </c>
      <c r="B5112" t="s">
        <v>150</v>
      </c>
      <c r="C5112">
        <v>0</v>
      </c>
      <c r="D5112">
        <v>1</v>
      </c>
      <c r="E5112">
        <v>0</v>
      </c>
      <c r="F5112">
        <v>1</v>
      </c>
      <c r="G5112">
        <v>0</v>
      </c>
      <c r="H5112">
        <v>0</v>
      </c>
      <c r="I5112">
        <v>0</v>
      </c>
      <c r="J5112">
        <v>10085.5908463419</v>
      </c>
      <c r="K5112">
        <v>9939.6539355554196</v>
      </c>
      <c r="L5112">
        <v>47.375</v>
      </c>
      <c r="M5112">
        <v>71.542000000000002</v>
      </c>
      <c r="N5112">
        <v>19.404</v>
      </c>
    </row>
    <row r="5113" spans="1:14" x14ac:dyDescent="0.45">
      <c r="A5113">
        <v>2004</v>
      </c>
      <c r="B5113" t="s">
        <v>151</v>
      </c>
      <c r="C5113">
        <v>0</v>
      </c>
      <c r="D5113">
        <v>0</v>
      </c>
      <c r="E5113">
        <v>0</v>
      </c>
      <c r="F5113">
        <v>1</v>
      </c>
      <c r="G5113">
        <v>0</v>
      </c>
      <c r="H5113">
        <v>0</v>
      </c>
      <c r="I5113">
        <v>0</v>
      </c>
      <c r="J5113">
        <v>9326.6683912791905</v>
      </c>
      <c r="K5113">
        <v>9252.4774595017207</v>
      </c>
      <c r="L5113">
        <v>21.678999999999998</v>
      </c>
      <c r="M5113">
        <v>72.787999999999997</v>
      </c>
      <c r="N5113">
        <v>23.99</v>
      </c>
    </row>
    <row r="5114" spans="1:14" x14ac:dyDescent="0.45">
      <c r="A5114">
        <v>2004</v>
      </c>
      <c r="B5114" t="s">
        <v>152</v>
      </c>
      <c r="C5114">
        <v>0</v>
      </c>
      <c r="D5114">
        <v>0</v>
      </c>
      <c r="E5114">
        <v>0</v>
      </c>
      <c r="F5114">
        <v>0</v>
      </c>
      <c r="G5114">
        <v>0</v>
      </c>
      <c r="H5114">
        <v>1</v>
      </c>
      <c r="I5114">
        <v>1</v>
      </c>
      <c r="J5114">
        <v>40351.776374394998</v>
      </c>
      <c r="K5114">
        <v>37379.154760764599</v>
      </c>
      <c r="L5114">
        <v>15.36</v>
      </c>
      <c r="M5114">
        <v>82.126999999999995</v>
      </c>
      <c r="N5114">
        <v>3.8330000000000002</v>
      </c>
    </row>
    <row r="5115" spans="1:14" x14ac:dyDescent="0.45">
      <c r="A5115">
        <v>2004</v>
      </c>
      <c r="B5115" t="s">
        <v>153</v>
      </c>
      <c r="C5115">
        <v>1</v>
      </c>
      <c r="D5115">
        <v>0</v>
      </c>
      <c r="E5115">
        <v>0</v>
      </c>
      <c r="F5115">
        <v>1</v>
      </c>
      <c r="G5115">
        <v>0</v>
      </c>
      <c r="H5115">
        <v>0</v>
      </c>
      <c r="I5115">
        <v>0</v>
      </c>
      <c r="J5115">
        <v>18886.581190812201</v>
      </c>
      <c r="K5115">
        <v>14362.478423926699</v>
      </c>
      <c r="L5115">
        <v>43.61</v>
      </c>
      <c r="M5115">
        <v>65.040000000000006</v>
      </c>
      <c r="N5115">
        <v>32.881</v>
      </c>
    </row>
    <row r="5116" spans="1:14" x14ac:dyDescent="0.45">
      <c r="A5116">
        <v>2004</v>
      </c>
      <c r="B5116" t="s">
        <v>154</v>
      </c>
      <c r="C5116">
        <v>0</v>
      </c>
      <c r="D5116">
        <v>0</v>
      </c>
      <c r="E5116">
        <v>1</v>
      </c>
      <c r="F5116">
        <v>0</v>
      </c>
      <c r="G5116">
        <v>0</v>
      </c>
      <c r="H5116">
        <v>0</v>
      </c>
      <c r="I5116">
        <v>0</v>
      </c>
      <c r="J5116">
        <v>3743.5678573692899</v>
      </c>
      <c r="K5116">
        <v>3226.3798790616602</v>
      </c>
      <c r="L5116">
        <v>78.69</v>
      </c>
      <c r="M5116">
        <v>57.947000000000003</v>
      </c>
      <c r="N5116">
        <v>75.701999999999998</v>
      </c>
    </row>
    <row r="5117" spans="1:14" x14ac:dyDescent="0.45">
      <c r="A5117">
        <v>2004</v>
      </c>
      <c r="B5117" t="s">
        <v>155</v>
      </c>
      <c r="C5117">
        <v>1</v>
      </c>
      <c r="D5117">
        <v>0</v>
      </c>
      <c r="E5117">
        <v>0</v>
      </c>
      <c r="F5117">
        <v>0</v>
      </c>
      <c r="G5117">
        <v>0</v>
      </c>
      <c r="H5117">
        <v>0</v>
      </c>
      <c r="I5117">
        <v>0</v>
      </c>
      <c r="J5117">
        <v>4211.5224830785701</v>
      </c>
      <c r="K5117">
        <v>3559.4441834813401</v>
      </c>
      <c r="L5117">
        <v>64.707999999999998</v>
      </c>
      <c r="M5117">
        <v>65.649000000000001</v>
      </c>
      <c r="N5117">
        <v>40.999000000000002</v>
      </c>
    </row>
    <row r="5118" spans="1:14" x14ac:dyDescent="0.45">
      <c r="A5118">
        <v>2004</v>
      </c>
      <c r="B5118" t="s">
        <v>156</v>
      </c>
      <c r="C5118">
        <v>0</v>
      </c>
      <c r="D5118">
        <v>0</v>
      </c>
      <c r="E5118">
        <v>0</v>
      </c>
      <c r="F5118">
        <v>0</v>
      </c>
      <c r="G5118">
        <v>0</v>
      </c>
      <c r="H5118">
        <v>0</v>
      </c>
      <c r="I5118">
        <v>0</v>
      </c>
      <c r="J5118">
        <v>2491.3093000375802</v>
      </c>
      <c r="K5118">
        <v>2233.8780427934198</v>
      </c>
      <c r="L5118">
        <v>80.944999999999993</v>
      </c>
      <c r="M5118">
        <v>63.256</v>
      </c>
      <c r="N5118">
        <v>71.893000000000001</v>
      </c>
    </row>
    <row r="5119" spans="1:14" x14ac:dyDescent="0.45">
      <c r="A5119">
        <v>2004</v>
      </c>
      <c r="B5119" t="s">
        <v>157</v>
      </c>
      <c r="C5119">
        <v>0</v>
      </c>
      <c r="D5119">
        <v>0</v>
      </c>
      <c r="E5119">
        <v>0</v>
      </c>
      <c r="F5119">
        <v>1</v>
      </c>
      <c r="G5119">
        <v>0</v>
      </c>
      <c r="H5119">
        <v>0</v>
      </c>
      <c r="I5119">
        <v>0</v>
      </c>
      <c r="J5119">
        <v>2199.6707415821702</v>
      </c>
      <c r="K5119">
        <v>1989.82060730168</v>
      </c>
      <c r="L5119">
        <v>56.468000000000004</v>
      </c>
      <c r="M5119">
        <v>65.415999999999997</v>
      </c>
      <c r="N5119">
        <v>61.23</v>
      </c>
    </row>
    <row r="5120" spans="1:14" x14ac:dyDescent="0.45">
      <c r="A5120">
        <v>2004</v>
      </c>
      <c r="B5120" t="s">
        <v>158</v>
      </c>
      <c r="C5120">
        <v>0</v>
      </c>
      <c r="D5120">
        <v>1</v>
      </c>
      <c r="E5120">
        <v>0</v>
      </c>
      <c r="F5120">
        <v>0</v>
      </c>
      <c r="G5120">
        <v>1</v>
      </c>
      <c r="H5120">
        <v>0</v>
      </c>
      <c r="I5120">
        <v>0</v>
      </c>
      <c r="J5120">
        <v>20661.345864299299</v>
      </c>
      <c r="K5120">
        <v>20405.889360527101</v>
      </c>
      <c r="L5120">
        <v>67.83</v>
      </c>
      <c r="M5120">
        <v>70.92</v>
      </c>
      <c r="N5120">
        <v>20.18</v>
      </c>
    </row>
    <row r="5121" spans="1:14" x14ac:dyDescent="0.45">
      <c r="A5121">
        <v>2004</v>
      </c>
      <c r="B5121" t="s">
        <v>159</v>
      </c>
      <c r="C5121">
        <v>0</v>
      </c>
      <c r="D5121">
        <v>0</v>
      </c>
      <c r="E5121">
        <v>0</v>
      </c>
      <c r="F5121">
        <v>0</v>
      </c>
      <c r="G5121">
        <v>0</v>
      </c>
      <c r="H5121">
        <v>1</v>
      </c>
      <c r="I5121">
        <v>1</v>
      </c>
      <c r="J5121">
        <v>30089.171317616801</v>
      </c>
      <c r="K5121">
        <v>27429.965475216799</v>
      </c>
      <c r="L5121">
        <v>18.998000000000001</v>
      </c>
      <c r="M5121">
        <v>77.956999999999994</v>
      </c>
      <c r="N5121">
        <v>5.9470000000000001</v>
      </c>
    </row>
    <row r="5122" spans="1:14" x14ac:dyDescent="0.45">
      <c r="A5122">
        <v>2004</v>
      </c>
      <c r="B5122" t="s">
        <v>160</v>
      </c>
      <c r="C5122">
        <v>0</v>
      </c>
      <c r="D5122">
        <v>0</v>
      </c>
      <c r="E5122">
        <v>0</v>
      </c>
      <c r="F5122">
        <v>0</v>
      </c>
      <c r="G5122">
        <v>0</v>
      </c>
      <c r="H5122">
        <v>1</v>
      </c>
      <c r="I5122">
        <v>1</v>
      </c>
      <c r="J5122">
        <v>73298.062220060106</v>
      </c>
      <c r="K5122">
        <v>65279.263391152002</v>
      </c>
      <c r="L5122">
        <v>0</v>
      </c>
      <c r="M5122">
        <v>76.388000000000005</v>
      </c>
      <c r="N5122">
        <v>11.926</v>
      </c>
    </row>
    <row r="5123" spans="1:14" x14ac:dyDescent="0.45">
      <c r="A5123">
        <v>2004</v>
      </c>
      <c r="B5123" t="s">
        <v>161</v>
      </c>
      <c r="C5123">
        <v>0</v>
      </c>
      <c r="D5123">
        <v>0</v>
      </c>
      <c r="E5123">
        <v>0</v>
      </c>
      <c r="F5123">
        <v>0</v>
      </c>
      <c r="G5123">
        <v>0</v>
      </c>
      <c r="H5123">
        <v>0</v>
      </c>
      <c r="I5123">
        <v>0</v>
      </c>
      <c r="J5123">
        <v>3441.1699970651498</v>
      </c>
      <c r="K5123">
        <v>3306.6463876640601</v>
      </c>
      <c r="L5123">
        <v>73.757999999999996</v>
      </c>
      <c r="M5123">
        <v>60.08</v>
      </c>
      <c r="N5123">
        <v>90.177999999999997</v>
      </c>
    </row>
    <row r="5124" spans="1:14" x14ac:dyDescent="0.45">
      <c r="A5124">
        <v>2004</v>
      </c>
      <c r="B5124" t="s">
        <v>162</v>
      </c>
      <c r="C5124">
        <v>0</v>
      </c>
      <c r="D5124">
        <v>0</v>
      </c>
      <c r="E5124">
        <v>0</v>
      </c>
      <c r="F5124">
        <v>0</v>
      </c>
      <c r="G5124">
        <v>1</v>
      </c>
      <c r="H5124">
        <v>0</v>
      </c>
      <c r="I5124">
        <v>0</v>
      </c>
      <c r="J5124">
        <v>12882.0757995163</v>
      </c>
      <c r="K5124">
        <v>16744.0372128655</v>
      </c>
      <c r="L5124">
        <v>13.506</v>
      </c>
      <c r="M5124">
        <v>75.692999999999998</v>
      </c>
      <c r="N5124">
        <v>15.971</v>
      </c>
    </row>
    <row r="5125" spans="1:14" x14ac:dyDescent="0.45">
      <c r="A5125">
        <v>2004</v>
      </c>
      <c r="B5125" t="s">
        <v>163</v>
      </c>
      <c r="C5125">
        <v>0</v>
      </c>
      <c r="D5125">
        <v>0</v>
      </c>
      <c r="E5125">
        <v>1</v>
      </c>
      <c r="F5125">
        <v>0</v>
      </c>
      <c r="G5125">
        <v>0</v>
      </c>
      <c r="H5125">
        <v>0</v>
      </c>
      <c r="I5125">
        <v>0</v>
      </c>
      <c r="J5125">
        <v>1326.5356550269501</v>
      </c>
      <c r="K5125">
        <v>1959.8840652280301</v>
      </c>
      <c r="L5125">
        <v>54.293999999999997</v>
      </c>
      <c r="M5125">
        <v>55.948999999999998</v>
      </c>
      <c r="N5125">
        <v>141.56800000000001</v>
      </c>
    </row>
    <row r="5126" spans="1:14" x14ac:dyDescent="0.45">
      <c r="A5126">
        <v>2004</v>
      </c>
      <c r="B5126" t="s">
        <v>164</v>
      </c>
      <c r="C5126">
        <v>0</v>
      </c>
      <c r="D5126">
        <v>0</v>
      </c>
      <c r="E5126">
        <v>0</v>
      </c>
      <c r="F5126">
        <v>0</v>
      </c>
      <c r="G5126">
        <v>1</v>
      </c>
      <c r="H5126">
        <v>0</v>
      </c>
      <c r="I5126">
        <v>0</v>
      </c>
      <c r="J5126">
        <v>18846.241869879901</v>
      </c>
      <c r="K5126">
        <v>22025.511362097699</v>
      </c>
      <c r="L5126">
        <v>23.081</v>
      </c>
      <c r="M5126">
        <v>71.209999999999994</v>
      </c>
      <c r="N5126">
        <v>23.725000000000001</v>
      </c>
    </row>
    <row r="5127" spans="1:14" x14ac:dyDescent="0.45">
      <c r="A5127">
        <v>2004</v>
      </c>
      <c r="B5127" t="s">
        <v>165</v>
      </c>
      <c r="C5127">
        <v>0</v>
      </c>
      <c r="D5127">
        <v>1</v>
      </c>
      <c r="E5127">
        <v>0</v>
      </c>
      <c r="F5127">
        <v>0</v>
      </c>
      <c r="G5127">
        <v>1</v>
      </c>
      <c r="H5127">
        <v>0</v>
      </c>
      <c r="I5127">
        <v>0</v>
      </c>
      <c r="J5127">
        <v>19715.8297745985</v>
      </c>
      <c r="K5127">
        <v>14183.706095497801</v>
      </c>
      <c r="L5127">
        <v>75.867000000000004</v>
      </c>
      <c r="M5127">
        <v>72.453000000000003</v>
      </c>
      <c r="N5127">
        <v>18.059999999999999</v>
      </c>
    </row>
    <row r="5128" spans="1:14" x14ac:dyDescent="0.45">
      <c r="A5128">
        <v>2004</v>
      </c>
      <c r="B5128" t="s">
        <v>166</v>
      </c>
      <c r="C5128">
        <v>1</v>
      </c>
      <c r="D5128">
        <v>0</v>
      </c>
      <c r="E5128">
        <v>0</v>
      </c>
      <c r="F5128">
        <v>0</v>
      </c>
      <c r="G5128">
        <v>0</v>
      </c>
      <c r="H5128">
        <v>1</v>
      </c>
      <c r="I5128">
        <v>1</v>
      </c>
      <c r="L5128">
        <v>85.204999999999998</v>
      </c>
      <c r="M5128">
        <v>80.733000000000004</v>
      </c>
      <c r="N5128">
        <v>9.0950000000000006</v>
      </c>
    </row>
    <row r="5129" spans="1:14" x14ac:dyDescent="0.45">
      <c r="A5129">
        <v>2004</v>
      </c>
      <c r="B5129" t="s">
        <v>167</v>
      </c>
      <c r="C5129">
        <v>0</v>
      </c>
      <c r="D5129">
        <v>0</v>
      </c>
      <c r="E5129">
        <v>0</v>
      </c>
      <c r="F5129">
        <v>1</v>
      </c>
      <c r="G5129">
        <v>0</v>
      </c>
      <c r="H5129">
        <v>0</v>
      </c>
      <c r="I5129">
        <v>0</v>
      </c>
      <c r="J5129">
        <v>7059.9109806856804</v>
      </c>
      <c r="K5129">
        <v>6593.8452733579297</v>
      </c>
      <c r="L5129">
        <v>81.680999999999997</v>
      </c>
      <c r="M5129">
        <v>68.022000000000006</v>
      </c>
      <c r="N5129">
        <v>29.558</v>
      </c>
    </row>
    <row r="5130" spans="1:14" x14ac:dyDescent="0.45">
      <c r="A5130">
        <v>2004</v>
      </c>
      <c r="B5130" t="s">
        <v>168</v>
      </c>
      <c r="C5130">
        <v>0</v>
      </c>
      <c r="D5130">
        <v>0</v>
      </c>
      <c r="E5130">
        <v>1</v>
      </c>
      <c r="F5130">
        <v>0</v>
      </c>
      <c r="G5130">
        <v>0</v>
      </c>
      <c r="H5130">
        <v>0</v>
      </c>
      <c r="I5130">
        <v>0</v>
      </c>
      <c r="J5130">
        <v>2178.6647467433199</v>
      </c>
      <c r="K5130">
        <v>1950.8204139992399</v>
      </c>
      <c r="L5130">
        <v>78.311000000000007</v>
      </c>
      <c r="M5130">
        <v>44.039000000000001</v>
      </c>
      <c r="N5130">
        <v>114.581</v>
      </c>
    </row>
    <row r="5131" spans="1:14" x14ac:dyDescent="0.45">
      <c r="A5131">
        <v>2004</v>
      </c>
      <c r="B5131" t="s">
        <v>169</v>
      </c>
      <c r="C5131">
        <v>1</v>
      </c>
      <c r="D5131">
        <v>0</v>
      </c>
      <c r="E5131">
        <v>0</v>
      </c>
      <c r="F5131">
        <v>0</v>
      </c>
      <c r="G5131">
        <v>1</v>
      </c>
      <c r="H5131">
        <v>0</v>
      </c>
      <c r="I5131">
        <v>0</v>
      </c>
      <c r="J5131">
        <v>21867.286146479099</v>
      </c>
      <c r="K5131">
        <v>18708.921421227398</v>
      </c>
      <c r="L5131">
        <v>33.353999999999999</v>
      </c>
      <c r="M5131">
        <v>72.001000000000005</v>
      </c>
      <c r="N5131">
        <v>9.7910000000000004</v>
      </c>
    </row>
    <row r="5132" spans="1:14" x14ac:dyDescent="0.45">
      <c r="A5132">
        <v>2004</v>
      </c>
      <c r="B5132" t="s">
        <v>170</v>
      </c>
      <c r="C5132">
        <v>1</v>
      </c>
      <c r="D5132">
        <v>0</v>
      </c>
      <c r="E5132">
        <v>0</v>
      </c>
      <c r="F5132">
        <v>0</v>
      </c>
      <c r="G5132">
        <v>0</v>
      </c>
      <c r="H5132">
        <v>1</v>
      </c>
      <c r="I5132">
        <v>1</v>
      </c>
      <c r="J5132">
        <v>123720.261499488</v>
      </c>
      <c r="K5132">
        <v>105726.54913429399</v>
      </c>
      <c r="L5132">
        <v>13.823</v>
      </c>
      <c r="M5132">
        <v>78.658000000000001</v>
      </c>
      <c r="N5132">
        <v>6.593</v>
      </c>
    </row>
    <row r="5133" spans="1:14" x14ac:dyDescent="0.45">
      <c r="A5133">
        <v>2004</v>
      </c>
      <c r="B5133" t="s">
        <v>171</v>
      </c>
      <c r="C5133">
        <v>1</v>
      </c>
      <c r="D5133">
        <v>0</v>
      </c>
      <c r="E5133">
        <v>0</v>
      </c>
      <c r="F5133">
        <v>0</v>
      </c>
      <c r="G5133">
        <v>1</v>
      </c>
      <c r="H5133">
        <v>0</v>
      </c>
      <c r="I5133">
        <v>0</v>
      </c>
      <c r="J5133">
        <v>20574.118201251</v>
      </c>
      <c r="K5133">
        <v>17849.8844783268</v>
      </c>
      <c r="L5133">
        <v>32.1</v>
      </c>
      <c r="M5133">
        <v>70.938999999999993</v>
      </c>
      <c r="N5133">
        <v>11.127000000000001</v>
      </c>
    </row>
    <row r="5134" spans="1:14" x14ac:dyDescent="0.45">
      <c r="A5134">
        <v>2004</v>
      </c>
      <c r="B5134" t="s">
        <v>172</v>
      </c>
      <c r="C5134">
        <v>0</v>
      </c>
      <c r="D5134">
        <v>0</v>
      </c>
      <c r="E5134">
        <v>0</v>
      </c>
      <c r="F5134">
        <v>0</v>
      </c>
      <c r="G5134">
        <v>0</v>
      </c>
      <c r="H5134">
        <v>1</v>
      </c>
      <c r="I5134">
        <v>1</v>
      </c>
      <c r="J5134">
        <v>83915.221063662597</v>
      </c>
      <c r="K5134">
        <v>76047.454609257402</v>
      </c>
      <c r="L5134">
        <v>0</v>
      </c>
      <c r="M5134">
        <v>80.406000000000006</v>
      </c>
      <c r="N5134">
        <v>6.2050000000000001</v>
      </c>
    </row>
    <row r="5135" spans="1:14" x14ac:dyDescent="0.45">
      <c r="A5135">
        <v>2004</v>
      </c>
      <c r="B5135" t="s">
        <v>173</v>
      </c>
      <c r="C5135">
        <v>0</v>
      </c>
      <c r="D5135">
        <v>1</v>
      </c>
      <c r="E5135">
        <v>0</v>
      </c>
      <c r="F5135">
        <v>0</v>
      </c>
      <c r="G5135">
        <v>0</v>
      </c>
      <c r="H5135">
        <v>1</v>
      </c>
      <c r="I5135">
        <v>1</v>
      </c>
      <c r="L5135">
        <v>0</v>
      </c>
      <c r="M5135">
        <v>77.611999999999995</v>
      </c>
      <c r="N5135">
        <v>13.135999999999999</v>
      </c>
    </row>
    <row r="5136" spans="1:14" x14ac:dyDescent="0.45">
      <c r="A5136">
        <v>2004</v>
      </c>
      <c r="B5136" t="s">
        <v>174</v>
      </c>
      <c r="C5136">
        <v>0</v>
      </c>
      <c r="D5136">
        <v>0</v>
      </c>
      <c r="E5136">
        <v>0</v>
      </c>
      <c r="F5136">
        <v>1</v>
      </c>
      <c r="G5136">
        <v>0</v>
      </c>
      <c r="H5136">
        <v>0</v>
      </c>
      <c r="I5136">
        <v>0</v>
      </c>
      <c r="J5136">
        <v>5996.39013671875</v>
      </c>
      <c r="K5136">
        <v>5758.7438393704397</v>
      </c>
      <c r="L5136">
        <v>45.356000000000002</v>
      </c>
      <c r="M5136">
        <v>68.272000000000006</v>
      </c>
      <c r="N5136">
        <v>43.326999999999998</v>
      </c>
    </row>
    <row r="5137" spans="1:14" x14ac:dyDescent="0.45">
      <c r="A5137">
        <v>2004</v>
      </c>
      <c r="B5137" t="s">
        <v>175</v>
      </c>
      <c r="C5137">
        <v>1</v>
      </c>
      <c r="D5137">
        <v>0</v>
      </c>
      <c r="E5137">
        <v>0</v>
      </c>
      <c r="F5137">
        <v>0</v>
      </c>
      <c r="G5137">
        <v>0</v>
      </c>
      <c r="H5137">
        <v>1</v>
      </c>
      <c r="I5137">
        <v>1</v>
      </c>
      <c r="L5137">
        <v>0</v>
      </c>
      <c r="M5137">
        <v>84.150999999999996</v>
      </c>
      <c r="N5137">
        <v>6.13</v>
      </c>
    </row>
    <row r="5138" spans="1:14" x14ac:dyDescent="0.45">
      <c r="A5138">
        <v>2004</v>
      </c>
      <c r="B5138" t="s">
        <v>176</v>
      </c>
      <c r="C5138">
        <v>1</v>
      </c>
      <c r="D5138">
        <v>0</v>
      </c>
      <c r="E5138">
        <v>0</v>
      </c>
      <c r="F5138">
        <v>0</v>
      </c>
      <c r="G5138">
        <v>0</v>
      </c>
      <c r="H5138">
        <v>0</v>
      </c>
      <c r="I5138">
        <v>0</v>
      </c>
      <c r="J5138">
        <v>7573.6178454750998</v>
      </c>
      <c r="K5138">
        <v>6495.9498794250603</v>
      </c>
      <c r="L5138">
        <v>57.01</v>
      </c>
      <c r="M5138">
        <v>68.016999999999996</v>
      </c>
      <c r="N5138">
        <v>22.492000000000001</v>
      </c>
    </row>
    <row r="5139" spans="1:14" x14ac:dyDescent="0.45">
      <c r="A5139">
        <v>2004</v>
      </c>
      <c r="B5139" t="s">
        <v>177</v>
      </c>
      <c r="C5139">
        <v>0</v>
      </c>
      <c r="D5139">
        <v>0</v>
      </c>
      <c r="E5139">
        <v>1</v>
      </c>
      <c r="F5139">
        <v>0</v>
      </c>
      <c r="G5139">
        <v>0</v>
      </c>
      <c r="H5139">
        <v>0</v>
      </c>
      <c r="I5139">
        <v>0</v>
      </c>
      <c r="J5139">
        <v>1620.11953793047</v>
      </c>
      <c r="K5139">
        <v>1500.9217449218199</v>
      </c>
      <c r="L5139">
        <v>71.789000000000001</v>
      </c>
      <c r="M5139">
        <v>60.167999999999999</v>
      </c>
      <c r="N5139">
        <v>88.447999999999993</v>
      </c>
    </row>
    <row r="5140" spans="1:14" x14ac:dyDescent="0.45">
      <c r="A5140">
        <v>2004</v>
      </c>
      <c r="B5140" t="s">
        <v>178</v>
      </c>
      <c r="C5140">
        <v>0</v>
      </c>
      <c r="D5140">
        <v>0</v>
      </c>
      <c r="E5140">
        <v>0</v>
      </c>
      <c r="F5140">
        <v>1</v>
      </c>
      <c r="G5140">
        <v>0</v>
      </c>
      <c r="H5140">
        <v>0</v>
      </c>
      <c r="I5140">
        <v>0</v>
      </c>
      <c r="J5140">
        <v>15958.6557897614</v>
      </c>
      <c r="K5140">
        <v>15744.543268708099</v>
      </c>
      <c r="L5140">
        <v>67.510000000000005</v>
      </c>
      <c r="M5140">
        <v>73.007999999999996</v>
      </c>
      <c r="N5140">
        <v>27.488</v>
      </c>
    </row>
    <row r="5141" spans="1:14" x14ac:dyDescent="0.45">
      <c r="A5141">
        <v>2004</v>
      </c>
      <c r="B5141" t="s">
        <v>179</v>
      </c>
      <c r="C5141">
        <v>0</v>
      </c>
      <c r="D5141">
        <v>1</v>
      </c>
      <c r="E5141">
        <v>0</v>
      </c>
      <c r="F5141">
        <v>0</v>
      </c>
      <c r="G5141">
        <v>1</v>
      </c>
      <c r="H5141">
        <v>0</v>
      </c>
      <c r="I5141">
        <v>0</v>
      </c>
      <c r="J5141">
        <v>20127.224287928599</v>
      </c>
      <c r="K5141">
        <v>18711.7810921575</v>
      </c>
      <c r="L5141">
        <v>24.003</v>
      </c>
      <c r="M5141">
        <v>73.432000000000002</v>
      </c>
      <c r="N5141">
        <v>23.777000000000001</v>
      </c>
    </row>
    <row r="5142" spans="1:14" x14ac:dyDescent="0.45">
      <c r="A5142">
        <v>2004</v>
      </c>
      <c r="B5142" t="s">
        <v>180</v>
      </c>
      <c r="C5142">
        <v>0</v>
      </c>
      <c r="D5142">
        <v>0</v>
      </c>
      <c r="E5142">
        <v>0</v>
      </c>
      <c r="F5142">
        <v>1</v>
      </c>
      <c r="G5142">
        <v>0</v>
      </c>
      <c r="H5142">
        <v>0</v>
      </c>
      <c r="I5142">
        <v>0</v>
      </c>
      <c r="J5142">
        <v>4012.3445001607802</v>
      </c>
      <c r="K5142">
        <v>3629.1049615729298</v>
      </c>
      <c r="L5142">
        <v>29.363</v>
      </c>
      <c r="M5142">
        <v>64.043999999999997</v>
      </c>
      <c r="N5142">
        <v>41.386000000000003</v>
      </c>
    </row>
    <row r="5143" spans="1:14" x14ac:dyDescent="0.45">
      <c r="A5143">
        <v>2004</v>
      </c>
      <c r="B5143" t="s">
        <v>181</v>
      </c>
      <c r="C5143">
        <v>1</v>
      </c>
      <c r="D5143">
        <v>0</v>
      </c>
      <c r="E5143">
        <v>0</v>
      </c>
      <c r="F5143">
        <v>1</v>
      </c>
      <c r="G5143">
        <v>0</v>
      </c>
      <c r="H5143">
        <v>0</v>
      </c>
      <c r="I5143">
        <v>0</v>
      </c>
      <c r="J5143">
        <v>12682.6823958228</v>
      </c>
      <c r="K5143">
        <v>10706.5667488612</v>
      </c>
      <c r="L5143">
        <v>42.289000000000001</v>
      </c>
      <c r="M5143">
        <v>73.447999999999993</v>
      </c>
      <c r="N5143">
        <v>14.693</v>
      </c>
    </row>
    <row r="5144" spans="1:14" x14ac:dyDescent="0.45">
      <c r="A5144">
        <v>2004</v>
      </c>
      <c r="B5144" t="s">
        <v>182</v>
      </c>
      <c r="C5144">
        <v>0</v>
      </c>
      <c r="D5144">
        <v>0</v>
      </c>
      <c r="E5144">
        <v>1</v>
      </c>
      <c r="F5144">
        <v>0</v>
      </c>
      <c r="G5144">
        <v>0</v>
      </c>
      <c r="H5144">
        <v>0</v>
      </c>
      <c r="I5144">
        <v>0</v>
      </c>
      <c r="J5144">
        <v>2224.1440951876398</v>
      </c>
      <c r="K5144">
        <v>2058.6895306361798</v>
      </c>
      <c r="L5144">
        <v>68.7</v>
      </c>
      <c r="M5144">
        <v>53.253</v>
      </c>
      <c r="N5144">
        <v>164.315</v>
      </c>
    </row>
    <row r="5145" spans="1:14" x14ac:dyDescent="0.45">
      <c r="A5145">
        <v>2004</v>
      </c>
      <c r="B5145" t="s">
        <v>183</v>
      </c>
      <c r="C5145">
        <v>0</v>
      </c>
      <c r="D5145">
        <v>0</v>
      </c>
      <c r="E5145">
        <v>0</v>
      </c>
      <c r="F5145">
        <v>0</v>
      </c>
      <c r="G5145">
        <v>0</v>
      </c>
      <c r="H5145">
        <v>1</v>
      </c>
      <c r="I5145">
        <v>1</v>
      </c>
      <c r="J5145">
        <v>32032.250001344601</v>
      </c>
      <c r="K5145">
        <v>27709.464094127899</v>
      </c>
      <c r="L5145">
        <v>6.593</v>
      </c>
      <c r="M5145">
        <v>79.165999999999997</v>
      </c>
      <c r="N5145">
        <v>7.8090000000000002</v>
      </c>
    </row>
    <row r="5146" spans="1:14" x14ac:dyDescent="0.45">
      <c r="A5146">
        <v>2004</v>
      </c>
      <c r="B5146" t="s">
        <v>184</v>
      </c>
      <c r="C5146">
        <v>0</v>
      </c>
      <c r="D5146">
        <v>0</v>
      </c>
      <c r="E5146">
        <v>0</v>
      </c>
      <c r="F5146">
        <v>0</v>
      </c>
      <c r="G5146">
        <v>0</v>
      </c>
      <c r="H5146">
        <v>0</v>
      </c>
      <c r="I5146">
        <v>0</v>
      </c>
      <c r="J5146">
        <v>2110.2372849583098</v>
      </c>
      <c r="K5146">
        <v>1689.6736035386</v>
      </c>
      <c r="L5146">
        <v>72.239999999999995</v>
      </c>
      <c r="M5146">
        <v>61.442999999999998</v>
      </c>
      <c r="N5146">
        <v>79.224000000000004</v>
      </c>
    </row>
    <row r="5147" spans="1:14" x14ac:dyDescent="0.45">
      <c r="A5147">
        <v>2004</v>
      </c>
      <c r="B5147" t="s">
        <v>185</v>
      </c>
      <c r="C5147">
        <v>1</v>
      </c>
      <c r="D5147">
        <v>0</v>
      </c>
      <c r="E5147">
        <v>0</v>
      </c>
      <c r="F5147">
        <v>1</v>
      </c>
      <c r="G5147">
        <v>0</v>
      </c>
      <c r="H5147">
        <v>0</v>
      </c>
      <c r="I5147">
        <v>0</v>
      </c>
      <c r="J5147">
        <v>15693.8572759281</v>
      </c>
      <c r="K5147">
        <v>13260.351332919399</v>
      </c>
      <c r="L5147">
        <v>37.872999999999998</v>
      </c>
      <c r="M5147">
        <v>74.379000000000005</v>
      </c>
      <c r="N5147">
        <v>10.971</v>
      </c>
    </row>
    <row r="5148" spans="1:14" x14ac:dyDescent="0.45">
      <c r="A5148">
        <v>2004</v>
      </c>
      <c r="B5148" t="s">
        <v>186</v>
      </c>
      <c r="C5148">
        <v>0</v>
      </c>
      <c r="D5148">
        <v>0</v>
      </c>
      <c r="E5148">
        <v>0</v>
      </c>
      <c r="F5148">
        <v>0</v>
      </c>
      <c r="G5148">
        <v>0</v>
      </c>
      <c r="H5148">
        <v>0</v>
      </c>
      <c r="I5148">
        <v>0</v>
      </c>
      <c r="J5148">
        <v>7070.6671584510004</v>
      </c>
      <c r="K5148">
        <v>5447.7786534603501</v>
      </c>
      <c r="L5148">
        <v>38.557000000000002</v>
      </c>
      <c r="M5148">
        <v>64.343000000000004</v>
      </c>
      <c r="N5148">
        <v>44.527999999999999</v>
      </c>
    </row>
    <row r="5149" spans="1:14" x14ac:dyDescent="0.45">
      <c r="A5149">
        <v>2004</v>
      </c>
      <c r="B5149" t="s">
        <v>187</v>
      </c>
      <c r="C5149">
        <v>0</v>
      </c>
      <c r="D5149">
        <v>0</v>
      </c>
      <c r="E5149">
        <v>0</v>
      </c>
      <c r="F5149">
        <v>0</v>
      </c>
      <c r="G5149">
        <v>1</v>
      </c>
      <c r="H5149">
        <v>0</v>
      </c>
      <c r="I5149">
        <v>0</v>
      </c>
      <c r="L5149">
        <v>9.5220000000000091</v>
      </c>
      <c r="M5149">
        <v>76.789000000000001</v>
      </c>
      <c r="N5149">
        <v>7.0490000000000004</v>
      </c>
    </row>
    <row r="5150" spans="1:14" x14ac:dyDescent="0.45">
      <c r="A5150">
        <v>2004</v>
      </c>
      <c r="B5150" t="s">
        <v>188</v>
      </c>
      <c r="C5150">
        <v>0</v>
      </c>
      <c r="D5150">
        <v>0</v>
      </c>
      <c r="E5150">
        <v>1</v>
      </c>
      <c r="F5150">
        <v>0</v>
      </c>
      <c r="G5150">
        <v>0</v>
      </c>
      <c r="H5150">
        <v>0</v>
      </c>
      <c r="I5150">
        <v>0</v>
      </c>
      <c r="J5150">
        <v>934.13396484442103</v>
      </c>
      <c r="K5150">
        <v>782.15028050364799</v>
      </c>
      <c r="L5150">
        <v>70.182000000000002</v>
      </c>
      <c r="M5150">
        <v>51.854999999999997</v>
      </c>
      <c r="N5150">
        <v>140.05000000000001</v>
      </c>
    </row>
    <row r="5151" spans="1:14" x14ac:dyDescent="0.45">
      <c r="A5151">
        <v>2004</v>
      </c>
      <c r="B5151" t="s">
        <v>189</v>
      </c>
      <c r="C5151">
        <v>0</v>
      </c>
      <c r="D5151">
        <v>0</v>
      </c>
      <c r="E5151">
        <v>1</v>
      </c>
      <c r="F5151">
        <v>0</v>
      </c>
      <c r="G5151">
        <v>0</v>
      </c>
      <c r="H5151">
        <v>0</v>
      </c>
      <c r="I5151">
        <v>0</v>
      </c>
      <c r="J5151">
        <v>5139.2255246886298</v>
      </c>
      <c r="K5151">
        <v>4546.7415366875503</v>
      </c>
      <c r="L5151">
        <v>58.771000000000001</v>
      </c>
      <c r="M5151">
        <v>63.369</v>
      </c>
      <c r="N5151">
        <v>77.22</v>
      </c>
    </row>
    <row r="5152" spans="1:14" x14ac:dyDescent="0.45">
      <c r="A5152">
        <v>2004</v>
      </c>
      <c r="B5152" t="s">
        <v>190</v>
      </c>
      <c r="C5152">
        <v>0</v>
      </c>
      <c r="D5152">
        <v>0</v>
      </c>
      <c r="E5152">
        <v>1</v>
      </c>
      <c r="F5152">
        <v>0</v>
      </c>
      <c r="G5152">
        <v>1</v>
      </c>
      <c r="H5152">
        <v>0</v>
      </c>
      <c r="I5152">
        <v>0</v>
      </c>
      <c r="J5152">
        <v>15028.8176367627</v>
      </c>
      <c r="K5152">
        <v>14106.419194701901</v>
      </c>
      <c r="L5152">
        <v>57.777000000000001</v>
      </c>
      <c r="M5152">
        <v>72.546000000000006</v>
      </c>
      <c r="N5152">
        <v>15.13</v>
      </c>
    </row>
    <row r="5153" spans="1:14" x14ac:dyDescent="0.45">
      <c r="A5153">
        <v>2004</v>
      </c>
      <c r="B5153" t="s">
        <v>191</v>
      </c>
      <c r="C5153">
        <v>0</v>
      </c>
      <c r="D5153">
        <v>0</v>
      </c>
      <c r="E5153">
        <v>1</v>
      </c>
      <c r="F5153">
        <v>0</v>
      </c>
      <c r="G5153">
        <v>0</v>
      </c>
      <c r="H5153">
        <v>0</v>
      </c>
      <c r="I5153">
        <v>0</v>
      </c>
      <c r="J5153">
        <v>1208.2196975075001</v>
      </c>
      <c r="K5153">
        <v>1033.82692007174</v>
      </c>
      <c r="L5153">
        <v>85.036000000000001</v>
      </c>
      <c r="M5153">
        <v>51.073</v>
      </c>
      <c r="N5153">
        <v>122.077</v>
      </c>
    </row>
    <row r="5154" spans="1:14" x14ac:dyDescent="0.45">
      <c r="A5154">
        <v>2004</v>
      </c>
      <c r="B5154" t="s">
        <v>192</v>
      </c>
      <c r="C5154">
        <v>0</v>
      </c>
      <c r="D5154">
        <v>0</v>
      </c>
      <c r="E5154">
        <v>0</v>
      </c>
      <c r="F5154">
        <v>0</v>
      </c>
      <c r="G5154">
        <v>1</v>
      </c>
      <c r="H5154">
        <v>0</v>
      </c>
      <c r="I5154">
        <v>0</v>
      </c>
      <c r="J5154">
        <v>20168.506209942501</v>
      </c>
      <c r="K5154">
        <v>18028.264842770899</v>
      </c>
      <c r="L5154">
        <v>34.305999999999997</v>
      </c>
      <c r="M5154">
        <v>74.027000000000001</v>
      </c>
      <c r="N5154">
        <v>8.5619999999999994</v>
      </c>
    </row>
    <row r="5155" spans="1:14" x14ac:dyDescent="0.45">
      <c r="A5155">
        <v>2004</v>
      </c>
      <c r="B5155" t="s">
        <v>193</v>
      </c>
      <c r="C5155">
        <v>0</v>
      </c>
      <c r="D5155">
        <v>0</v>
      </c>
      <c r="E5155">
        <v>1</v>
      </c>
      <c r="F5155">
        <v>1</v>
      </c>
      <c r="G5155">
        <v>0</v>
      </c>
      <c r="H5155">
        <v>0</v>
      </c>
      <c r="I5155">
        <v>0</v>
      </c>
      <c r="J5155">
        <v>9130.8244233769401</v>
      </c>
      <c r="K5155">
        <v>7913.68374181938</v>
      </c>
      <c r="L5155">
        <v>64.334000000000003</v>
      </c>
      <c r="M5155">
        <v>52.174999999999997</v>
      </c>
      <c r="N5155">
        <v>70.89</v>
      </c>
    </row>
    <row r="5156" spans="1:14" x14ac:dyDescent="0.45">
      <c r="A5156">
        <v>2004</v>
      </c>
      <c r="B5156" t="s">
        <v>194</v>
      </c>
      <c r="C5156">
        <v>0</v>
      </c>
      <c r="D5156">
        <v>0</v>
      </c>
      <c r="E5156">
        <v>0</v>
      </c>
      <c r="F5156">
        <v>0</v>
      </c>
      <c r="G5156">
        <v>0</v>
      </c>
      <c r="H5156">
        <v>1</v>
      </c>
      <c r="I5156">
        <v>1</v>
      </c>
      <c r="L5156">
        <v>36.658999999999999</v>
      </c>
      <c r="M5156">
        <v>74.712999999999994</v>
      </c>
      <c r="N5156">
        <v>19.535</v>
      </c>
    </row>
    <row r="5157" spans="1:14" x14ac:dyDescent="0.45">
      <c r="A5157">
        <v>2004</v>
      </c>
      <c r="B5157" t="s">
        <v>195</v>
      </c>
      <c r="C5157">
        <v>0</v>
      </c>
      <c r="D5157">
        <v>0</v>
      </c>
      <c r="E5157">
        <v>1</v>
      </c>
      <c r="F5157">
        <v>0</v>
      </c>
      <c r="G5157">
        <v>0</v>
      </c>
      <c r="H5157">
        <v>0</v>
      </c>
      <c r="I5157">
        <v>0</v>
      </c>
      <c r="J5157">
        <v>1192.0823507557</v>
      </c>
      <c r="K5157">
        <v>947.50541828262703</v>
      </c>
      <c r="L5157">
        <v>83.753</v>
      </c>
      <c r="M5157">
        <v>52.402000000000001</v>
      </c>
      <c r="N5157">
        <v>185.06</v>
      </c>
    </row>
    <row r="5158" spans="1:14" x14ac:dyDescent="0.45">
      <c r="A5158">
        <v>2004</v>
      </c>
      <c r="B5158" t="s">
        <v>196</v>
      </c>
      <c r="C5158">
        <v>0</v>
      </c>
      <c r="D5158">
        <v>0</v>
      </c>
      <c r="E5158">
        <v>1</v>
      </c>
      <c r="F5158">
        <v>0</v>
      </c>
      <c r="G5158">
        <v>0</v>
      </c>
      <c r="H5158">
        <v>0</v>
      </c>
      <c r="I5158">
        <v>0</v>
      </c>
      <c r="J5158">
        <v>4223.7979478185998</v>
      </c>
      <c r="K5158">
        <v>3734.4066608692701</v>
      </c>
      <c r="L5158">
        <v>61.787999999999997</v>
      </c>
      <c r="M5158">
        <v>49.148000000000003</v>
      </c>
      <c r="N5158">
        <v>160.52199999999999</v>
      </c>
    </row>
    <row r="5159" spans="1:14" x14ac:dyDescent="0.45">
      <c r="A5159">
        <v>2004</v>
      </c>
      <c r="B5159" t="s">
        <v>197</v>
      </c>
      <c r="C5159">
        <v>0</v>
      </c>
      <c r="D5159">
        <v>1</v>
      </c>
      <c r="E5159">
        <v>0</v>
      </c>
      <c r="F5159">
        <v>0</v>
      </c>
      <c r="G5159">
        <v>0</v>
      </c>
      <c r="H5159">
        <v>0</v>
      </c>
      <c r="I5159">
        <v>0</v>
      </c>
      <c r="J5159">
        <v>5204.3820280175696</v>
      </c>
      <c r="K5159">
        <v>4383.4696173749098</v>
      </c>
      <c r="L5159">
        <v>44.218000000000004</v>
      </c>
      <c r="M5159">
        <v>69.510000000000005</v>
      </c>
      <c r="N5159">
        <v>31.177</v>
      </c>
    </row>
    <row r="5160" spans="1:14" x14ac:dyDescent="0.45">
      <c r="A5160">
        <v>2004</v>
      </c>
      <c r="B5160" t="s">
        <v>198</v>
      </c>
      <c r="C5160">
        <v>1</v>
      </c>
      <c r="D5160">
        <v>0</v>
      </c>
      <c r="E5160">
        <v>0</v>
      </c>
      <c r="F5160">
        <v>0</v>
      </c>
      <c r="G5160">
        <v>0</v>
      </c>
      <c r="H5160">
        <v>1</v>
      </c>
      <c r="I5160">
        <v>1</v>
      </c>
      <c r="J5160">
        <v>57391.364520246803</v>
      </c>
      <c r="K5160">
        <v>48446.520053782398</v>
      </c>
      <c r="L5160">
        <v>18.486000000000001</v>
      </c>
      <c r="M5160">
        <v>79.239000000000004</v>
      </c>
      <c r="N5160">
        <v>5.25</v>
      </c>
    </row>
    <row r="5161" spans="1:14" x14ac:dyDescent="0.45">
      <c r="A5161">
        <v>2004</v>
      </c>
      <c r="B5161" t="s">
        <v>199</v>
      </c>
      <c r="C5161">
        <v>1</v>
      </c>
      <c r="D5161">
        <v>0</v>
      </c>
      <c r="E5161">
        <v>0</v>
      </c>
      <c r="F5161">
        <v>0</v>
      </c>
      <c r="G5161">
        <v>0</v>
      </c>
      <c r="H5161">
        <v>1</v>
      </c>
      <c r="I5161">
        <v>1</v>
      </c>
      <c r="J5161">
        <v>82440.955880111302</v>
      </c>
      <c r="K5161">
        <v>60914.600633113201</v>
      </c>
      <c r="L5161">
        <v>22.600999999999999</v>
      </c>
      <c r="M5161">
        <v>79.965000000000003</v>
      </c>
      <c r="N5161">
        <v>4.0359999999999996</v>
      </c>
    </row>
    <row r="5162" spans="1:14" x14ac:dyDescent="0.45">
      <c r="A5162">
        <v>2004</v>
      </c>
      <c r="B5162" t="s">
        <v>200</v>
      </c>
      <c r="C5162">
        <v>0</v>
      </c>
      <c r="D5162">
        <v>0</v>
      </c>
      <c r="E5162">
        <v>0</v>
      </c>
      <c r="F5162">
        <v>0</v>
      </c>
      <c r="G5162">
        <v>0</v>
      </c>
      <c r="H5162">
        <v>0</v>
      </c>
      <c r="I5162">
        <v>0</v>
      </c>
      <c r="J5162">
        <v>2521.54105171428</v>
      </c>
      <c r="K5162">
        <v>2232.3377488955098</v>
      </c>
      <c r="L5162">
        <v>85.159000000000006</v>
      </c>
      <c r="M5162">
        <v>64.744</v>
      </c>
      <c r="N5162">
        <v>63.747</v>
      </c>
    </row>
    <row r="5163" spans="1:14" x14ac:dyDescent="0.45">
      <c r="A5163">
        <v>2004</v>
      </c>
      <c r="B5163" t="s">
        <v>201</v>
      </c>
      <c r="C5163">
        <v>0</v>
      </c>
      <c r="D5163">
        <v>0</v>
      </c>
      <c r="E5163">
        <v>0</v>
      </c>
      <c r="F5163">
        <v>0</v>
      </c>
      <c r="G5163">
        <v>0</v>
      </c>
      <c r="H5163">
        <v>1</v>
      </c>
      <c r="I5163">
        <v>1</v>
      </c>
      <c r="J5163">
        <v>7302.0459182141703</v>
      </c>
      <c r="K5163">
        <v>6606.31041072483</v>
      </c>
      <c r="L5163">
        <v>0</v>
      </c>
      <c r="M5163">
        <v>59.345999999999997</v>
      </c>
      <c r="N5163">
        <v>39.529000000000003</v>
      </c>
    </row>
    <row r="5164" spans="1:14" x14ac:dyDescent="0.45">
      <c r="A5164">
        <v>2004</v>
      </c>
      <c r="B5164" t="s">
        <v>202</v>
      </c>
      <c r="C5164">
        <v>0</v>
      </c>
      <c r="D5164">
        <v>0</v>
      </c>
      <c r="E5164">
        <v>0</v>
      </c>
      <c r="F5164">
        <v>0</v>
      </c>
      <c r="G5164">
        <v>0</v>
      </c>
      <c r="H5164">
        <v>1</v>
      </c>
      <c r="I5164">
        <v>1</v>
      </c>
      <c r="J5164">
        <v>39971.770500758503</v>
      </c>
      <c r="K5164">
        <v>36356.403804100803</v>
      </c>
      <c r="L5164">
        <v>13.718999999999999</v>
      </c>
      <c r="M5164">
        <v>79.355000000000004</v>
      </c>
      <c r="N5164">
        <v>6.6820000000000004</v>
      </c>
    </row>
    <row r="5165" spans="1:14" x14ac:dyDescent="0.45">
      <c r="A5165">
        <v>2004</v>
      </c>
      <c r="B5165" t="s">
        <v>203</v>
      </c>
      <c r="C5165">
        <v>0</v>
      </c>
      <c r="D5165">
        <v>0</v>
      </c>
      <c r="E5165">
        <v>0</v>
      </c>
      <c r="F5165">
        <v>0</v>
      </c>
      <c r="G5165">
        <v>1</v>
      </c>
      <c r="H5165">
        <v>0</v>
      </c>
      <c r="I5165">
        <v>0</v>
      </c>
      <c r="J5165">
        <v>41351.768738507199</v>
      </c>
      <c r="K5165">
        <v>35931.403138120499</v>
      </c>
      <c r="L5165">
        <v>28.172999999999998</v>
      </c>
      <c r="M5165">
        <v>74.819999999999993</v>
      </c>
      <c r="N5165">
        <v>13.590999999999999</v>
      </c>
    </row>
    <row r="5166" spans="1:14" x14ac:dyDescent="0.45">
      <c r="A5166">
        <v>2004</v>
      </c>
      <c r="B5166" t="s">
        <v>204</v>
      </c>
      <c r="C5166">
        <v>0</v>
      </c>
      <c r="D5166">
        <v>0</v>
      </c>
      <c r="E5166">
        <v>0</v>
      </c>
      <c r="F5166">
        <v>0</v>
      </c>
      <c r="G5166">
        <v>0</v>
      </c>
      <c r="H5166">
        <v>0</v>
      </c>
      <c r="I5166">
        <v>0</v>
      </c>
      <c r="J5166">
        <v>3859.6460180890299</v>
      </c>
      <c r="K5166">
        <v>3673.9923363982698</v>
      </c>
      <c r="L5166">
        <v>66.218999999999994</v>
      </c>
      <c r="M5166">
        <v>63.097000000000001</v>
      </c>
      <c r="N5166">
        <v>98.78</v>
      </c>
    </row>
    <row r="5167" spans="1:14" x14ac:dyDescent="0.45">
      <c r="A5167">
        <v>2004</v>
      </c>
      <c r="B5167" t="s">
        <v>205</v>
      </c>
      <c r="C5167">
        <v>0</v>
      </c>
      <c r="D5167">
        <v>1</v>
      </c>
      <c r="E5167">
        <v>0</v>
      </c>
      <c r="F5167">
        <v>0</v>
      </c>
      <c r="G5167">
        <v>1</v>
      </c>
      <c r="H5167">
        <v>0</v>
      </c>
      <c r="I5167">
        <v>0</v>
      </c>
      <c r="J5167">
        <v>15875.1126783664</v>
      </c>
      <c r="K5167">
        <v>16646.294404026099</v>
      </c>
      <c r="L5167">
        <v>36.613</v>
      </c>
      <c r="M5167">
        <v>74.844999999999999</v>
      </c>
      <c r="N5167">
        <v>22.501000000000001</v>
      </c>
    </row>
    <row r="5168" spans="1:14" x14ac:dyDescent="0.45">
      <c r="A5168">
        <v>2004</v>
      </c>
      <c r="B5168" t="s">
        <v>206</v>
      </c>
      <c r="C5168">
        <v>0</v>
      </c>
      <c r="D5168">
        <v>1</v>
      </c>
      <c r="E5168">
        <v>0</v>
      </c>
      <c r="F5168">
        <v>1</v>
      </c>
      <c r="G5168">
        <v>0</v>
      </c>
      <c r="H5168">
        <v>0</v>
      </c>
      <c r="I5168">
        <v>0</v>
      </c>
      <c r="J5168">
        <v>8495.9863928579998</v>
      </c>
      <c r="K5168">
        <v>7099.1121936569898</v>
      </c>
      <c r="L5168">
        <v>25.356000000000002</v>
      </c>
      <c r="M5168">
        <v>71.447000000000003</v>
      </c>
      <c r="N5168">
        <v>28.471</v>
      </c>
    </row>
    <row r="5169" spans="1:14" x14ac:dyDescent="0.45">
      <c r="A5169">
        <v>2004</v>
      </c>
      <c r="B5169" t="s">
        <v>207</v>
      </c>
      <c r="C5169">
        <v>0</v>
      </c>
      <c r="D5169">
        <v>0</v>
      </c>
      <c r="E5169">
        <v>0</v>
      </c>
      <c r="F5169">
        <v>1</v>
      </c>
      <c r="G5169">
        <v>0</v>
      </c>
      <c r="H5169">
        <v>0</v>
      </c>
      <c r="I5169">
        <v>0</v>
      </c>
      <c r="J5169">
        <v>5229.45080700165</v>
      </c>
      <c r="K5169">
        <v>4735.7936515200299</v>
      </c>
      <c r="L5169">
        <v>54.204999999999998</v>
      </c>
      <c r="M5169">
        <v>68.301000000000002</v>
      </c>
      <c r="N5169">
        <v>33.92</v>
      </c>
    </row>
    <row r="5170" spans="1:14" x14ac:dyDescent="0.45">
      <c r="A5170">
        <v>2004</v>
      </c>
      <c r="B5170" t="s">
        <v>208</v>
      </c>
      <c r="C5170">
        <v>0</v>
      </c>
      <c r="D5170">
        <v>0</v>
      </c>
      <c r="E5170">
        <v>0</v>
      </c>
      <c r="F5170">
        <v>0</v>
      </c>
      <c r="G5170">
        <v>1</v>
      </c>
      <c r="H5170">
        <v>0</v>
      </c>
      <c r="I5170">
        <v>0</v>
      </c>
      <c r="J5170">
        <v>16807.6162368691</v>
      </c>
      <c r="K5170">
        <v>15206.194451356099</v>
      </c>
      <c r="L5170">
        <v>29.617000000000001</v>
      </c>
      <c r="M5170">
        <v>65.816000000000003</v>
      </c>
      <c r="N5170">
        <v>22.855</v>
      </c>
    </row>
    <row r="5171" spans="1:14" x14ac:dyDescent="0.45">
      <c r="A5171">
        <v>2004</v>
      </c>
      <c r="B5171" t="s">
        <v>209</v>
      </c>
      <c r="C5171">
        <v>0</v>
      </c>
      <c r="D5171">
        <v>0</v>
      </c>
      <c r="E5171">
        <v>0</v>
      </c>
      <c r="F5171">
        <v>0</v>
      </c>
      <c r="G5171">
        <v>0</v>
      </c>
      <c r="H5171">
        <v>0</v>
      </c>
      <c r="I5171">
        <v>0</v>
      </c>
      <c r="J5171">
        <v>3046.3328960266599</v>
      </c>
      <c r="K5171">
        <v>2755.7168378421602</v>
      </c>
      <c r="L5171">
        <v>86.873000000000005</v>
      </c>
      <c r="M5171">
        <v>61.795000000000002</v>
      </c>
      <c r="N5171">
        <v>66.611999999999995</v>
      </c>
    </row>
    <row r="5172" spans="1:14" x14ac:dyDescent="0.45">
      <c r="A5172">
        <v>2004</v>
      </c>
      <c r="B5172" t="s">
        <v>210</v>
      </c>
      <c r="C5172">
        <v>1</v>
      </c>
      <c r="D5172">
        <v>0</v>
      </c>
      <c r="E5172">
        <v>0</v>
      </c>
      <c r="F5172">
        <v>0</v>
      </c>
      <c r="G5172">
        <v>1</v>
      </c>
      <c r="H5172">
        <v>0</v>
      </c>
      <c r="I5172">
        <v>0</v>
      </c>
      <c r="J5172">
        <v>20878.6545002534</v>
      </c>
      <c r="K5172">
        <v>18021.850409761701</v>
      </c>
      <c r="L5172">
        <v>38.436</v>
      </c>
      <c r="M5172">
        <v>74.942999999999998</v>
      </c>
      <c r="N5172">
        <v>7.7009999999999996</v>
      </c>
    </row>
    <row r="5173" spans="1:14" x14ac:dyDescent="0.45">
      <c r="A5173">
        <v>2004</v>
      </c>
      <c r="B5173" t="s">
        <v>211</v>
      </c>
      <c r="C5173">
        <v>0</v>
      </c>
      <c r="D5173">
        <v>1</v>
      </c>
      <c r="E5173">
        <v>0</v>
      </c>
      <c r="F5173">
        <v>0</v>
      </c>
      <c r="G5173">
        <v>0</v>
      </c>
      <c r="H5173">
        <v>1</v>
      </c>
      <c r="I5173">
        <v>1</v>
      </c>
      <c r="J5173">
        <v>43355.8226365269</v>
      </c>
      <c r="K5173">
        <v>33307.7089050625</v>
      </c>
      <c r="L5173">
        <v>5.8319999999999901</v>
      </c>
      <c r="M5173">
        <v>76.912999999999997</v>
      </c>
      <c r="N5173">
        <v>9.7159999999999993</v>
      </c>
    </row>
    <row r="5174" spans="1:14" x14ac:dyDescent="0.45">
      <c r="A5174">
        <v>2004</v>
      </c>
      <c r="B5174" t="s">
        <v>212</v>
      </c>
      <c r="C5174">
        <v>0</v>
      </c>
      <c r="D5174">
        <v>0</v>
      </c>
      <c r="E5174">
        <v>0</v>
      </c>
      <c r="F5174">
        <v>0</v>
      </c>
      <c r="G5174">
        <v>0</v>
      </c>
      <c r="H5174">
        <v>0</v>
      </c>
      <c r="I5174">
        <v>0</v>
      </c>
      <c r="L5174">
        <v>40.273000000000003</v>
      </c>
      <c r="M5174">
        <v>69.293999999999997</v>
      </c>
      <c r="N5174">
        <v>33.893999999999998</v>
      </c>
    </row>
    <row r="5175" spans="1:14" x14ac:dyDescent="0.45">
      <c r="A5175">
        <v>2004</v>
      </c>
      <c r="B5175" t="s">
        <v>213</v>
      </c>
      <c r="C5175">
        <v>1</v>
      </c>
      <c r="D5175">
        <v>0</v>
      </c>
      <c r="E5175">
        <v>0</v>
      </c>
      <c r="F5175">
        <v>0</v>
      </c>
      <c r="G5175">
        <v>0</v>
      </c>
      <c r="H5175">
        <v>1</v>
      </c>
      <c r="I5175">
        <v>1</v>
      </c>
      <c r="J5175">
        <v>35658.129669730697</v>
      </c>
      <c r="K5175">
        <v>30822.284445152301</v>
      </c>
      <c r="L5175">
        <v>43.093000000000004</v>
      </c>
      <c r="M5175">
        <v>78.427000000000007</v>
      </c>
      <c r="N5175">
        <v>5.0469999999999997</v>
      </c>
    </row>
    <row r="5176" spans="1:14" x14ac:dyDescent="0.45">
      <c r="A5176">
        <v>2004</v>
      </c>
      <c r="B5176" t="s">
        <v>214</v>
      </c>
      <c r="C5176">
        <v>0</v>
      </c>
      <c r="D5176">
        <v>1</v>
      </c>
      <c r="E5176">
        <v>0</v>
      </c>
      <c r="F5176">
        <v>1</v>
      </c>
      <c r="G5176">
        <v>0</v>
      </c>
      <c r="H5176">
        <v>0</v>
      </c>
      <c r="I5176">
        <v>0</v>
      </c>
      <c r="J5176">
        <v>10187.1943942536</v>
      </c>
      <c r="K5176">
        <v>9294.1751019309304</v>
      </c>
      <c r="L5176">
        <v>42.695</v>
      </c>
      <c r="M5176">
        <v>71.054000000000002</v>
      </c>
      <c r="N5176">
        <v>30.515000000000001</v>
      </c>
    </row>
    <row r="5177" spans="1:14" x14ac:dyDescent="0.45">
      <c r="A5177">
        <v>2004</v>
      </c>
      <c r="B5177" t="s">
        <v>215</v>
      </c>
      <c r="C5177">
        <v>0</v>
      </c>
      <c r="D5177">
        <v>0</v>
      </c>
      <c r="E5177">
        <v>0</v>
      </c>
      <c r="F5177">
        <v>1</v>
      </c>
      <c r="G5177">
        <v>0</v>
      </c>
      <c r="H5177">
        <v>0</v>
      </c>
      <c r="I5177">
        <v>0</v>
      </c>
      <c r="J5177">
        <v>4503.0803406140903</v>
      </c>
      <c r="K5177">
        <v>3839.7084665346501</v>
      </c>
      <c r="L5177">
        <v>27.155000000000001</v>
      </c>
      <c r="M5177">
        <v>71.093999999999994</v>
      </c>
      <c r="N5177">
        <v>26.564</v>
      </c>
    </row>
    <row r="5178" spans="1:14" x14ac:dyDescent="0.45">
      <c r="A5178">
        <v>2004</v>
      </c>
      <c r="B5178" t="s">
        <v>216</v>
      </c>
      <c r="C5178">
        <v>0</v>
      </c>
      <c r="D5178">
        <v>0</v>
      </c>
      <c r="E5178">
        <v>0</v>
      </c>
      <c r="F5178">
        <v>0</v>
      </c>
      <c r="G5178">
        <v>0</v>
      </c>
      <c r="H5178">
        <v>1</v>
      </c>
      <c r="I5178">
        <v>1</v>
      </c>
      <c r="L5178">
        <v>43.168999999999997</v>
      </c>
      <c r="M5178">
        <v>79.828999999999994</v>
      </c>
      <c r="N5178">
        <v>9.8520000000000003</v>
      </c>
    </row>
    <row r="5179" spans="1:14" x14ac:dyDescent="0.45">
      <c r="A5179">
        <v>2004</v>
      </c>
      <c r="B5179" t="s">
        <v>217</v>
      </c>
      <c r="C5179">
        <v>0</v>
      </c>
      <c r="D5179">
        <v>0</v>
      </c>
      <c r="E5179">
        <v>0</v>
      </c>
      <c r="F5179">
        <v>0</v>
      </c>
      <c r="G5179">
        <v>0</v>
      </c>
      <c r="H5179">
        <v>1</v>
      </c>
      <c r="I5179">
        <v>1</v>
      </c>
      <c r="J5179">
        <v>107023.682595438</v>
      </c>
      <c r="K5179">
        <v>92414.721098933602</v>
      </c>
      <c r="L5179">
        <v>2.91</v>
      </c>
      <c r="M5179">
        <v>76.483999999999995</v>
      </c>
      <c r="N5179">
        <v>10.839</v>
      </c>
    </row>
    <row r="5180" spans="1:14" x14ac:dyDescent="0.45">
      <c r="A5180">
        <v>2004</v>
      </c>
      <c r="B5180" t="s">
        <v>218</v>
      </c>
      <c r="C5180">
        <v>1</v>
      </c>
      <c r="D5180">
        <v>0</v>
      </c>
      <c r="E5180">
        <v>0</v>
      </c>
      <c r="F5180">
        <v>1</v>
      </c>
      <c r="G5180">
        <v>0</v>
      </c>
      <c r="H5180">
        <v>0</v>
      </c>
      <c r="I5180">
        <v>0</v>
      </c>
      <c r="J5180">
        <v>19530.382552235798</v>
      </c>
      <c r="K5180">
        <v>15874.999304347401</v>
      </c>
      <c r="L5180">
        <v>46.957000000000001</v>
      </c>
      <c r="M5180">
        <v>71.096000000000004</v>
      </c>
      <c r="N5180">
        <v>19.844000000000001</v>
      </c>
    </row>
    <row r="5181" spans="1:14" x14ac:dyDescent="0.45">
      <c r="A5181">
        <v>2004</v>
      </c>
      <c r="B5181" t="s">
        <v>219</v>
      </c>
      <c r="C5181">
        <v>1</v>
      </c>
      <c r="D5181">
        <v>0</v>
      </c>
      <c r="E5181">
        <v>0</v>
      </c>
      <c r="F5181">
        <v>0</v>
      </c>
      <c r="G5181">
        <v>1</v>
      </c>
      <c r="H5181">
        <v>0</v>
      </c>
      <c r="I5181">
        <v>0</v>
      </c>
      <c r="J5181">
        <v>25894.146484375</v>
      </c>
      <c r="K5181">
        <v>18765.518055266999</v>
      </c>
      <c r="L5181">
        <v>26.582000000000001</v>
      </c>
      <c r="M5181">
        <v>65.149000000000001</v>
      </c>
      <c r="N5181">
        <v>14.678000000000001</v>
      </c>
    </row>
    <row r="5182" spans="1:14" x14ac:dyDescent="0.45">
      <c r="A5182">
        <v>2004</v>
      </c>
      <c r="B5182" t="s">
        <v>220</v>
      </c>
      <c r="C5182">
        <v>0</v>
      </c>
      <c r="D5182">
        <v>0</v>
      </c>
      <c r="E5182">
        <v>1</v>
      </c>
      <c r="F5182">
        <v>0</v>
      </c>
      <c r="G5182">
        <v>0</v>
      </c>
      <c r="H5182">
        <v>0</v>
      </c>
      <c r="I5182">
        <v>0</v>
      </c>
      <c r="J5182">
        <v>1277.1928044082899</v>
      </c>
      <c r="K5182">
        <v>1068.82372460384</v>
      </c>
      <c r="L5182">
        <v>83.091999999999999</v>
      </c>
      <c r="M5182">
        <v>55.52</v>
      </c>
      <c r="N5182">
        <v>118.898</v>
      </c>
    </row>
    <row r="5183" spans="1:14" x14ac:dyDescent="0.45">
      <c r="A5183">
        <v>2004</v>
      </c>
      <c r="B5183" t="s">
        <v>221</v>
      </c>
      <c r="C5183">
        <v>0</v>
      </c>
      <c r="D5183">
        <v>0</v>
      </c>
      <c r="E5183">
        <v>0</v>
      </c>
      <c r="F5183">
        <v>0</v>
      </c>
      <c r="G5183">
        <v>0</v>
      </c>
      <c r="H5183">
        <v>1</v>
      </c>
      <c r="I5183">
        <v>1</v>
      </c>
      <c r="J5183">
        <v>54196.551415295296</v>
      </c>
      <c r="K5183">
        <v>49686.208219951899</v>
      </c>
      <c r="L5183">
        <v>19.245999999999999</v>
      </c>
      <c r="M5183">
        <v>74.027000000000001</v>
      </c>
      <c r="N5183">
        <v>17.52</v>
      </c>
    </row>
    <row r="5184" spans="1:14" x14ac:dyDescent="0.45">
      <c r="A5184">
        <v>2004</v>
      </c>
      <c r="B5184" t="s">
        <v>222</v>
      </c>
      <c r="C5184">
        <v>0</v>
      </c>
      <c r="D5184">
        <v>0</v>
      </c>
      <c r="E5184">
        <v>1</v>
      </c>
      <c r="F5184">
        <v>0</v>
      </c>
      <c r="G5184">
        <v>0</v>
      </c>
      <c r="H5184">
        <v>0</v>
      </c>
      <c r="I5184">
        <v>0</v>
      </c>
      <c r="J5184">
        <v>4041.05712890625</v>
      </c>
      <c r="K5184">
        <v>4231.5197253587603</v>
      </c>
      <c r="L5184">
        <v>67.293000000000006</v>
      </c>
      <c r="M5184">
        <v>56.773000000000003</v>
      </c>
      <c r="N5184">
        <v>102.762</v>
      </c>
    </row>
    <row r="5185" spans="1:14" x14ac:dyDescent="0.45">
      <c r="A5185">
        <v>2004</v>
      </c>
      <c r="B5185" t="s">
        <v>223</v>
      </c>
      <c r="C5185">
        <v>0</v>
      </c>
      <c r="D5185">
        <v>0</v>
      </c>
      <c r="E5185">
        <v>1</v>
      </c>
      <c r="F5185">
        <v>0</v>
      </c>
      <c r="G5185">
        <v>0</v>
      </c>
      <c r="H5185">
        <v>0</v>
      </c>
      <c r="I5185">
        <v>0</v>
      </c>
      <c r="J5185">
        <v>3240.3020166984002</v>
      </c>
      <c r="K5185">
        <v>2707.0747053908899</v>
      </c>
      <c r="L5185">
        <v>58.694000000000003</v>
      </c>
      <c r="M5185">
        <v>60.308</v>
      </c>
      <c r="N5185">
        <v>99.126999999999995</v>
      </c>
    </row>
    <row r="5186" spans="1:14" x14ac:dyDescent="0.45">
      <c r="A5186">
        <v>2004</v>
      </c>
      <c r="B5186" t="s">
        <v>224</v>
      </c>
      <c r="C5186">
        <v>0</v>
      </c>
      <c r="D5186">
        <v>0</v>
      </c>
      <c r="E5186">
        <v>0</v>
      </c>
      <c r="F5186">
        <v>0</v>
      </c>
      <c r="G5186">
        <v>0</v>
      </c>
      <c r="H5186">
        <v>1</v>
      </c>
      <c r="I5186">
        <v>1</v>
      </c>
      <c r="J5186">
        <v>78039.024710382</v>
      </c>
      <c r="K5186">
        <v>64150.990194839302</v>
      </c>
      <c r="L5186">
        <v>0</v>
      </c>
      <c r="M5186">
        <v>79.658000000000001</v>
      </c>
      <c r="N5186">
        <v>3.133</v>
      </c>
    </row>
    <row r="5187" spans="1:14" x14ac:dyDescent="0.45">
      <c r="A5187">
        <v>2004</v>
      </c>
      <c r="B5187" t="s">
        <v>225</v>
      </c>
      <c r="C5187">
        <v>0</v>
      </c>
      <c r="D5187">
        <v>0</v>
      </c>
      <c r="E5187">
        <v>0</v>
      </c>
      <c r="F5187">
        <v>0</v>
      </c>
      <c r="G5187">
        <v>0</v>
      </c>
      <c r="H5187">
        <v>0</v>
      </c>
      <c r="I5187">
        <v>0</v>
      </c>
      <c r="J5187">
        <v>2168.5179332447401</v>
      </c>
      <c r="K5187">
        <v>1961.58268553727</v>
      </c>
      <c r="L5187">
        <v>82.587000000000003</v>
      </c>
      <c r="M5187">
        <v>67.628</v>
      </c>
      <c r="N5187">
        <v>29.585999999999999</v>
      </c>
    </row>
    <row r="5188" spans="1:14" x14ac:dyDescent="0.45">
      <c r="A5188">
        <v>2004</v>
      </c>
      <c r="B5188" t="s">
        <v>226</v>
      </c>
      <c r="C5188">
        <v>0</v>
      </c>
      <c r="D5188">
        <v>0</v>
      </c>
      <c r="E5188">
        <v>1</v>
      </c>
      <c r="F5188">
        <v>0</v>
      </c>
      <c r="G5188">
        <v>0</v>
      </c>
      <c r="H5188">
        <v>0</v>
      </c>
      <c r="I5188">
        <v>0</v>
      </c>
      <c r="J5188">
        <v>2262.8721288184001</v>
      </c>
      <c r="K5188">
        <v>2053.9424589363002</v>
      </c>
      <c r="L5188">
        <v>63.404000000000003</v>
      </c>
      <c r="M5188">
        <v>47.484999999999999</v>
      </c>
      <c r="N5188">
        <v>201.619</v>
      </c>
    </row>
    <row r="5189" spans="1:14" x14ac:dyDescent="0.45">
      <c r="A5189">
        <v>2004</v>
      </c>
      <c r="B5189" t="s">
        <v>227</v>
      </c>
      <c r="C5189">
        <v>0</v>
      </c>
      <c r="D5189">
        <v>1</v>
      </c>
      <c r="E5189">
        <v>0</v>
      </c>
      <c r="F5189">
        <v>1</v>
      </c>
      <c r="G5189">
        <v>0</v>
      </c>
      <c r="H5189">
        <v>0</v>
      </c>
      <c r="I5189">
        <v>0</v>
      </c>
      <c r="J5189">
        <v>7841.53237886842</v>
      </c>
      <c r="K5189">
        <v>6984.8480668820002</v>
      </c>
      <c r="L5189">
        <v>38.893000000000001</v>
      </c>
      <c r="M5189">
        <v>69.295000000000002</v>
      </c>
      <c r="N5189">
        <v>26.460999999999999</v>
      </c>
    </row>
    <row r="5190" spans="1:14" x14ac:dyDescent="0.45">
      <c r="A5190">
        <v>2004</v>
      </c>
      <c r="B5190" t="s">
        <v>228</v>
      </c>
      <c r="C5190">
        <v>1</v>
      </c>
      <c r="D5190">
        <v>0</v>
      </c>
      <c r="E5190">
        <v>0</v>
      </c>
      <c r="F5190">
        <v>0</v>
      </c>
      <c r="G5190">
        <v>0</v>
      </c>
      <c r="H5190">
        <v>1</v>
      </c>
      <c r="I5190">
        <v>1</v>
      </c>
      <c r="J5190">
        <v>80724.808768042101</v>
      </c>
      <c r="K5190">
        <v>71148.774369086896</v>
      </c>
      <c r="L5190">
        <v>5.8449999999999998</v>
      </c>
      <c r="M5190">
        <v>81.591999999999999</v>
      </c>
      <c r="N5190">
        <v>3.8959999999999999</v>
      </c>
    </row>
    <row r="5191" spans="1:14" x14ac:dyDescent="0.45">
      <c r="A5191">
        <v>2004</v>
      </c>
      <c r="B5191" t="s">
        <v>229</v>
      </c>
      <c r="C5191">
        <v>0</v>
      </c>
      <c r="D5191">
        <v>0</v>
      </c>
      <c r="E5191">
        <v>1</v>
      </c>
      <c r="F5191">
        <v>0</v>
      </c>
      <c r="G5191">
        <v>0</v>
      </c>
      <c r="H5191">
        <v>0</v>
      </c>
      <c r="I5191">
        <v>0</v>
      </c>
      <c r="J5191">
        <v>802.77163830945005</v>
      </c>
      <c r="K5191">
        <v>744.598216173438</v>
      </c>
      <c r="L5191">
        <v>64.468999999999994</v>
      </c>
      <c r="M5191">
        <v>50.685000000000002</v>
      </c>
      <c r="N5191">
        <v>171.57</v>
      </c>
    </row>
    <row r="5192" spans="1:14" x14ac:dyDescent="0.45">
      <c r="A5192">
        <v>2004</v>
      </c>
      <c r="B5192" t="s">
        <v>230</v>
      </c>
      <c r="C5192">
        <v>1</v>
      </c>
      <c r="D5192">
        <v>0</v>
      </c>
      <c r="E5192">
        <v>0</v>
      </c>
      <c r="F5192">
        <v>1</v>
      </c>
      <c r="G5192">
        <v>0</v>
      </c>
      <c r="H5192">
        <v>0</v>
      </c>
      <c r="I5192">
        <v>0</v>
      </c>
      <c r="J5192">
        <v>14193.572336613801</v>
      </c>
      <c r="K5192">
        <v>12480.745426705</v>
      </c>
      <c r="L5192">
        <v>46.338999999999999</v>
      </c>
      <c r="M5192">
        <v>72.867000000000004</v>
      </c>
      <c r="N5192">
        <v>9.5830000000000002</v>
      </c>
    </row>
    <row r="5193" spans="1:14" x14ac:dyDescent="0.45">
      <c r="A5193">
        <v>2004</v>
      </c>
      <c r="B5193" t="s">
        <v>231</v>
      </c>
      <c r="C5193">
        <v>0</v>
      </c>
      <c r="D5193">
        <v>0</v>
      </c>
      <c r="E5193">
        <v>1</v>
      </c>
      <c r="F5193">
        <v>1</v>
      </c>
      <c r="G5193">
        <v>0</v>
      </c>
      <c r="H5193">
        <v>0</v>
      </c>
      <c r="I5193">
        <v>0</v>
      </c>
      <c r="L5193">
        <v>82.977000000000004</v>
      </c>
      <c r="M5193">
        <v>53.052</v>
      </c>
      <c r="N5193">
        <v>148.46799999999999</v>
      </c>
    </row>
    <row r="5194" spans="1:14" x14ac:dyDescent="0.45">
      <c r="A5194">
        <v>2004</v>
      </c>
      <c r="B5194" t="s">
        <v>232</v>
      </c>
      <c r="C5194">
        <v>0</v>
      </c>
      <c r="D5194">
        <v>0</v>
      </c>
      <c r="E5194">
        <v>1</v>
      </c>
      <c r="F5194">
        <v>0</v>
      </c>
      <c r="G5194">
        <v>0</v>
      </c>
      <c r="H5194">
        <v>0</v>
      </c>
      <c r="I5194">
        <v>0</v>
      </c>
      <c r="J5194">
        <v>4202.5618689877501</v>
      </c>
      <c r="K5194">
        <v>2615.6084500338402</v>
      </c>
      <c r="L5194">
        <v>42.027999999999999</v>
      </c>
      <c r="M5194">
        <v>62.56</v>
      </c>
      <c r="N5194">
        <v>59.695999999999998</v>
      </c>
    </row>
    <row r="5195" spans="1:14" x14ac:dyDescent="0.45">
      <c r="A5195">
        <v>2004</v>
      </c>
      <c r="B5195" t="s">
        <v>233</v>
      </c>
      <c r="C5195">
        <v>0</v>
      </c>
      <c r="D5195">
        <v>1</v>
      </c>
      <c r="E5195">
        <v>0</v>
      </c>
      <c r="F5195">
        <v>1</v>
      </c>
      <c r="G5195">
        <v>0</v>
      </c>
      <c r="H5195">
        <v>0</v>
      </c>
      <c r="I5195">
        <v>0</v>
      </c>
      <c r="J5195">
        <v>18585.5170864176</v>
      </c>
      <c r="K5195">
        <v>14793.692946380001</v>
      </c>
      <c r="L5195">
        <v>33.262999999999998</v>
      </c>
      <c r="M5195">
        <v>66.361999999999995</v>
      </c>
      <c r="N5195">
        <v>27.306999999999999</v>
      </c>
    </row>
    <row r="5196" spans="1:14" x14ac:dyDescent="0.45">
      <c r="A5196">
        <v>2004</v>
      </c>
      <c r="B5196" t="s">
        <v>234</v>
      </c>
      <c r="C5196">
        <v>1</v>
      </c>
      <c r="D5196">
        <v>0</v>
      </c>
      <c r="E5196">
        <v>0</v>
      </c>
      <c r="F5196">
        <v>0</v>
      </c>
      <c r="G5196">
        <v>1</v>
      </c>
      <c r="H5196">
        <v>0</v>
      </c>
      <c r="I5196">
        <v>0</v>
      </c>
      <c r="J5196">
        <v>21842.9135856629</v>
      </c>
      <c r="K5196">
        <v>18812.9265249007</v>
      </c>
      <c r="L5196">
        <v>44.286999999999999</v>
      </c>
      <c r="M5196">
        <v>74.216999999999999</v>
      </c>
      <c r="N5196">
        <v>8.702</v>
      </c>
    </row>
    <row r="5197" spans="1:14" x14ac:dyDescent="0.45">
      <c r="A5197">
        <v>2004</v>
      </c>
      <c r="B5197" t="s">
        <v>235</v>
      </c>
      <c r="C5197">
        <v>1</v>
      </c>
      <c r="D5197">
        <v>0</v>
      </c>
      <c r="E5197">
        <v>0</v>
      </c>
      <c r="F5197">
        <v>0</v>
      </c>
      <c r="G5197">
        <v>0</v>
      </c>
      <c r="H5197">
        <v>1</v>
      </c>
      <c r="I5197">
        <v>1</v>
      </c>
      <c r="J5197">
        <v>34306.738849644302</v>
      </c>
      <c r="K5197">
        <v>29531.4017496257</v>
      </c>
      <c r="L5197">
        <v>48.692</v>
      </c>
      <c r="M5197">
        <v>76.932000000000002</v>
      </c>
      <c r="N5197">
        <v>4.9340000000000002</v>
      </c>
    </row>
    <row r="5198" spans="1:14" x14ac:dyDescent="0.45">
      <c r="A5198">
        <v>2004</v>
      </c>
      <c r="B5198" t="s">
        <v>236</v>
      </c>
      <c r="C5198">
        <v>1</v>
      </c>
      <c r="D5198">
        <v>0</v>
      </c>
      <c r="E5198">
        <v>0</v>
      </c>
      <c r="F5198">
        <v>0</v>
      </c>
      <c r="G5198">
        <v>0</v>
      </c>
      <c r="H5198">
        <v>1</v>
      </c>
      <c r="I5198">
        <v>1</v>
      </c>
      <c r="J5198">
        <v>51967.552182986597</v>
      </c>
      <c r="K5198">
        <v>44391.641972630998</v>
      </c>
      <c r="L5198">
        <v>15.742000000000001</v>
      </c>
      <c r="M5198">
        <v>80.546000000000006</v>
      </c>
      <c r="N5198">
        <v>3.6139999999999999</v>
      </c>
    </row>
    <row r="5199" spans="1:14" x14ac:dyDescent="0.45">
      <c r="A5199">
        <v>2004</v>
      </c>
      <c r="B5199" t="s">
        <v>237</v>
      </c>
      <c r="C5199">
        <v>0</v>
      </c>
      <c r="D5199">
        <v>0</v>
      </c>
      <c r="E5199">
        <v>1</v>
      </c>
      <c r="F5199">
        <v>1</v>
      </c>
      <c r="G5199">
        <v>0</v>
      </c>
      <c r="H5199">
        <v>0</v>
      </c>
      <c r="I5199">
        <v>0</v>
      </c>
      <c r="J5199">
        <v>6820.1260665920499</v>
      </c>
      <c r="K5199">
        <v>6039.2228814083201</v>
      </c>
      <c r="L5199">
        <v>77.834000000000003</v>
      </c>
      <c r="M5199">
        <v>43.905999999999999</v>
      </c>
      <c r="N5199">
        <v>116.23399999999999</v>
      </c>
    </row>
    <row r="5200" spans="1:14" x14ac:dyDescent="0.45">
      <c r="A5200">
        <v>2004</v>
      </c>
      <c r="B5200" t="s">
        <v>238</v>
      </c>
      <c r="C5200">
        <v>0</v>
      </c>
      <c r="D5200">
        <v>1</v>
      </c>
      <c r="E5200">
        <v>0</v>
      </c>
      <c r="F5200">
        <v>0</v>
      </c>
      <c r="G5200">
        <v>0</v>
      </c>
      <c r="H5200">
        <v>1</v>
      </c>
      <c r="I5200">
        <v>1</v>
      </c>
      <c r="L5200">
        <v>0</v>
      </c>
      <c r="M5200">
        <v>74.617999999999995</v>
      </c>
      <c r="N5200">
        <v>18.763000000000002</v>
      </c>
    </row>
    <row r="5201" spans="1:14" x14ac:dyDescent="0.45">
      <c r="A5201">
        <v>2004</v>
      </c>
      <c r="B5201" t="s">
        <v>239</v>
      </c>
      <c r="C5201">
        <v>0</v>
      </c>
      <c r="D5201">
        <v>0</v>
      </c>
      <c r="E5201">
        <v>1</v>
      </c>
      <c r="F5201">
        <v>0</v>
      </c>
      <c r="G5201">
        <v>1</v>
      </c>
      <c r="H5201">
        <v>0</v>
      </c>
      <c r="I5201">
        <v>0</v>
      </c>
      <c r="J5201">
        <v>18356.471144721199</v>
      </c>
      <c r="K5201">
        <v>17821.377807454599</v>
      </c>
      <c r="L5201">
        <v>48.612000000000002</v>
      </c>
      <c r="M5201">
        <v>71.706999999999994</v>
      </c>
      <c r="N5201">
        <v>14.087</v>
      </c>
    </row>
    <row r="5202" spans="1:14" x14ac:dyDescent="0.45">
      <c r="A5202">
        <v>2004</v>
      </c>
      <c r="B5202" t="s">
        <v>240</v>
      </c>
      <c r="C5202">
        <v>0</v>
      </c>
      <c r="D5202">
        <v>0</v>
      </c>
      <c r="E5202">
        <v>0</v>
      </c>
      <c r="F5202">
        <v>1</v>
      </c>
      <c r="G5202">
        <v>0</v>
      </c>
      <c r="H5202">
        <v>0</v>
      </c>
      <c r="I5202">
        <v>0</v>
      </c>
      <c r="J5202">
        <v>8528.6560459715402</v>
      </c>
      <c r="K5202">
        <v>5594.1794285388596</v>
      </c>
      <c r="L5202">
        <v>46.582999999999998</v>
      </c>
      <c r="M5202">
        <v>72.494</v>
      </c>
      <c r="N5202">
        <v>20.626000000000001</v>
      </c>
    </row>
    <row r="5203" spans="1:14" x14ac:dyDescent="0.45">
      <c r="A5203">
        <v>2004</v>
      </c>
      <c r="B5203" t="s">
        <v>241</v>
      </c>
      <c r="C5203">
        <v>0</v>
      </c>
      <c r="D5203">
        <v>1</v>
      </c>
      <c r="E5203">
        <v>0</v>
      </c>
      <c r="F5203">
        <v>0</v>
      </c>
      <c r="G5203">
        <v>0</v>
      </c>
      <c r="H5203">
        <v>1</v>
      </c>
      <c r="I5203">
        <v>1</v>
      </c>
      <c r="L5203">
        <v>12.811999999999999</v>
      </c>
      <c r="M5203">
        <v>75.63</v>
      </c>
      <c r="N5203">
        <v>9.0050000000000008</v>
      </c>
    </row>
    <row r="5204" spans="1:14" x14ac:dyDescent="0.45">
      <c r="A5204">
        <v>2004</v>
      </c>
      <c r="B5204" t="s">
        <v>242</v>
      </c>
      <c r="C5204">
        <v>0</v>
      </c>
      <c r="D5204">
        <v>0</v>
      </c>
      <c r="E5204">
        <v>1</v>
      </c>
      <c r="F5204">
        <v>0</v>
      </c>
      <c r="G5204">
        <v>0</v>
      </c>
      <c r="H5204">
        <v>0</v>
      </c>
      <c r="I5204">
        <v>0</v>
      </c>
      <c r="J5204">
        <v>2392.0927022495998</v>
      </c>
      <c r="K5204">
        <v>2009.4444125052401</v>
      </c>
      <c r="L5204">
        <v>78.231999999999999</v>
      </c>
      <c r="M5204">
        <v>48.686999999999998</v>
      </c>
      <c r="N5204">
        <v>170.78299999999999</v>
      </c>
    </row>
    <row r="5205" spans="1:14" x14ac:dyDescent="0.45">
      <c r="A5205">
        <v>2004</v>
      </c>
      <c r="B5205" t="s">
        <v>243</v>
      </c>
      <c r="C5205">
        <v>0</v>
      </c>
      <c r="D5205">
        <v>0</v>
      </c>
      <c r="E5205">
        <v>1</v>
      </c>
      <c r="F5205">
        <v>0</v>
      </c>
      <c r="G5205">
        <v>0</v>
      </c>
      <c r="H5205">
        <v>0</v>
      </c>
      <c r="I5205">
        <v>0</v>
      </c>
      <c r="J5205">
        <v>2093.01482434117</v>
      </c>
      <c r="K5205">
        <v>1739.3743158985501</v>
      </c>
      <c r="L5205">
        <v>65.275999999999996</v>
      </c>
      <c r="M5205">
        <v>55.594000000000001</v>
      </c>
      <c r="N5205">
        <v>106.607</v>
      </c>
    </row>
    <row r="5206" spans="1:14" x14ac:dyDescent="0.45">
      <c r="A5206">
        <v>2004</v>
      </c>
      <c r="B5206" t="s">
        <v>244</v>
      </c>
      <c r="C5206">
        <v>0</v>
      </c>
      <c r="D5206">
        <v>0</v>
      </c>
      <c r="E5206">
        <v>0</v>
      </c>
      <c r="F5206">
        <v>1</v>
      </c>
      <c r="G5206">
        <v>0</v>
      </c>
      <c r="H5206">
        <v>0</v>
      </c>
      <c r="I5206">
        <v>0</v>
      </c>
      <c r="J5206">
        <v>13997.0013867292</v>
      </c>
      <c r="K5206">
        <v>12240.756680971201</v>
      </c>
      <c r="L5206">
        <v>63.831000000000003</v>
      </c>
      <c r="M5206">
        <v>72.099999999999994</v>
      </c>
      <c r="N5206">
        <v>18.175999999999998</v>
      </c>
    </row>
    <row r="5207" spans="1:14" x14ac:dyDescent="0.45">
      <c r="A5207">
        <v>2004</v>
      </c>
      <c r="B5207" t="s">
        <v>245</v>
      </c>
      <c r="C5207">
        <v>1</v>
      </c>
      <c r="D5207">
        <v>0</v>
      </c>
      <c r="E5207">
        <v>0</v>
      </c>
      <c r="F5207">
        <v>0</v>
      </c>
      <c r="G5207">
        <v>0</v>
      </c>
      <c r="H5207">
        <v>0</v>
      </c>
      <c r="I5207">
        <v>0</v>
      </c>
      <c r="J5207">
        <v>1878.28696227255</v>
      </c>
      <c r="K5207">
        <v>1710.62205697841</v>
      </c>
      <c r="L5207">
        <v>73.492000000000004</v>
      </c>
      <c r="M5207">
        <v>66.603999999999999</v>
      </c>
      <c r="N5207">
        <v>61.267000000000003</v>
      </c>
    </row>
    <row r="5208" spans="1:14" x14ac:dyDescent="0.45">
      <c r="A5208">
        <v>2004</v>
      </c>
      <c r="B5208" t="s">
        <v>246</v>
      </c>
      <c r="C5208">
        <v>1</v>
      </c>
      <c r="D5208">
        <v>0</v>
      </c>
      <c r="E5208">
        <v>0</v>
      </c>
      <c r="F5208">
        <v>1</v>
      </c>
      <c r="G5208">
        <v>0</v>
      </c>
      <c r="H5208">
        <v>0</v>
      </c>
      <c r="I5208">
        <v>0</v>
      </c>
      <c r="J5208">
        <v>5360.2242991053199</v>
      </c>
      <c r="K5208">
        <v>5045.1445394823604</v>
      </c>
      <c r="L5208">
        <v>53.188000000000002</v>
      </c>
      <c r="M5208">
        <v>66.055000000000007</v>
      </c>
      <c r="N5208">
        <v>55.271999999999998</v>
      </c>
    </row>
    <row r="5209" spans="1:14" x14ac:dyDescent="0.45">
      <c r="A5209">
        <v>2004</v>
      </c>
      <c r="B5209" t="s">
        <v>247</v>
      </c>
      <c r="C5209">
        <v>0</v>
      </c>
      <c r="D5209">
        <v>0</v>
      </c>
      <c r="E5209">
        <v>0</v>
      </c>
      <c r="F5209">
        <v>0</v>
      </c>
      <c r="G5209">
        <v>0</v>
      </c>
      <c r="H5209">
        <v>0</v>
      </c>
      <c r="I5209">
        <v>0</v>
      </c>
      <c r="J5209">
        <v>3236.5224687342402</v>
      </c>
      <c r="K5209">
        <v>2611.4290786536699</v>
      </c>
      <c r="L5209">
        <v>74.290000000000006</v>
      </c>
      <c r="M5209">
        <v>60.743000000000002</v>
      </c>
      <c r="N5209">
        <v>92.206999999999994</v>
      </c>
    </row>
    <row r="5210" spans="1:14" x14ac:dyDescent="0.45">
      <c r="A5210">
        <v>2004</v>
      </c>
      <c r="B5210" t="s">
        <v>248</v>
      </c>
      <c r="C5210">
        <v>0</v>
      </c>
      <c r="D5210">
        <v>0</v>
      </c>
      <c r="E5210">
        <v>0</v>
      </c>
      <c r="F5210">
        <v>1</v>
      </c>
      <c r="G5210">
        <v>0</v>
      </c>
      <c r="H5210">
        <v>0</v>
      </c>
      <c r="I5210">
        <v>0</v>
      </c>
      <c r="J5210">
        <v>5900.4574129139701</v>
      </c>
      <c r="K5210">
        <v>5341.2785602674803</v>
      </c>
      <c r="L5210">
        <v>76.873000000000005</v>
      </c>
      <c r="M5210">
        <v>70.433000000000007</v>
      </c>
      <c r="N5210">
        <v>15.161</v>
      </c>
    </row>
    <row r="5211" spans="1:14" x14ac:dyDescent="0.45">
      <c r="A5211">
        <v>2004</v>
      </c>
      <c r="B5211" t="s">
        <v>249</v>
      </c>
      <c r="C5211">
        <v>0</v>
      </c>
      <c r="D5211">
        <v>1</v>
      </c>
      <c r="E5211">
        <v>0</v>
      </c>
      <c r="F5211">
        <v>0</v>
      </c>
      <c r="G5211">
        <v>1</v>
      </c>
      <c r="H5211">
        <v>0</v>
      </c>
      <c r="I5211">
        <v>0</v>
      </c>
      <c r="J5211">
        <v>26792.238035433202</v>
      </c>
      <c r="K5211">
        <v>22360.614991374001</v>
      </c>
      <c r="L5211">
        <v>44.844999999999999</v>
      </c>
      <c r="M5211">
        <v>69.879000000000005</v>
      </c>
      <c r="N5211">
        <v>26.155999999999999</v>
      </c>
    </row>
    <row r="5212" spans="1:14" x14ac:dyDescent="0.45">
      <c r="A5212">
        <v>2004</v>
      </c>
      <c r="B5212" t="s">
        <v>250</v>
      </c>
      <c r="C5212">
        <v>0</v>
      </c>
      <c r="D5212">
        <v>0</v>
      </c>
      <c r="E5212">
        <v>0</v>
      </c>
      <c r="F5212">
        <v>1</v>
      </c>
      <c r="G5212">
        <v>0</v>
      </c>
      <c r="H5212">
        <v>0</v>
      </c>
      <c r="I5212">
        <v>0</v>
      </c>
      <c r="J5212">
        <v>10263.794269827</v>
      </c>
      <c r="K5212">
        <v>8944.7252561536698</v>
      </c>
      <c r="L5212">
        <v>35.049999999999997</v>
      </c>
      <c r="M5212">
        <v>73.519000000000005</v>
      </c>
      <c r="N5212">
        <v>23.134</v>
      </c>
    </row>
    <row r="5213" spans="1:14" x14ac:dyDescent="0.45">
      <c r="A5213">
        <v>2004</v>
      </c>
      <c r="B5213" t="s">
        <v>251</v>
      </c>
      <c r="C5213">
        <v>1</v>
      </c>
      <c r="D5213">
        <v>0</v>
      </c>
      <c r="E5213">
        <v>0</v>
      </c>
      <c r="F5213">
        <v>0</v>
      </c>
      <c r="G5213">
        <v>1</v>
      </c>
      <c r="H5213">
        <v>0</v>
      </c>
      <c r="I5213">
        <v>0</v>
      </c>
      <c r="J5213">
        <v>16376.964743087699</v>
      </c>
      <c r="K5213">
        <v>16420.775752269601</v>
      </c>
      <c r="L5213">
        <v>32.774999999999999</v>
      </c>
      <c r="M5213">
        <v>73.222999999999999</v>
      </c>
      <c r="N5213">
        <v>27.794</v>
      </c>
    </row>
    <row r="5214" spans="1:14" x14ac:dyDescent="0.45">
      <c r="A5214">
        <v>2004</v>
      </c>
      <c r="B5214" t="s">
        <v>252</v>
      </c>
      <c r="C5214">
        <v>0</v>
      </c>
      <c r="D5214">
        <v>0</v>
      </c>
      <c r="E5214">
        <v>0</v>
      </c>
      <c r="F5214">
        <v>1</v>
      </c>
      <c r="G5214">
        <v>0</v>
      </c>
      <c r="H5214">
        <v>0</v>
      </c>
      <c r="I5214">
        <v>0</v>
      </c>
      <c r="J5214">
        <v>3704.9272589071502</v>
      </c>
      <c r="K5214">
        <v>3351.6788053352002</v>
      </c>
      <c r="L5214">
        <v>51.322000000000003</v>
      </c>
      <c r="M5214">
        <v>63.988999999999997</v>
      </c>
      <c r="N5214">
        <v>38.692</v>
      </c>
    </row>
    <row r="5215" spans="1:14" x14ac:dyDescent="0.45">
      <c r="A5215">
        <v>2004</v>
      </c>
      <c r="B5215" t="s">
        <v>253</v>
      </c>
      <c r="C5215">
        <v>0</v>
      </c>
      <c r="D5215">
        <v>0</v>
      </c>
      <c r="E5215">
        <v>0</v>
      </c>
      <c r="F5215">
        <v>0</v>
      </c>
      <c r="G5215">
        <v>0</v>
      </c>
      <c r="H5215">
        <v>1</v>
      </c>
      <c r="I5215">
        <v>1</v>
      </c>
      <c r="L5215">
        <v>58.856000000000002</v>
      </c>
      <c r="M5215">
        <v>77.173000000000002</v>
      </c>
      <c r="N5215">
        <v>7.0670000000000002</v>
      </c>
    </row>
    <row r="5216" spans="1:14" x14ac:dyDescent="0.45">
      <c r="A5216">
        <v>2004</v>
      </c>
      <c r="B5216" t="s">
        <v>254</v>
      </c>
      <c r="C5216">
        <v>0</v>
      </c>
      <c r="D5216">
        <v>0</v>
      </c>
      <c r="E5216">
        <v>1</v>
      </c>
      <c r="F5216">
        <v>0</v>
      </c>
      <c r="G5216">
        <v>0</v>
      </c>
      <c r="H5216">
        <v>0</v>
      </c>
      <c r="I5216">
        <v>0</v>
      </c>
      <c r="J5216">
        <v>2155.24145507813</v>
      </c>
      <c r="K5216">
        <v>1605.36766978122</v>
      </c>
      <c r="L5216">
        <v>75.777000000000001</v>
      </c>
      <c r="M5216">
        <v>56.835999999999999</v>
      </c>
      <c r="N5216">
        <v>99.49</v>
      </c>
    </row>
    <row r="5217" spans="1:14" x14ac:dyDescent="0.45">
      <c r="A5217">
        <v>2004</v>
      </c>
      <c r="B5217" t="s">
        <v>255</v>
      </c>
      <c r="C5217">
        <v>0</v>
      </c>
      <c r="D5217">
        <v>0</v>
      </c>
      <c r="E5217">
        <v>1</v>
      </c>
      <c r="F5217">
        <v>0</v>
      </c>
      <c r="G5217">
        <v>0</v>
      </c>
      <c r="H5217">
        <v>0</v>
      </c>
      <c r="I5217">
        <v>0</v>
      </c>
      <c r="J5217">
        <v>1709.36159216857</v>
      </c>
      <c r="K5217">
        <v>1450.05921692825</v>
      </c>
      <c r="L5217">
        <v>83.492999999999995</v>
      </c>
      <c r="M5217">
        <v>53.698999999999998</v>
      </c>
      <c r="N5217">
        <v>114.39</v>
      </c>
    </row>
    <row r="5218" spans="1:14" x14ac:dyDescent="0.45">
      <c r="A5218">
        <v>2004</v>
      </c>
      <c r="B5218" t="s">
        <v>256</v>
      </c>
      <c r="C5218">
        <v>1</v>
      </c>
      <c r="D5218">
        <v>0</v>
      </c>
      <c r="E5218">
        <v>0</v>
      </c>
      <c r="F5218">
        <v>1</v>
      </c>
      <c r="G5218">
        <v>0</v>
      </c>
      <c r="H5218">
        <v>0</v>
      </c>
      <c r="I5218">
        <v>0</v>
      </c>
      <c r="J5218">
        <v>15021.06640625</v>
      </c>
      <c r="K5218">
        <v>10624.182962213799</v>
      </c>
      <c r="L5218">
        <v>32.402999999999999</v>
      </c>
      <c r="M5218">
        <v>67.471999999999994</v>
      </c>
      <c r="N5218">
        <v>12.843999999999999</v>
      </c>
    </row>
    <row r="5219" spans="1:14" x14ac:dyDescent="0.45">
      <c r="A5219">
        <v>2004</v>
      </c>
      <c r="B5219" t="s">
        <v>257</v>
      </c>
      <c r="C5219">
        <v>0</v>
      </c>
      <c r="D5219">
        <v>1</v>
      </c>
      <c r="E5219">
        <v>0</v>
      </c>
      <c r="F5219">
        <v>0</v>
      </c>
      <c r="G5219">
        <v>1</v>
      </c>
      <c r="H5219">
        <v>0</v>
      </c>
      <c r="I5219">
        <v>0</v>
      </c>
      <c r="J5219">
        <v>17519.379625113299</v>
      </c>
      <c r="K5219">
        <v>13895.8214428062</v>
      </c>
      <c r="L5219">
        <v>6.9219999999999997</v>
      </c>
      <c r="M5219">
        <v>75.319000000000003</v>
      </c>
      <c r="N5219">
        <v>16.079999999999998</v>
      </c>
    </row>
    <row r="5220" spans="1:14" x14ac:dyDescent="0.45">
      <c r="A5220">
        <v>2004</v>
      </c>
      <c r="B5220" t="s">
        <v>258</v>
      </c>
      <c r="C5220">
        <v>0</v>
      </c>
      <c r="D5220">
        <v>0</v>
      </c>
      <c r="E5220">
        <v>0</v>
      </c>
      <c r="F5220">
        <v>0</v>
      </c>
      <c r="G5220">
        <v>0</v>
      </c>
      <c r="H5220">
        <v>1</v>
      </c>
      <c r="I5220">
        <v>1</v>
      </c>
      <c r="J5220">
        <v>58131.633684336499</v>
      </c>
      <c r="K5220">
        <v>52764.607776490899</v>
      </c>
      <c r="L5220">
        <v>20.242999999999999</v>
      </c>
      <c r="M5220">
        <v>77.534999999999997</v>
      </c>
      <c r="N5220">
        <v>8.1430000000000007</v>
      </c>
    </row>
    <row r="5221" spans="1:14" x14ac:dyDescent="0.45">
      <c r="A5221">
        <v>2004</v>
      </c>
      <c r="B5221" t="s">
        <v>259</v>
      </c>
      <c r="C5221">
        <v>1</v>
      </c>
      <c r="D5221">
        <v>0</v>
      </c>
      <c r="E5221">
        <v>0</v>
      </c>
      <c r="F5221">
        <v>0</v>
      </c>
      <c r="G5221">
        <v>0</v>
      </c>
      <c r="H5221">
        <v>0</v>
      </c>
      <c r="I5221">
        <v>0</v>
      </c>
      <c r="J5221">
        <v>3939.53039814876</v>
      </c>
      <c r="K5221">
        <v>3827.3995519016398</v>
      </c>
      <c r="L5221">
        <v>51.945999999999998</v>
      </c>
      <c r="M5221">
        <v>67.203000000000003</v>
      </c>
      <c r="N5221">
        <v>48.747999999999998</v>
      </c>
    </row>
    <row r="5222" spans="1:14" x14ac:dyDescent="0.45">
      <c r="A5222">
        <v>2004</v>
      </c>
      <c r="B5222" t="s">
        <v>260</v>
      </c>
      <c r="C5222">
        <v>0</v>
      </c>
      <c r="D5222">
        <v>1</v>
      </c>
      <c r="E5222">
        <v>0</v>
      </c>
      <c r="F5222">
        <v>0</v>
      </c>
      <c r="G5222">
        <v>1</v>
      </c>
      <c r="H5222">
        <v>0</v>
      </c>
      <c r="I5222">
        <v>0</v>
      </c>
      <c r="J5222">
        <v>11979.907294500999</v>
      </c>
      <c r="K5222">
        <v>10469.9738966164</v>
      </c>
      <c r="L5222">
        <v>53.344000000000001</v>
      </c>
      <c r="M5222">
        <v>70.444999999999993</v>
      </c>
      <c r="N5222">
        <v>23.978000000000002</v>
      </c>
    </row>
    <row r="5223" spans="1:14" x14ac:dyDescent="0.45">
      <c r="A5223">
        <v>2004</v>
      </c>
      <c r="B5223" t="s">
        <v>261</v>
      </c>
      <c r="C5223">
        <v>0</v>
      </c>
      <c r="D5223">
        <v>1</v>
      </c>
      <c r="E5223">
        <v>0</v>
      </c>
      <c r="F5223">
        <v>0</v>
      </c>
      <c r="G5223">
        <v>1</v>
      </c>
      <c r="H5223">
        <v>0</v>
      </c>
      <c r="I5223">
        <v>0</v>
      </c>
      <c r="L5223">
        <v>12.071999999999999</v>
      </c>
      <c r="M5223">
        <v>72.751999999999995</v>
      </c>
      <c r="N5223">
        <v>19.253</v>
      </c>
    </row>
    <row r="5224" spans="1:14" x14ac:dyDescent="0.45">
      <c r="A5224">
        <v>2004</v>
      </c>
      <c r="B5224" t="s">
        <v>262</v>
      </c>
      <c r="C5224">
        <v>0</v>
      </c>
      <c r="D5224">
        <v>1</v>
      </c>
      <c r="E5224">
        <v>0</v>
      </c>
      <c r="F5224">
        <v>0</v>
      </c>
      <c r="G5224">
        <v>0</v>
      </c>
      <c r="H5224">
        <v>1</v>
      </c>
      <c r="I5224">
        <v>1</v>
      </c>
      <c r="L5224">
        <v>57.091000000000001</v>
      </c>
      <c r="M5224">
        <v>75.403999999999996</v>
      </c>
      <c r="N5224">
        <v>16.113</v>
      </c>
    </row>
    <row r="5225" spans="1:14" x14ac:dyDescent="0.45">
      <c r="A5225">
        <v>2004</v>
      </c>
      <c r="B5225" t="s">
        <v>263</v>
      </c>
      <c r="C5225">
        <v>0</v>
      </c>
      <c r="D5225">
        <v>1</v>
      </c>
      <c r="E5225">
        <v>0</v>
      </c>
      <c r="F5225">
        <v>0</v>
      </c>
      <c r="G5225">
        <v>0</v>
      </c>
      <c r="H5225">
        <v>1</v>
      </c>
      <c r="I5225">
        <v>1</v>
      </c>
      <c r="J5225">
        <v>55883.454551086397</v>
      </c>
      <c r="K5225">
        <v>43766.4806792171</v>
      </c>
      <c r="L5225">
        <v>6.5389999999999997</v>
      </c>
      <c r="M5225">
        <v>71.828999999999994</v>
      </c>
      <c r="N5225">
        <v>11.01</v>
      </c>
    </row>
    <row r="5226" spans="1:14" x14ac:dyDescent="0.45">
      <c r="A5226">
        <v>2004</v>
      </c>
      <c r="B5226" t="s">
        <v>264</v>
      </c>
      <c r="C5226">
        <v>0</v>
      </c>
      <c r="D5226">
        <v>0</v>
      </c>
      <c r="E5226">
        <v>0</v>
      </c>
      <c r="F5226">
        <v>0</v>
      </c>
      <c r="G5226">
        <v>0</v>
      </c>
      <c r="H5226">
        <v>0</v>
      </c>
      <c r="I5226">
        <v>0</v>
      </c>
      <c r="J5226">
        <v>5421.0970282912103</v>
      </c>
      <c r="K5226">
        <v>4830.6468126125101</v>
      </c>
      <c r="L5226">
        <v>73.316999999999993</v>
      </c>
      <c r="M5226">
        <v>73.061999999999998</v>
      </c>
      <c r="N5226">
        <v>26.131</v>
      </c>
    </row>
    <row r="5227" spans="1:14" x14ac:dyDescent="0.45">
      <c r="A5227">
        <v>2004</v>
      </c>
      <c r="B5227" t="s">
        <v>265</v>
      </c>
      <c r="C5227">
        <v>0</v>
      </c>
      <c r="D5227">
        <v>0</v>
      </c>
      <c r="E5227">
        <v>0</v>
      </c>
      <c r="F5227">
        <v>1</v>
      </c>
      <c r="G5227">
        <v>0</v>
      </c>
      <c r="H5227">
        <v>0</v>
      </c>
      <c r="I5227">
        <v>0</v>
      </c>
      <c r="J5227">
        <v>3005.7972638978999</v>
      </c>
      <c r="K5227">
        <v>2719.04825046109</v>
      </c>
      <c r="L5227">
        <v>77.191000000000003</v>
      </c>
      <c r="M5227">
        <v>68.984999999999999</v>
      </c>
      <c r="N5227">
        <v>27.556999999999999</v>
      </c>
    </row>
    <row r="5228" spans="1:14" x14ac:dyDescent="0.45">
      <c r="A5228">
        <v>2004</v>
      </c>
      <c r="B5228" t="s">
        <v>266</v>
      </c>
      <c r="C5228">
        <v>0</v>
      </c>
      <c r="D5228">
        <v>0</v>
      </c>
      <c r="E5228">
        <v>0</v>
      </c>
      <c r="F5228">
        <v>1</v>
      </c>
      <c r="G5228">
        <v>0</v>
      </c>
      <c r="H5228">
        <v>0</v>
      </c>
      <c r="I5228">
        <v>0</v>
      </c>
      <c r="J5228">
        <v>5568.3473462223701</v>
      </c>
      <c r="K5228">
        <v>5037.1345038990803</v>
      </c>
      <c r="L5228">
        <v>78.543000000000006</v>
      </c>
      <c r="M5228">
        <v>71.507999999999996</v>
      </c>
      <c r="N5228">
        <v>19.649000000000001</v>
      </c>
    </row>
    <row r="5229" spans="1:14" x14ac:dyDescent="0.45">
      <c r="A5229">
        <v>2004</v>
      </c>
      <c r="B5229" t="s">
        <v>267</v>
      </c>
      <c r="C5229">
        <v>1</v>
      </c>
      <c r="D5229">
        <v>0</v>
      </c>
      <c r="E5229">
        <v>0</v>
      </c>
      <c r="F5229">
        <v>1</v>
      </c>
      <c r="G5229">
        <v>0</v>
      </c>
      <c r="H5229">
        <v>0</v>
      </c>
      <c r="I5229">
        <v>0</v>
      </c>
      <c r="J5229">
        <v>5951.2248184095797</v>
      </c>
      <c r="K5229">
        <v>5401.7662982218199</v>
      </c>
      <c r="L5229">
        <v>46.338999999999999</v>
      </c>
      <c r="M5229">
        <v>73.132000000000005</v>
      </c>
      <c r="N5229">
        <v>33.453000000000003</v>
      </c>
    </row>
    <row r="5230" spans="1:14" x14ac:dyDescent="0.45">
      <c r="A5230">
        <v>2004</v>
      </c>
      <c r="B5230" t="s">
        <v>268</v>
      </c>
      <c r="C5230">
        <v>0</v>
      </c>
      <c r="D5230">
        <v>0</v>
      </c>
      <c r="E5230">
        <v>0</v>
      </c>
      <c r="F5230">
        <v>0</v>
      </c>
      <c r="G5230">
        <v>0</v>
      </c>
      <c r="H5230">
        <v>0</v>
      </c>
      <c r="I5230">
        <v>0</v>
      </c>
      <c r="L5230">
        <v>71.61</v>
      </c>
      <c r="M5230">
        <v>64.881</v>
      </c>
      <c r="N5230">
        <v>75.105000000000004</v>
      </c>
    </row>
    <row r="5231" spans="1:14" x14ac:dyDescent="0.45">
      <c r="A5231">
        <v>2004</v>
      </c>
      <c r="B5231" t="s">
        <v>269</v>
      </c>
      <c r="C5231">
        <v>0</v>
      </c>
      <c r="D5231">
        <v>0</v>
      </c>
      <c r="E5231">
        <v>1</v>
      </c>
      <c r="F5231">
        <v>0</v>
      </c>
      <c r="G5231">
        <v>1</v>
      </c>
      <c r="H5231">
        <v>0</v>
      </c>
      <c r="I5231">
        <v>0</v>
      </c>
      <c r="J5231">
        <v>12356.3163369664</v>
      </c>
      <c r="K5231">
        <v>11633.9800861655</v>
      </c>
      <c r="L5231">
        <v>41.006999999999998</v>
      </c>
      <c r="M5231">
        <v>53.963000000000001</v>
      </c>
      <c r="N5231">
        <v>79.813000000000002</v>
      </c>
    </row>
    <row r="5232" spans="1:14" x14ac:dyDescent="0.45">
      <c r="A5232">
        <v>2004</v>
      </c>
      <c r="B5232" t="s">
        <v>270</v>
      </c>
      <c r="C5232">
        <v>0</v>
      </c>
      <c r="D5232">
        <v>0</v>
      </c>
      <c r="E5232">
        <v>1</v>
      </c>
      <c r="F5232">
        <v>0</v>
      </c>
      <c r="G5232">
        <v>0</v>
      </c>
      <c r="H5232">
        <v>0</v>
      </c>
      <c r="I5232">
        <v>0</v>
      </c>
      <c r="J5232">
        <v>2471.7207332868502</v>
      </c>
      <c r="K5232">
        <v>2320.5929724235598</v>
      </c>
      <c r="L5232">
        <v>63.57</v>
      </c>
      <c r="M5232">
        <v>50.54</v>
      </c>
      <c r="N5232">
        <v>116.44499999999999</v>
      </c>
    </row>
    <row r="5233" spans="1:14" x14ac:dyDescent="0.45">
      <c r="A5233">
        <v>2004</v>
      </c>
      <c r="B5233" t="s">
        <v>271</v>
      </c>
      <c r="C5233">
        <v>0</v>
      </c>
      <c r="D5233">
        <v>0</v>
      </c>
      <c r="E5233">
        <v>1</v>
      </c>
      <c r="F5233">
        <v>0</v>
      </c>
      <c r="G5233">
        <v>0</v>
      </c>
      <c r="H5233">
        <v>0</v>
      </c>
      <c r="I5233">
        <v>0</v>
      </c>
      <c r="J5233">
        <v>2828.84335235764</v>
      </c>
      <c r="K5233">
        <v>1883.5454236017499</v>
      </c>
      <c r="L5233">
        <v>65.706000000000003</v>
      </c>
      <c r="M5233">
        <v>46.042999999999999</v>
      </c>
      <c r="N5233">
        <v>91.623000000000005</v>
      </c>
    </row>
    <row r="5234" spans="1:14" x14ac:dyDescent="0.45">
      <c r="A5234">
        <v>2005</v>
      </c>
      <c r="B5234" t="s">
        <v>54</v>
      </c>
      <c r="C5234">
        <v>0</v>
      </c>
      <c r="D5234">
        <v>1</v>
      </c>
      <c r="E5234">
        <v>0</v>
      </c>
      <c r="F5234">
        <v>0</v>
      </c>
      <c r="G5234">
        <v>0</v>
      </c>
      <c r="H5234">
        <v>1</v>
      </c>
      <c r="I5234">
        <v>1</v>
      </c>
      <c r="J5234">
        <v>40608.819694825797</v>
      </c>
      <c r="K5234">
        <v>39520.799726595098</v>
      </c>
      <c r="L5234">
        <v>55.125</v>
      </c>
      <c r="M5234">
        <v>73.415000000000006</v>
      </c>
      <c r="N5234">
        <v>19.795000000000002</v>
      </c>
    </row>
    <row r="5235" spans="1:14" x14ac:dyDescent="0.45">
      <c r="A5235">
        <v>2005</v>
      </c>
      <c r="B5235" t="s">
        <v>55</v>
      </c>
      <c r="C5235">
        <v>0</v>
      </c>
      <c r="D5235">
        <v>0</v>
      </c>
      <c r="E5235">
        <v>0</v>
      </c>
      <c r="F5235">
        <v>0</v>
      </c>
      <c r="G5235">
        <v>0</v>
      </c>
      <c r="H5235">
        <v>0</v>
      </c>
      <c r="I5235">
        <v>0</v>
      </c>
      <c r="J5235">
        <v>1908.11478234587</v>
      </c>
      <c r="K5235">
        <v>1509.30185742191</v>
      </c>
      <c r="L5235">
        <v>77.296999999999997</v>
      </c>
      <c r="M5235">
        <v>58.247</v>
      </c>
      <c r="N5235">
        <v>109.474</v>
      </c>
    </row>
    <row r="5236" spans="1:14" x14ac:dyDescent="0.45">
      <c r="A5236">
        <v>2005</v>
      </c>
      <c r="B5236" t="s">
        <v>56</v>
      </c>
      <c r="C5236">
        <v>0</v>
      </c>
      <c r="D5236">
        <v>0</v>
      </c>
      <c r="E5236">
        <v>1</v>
      </c>
      <c r="F5236">
        <v>1</v>
      </c>
      <c r="G5236">
        <v>0</v>
      </c>
      <c r="H5236">
        <v>0</v>
      </c>
      <c r="I5236">
        <v>0</v>
      </c>
      <c r="J5236">
        <v>7845.8901527154203</v>
      </c>
      <c r="K5236">
        <v>6067.6253907097298</v>
      </c>
      <c r="L5236">
        <v>44</v>
      </c>
      <c r="M5236">
        <v>52.13</v>
      </c>
      <c r="N5236">
        <v>163.18299999999999</v>
      </c>
    </row>
    <row r="5237" spans="1:14" x14ac:dyDescent="0.45">
      <c r="A5237">
        <v>2005</v>
      </c>
      <c r="B5237" t="s">
        <v>57</v>
      </c>
      <c r="C5237">
        <v>1</v>
      </c>
      <c r="D5237">
        <v>0</v>
      </c>
      <c r="E5237">
        <v>0</v>
      </c>
      <c r="F5237">
        <v>1</v>
      </c>
      <c r="G5237">
        <v>0</v>
      </c>
      <c r="H5237">
        <v>0</v>
      </c>
      <c r="I5237">
        <v>0</v>
      </c>
      <c r="J5237">
        <v>8963.8039512524301</v>
      </c>
      <c r="K5237">
        <v>8120.7952309645998</v>
      </c>
      <c r="L5237">
        <v>53.268999999999998</v>
      </c>
      <c r="M5237">
        <v>76.427000000000007</v>
      </c>
      <c r="N5237">
        <v>19.811</v>
      </c>
    </row>
    <row r="5238" spans="1:14" x14ac:dyDescent="0.45">
      <c r="A5238">
        <v>2005</v>
      </c>
      <c r="B5238" t="s">
        <v>58</v>
      </c>
      <c r="C5238">
        <v>1</v>
      </c>
      <c r="D5238">
        <v>0</v>
      </c>
      <c r="E5238">
        <v>0</v>
      </c>
      <c r="F5238">
        <v>0</v>
      </c>
      <c r="G5238">
        <v>0</v>
      </c>
      <c r="H5238">
        <v>1</v>
      </c>
      <c r="I5238">
        <v>1</v>
      </c>
      <c r="J5238">
        <v>65114.805366302098</v>
      </c>
      <c r="K5238">
        <v>54658.906518240998</v>
      </c>
      <c r="L5238">
        <v>9.7149999999999999</v>
      </c>
      <c r="M5238">
        <v>83.085999999999999</v>
      </c>
      <c r="N5238">
        <v>6.7510000000000003</v>
      </c>
    </row>
    <row r="5239" spans="1:14" x14ac:dyDescent="0.45">
      <c r="A5239">
        <v>2005</v>
      </c>
      <c r="B5239" t="s">
        <v>59</v>
      </c>
      <c r="C5239">
        <v>0</v>
      </c>
      <c r="D5239">
        <v>0</v>
      </c>
      <c r="E5239">
        <v>0</v>
      </c>
      <c r="F5239">
        <v>0</v>
      </c>
      <c r="G5239">
        <v>0</v>
      </c>
      <c r="H5239">
        <v>1</v>
      </c>
      <c r="I5239">
        <v>1</v>
      </c>
      <c r="J5239">
        <v>89986.131121605198</v>
      </c>
      <c r="K5239">
        <v>88903.480101346198</v>
      </c>
      <c r="L5239">
        <v>17.738</v>
      </c>
      <c r="M5239">
        <v>80.778999999999996</v>
      </c>
      <c r="N5239">
        <v>9.7750000000000004</v>
      </c>
    </row>
    <row r="5240" spans="1:14" x14ac:dyDescent="0.45">
      <c r="A5240">
        <v>2005</v>
      </c>
      <c r="B5240" t="s">
        <v>60</v>
      </c>
      <c r="C5240">
        <v>0</v>
      </c>
      <c r="D5240">
        <v>1</v>
      </c>
      <c r="E5240">
        <v>0</v>
      </c>
      <c r="F5240">
        <v>0</v>
      </c>
      <c r="G5240">
        <v>1</v>
      </c>
      <c r="H5240">
        <v>0</v>
      </c>
      <c r="I5240">
        <v>0</v>
      </c>
      <c r="J5240">
        <v>23262.4075792816</v>
      </c>
      <c r="K5240">
        <v>19198.692736238099</v>
      </c>
      <c r="L5240">
        <v>9.9689999999999905</v>
      </c>
      <c r="M5240">
        <v>75.230999999999995</v>
      </c>
      <c r="N5240">
        <v>17.853999999999999</v>
      </c>
    </row>
    <row r="5241" spans="1:14" x14ac:dyDescent="0.45">
      <c r="A5241">
        <v>2005</v>
      </c>
      <c r="B5241" t="s">
        <v>61</v>
      </c>
      <c r="C5241">
        <v>1</v>
      </c>
      <c r="D5241">
        <v>0</v>
      </c>
      <c r="E5241">
        <v>0</v>
      </c>
      <c r="F5241">
        <v>1</v>
      </c>
      <c r="G5241">
        <v>0</v>
      </c>
      <c r="H5241">
        <v>0</v>
      </c>
      <c r="I5241">
        <v>0</v>
      </c>
      <c r="J5241">
        <v>8362.9008403711905</v>
      </c>
      <c r="K5241">
        <v>7084.2235996067002</v>
      </c>
      <c r="L5241">
        <v>36.061999999999998</v>
      </c>
      <c r="M5241">
        <v>72.081999999999994</v>
      </c>
      <c r="N5241">
        <v>23.975000000000001</v>
      </c>
    </row>
    <row r="5242" spans="1:14" x14ac:dyDescent="0.45">
      <c r="A5242">
        <v>2005</v>
      </c>
      <c r="B5242" t="s">
        <v>62</v>
      </c>
      <c r="C5242">
        <v>0</v>
      </c>
      <c r="D5242">
        <v>0</v>
      </c>
      <c r="E5242">
        <v>0</v>
      </c>
      <c r="F5242">
        <v>0</v>
      </c>
      <c r="G5242">
        <v>1</v>
      </c>
      <c r="H5242">
        <v>0</v>
      </c>
      <c r="I5242">
        <v>0</v>
      </c>
      <c r="L5242">
        <v>11.9</v>
      </c>
      <c r="M5242">
        <v>72.382000000000005</v>
      </c>
      <c r="N5242">
        <v>12.208</v>
      </c>
    </row>
    <row r="5243" spans="1:14" x14ac:dyDescent="0.45">
      <c r="A5243">
        <v>2005</v>
      </c>
      <c r="B5243" t="s">
        <v>63</v>
      </c>
      <c r="C5243">
        <v>0</v>
      </c>
      <c r="D5243">
        <v>1</v>
      </c>
      <c r="E5243">
        <v>0</v>
      </c>
      <c r="F5243">
        <v>0</v>
      </c>
      <c r="G5243">
        <v>0</v>
      </c>
      <c r="H5243">
        <v>1</v>
      </c>
      <c r="I5243">
        <v>1</v>
      </c>
      <c r="J5243">
        <v>27692.634871178001</v>
      </c>
      <c r="K5243">
        <v>21810.631469371201</v>
      </c>
      <c r="L5243">
        <v>70.781999999999996</v>
      </c>
      <c r="M5243">
        <v>75.364000000000004</v>
      </c>
      <c r="N5243">
        <v>13.257999999999999</v>
      </c>
    </row>
    <row r="5244" spans="1:14" x14ac:dyDescent="0.45">
      <c r="A5244">
        <v>2005</v>
      </c>
      <c r="B5244" t="s">
        <v>64</v>
      </c>
      <c r="C5244">
        <v>0</v>
      </c>
      <c r="D5244">
        <v>0</v>
      </c>
      <c r="E5244">
        <v>0</v>
      </c>
      <c r="F5244">
        <v>0</v>
      </c>
      <c r="G5244">
        <v>0</v>
      </c>
      <c r="H5244">
        <v>1</v>
      </c>
      <c r="I5244">
        <v>1</v>
      </c>
      <c r="J5244">
        <v>49914.514635182903</v>
      </c>
      <c r="K5244">
        <v>43233.536262390298</v>
      </c>
      <c r="L5244">
        <v>15.417999999999999</v>
      </c>
      <c r="M5244">
        <v>81.091999999999999</v>
      </c>
      <c r="N5244">
        <v>6.02</v>
      </c>
    </row>
    <row r="5245" spans="1:14" x14ac:dyDescent="0.45">
      <c r="A5245">
        <v>2005</v>
      </c>
      <c r="B5245" t="s">
        <v>65</v>
      </c>
      <c r="C5245">
        <v>1</v>
      </c>
      <c r="D5245">
        <v>0</v>
      </c>
      <c r="E5245">
        <v>0</v>
      </c>
      <c r="F5245">
        <v>0</v>
      </c>
      <c r="G5245">
        <v>0</v>
      </c>
      <c r="H5245">
        <v>1</v>
      </c>
      <c r="I5245">
        <v>1</v>
      </c>
      <c r="J5245">
        <v>56959.6381151635</v>
      </c>
      <c r="K5245">
        <v>48538.470842146096</v>
      </c>
      <c r="L5245">
        <v>41.186999999999998</v>
      </c>
      <c r="M5245">
        <v>79.52</v>
      </c>
      <c r="N5245">
        <v>5.0049999999999999</v>
      </c>
    </row>
    <row r="5246" spans="1:14" x14ac:dyDescent="0.45">
      <c r="A5246">
        <v>2005</v>
      </c>
      <c r="B5246" t="s">
        <v>66</v>
      </c>
      <c r="C5246">
        <v>1</v>
      </c>
      <c r="D5246">
        <v>0</v>
      </c>
      <c r="E5246">
        <v>0</v>
      </c>
      <c r="F5246">
        <v>1</v>
      </c>
      <c r="G5246">
        <v>0</v>
      </c>
      <c r="H5246">
        <v>0</v>
      </c>
      <c r="I5246">
        <v>0</v>
      </c>
      <c r="J5246">
        <v>10054.100337324</v>
      </c>
      <c r="K5246">
        <v>7321.5200862817701</v>
      </c>
      <c r="L5246">
        <v>47.610999999999997</v>
      </c>
      <c r="M5246">
        <v>67.709999999999994</v>
      </c>
      <c r="N5246">
        <v>52.838000000000001</v>
      </c>
    </row>
    <row r="5247" spans="1:14" x14ac:dyDescent="0.45">
      <c r="A5247">
        <v>2005</v>
      </c>
      <c r="B5247" t="s">
        <v>67</v>
      </c>
      <c r="C5247">
        <v>0</v>
      </c>
      <c r="D5247">
        <v>0</v>
      </c>
      <c r="E5247">
        <v>1</v>
      </c>
      <c r="F5247">
        <v>0</v>
      </c>
      <c r="G5247">
        <v>0</v>
      </c>
      <c r="H5247">
        <v>0</v>
      </c>
      <c r="I5247">
        <v>0</v>
      </c>
      <c r="J5247">
        <v>938.38159731008398</v>
      </c>
      <c r="K5247">
        <v>810.858581567128</v>
      </c>
      <c r="L5247">
        <v>90.625</v>
      </c>
      <c r="M5247">
        <v>53.052999999999997</v>
      </c>
      <c r="N5247">
        <v>122.643</v>
      </c>
    </row>
    <row r="5248" spans="1:14" x14ac:dyDescent="0.45">
      <c r="A5248">
        <v>2005</v>
      </c>
      <c r="B5248" t="s">
        <v>68</v>
      </c>
      <c r="C5248">
        <v>1</v>
      </c>
      <c r="D5248">
        <v>0</v>
      </c>
      <c r="E5248">
        <v>0</v>
      </c>
      <c r="F5248">
        <v>0</v>
      </c>
      <c r="G5248">
        <v>0</v>
      </c>
      <c r="H5248">
        <v>1</v>
      </c>
      <c r="I5248">
        <v>1</v>
      </c>
      <c r="J5248">
        <v>54370.870380369801</v>
      </c>
      <c r="K5248">
        <v>45753.991420897699</v>
      </c>
      <c r="L5248">
        <v>2.5969999999999902</v>
      </c>
      <c r="M5248">
        <v>79.052999999999997</v>
      </c>
      <c r="N5248">
        <v>4.7759999999999998</v>
      </c>
    </row>
    <row r="5249" spans="1:14" x14ac:dyDescent="0.45">
      <c r="A5249">
        <v>2005</v>
      </c>
      <c r="B5249" t="s">
        <v>69</v>
      </c>
      <c r="C5249">
        <v>0</v>
      </c>
      <c r="D5249">
        <v>0</v>
      </c>
      <c r="E5249">
        <v>1</v>
      </c>
      <c r="F5249">
        <v>0</v>
      </c>
      <c r="G5249">
        <v>0</v>
      </c>
      <c r="H5249">
        <v>0</v>
      </c>
      <c r="I5249">
        <v>0</v>
      </c>
      <c r="J5249">
        <v>2632.4725145432799</v>
      </c>
      <c r="K5249">
        <v>2497.5632591447502</v>
      </c>
      <c r="L5249">
        <v>59.457000000000001</v>
      </c>
      <c r="M5249">
        <v>57.738</v>
      </c>
      <c r="N5249">
        <v>121.414</v>
      </c>
    </row>
    <row r="5250" spans="1:14" x14ac:dyDescent="0.45">
      <c r="A5250">
        <v>2005</v>
      </c>
      <c r="B5250" t="s">
        <v>70</v>
      </c>
      <c r="C5250">
        <v>0</v>
      </c>
      <c r="D5250">
        <v>0</v>
      </c>
      <c r="E5250">
        <v>1</v>
      </c>
      <c r="F5250">
        <v>0</v>
      </c>
      <c r="G5250">
        <v>0</v>
      </c>
      <c r="H5250">
        <v>0</v>
      </c>
      <c r="I5250">
        <v>0</v>
      </c>
      <c r="J5250">
        <v>1664.9954318002301</v>
      </c>
      <c r="K5250">
        <v>1523.3660699388499</v>
      </c>
      <c r="L5250">
        <v>78.462999999999994</v>
      </c>
      <c r="M5250">
        <v>53.271000000000001</v>
      </c>
      <c r="N5250">
        <v>151.958</v>
      </c>
    </row>
    <row r="5251" spans="1:14" x14ac:dyDescent="0.45">
      <c r="A5251">
        <v>2005</v>
      </c>
      <c r="B5251" t="s">
        <v>71</v>
      </c>
      <c r="C5251">
        <v>0</v>
      </c>
      <c r="D5251">
        <v>0</v>
      </c>
      <c r="E5251">
        <v>0</v>
      </c>
      <c r="F5251">
        <v>0</v>
      </c>
      <c r="G5251">
        <v>0</v>
      </c>
      <c r="H5251">
        <v>0</v>
      </c>
      <c r="I5251">
        <v>0</v>
      </c>
      <c r="J5251">
        <v>3231.6137069289098</v>
      </c>
      <c r="K5251">
        <v>2627.28437966202</v>
      </c>
      <c r="L5251">
        <v>73.191000000000003</v>
      </c>
      <c r="M5251">
        <v>65.509</v>
      </c>
      <c r="N5251">
        <v>64.691999999999993</v>
      </c>
    </row>
    <row r="5252" spans="1:14" x14ac:dyDescent="0.45">
      <c r="A5252">
        <v>2005</v>
      </c>
      <c r="B5252" t="s">
        <v>72</v>
      </c>
      <c r="C5252">
        <v>1</v>
      </c>
      <c r="D5252">
        <v>0</v>
      </c>
      <c r="E5252">
        <v>0</v>
      </c>
      <c r="F5252">
        <v>1</v>
      </c>
      <c r="G5252">
        <v>0</v>
      </c>
      <c r="H5252">
        <v>0</v>
      </c>
      <c r="I5252">
        <v>0</v>
      </c>
      <c r="J5252">
        <v>17671.1932987041</v>
      </c>
      <c r="K5252">
        <v>14663.546881909801</v>
      </c>
      <c r="L5252">
        <v>29.416</v>
      </c>
      <c r="M5252">
        <v>72.558999999999997</v>
      </c>
      <c r="N5252">
        <v>12.739000000000001</v>
      </c>
    </row>
    <row r="5253" spans="1:14" x14ac:dyDescent="0.45">
      <c r="A5253">
        <v>2005</v>
      </c>
      <c r="B5253" t="s">
        <v>73</v>
      </c>
      <c r="C5253">
        <v>0</v>
      </c>
      <c r="D5253">
        <v>0</v>
      </c>
      <c r="E5253">
        <v>0</v>
      </c>
      <c r="F5253">
        <v>0</v>
      </c>
      <c r="G5253">
        <v>0</v>
      </c>
      <c r="H5253">
        <v>1</v>
      </c>
      <c r="I5253">
        <v>1</v>
      </c>
      <c r="J5253">
        <v>53478.2662415503</v>
      </c>
      <c r="K5253">
        <v>49829.029579085603</v>
      </c>
      <c r="L5253">
        <v>11.577999999999999</v>
      </c>
      <c r="M5253">
        <v>76.125</v>
      </c>
      <c r="N5253">
        <v>10.571</v>
      </c>
    </row>
    <row r="5254" spans="1:14" x14ac:dyDescent="0.45">
      <c r="A5254">
        <v>2005</v>
      </c>
      <c r="B5254" t="s">
        <v>74</v>
      </c>
      <c r="C5254">
        <v>0</v>
      </c>
      <c r="D5254">
        <v>1</v>
      </c>
      <c r="E5254">
        <v>0</v>
      </c>
      <c r="F5254">
        <v>0</v>
      </c>
      <c r="G5254">
        <v>0</v>
      </c>
      <c r="H5254">
        <v>1</v>
      </c>
      <c r="I5254">
        <v>1</v>
      </c>
      <c r="J5254">
        <v>35365.377573022102</v>
      </c>
      <c r="K5254">
        <v>36684.0105054163</v>
      </c>
      <c r="L5254">
        <v>17.782</v>
      </c>
      <c r="M5254">
        <v>73.412999999999997</v>
      </c>
      <c r="N5254">
        <v>16.622</v>
      </c>
    </row>
    <row r="5255" spans="1:14" x14ac:dyDescent="0.45">
      <c r="A5255">
        <v>2005</v>
      </c>
      <c r="B5255" t="s">
        <v>75</v>
      </c>
      <c r="C5255">
        <v>1</v>
      </c>
      <c r="D5255">
        <v>0</v>
      </c>
      <c r="E5255">
        <v>0</v>
      </c>
      <c r="F5255">
        <v>1</v>
      </c>
      <c r="G5255">
        <v>0</v>
      </c>
      <c r="H5255">
        <v>0</v>
      </c>
      <c r="I5255">
        <v>0</v>
      </c>
      <c r="J5255">
        <v>9811.2106913014395</v>
      </c>
      <c r="K5255">
        <v>8475.5251371529394</v>
      </c>
      <c r="L5255">
        <v>56.034999999999997</v>
      </c>
      <c r="M5255">
        <v>76.424000000000007</v>
      </c>
      <c r="N5255">
        <v>7.6639999999999997</v>
      </c>
    </row>
    <row r="5256" spans="1:14" x14ac:dyDescent="0.45">
      <c r="A5256">
        <v>2005</v>
      </c>
      <c r="B5256" t="s">
        <v>76</v>
      </c>
      <c r="C5256">
        <v>1</v>
      </c>
      <c r="D5256">
        <v>0</v>
      </c>
      <c r="E5256">
        <v>0</v>
      </c>
      <c r="F5256">
        <v>1</v>
      </c>
      <c r="G5256">
        <v>0</v>
      </c>
      <c r="H5256">
        <v>0</v>
      </c>
      <c r="I5256">
        <v>0</v>
      </c>
      <c r="J5256">
        <v>16579.873164565401</v>
      </c>
      <c r="K5256">
        <v>11970.5866574222</v>
      </c>
      <c r="L5256">
        <v>27.646000000000001</v>
      </c>
      <c r="M5256">
        <v>68.981999999999999</v>
      </c>
      <c r="N5256">
        <v>8.6069999999999993</v>
      </c>
    </row>
    <row r="5257" spans="1:14" x14ac:dyDescent="0.45">
      <c r="A5257">
        <v>2005</v>
      </c>
      <c r="B5257" t="s">
        <v>77</v>
      </c>
      <c r="C5257">
        <v>0</v>
      </c>
      <c r="D5257">
        <v>1</v>
      </c>
      <c r="E5257">
        <v>0</v>
      </c>
      <c r="F5257">
        <v>0</v>
      </c>
      <c r="G5257">
        <v>1</v>
      </c>
      <c r="H5257">
        <v>0</v>
      </c>
      <c r="I5257">
        <v>0</v>
      </c>
      <c r="J5257">
        <v>12702.741981785</v>
      </c>
      <c r="K5257">
        <v>10010.944288569401</v>
      </c>
      <c r="L5257">
        <v>54.686999999999998</v>
      </c>
      <c r="M5257">
        <v>70.334999999999994</v>
      </c>
      <c r="N5257">
        <v>21.113</v>
      </c>
    </row>
    <row r="5258" spans="1:14" x14ac:dyDescent="0.45">
      <c r="A5258">
        <v>2005</v>
      </c>
      <c r="B5258" t="s">
        <v>78</v>
      </c>
      <c r="C5258">
        <v>0</v>
      </c>
      <c r="D5258">
        <v>0</v>
      </c>
      <c r="E5258">
        <v>0</v>
      </c>
      <c r="F5258">
        <v>0</v>
      </c>
      <c r="G5258">
        <v>0</v>
      </c>
      <c r="H5258">
        <v>1</v>
      </c>
      <c r="I5258">
        <v>1</v>
      </c>
      <c r="J5258">
        <v>109335.385931485</v>
      </c>
      <c r="K5258">
        <v>97140.545387910402</v>
      </c>
      <c r="L5258">
        <v>0</v>
      </c>
      <c r="M5258">
        <v>78.873999999999995</v>
      </c>
      <c r="N5258">
        <v>4.8280000000000003</v>
      </c>
    </row>
    <row r="5259" spans="1:14" x14ac:dyDescent="0.45">
      <c r="A5259">
        <v>2005</v>
      </c>
      <c r="B5259" t="s">
        <v>79</v>
      </c>
      <c r="C5259">
        <v>0</v>
      </c>
      <c r="D5259">
        <v>1</v>
      </c>
      <c r="E5259">
        <v>0</v>
      </c>
      <c r="F5259">
        <v>1</v>
      </c>
      <c r="G5259">
        <v>0</v>
      </c>
      <c r="H5259">
        <v>0</v>
      </c>
      <c r="I5259">
        <v>0</v>
      </c>
      <c r="J5259">
        <v>6579.3122886782503</v>
      </c>
      <c r="K5259">
        <v>5806.5734598578902</v>
      </c>
      <c r="L5259">
        <v>35.83</v>
      </c>
      <c r="M5259">
        <v>64.182000000000002</v>
      </c>
      <c r="N5259">
        <v>77.552999999999997</v>
      </c>
    </row>
    <row r="5260" spans="1:14" x14ac:dyDescent="0.45">
      <c r="A5260">
        <v>2005</v>
      </c>
      <c r="B5260" t="s">
        <v>80</v>
      </c>
      <c r="C5260">
        <v>0</v>
      </c>
      <c r="D5260">
        <v>1</v>
      </c>
      <c r="E5260">
        <v>0</v>
      </c>
      <c r="F5260">
        <v>1</v>
      </c>
      <c r="G5260">
        <v>0</v>
      </c>
      <c r="H5260">
        <v>0</v>
      </c>
      <c r="I5260">
        <v>0</v>
      </c>
      <c r="J5260">
        <v>15221.0138281541</v>
      </c>
      <c r="K5260">
        <v>12502.6798995506</v>
      </c>
      <c r="L5260">
        <v>17.166</v>
      </c>
      <c r="M5260">
        <v>71.831999999999994</v>
      </c>
      <c r="N5260">
        <v>24.826000000000001</v>
      </c>
    </row>
    <row r="5261" spans="1:14" x14ac:dyDescent="0.45">
      <c r="A5261">
        <v>2005</v>
      </c>
      <c r="B5261" t="s">
        <v>81</v>
      </c>
      <c r="C5261">
        <v>0</v>
      </c>
      <c r="D5261">
        <v>1</v>
      </c>
      <c r="E5261">
        <v>0</v>
      </c>
      <c r="F5261">
        <v>0</v>
      </c>
      <c r="G5261">
        <v>1</v>
      </c>
      <c r="H5261">
        <v>0</v>
      </c>
      <c r="I5261">
        <v>0</v>
      </c>
      <c r="J5261">
        <v>19488.0025214134</v>
      </c>
      <c r="K5261">
        <v>18612.982817213</v>
      </c>
      <c r="L5261">
        <v>67.159000000000006</v>
      </c>
      <c r="M5261">
        <v>74.959999999999994</v>
      </c>
      <c r="N5261">
        <v>15.196999999999999</v>
      </c>
    </row>
    <row r="5262" spans="1:14" x14ac:dyDescent="0.45">
      <c r="A5262">
        <v>2005</v>
      </c>
      <c r="B5262" t="s">
        <v>82</v>
      </c>
      <c r="C5262">
        <v>0</v>
      </c>
      <c r="D5262">
        <v>0</v>
      </c>
      <c r="E5262">
        <v>0</v>
      </c>
      <c r="F5262">
        <v>0</v>
      </c>
      <c r="G5262">
        <v>0</v>
      </c>
      <c r="H5262">
        <v>1</v>
      </c>
      <c r="I5262">
        <v>1</v>
      </c>
      <c r="J5262">
        <v>99795.6851205821</v>
      </c>
      <c r="K5262">
        <v>77920.917403705796</v>
      </c>
      <c r="L5262">
        <v>26.837</v>
      </c>
      <c r="M5262">
        <v>74.683000000000007</v>
      </c>
      <c r="N5262">
        <v>9.6359999999999992</v>
      </c>
    </row>
    <row r="5263" spans="1:14" x14ac:dyDescent="0.45">
      <c r="A5263">
        <v>2005</v>
      </c>
      <c r="B5263" t="s">
        <v>83</v>
      </c>
      <c r="C5263">
        <v>0</v>
      </c>
      <c r="D5263">
        <v>0</v>
      </c>
      <c r="E5263">
        <v>0</v>
      </c>
      <c r="F5263">
        <v>0</v>
      </c>
      <c r="G5263">
        <v>0</v>
      </c>
      <c r="H5263">
        <v>0</v>
      </c>
      <c r="I5263">
        <v>0</v>
      </c>
      <c r="J5263">
        <v>6850.8044160933396</v>
      </c>
      <c r="K5263">
        <v>5933.6629838594899</v>
      </c>
      <c r="L5263">
        <v>69.034999999999997</v>
      </c>
      <c r="M5263">
        <v>65.875</v>
      </c>
      <c r="N5263">
        <v>56.790999999999997</v>
      </c>
    </row>
    <row r="5264" spans="1:14" x14ac:dyDescent="0.45">
      <c r="A5264">
        <v>2005</v>
      </c>
      <c r="B5264" t="s">
        <v>84</v>
      </c>
      <c r="C5264">
        <v>0</v>
      </c>
      <c r="D5264">
        <v>0</v>
      </c>
      <c r="E5264">
        <v>1</v>
      </c>
      <c r="F5264">
        <v>0</v>
      </c>
      <c r="G5264">
        <v>1</v>
      </c>
      <c r="H5264">
        <v>0</v>
      </c>
      <c r="I5264">
        <v>0</v>
      </c>
      <c r="J5264">
        <v>14361.957631482001</v>
      </c>
      <c r="K5264">
        <v>12994.5044445556</v>
      </c>
      <c r="L5264">
        <v>44.055999999999997</v>
      </c>
      <c r="M5264">
        <v>54.386000000000003</v>
      </c>
      <c r="N5264">
        <v>68.86</v>
      </c>
    </row>
    <row r="5265" spans="1:14" x14ac:dyDescent="0.45">
      <c r="A5265">
        <v>2005</v>
      </c>
      <c r="B5265" t="s">
        <v>85</v>
      </c>
      <c r="C5265">
        <v>0</v>
      </c>
      <c r="D5265">
        <v>0</v>
      </c>
      <c r="E5265">
        <v>1</v>
      </c>
      <c r="F5265">
        <v>0</v>
      </c>
      <c r="G5265">
        <v>0</v>
      </c>
      <c r="H5265">
        <v>0</v>
      </c>
      <c r="I5265">
        <v>0</v>
      </c>
      <c r="J5265">
        <v>1219.5939445674001</v>
      </c>
      <c r="K5265">
        <v>976.46828656638502</v>
      </c>
      <c r="L5265">
        <v>61.930999999999997</v>
      </c>
      <c r="M5265">
        <v>48.207000000000001</v>
      </c>
      <c r="N5265">
        <v>147.875</v>
      </c>
    </row>
    <row r="5266" spans="1:14" x14ac:dyDescent="0.45">
      <c r="A5266">
        <v>2005</v>
      </c>
      <c r="B5266" t="s">
        <v>86</v>
      </c>
      <c r="C5266">
        <v>0</v>
      </c>
      <c r="D5266">
        <v>0</v>
      </c>
      <c r="E5266">
        <v>0</v>
      </c>
      <c r="F5266">
        <v>0</v>
      </c>
      <c r="G5266">
        <v>0</v>
      </c>
      <c r="H5266">
        <v>1</v>
      </c>
      <c r="I5266">
        <v>1</v>
      </c>
      <c r="J5266">
        <v>52356.5578038534</v>
      </c>
      <c r="K5266">
        <v>45320.704273322997</v>
      </c>
      <c r="L5266">
        <v>19.878</v>
      </c>
      <c r="M5266">
        <v>80.131</v>
      </c>
      <c r="N5266">
        <v>6.2649999999999997</v>
      </c>
    </row>
    <row r="5267" spans="1:14" x14ac:dyDescent="0.45">
      <c r="A5267">
        <v>2005</v>
      </c>
      <c r="B5267" t="s">
        <v>87</v>
      </c>
      <c r="C5267">
        <v>1</v>
      </c>
      <c r="D5267">
        <v>0</v>
      </c>
      <c r="E5267">
        <v>0</v>
      </c>
      <c r="F5267">
        <v>0</v>
      </c>
      <c r="G5267">
        <v>0</v>
      </c>
      <c r="H5267">
        <v>1</v>
      </c>
      <c r="I5267">
        <v>1</v>
      </c>
      <c r="J5267">
        <v>69692.595482749297</v>
      </c>
      <c r="K5267">
        <v>60630.251352987201</v>
      </c>
      <c r="L5267">
        <v>26.521999999999998</v>
      </c>
      <c r="M5267">
        <v>81.236000000000004</v>
      </c>
      <c r="N5267">
        <v>5.0060000000000002</v>
      </c>
    </row>
    <row r="5268" spans="1:14" x14ac:dyDescent="0.45">
      <c r="A5268">
        <v>2005</v>
      </c>
      <c r="B5268" t="s">
        <v>88</v>
      </c>
      <c r="C5268">
        <v>1</v>
      </c>
      <c r="D5268">
        <v>0</v>
      </c>
      <c r="E5268">
        <v>0</v>
      </c>
      <c r="F5268">
        <v>0</v>
      </c>
      <c r="G5268">
        <v>0</v>
      </c>
      <c r="H5268">
        <v>1</v>
      </c>
      <c r="I5268">
        <v>1</v>
      </c>
      <c r="L5268">
        <v>69.257000000000005</v>
      </c>
      <c r="M5268">
        <v>80.100246875122394</v>
      </c>
      <c r="N5268">
        <v>9.7050433499209792</v>
      </c>
    </row>
    <row r="5269" spans="1:14" x14ac:dyDescent="0.45">
      <c r="A5269">
        <v>2005</v>
      </c>
      <c r="B5269" t="s">
        <v>89</v>
      </c>
      <c r="C5269">
        <v>0</v>
      </c>
      <c r="D5269">
        <v>1</v>
      </c>
      <c r="E5269">
        <v>0</v>
      </c>
      <c r="F5269">
        <v>0</v>
      </c>
      <c r="G5269">
        <v>1</v>
      </c>
      <c r="H5269">
        <v>0</v>
      </c>
      <c r="I5269">
        <v>0</v>
      </c>
      <c r="J5269">
        <v>20918.5275760681</v>
      </c>
      <c r="K5269">
        <v>18221.7517294028</v>
      </c>
      <c r="L5269">
        <v>13.217000000000001</v>
      </c>
      <c r="M5269">
        <v>78.459000000000003</v>
      </c>
      <c r="N5269">
        <v>9.6989999999999998</v>
      </c>
    </row>
    <row r="5270" spans="1:14" x14ac:dyDescent="0.45">
      <c r="A5270">
        <v>2005</v>
      </c>
      <c r="B5270" t="s">
        <v>90</v>
      </c>
      <c r="C5270">
        <v>0</v>
      </c>
      <c r="D5270">
        <v>0</v>
      </c>
      <c r="E5270">
        <v>0</v>
      </c>
      <c r="F5270">
        <v>1</v>
      </c>
      <c r="G5270">
        <v>0</v>
      </c>
      <c r="H5270">
        <v>0</v>
      </c>
      <c r="I5270">
        <v>0</v>
      </c>
      <c r="J5270">
        <v>6298.3231847451598</v>
      </c>
      <c r="K5270">
        <v>5646.0389211645897</v>
      </c>
      <c r="L5270">
        <v>57.478000000000002</v>
      </c>
      <c r="M5270">
        <v>74.084999999999994</v>
      </c>
      <c r="N5270">
        <v>24.167000000000002</v>
      </c>
    </row>
    <row r="5271" spans="1:14" x14ac:dyDescent="0.45">
      <c r="A5271">
        <v>2005</v>
      </c>
      <c r="B5271" t="s">
        <v>91</v>
      </c>
      <c r="C5271">
        <v>0</v>
      </c>
      <c r="D5271">
        <v>0</v>
      </c>
      <c r="E5271">
        <v>1</v>
      </c>
      <c r="F5271">
        <v>0</v>
      </c>
      <c r="G5271">
        <v>0</v>
      </c>
      <c r="H5271">
        <v>0</v>
      </c>
      <c r="I5271">
        <v>0</v>
      </c>
      <c r="J5271">
        <v>4032.2458802984602</v>
      </c>
      <c r="K5271">
        <v>3403.8093610675601</v>
      </c>
      <c r="L5271">
        <v>54.765999999999998</v>
      </c>
      <c r="M5271">
        <v>52.432000000000002</v>
      </c>
      <c r="N5271">
        <v>121.8</v>
      </c>
    </row>
    <row r="5272" spans="1:14" x14ac:dyDescent="0.45">
      <c r="A5272">
        <v>2005</v>
      </c>
      <c r="B5272" t="s">
        <v>92</v>
      </c>
      <c r="C5272">
        <v>0</v>
      </c>
      <c r="D5272">
        <v>0</v>
      </c>
      <c r="E5272">
        <v>1</v>
      </c>
      <c r="F5272">
        <v>1</v>
      </c>
      <c r="G5272">
        <v>0</v>
      </c>
      <c r="H5272">
        <v>0</v>
      </c>
      <c r="I5272">
        <v>0</v>
      </c>
      <c r="J5272">
        <v>4199.7227096936203</v>
      </c>
      <c r="K5272">
        <v>3297.6750406915799</v>
      </c>
      <c r="L5272">
        <v>51.459000000000003</v>
      </c>
      <c r="M5272">
        <v>54.904000000000003</v>
      </c>
      <c r="N5272">
        <v>127.90300000000001</v>
      </c>
    </row>
    <row r="5273" spans="1:14" x14ac:dyDescent="0.45">
      <c r="A5273">
        <v>2005</v>
      </c>
      <c r="B5273" t="s">
        <v>93</v>
      </c>
      <c r="C5273">
        <v>0</v>
      </c>
      <c r="D5273">
        <v>0</v>
      </c>
      <c r="E5273">
        <v>1</v>
      </c>
      <c r="F5273">
        <v>0</v>
      </c>
      <c r="G5273">
        <v>0</v>
      </c>
      <c r="H5273">
        <v>0</v>
      </c>
      <c r="I5273">
        <v>0</v>
      </c>
      <c r="J5273">
        <v>918.53484235633198</v>
      </c>
      <c r="K5273">
        <v>735.34640103896595</v>
      </c>
      <c r="L5273">
        <v>62.518999999999998</v>
      </c>
      <c r="M5273">
        <v>54.000999999999998</v>
      </c>
      <c r="N5273">
        <v>135.887</v>
      </c>
    </row>
    <row r="5274" spans="1:14" x14ac:dyDescent="0.45">
      <c r="A5274">
        <v>2005</v>
      </c>
      <c r="B5274" t="s">
        <v>94</v>
      </c>
      <c r="C5274">
        <v>0</v>
      </c>
      <c r="D5274">
        <v>0</v>
      </c>
      <c r="E5274">
        <v>1</v>
      </c>
      <c r="F5274">
        <v>1</v>
      </c>
      <c r="G5274">
        <v>0</v>
      </c>
      <c r="H5274">
        <v>0</v>
      </c>
      <c r="I5274">
        <v>0</v>
      </c>
      <c r="J5274">
        <v>7876.1180665828497</v>
      </c>
      <c r="K5274">
        <v>4748.0800629565001</v>
      </c>
      <c r="L5274">
        <v>39.012</v>
      </c>
      <c r="M5274">
        <v>58.73</v>
      </c>
      <c r="N5274">
        <v>85.738</v>
      </c>
    </row>
    <row r="5275" spans="1:14" x14ac:dyDescent="0.45">
      <c r="A5275">
        <v>2005</v>
      </c>
      <c r="B5275" t="s">
        <v>95</v>
      </c>
      <c r="C5275">
        <v>0</v>
      </c>
      <c r="D5275">
        <v>1</v>
      </c>
      <c r="E5275">
        <v>0</v>
      </c>
      <c r="F5275">
        <v>1</v>
      </c>
      <c r="G5275">
        <v>0</v>
      </c>
      <c r="H5275">
        <v>0</v>
      </c>
      <c r="I5275">
        <v>0</v>
      </c>
      <c r="J5275">
        <v>11999.2549591305</v>
      </c>
      <c r="K5275">
        <v>9990.6934886381405</v>
      </c>
      <c r="L5275">
        <v>23.975999999999999</v>
      </c>
      <c r="M5275">
        <v>73.156000000000006</v>
      </c>
      <c r="N5275">
        <v>21.57</v>
      </c>
    </row>
    <row r="5276" spans="1:14" x14ac:dyDescent="0.45">
      <c r="A5276">
        <v>2005</v>
      </c>
      <c r="B5276" t="s">
        <v>96</v>
      </c>
      <c r="C5276">
        <v>0</v>
      </c>
      <c r="D5276">
        <v>0</v>
      </c>
      <c r="E5276">
        <v>1</v>
      </c>
      <c r="F5276">
        <v>0</v>
      </c>
      <c r="G5276">
        <v>0</v>
      </c>
      <c r="H5276">
        <v>0</v>
      </c>
      <c r="I5276">
        <v>0</v>
      </c>
      <c r="J5276">
        <v>2441.1357047607198</v>
      </c>
      <c r="K5276">
        <v>2524.44585964922</v>
      </c>
      <c r="L5276">
        <v>72.125</v>
      </c>
      <c r="M5276">
        <v>60.883000000000003</v>
      </c>
      <c r="N5276">
        <v>84.432000000000002</v>
      </c>
    </row>
    <row r="5277" spans="1:14" x14ac:dyDescent="0.45">
      <c r="A5277">
        <v>2005</v>
      </c>
      <c r="B5277" t="s">
        <v>97</v>
      </c>
      <c r="C5277">
        <v>0</v>
      </c>
      <c r="D5277">
        <v>0</v>
      </c>
      <c r="E5277">
        <v>1</v>
      </c>
      <c r="F5277">
        <v>1</v>
      </c>
      <c r="G5277">
        <v>0</v>
      </c>
      <c r="H5277">
        <v>0</v>
      </c>
      <c r="I5277">
        <v>0</v>
      </c>
      <c r="J5277">
        <v>5565.7695120806902</v>
      </c>
      <c r="K5277">
        <v>5363.8105921134602</v>
      </c>
      <c r="L5277">
        <v>42.311</v>
      </c>
      <c r="M5277">
        <v>70.936000000000007</v>
      </c>
      <c r="N5277">
        <v>27.446000000000002</v>
      </c>
    </row>
    <row r="5278" spans="1:14" x14ac:dyDescent="0.45">
      <c r="A5278">
        <v>2005</v>
      </c>
      <c r="B5278" t="s">
        <v>98</v>
      </c>
      <c r="C5278">
        <v>0</v>
      </c>
      <c r="D5278">
        <v>1</v>
      </c>
      <c r="E5278">
        <v>0</v>
      </c>
      <c r="F5278">
        <v>0</v>
      </c>
      <c r="G5278">
        <v>1</v>
      </c>
      <c r="H5278">
        <v>0</v>
      </c>
      <c r="I5278">
        <v>0</v>
      </c>
      <c r="J5278">
        <v>15703.962472060201</v>
      </c>
      <c r="K5278">
        <v>14060.6125565986</v>
      </c>
      <c r="L5278">
        <v>34.328000000000003</v>
      </c>
      <c r="M5278">
        <v>78.876999999999995</v>
      </c>
      <c r="N5278">
        <v>11.438000000000001</v>
      </c>
    </row>
    <row r="5279" spans="1:14" x14ac:dyDescent="0.45">
      <c r="A5279">
        <v>2005</v>
      </c>
      <c r="B5279" t="s">
        <v>99</v>
      </c>
      <c r="C5279">
        <v>0</v>
      </c>
      <c r="D5279">
        <v>1</v>
      </c>
      <c r="E5279">
        <v>0</v>
      </c>
      <c r="F5279">
        <v>1</v>
      </c>
      <c r="G5279">
        <v>0</v>
      </c>
      <c r="H5279">
        <v>0</v>
      </c>
      <c r="I5279">
        <v>0</v>
      </c>
      <c r="L5279">
        <v>23.866</v>
      </c>
      <c r="M5279">
        <v>77.540000000000006</v>
      </c>
      <c r="N5279">
        <v>7.1520000000000001</v>
      </c>
    </row>
    <row r="5280" spans="1:14" x14ac:dyDescent="0.45">
      <c r="A5280">
        <v>2005</v>
      </c>
      <c r="B5280" t="s">
        <v>100</v>
      </c>
      <c r="C5280">
        <v>0</v>
      </c>
      <c r="D5280">
        <v>1</v>
      </c>
      <c r="E5280">
        <v>0</v>
      </c>
      <c r="F5280">
        <v>0</v>
      </c>
      <c r="G5280">
        <v>0</v>
      </c>
      <c r="H5280">
        <v>1</v>
      </c>
      <c r="I5280">
        <v>1</v>
      </c>
      <c r="J5280">
        <v>33651.504146002997</v>
      </c>
      <c r="K5280">
        <v>27530.713017079299</v>
      </c>
      <c r="L5280">
        <v>9.4659999999999904</v>
      </c>
      <c r="M5280">
        <v>73.873000000000005</v>
      </c>
      <c r="N5280">
        <v>16.216999999999999</v>
      </c>
    </row>
    <row r="5281" spans="1:14" x14ac:dyDescent="0.45">
      <c r="A5281">
        <v>2005</v>
      </c>
      <c r="B5281" t="s">
        <v>101</v>
      </c>
      <c r="C5281">
        <v>0</v>
      </c>
      <c r="D5281">
        <v>1</v>
      </c>
      <c r="E5281">
        <v>0</v>
      </c>
      <c r="F5281">
        <v>0</v>
      </c>
      <c r="G5281">
        <v>0</v>
      </c>
      <c r="H5281">
        <v>1</v>
      </c>
      <c r="I5281">
        <v>1</v>
      </c>
      <c r="L5281">
        <v>0</v>
      </c>
      <c r="M5281">
        <v>74.863</v>
      </c>
      <c r="N5281">
        <v>5.8369999999999997</v>
      </c>
    </row>
    <row r="5282" spans="1:14" x14ac:dyDescent="0.45">
      <c r="A5282">
        <v>2005</v>
      </c>
      <c r="B5282" t="s">
        <v>102</v>
      </c>
      <c r="C5282">
        <v>1</v>
      </c>
      <c r="D5282">
        <v>0</v>
      </c>
      <c r="E5282">
        <v>0</v>
      </c>
      <c r="F5282">
        <v>0</v>
      </c>
      <c r="G5282">
        <v>0</v>
      </c>
      <c r="H5282">
        <v>1</v>
      </c>
      <c r="I5282">
        <v>1</v>
      </c>
      <c r="J5282">
        <v>41363.28125</v>
      </c>
      <c r="K5282">
        <v>36848.154493201902</v>
      </c>
      <c r="L5282">
        <v>31.731999999999999</v>
      </c>
      <c r="M5282">
        <v>79.197999999999993</v>
      </c>
      <c r="N5282">
        <v>4.6719999999999997</v>
      </c>
    </row>
    <row r="5283" spans="1:14" x14ac:dyDescent="0.45">
      <c r="A5283">
        <v>2005</v>
      </c>
      <c r="B5283" t="s">
        <v>103</v>
      </c>
      <c r="C5283">
        <v>1</v>
      </c>
      <c r="D5283">
        <v>0</v>
      </c>
      <c r="E5283">
        <v>0</v>
      </c>
      <c r="F5283">
        <v>0</v>
      </c>
      <c r="G5283">
        <v>1</v>
      </c>
      <c r="H5283">
        <v>0</v>
      </c>
      <c r="I5283">
        <v>0</v>
      </c>
      <c r="J5283">
        <v>35535.747996151098</v>
      </c>
      <c r="K5283">
        <v>29587.154148492598</v>
      </c>
      <c r="L5283">
        <v>26.398</v>
      </c>
      <c r="M5283">
        <v>76.156000000000006</v>
      </c>
      <c r="N5283">
        <v>4.2039999999999997</v>
      </c>
    </row>
    <row r="5284" spans="1:14" x14ac:dyDescent="0.45">
      <c r="A5284">
        <v>2005</v>
      </c>
      <c r="B5284" t="s">
        <v>104</v>
      </c>
      <c r="C5284">
        <v>1</v>
      </c>
      <c r="D5284">
        <v>0</v>
      </c>
      <c r="E5284">
        <v>0</v>
      </c>
      <c r="F5284">
        <v>0</v>
      </c>
      <c r="G5284">
        <v>0</v>
      </c>
      <c r="H5284">
        <v>1</v>
      </c>
      <c r="I5284">
        <v>1</v>
      </c>
      <c r="J5284">
        <v>51289.280042668703</v>
      </c>
      <c r="K5284">
        <v>44470.479663806102</v>
      </c>
      <c r="L5284">
        <v>24.02</v>
      </c>
      <c r="M5284">
        <v>79.254000000000005</v>
      </c>
      <c r="N5284">
        <v>4.6820000000000004</v>
      </c>
    </row>
    <row r="5285" spans="1:14" x14ac:dyDescent="0.45">
      <c r="A5285">
        <v>2005</v>
      </c>
      <c r="B5285" t="s">
        <v>105</v>
      </c>
      <c r="C5285">
        <v>0</v>
      </c>
      <c r="D5285">
        <v>0</v>
      </c>
      <c r="E5285">
        <v>0</v>
      </c>
      <c r="F5285">
        <v>1</v>
      </c>
      <c r="G5285">
        <v>0</v>
      </c>
      <c r="H5285">
        <v>0</v>
      </c>
      <c r="I5285">
        <v>0</v>
      </c>
      <c r="J5285">
        <v>3689.8322238956098</v>
      </c>
      <c r="K5285">
        <v>3182.6679034375602</v>
      </c>
      <c r="L5285">
        <v>23.239000000000001</v>
      </c>
      <c r="M5285">
        <v>58.548000000000002</v>
      </c>
      <c r="N5285">
        <v>87.846000000000004</v>
      </c>
    </row>
    <row r="5286" spans="1:14" x14ac:dyDescent="0.45">
      <c r="A5286">
        <v>2005</v>
      </c>
      <c r="B5286" t="s">
        <v>106</v>
      </c>
      <c r="C5286">
        <v>0</v>
      </c>
      <c r="D5286">
        <v>1</v>
      </c>
      <c r="E5286">
        <v>0</v>
      </c>
      <c r="F5286">
        <v>0</v>
      </c>
      <c r="G5286">
        <v>1</v>
      </c>
      <c r="H5286">
        <v>0</v>
      </c>
      <c r="I5286">
        <v>0</v>
      </c>
      <c r="J5286">
        <v>15080.520604098399</v>
      </c>
      <c r="K5286">
        <v>11736.088370913099</v>
      </c>
      <c r="L5286">
        <v>33.399000000000001</v>
      </c>
      <c r="M5286">
        <v>72.016000000000005</v>
      </c>
      <c r="N5286">
        <v>19.852</v>
      </c>
    </row>
    <row r="5287" spans="1:14" x14ac:dyDescent="0.45">
      <c r="A5287">
        <v>2005</v>
      </c>
      <c r="B5287" t="s">
        <v>107</v>
      </c>
      <c r="C5287">
        <v>1</v>
      </c>
      <c r="D5287">
        <v>0</v>
      </c>
      <c r="E5287">
        <v>0</v>
      </c>
      <c r="F5287">
        <v>0</v>
      </c>
      <c r="G5287">
        <v>0</v>
      </c>
      <c r="H5287">
        <v>1</v>
      </c>
      <c r="I5287">
        <v>1</v>
      </c>
      <c r="J5287">
        <v>60635.623222421098</v>
      </c>
      <c r="K5287">
        <v>51246.020429414799</v>
      </c>
      <c r="L5287">
        <v>14.144</v>
      </c>
      <c r="M5287">
        <v>78.225999999999999</v>
      </c>
      <c r="N5287">
        <v>5.069</v>
      </c>
    </row>
    <row r="5288" spans="1:14" x14ac:dyDescent="0.45">
      <c r="A5288">
        <v>2005</v>
      </c>
      <c r="B5288" t="s">
        <v>108</v>
      </c>
      <c r="C5288">
        <v>0</v>
      </c>
      <c r="D5288">
        <v>1</v>
      </c>
      <c r="E5288">
        <v>0</v>
      </c>
      <c r="F5288">
        <v>1</v>
      </c>
      <c r="G5288">
        <v>0</v>
      </c>
      <c r="H5288">
        <v>0</v>
      </c>
      <c r="I5288">
        <v>0</v>
      </c>
      <c r="J5288">
        <v>12022.5080544053</v>
      </c>
      <c r="K5288">
        <v>10385.3429825844</v>
      </c>
      <c r="L5288">
        <v>32.630000000000003</v>
      </c>
      <c r="M5288">
        <v>71.043000000000006</v>
      </c>
      <c r="N5288">
        <v>36.668999999999997</v>
      </c>
    </row>
    <row r="5289" spans="1:14" x14ac:dyDescent="0.45">
      <c r="A5289">
        <v>2005</v>
      </c>
      <c r="B5289" t="s">
        <v>109</v>
      </c>
      <c r="C5289">
        <v>0</v>
      </c>
      <c r="D5289">
        <v>0</v>
      </c>
      <c r="E5289">
        <v>0</v>
      </c>
      <c r="F5289">
        <v>1</v>
      </c>
      <c r="G5289">
        <v>0</v>
      </c>
      <c r="H5289">
        <v>0</v>
      </c>
      <c r="I5289">
        <v>0</v>
      </c>
      <c r="J5289">
        <v>13738.495644436</v>
      </c>
      <c r="K5289">
        <v>12016.157086465901</v>
      </c>
      <c r="L5289">
        <v>36.17</v>
      </c>
      <c r="M5289">
        <v>72.835999999999999</v>
      </c>
      <c r="N5289">
        <v>33.857999999999997</v>
      </c>
    </row>
    <row r="5290" spans="1:14" x14ac:dyDescent="0.45">
      <c r="A5290">
        <v>2005</v>
      </c>
      <c r="B5290" t="s">
        <v>110</v>
      </c>
      <c r="C5290">
        <v>0</v>
      </c>
      <c r="D5290">
        <v>1</v>
      </c>
      <c r="E5290">
        <v>0</v>
      </c>
      <c r="F5290">
        <v>1</v>
      </c>
      <c r="G5290">
        <v>0</v>
      </c>
      <c r="H5290">
        <v>0</v>
      </c>
      <c r="I5290">
        <v>0</v>
      </c>
      <c r="J5290">
        <v>10660.2046228939</v>
      </c>
      <c r="K5290">
        <v>8866.6014888519603</v>
      </c>
      <c r="L5290">
        <v>38.289000000000001</v>
      </c>
      <c r="M5290">
        <v>73.909000000000006</v>
      </c>
      <c r="N5290">
        <v>23.433</v>
      </c>
    </row>
    <row r="5291" spans="1:14" x14ac:dyDescent="0.45">
      <c r="A5291">
        <v>2005</v>
      </c>
      <c r="B5291" t="s">
        <v>111</v>
      </c>
      <c r="C5291">
        <v>0</v>
      </c>
      <c r="D5291">
        <v>0</v>
      </c>
      <c r="E5291">
        <v>0</v>
      </c>
      <c r="F5291">
        <v>1</v>
      </c>
      <c r="G5291">
        <v>0</v>
      </c>
      <c r="H5291">
        <v>0</v>
      </c>
      <c r="I5291">
        <v>0</v>
      </c>
      <c r="J5291">
        <v>10700.6090373232</v>
      </c>
      <c r="K5291">
        <v>8491.8230414529808</v>
      </c>
      <c r="L5291">
        <v>56.972999999999999</v>
      </c>
      <c r="M5291">
        <v>68.355000000000004</v>
      </c>
      <c r="N5291">
        <v>35.920999999999999</v>
      </c>
    </row>
    <row r="5292" spans="1:14" x14ac:dyDescent="0.45">
      <c r="A5292">
        <v>2005</v>
      </c>
      <c r="B5292" t="s">
        <v>112</v>
      </c>
      <c r="C5292">
        <v>0</v>
      </c>
      <c r="D5292">
        <v>0</v>
      </c>
      <c r="E5292">
        <v>1</v>
      </c>
      <c r="F5292">
        <v>0</v>
      </c>
      <c r="G5292">
        <v>0</v>
      </c>
      <c r="H5292">
        <v>0</v>
      </c>
      <c r="I5292">
        <v>0</v>
      </c>
      <c r="L5292">
        <v>68.900999999999996</v>
      </c>
      <c r="M5292">
        <v>60.628</v>
      </c>
      <c r="N5292">
        <v>68.221000000000004</v>
      </c>
    </row>
    <row r="5293" spans="1:14" x14ac:dyDescent="0.45">
      <c r="A5293">
        <v>2005</v>
      </c>
      <c r="B5293" t="s">
        <v>113</v>
      </c>
      <c r="C5293">
        <v>1</v>
      </c>
      <c r="D5293">
        <v>0</v>
      </c>
      <c r="E5293">
        <v>0</v>
      </c>
      <c r="F5293">
        <v>0</v>
      </c>
      <c r="G5293">
        <v>0</v>
      </c>
      <c r="H5293">
        <v>1</v>
      </c>
      <c r="I5293">
        <v>1</v>
      </c>
      <c r="J5293">
        <v>43570.765257403298</v>
      </c>
      <c r="K5293">
        <v>38343.432239388399</v>
      </c>
      <c r="L5293">
        <v>22.736999999999998</v>
      </c>
      <c r="M5293">
        <v>80.319999999999993</v>
      </c>
      <c r="N5293">
        <v>4.5519999999999996</v>
      </c>
    </row>
    <row r="5294" spans="1:14" x14ac:dyDescent="0.45">
      <c r="A5294">
        <v>2005</v>
      </c>
      <c r="B5294" t="s">
        <v>114</v>
      </c>
      <c r="C5294">
        <v>1</v>
      </c>
      <c r="D5294">
        <v>0</v>
      </c>
      <c r="E5294">
        <v>0</v>
      </c>
      <c r="F5294">
        <v>0</v>
      </c>
      <c r="G5294">
        <v>1</v>
      </c>
      <c r="H5294">
        <v>0</v>
      </c>
      <c r="I5294">
        <v>0</v>
      </c>
      <c r="J5294">
        <v>30473.778757007101</v>
      </c>
      <c r="K5294">
        <v>25854.132935125901</v>
      </c>
      <c r="L5294">
        <v>31.265000000000001</v>
      </c>
      <c r="M5294">
        <v>73.028000000000006</v>
      </c>
      <c r="N5294">
        <v>7.3380000000000001</v>
      </c>
    </row>
    <row r="5295" spans="1:14" x14ac:dyDescent="0.45">
      <c r="A5295">
        <v>2005</v>
      </c>
      <c r="B5295" t="s">
        <v>115</v>
      </c>
      <c r="C5295">
        <v>0</v>
      </c>
      <c r="D5295">
        <v>0</v>
      </c>
      <c r="E5295">
        <v>1</v>
      </c>
      <c r="F5295">
        <v>0</v>
      </c>
      <c r="G5295">
        <v>0</v>
      </c>
      <c r="H5295">
        <v>0</v>
      </c>
      <c r="I5295">
        <v>0</v>
      </c>
      <c r="J5295">
        <v>952.115666294682</v>
      </c>
      <c r="K5295">
        <v>858.70398186769398</v>
      </c>
      <c r="L5295">
        <v>84.3</v>
      </c>
      <c r="M5295">
        <v>54.363999999999997</v>
      </c>
      <c r="N5295">
        <v>109.471</v>
      </c>
    </row>
    <row r="5296" spans="1:14" x14ac:dyDescent="0.45">
      <c r="A5296">
        <v>2005</v>
      </c>
      <c r="B5296" t="s">
        <v>116</v>
      </c>
      <c r="C5296">
        <v>1</v>
      </c>
      <c r="D5296">
        <v>0</v>
      </c>
      <c r="E5296">
        <v>0</v>
      </c>
      <c r="F5296">
        <v>0</v>
      </c>
      <c r="G5296">
        <v>0</v>
      </c>
      <c r="H5296">
        <v>1</v>
      </c>
      <c r="I5296">
        <v>1</v>
      </c>
      <c r="J5296">
        <v>52744.048034134998</v>
      </c>
      <c r="K5296">
        <v>44341.014610117403</v>
      </c>
      <c r="L5296">
        <v>17.094999999999999</v>
      </c>
      <c r="M5296">
        <v>78.971000000000004</v>
      </c>
      <c r="N5296">
        <v>4.1680000000000001</v>
      </c>
    </row>
    <row r="5297" spans="1:14" x14ac:dyDescent="0.45">
      <c r="A5297">
        <v>2005</v>
      </c>
      <c r="B5297" t="s">
        <v>117</v>
      </c>
      <c r="C5297">
        <v>0</v>
      </c>
      <c r="D5297">
        <v>0</v>
      </c>
      <c r="E5297">
        <v>0</v>
      </c>
      <c r="F5297">
        <v>1</v>
      </c>
      <c r="G5297">
        <v>0</v>
      </c>
      <c r="H5297">
        <v>0</v>
      </c>
      <c r="I5297">
        <v>0</v>
      </c>
      <c r="J5297">
        <v>10127.1115873324</v>
      </c>
      <c r="K5297">
        <v>9917.5076986536096</v>
      </c>
      <c r="L5297">
        <v>50.128999999999998</v>
      </c>
      <c r="M5297">
        <v>65.983000000000004</v>
      </c>
      <c r="N5297">
        <v>23.12</v>
      </c>
    </row>
    <row r="5298" spans="1:14" x14ac:dyDescent="0.45">
      <c r="A5298">
        <v>2005</v>
      </c>
      <c r="B5298" t="s">
        <v>118</v>
      </c>
      <c r="C5298">
        <v>1</v>
      </c>
      <c r="D5298">
        <v>0</v>
      </c>
      <c r="E5298">
        <v>0</v>
      </c>
      <c r="F5298">
        <v>0</v>
      </c>
      <c r="G5298">
        <v>0</v>
      </c>
      <c r="H5298">
        <v>1</v>
      </c>
      <c r="I5298">
        <v>1</v>
      </c>
      <c r="J5298">
        <v>48257.465093797102</v>
      </c>
      <c r="K5298">
        <v>40290.099109231902</v>
      </c>
      <c r="L5298">
        <v>22.87</v>
      </c>
      <c r="M5298">
        <v>80.337000000000003</v>
      </c>
      <c r="N5298">
        <v>4.4720000000000004</v>
      </c>
    </row>
    <row r="5299" spans="1:14" x14ac:dyDescent="0.45">
      <c r="A5299">
        <v>2005</v>
      </c>
      <c r="B5299" t="s">
        <v>119</v>
      </c>
      <c r="C5299">
        <v>1</v>
      </c>
      <c r="D5299">
        <v>0</v>
      </c>
      <c r="E5299">
        <v>0</v>
      </c>
      <c r="F5299">
        <v>0</v>
      </c>
      <c r="G5299">
        <v>0</v>
      </c>
      <c r="H5299">
        <v>1</v>
      </c>
      <c r="I5299">
        <v>1</v>
      </c>
      <c r="L5299">
        <v>60.219000000000001</v>
      </c>
      <c r="M5299">
        <v>78.364999999999995</v>
      </c>
      <c r="N5299">
        <v>8.8559999999999999</v>
      </c>
    </row>
    <row r="5300" spans="1:14" x14ac:dyDescent="0.45">
      <c r="A5300">
        <v>2005</v>
      </c>
      <c r="B5300" t="s">
        <v>120</v>
      </c>
      <c r="C5300">
        <v>0</v>
      </c>
      <c r="D5300">
        <v>0</v>
      </c>
      <c r="E5300">
        <v>0</v>
      </c>
      <c r="F5300">
        <v>1</v>
      </c>
      <c r="G5300">
        <v>0</v>
      </c>
      <c r="H5300">
        <v>0</v>
      </c>
      <c r="I5300">
        <v>0</v>
      </c>
      <c r="J5300">
        <v>3747.8837556379899</v>
      </c>
      <c r="K5300">
        <v>3392.3519716901501</v>
      </c>
      <c r="L5300">
        <v>77.67</v>
      </c>
      <c r="M5300">
        <v>64.906000000000006</v>
      </c>
      <c r="N5300">
        <v>35.409999999999997</v>
      </c>
    </row>
    <row r="5301" spans="1:14" x14ac:dyDescent="0.45">
      <c r="A5301">
        <v>2005</v>
      </c>
      <c r="B5301" t="s">
        <v>121</v>
      </c>
      <c r="C5301">
        <v>0</v>
      </c>
      <c r="D5301">
        <v>0</v>
      </c>
      <c r="E5301">
        <v>1</v>
      </c>
      <c r="F5301">
        <v>0</v>
      </c>
      <c r="G5301">
        <v>1</v>
      </c>
      <c r="H5301">
        <v>0</v>
      </c>
      <c r="I5301">
        <v>0</v>
      </c>
      <c r="J5301">
        <v>20385.289990912399</v>
      </c>
      <c r="K5301">
        <v>15424.3241471044</v>
      </c>
      <c r="L5301">
        <v>17.547999999999998</v>
      </c>
      <c r="M5301">
        <v>62.978000000000002</v>
      </c>
      <c r="N5301">
        <v>73.465999999999994</v>
      </c>
    </row>
    <row r="5302" spans="1:14" x14ac:dyDescent="0.45">
      <c r="A5302">
        <v>2005</v>
      </c>
      <c r="B5302" t="s">
        <v>122</v>
      </c>
      <c r="C5302">
        <v>1</v>
      </c>
      <c r="D5302">
        <v>0</v>
      </c>
      <c r="E5302">
        <v>0</v>
      </c>
      <c r="F5302">
        <v>0</v>
      </c>
      <c r="G5302">
        <v>0</v>
      </c>
      <c r="H5302">
        <v>1</v>
      </c>
      <c r="I5302">
        <v>1</v>
      </c>
      <c r="J5302">
        <v>47804.785270472697</v>
      </c>
      <c r="K5302">
        <v>41185.264152946998</v>
      </c>
      <c r="L5302">
        <v>20.085000000000001</v>
      </c>
      <c r="M5302">
        <v>79.105999999999995</v>
      </c>
      <c r="N5302">
        <v>5.9349999999999996</v>
      </c>
    </row>
    <row r="5303" spans="1:14" x14ac:dyDescent="0.45">
      <c r="A5303">
        <v>2005</v>
      </c>
      <c r="B5303" t="s">
        <v>123</v>
      </c>
      <c r="C5303">
        <v>1</v>
      </c>
      <c r="D5303">
        <v>0</v>
      </c>
      <c r="E5303">
        <v>0</v>
      </c>
      <c r="F5303">
        <v>1</v>
      </c>
      <c r="G5303">
        <v>0</v>
      </c>
      <c r="H5303">
        <v>0</v>
      </c>
      <c r="I5303">
        <v>0</v>
      </c>
      <c r="J5303">
        <v>8485.5867053495294</v>
      </c>
      <c r="K5303">
        <v>7169.3506919028296</v>
      </c>
      <c r="L5303">
        <v>46.395000000000003</v>
      </c>
      <c r="M5303">
        <v>70.688999999999993</v>
      </c>
      <c r="N5303">
        <v>23.356999999999999</v>
      </c>
    </row>
    <row r="5304" spans="1:14" x14ac:dyDescent="0.45">
      <c r="A5304">
        <v>2005</v>
      </c>
      <c r="B5304" t="s">
        <v>124</v>
      </c>
      <c r="C5304">
        <v>0</v>
      </c>
      <c r="D5304">
        <v>0</v>
      </c>
      <c r="E5304">
        <v>1</v>
      </c>
      <c r="F5304">
        <v>0</v>
      </c>
      <c r="G5304">
        <v>0</v>
      </c>
      <c r="H5304">
        <v>0</v>
      </c>
      <c r="I5304">
        <v>0</v>
      </c>
      <c r="J5304">
        <v>3721.3078574199599</v>
      </c>
      <c r="K5304">
        <v>3210.5312870920998</v>
      </c>
      <c r="L5304">
        <v>52.692</v>
      </c>
      <c r="M5304">
        <v>59.637999999999998</v>
      </c>
      <c r="N5304">
        <v>83.555999999999997</v>
      </c>
    </row>
    <row r="5305" spans="1:14" x14ac:dyDescent="0.45">
      <c r="A5305">
        <v>2005</v>
      </c>
      <c r="B5305" t="s">
        <v>125</v>
      </c>
      <c r="C5305">
        <v>1</v>
      </c>
      <c r="D5305">
        <v>0</v>
      </c>
      <c r="E5305">
        <v>0</v>
      </c>
      <c r="F5305">
        <v>0</v>
      </c>
      <c r="G5305">
        <v>0</v>
      </c>
      <c r="H5305">
        <v>1</v>
      </c>
      <c r="I5305">
        <v>1</v>
      </c>
      <c r="L5305">
        <v>0</v>
      </c>
      <c r="M5305">
        <v>80.991</v>
      </c>
      <c r="N5305">
        <v>13.685</v>
      </c>
    </row>
    <row r="5306" spans="1:14" x14ac:dyDescent="0.45">
      <c r="A5306">
        <v>2005</v>
      </c>
      <c r="B5306" t="s">
        <v>126</v>
      </c>
      <c r="C5306">
        <v>0</v>
      </c>
      <c r="D5306">
        <v>0</v>
      </c>
      <c r="E5306">
        <v>1</v>
      </c>
      <c r="F5306">
        <v>0</v>
      </c>
      <c r="G5306">
        <v>0</v>
      </c>
      <c r="H5306">
        <v>0</v>
      </c>
      <c r="I5306">
        <v>0</v>
      </c>
      <c r="J5306">
        <v>2501.2216045627902</v>
      </c>
      <c r="K5306">
        <v>2016.6494665323701</v>
      </c>
      <c r="L5306">
        <v>67.742999999999995</v>
      </c>
      <c r="M5306">
        <v>54.421999999999997</v>
      </c>
      <c r="N5306">
        <v>138.988</v>
      </c>
    </row>
    <row r="5307" spans="1:14" x14ac:dyDescent="0.45">
      <c r="A5307">
        <v>2005</v>
      </c>
      <c r="B5307" t="s">
        <v>127</v>
      </c>
      <c r="C5307">
        <v>0</v>
      </c>
      <c r="D5307">
        <v>0</v>
      </c>
      <c r="E5307">
        <v>1</v>
      </c>
      <c r="F5307">
        <v>0</v>
      </c>
      <c r="G5307">
        <v>0</v>
      </c>
      <c r="H5307">
        <v>0</v>
      </c>
      <c r="I5307">
        <v>0</v>
      </c>
      <c r="J5307">
        <v>2653.6423915519099</v>
      </c>
      <c r="K5307">
        <v>2135.90870770641</v>
      </c>
      <c r="L5307">
        <v>47.98</v>
      </c>
      <c r="M5307">
        <v>59.11</v>
      </c>
      <c r="N5307">
        <v>91.563999999999993</v>
      </c>
    </row>
    <row r="5308" spans="1:14" x14ac:dyDescent="0.45">
      <c r="A5308">
        <v>2005</v>
      </c>
      <c r="B5308" t="s">
        <v>128</v>
      </c>
      <c r="C5308">
        <v>0</v>
      </c>
      <c r="D5308">
        <v>0</v>
      </c>
      <c r="E5308">
        <v>1</v>
      </c>
      <c r="F5308">
        <v>0</v>
      </c>
      <c r="G5308">
        <v>0</v>
      </c>
      <c r="H5308">
        <v>0</v>
      </c>
      <c r="I5308">
        <v>0</v>
      </c>
      <c r="J5308">
        <v>2035.68140858078</v>
      </c>
      <c r="K5308">
        <v>1831.29583721065</v>
      </c>
      <c r="L5308">
        <v>61.843000000000004</v>
      </c>
      <c r="M5308">
        <v>52.948999999999998</v>
      </c>
      <c r="N5308">
        <v>146.26900000000001</v>
      </c>
    </row>
    <row r="5309" spans="1:14" x14ac:dyDescent="0.45">
      <c r="A5309">
        <v>2005</v>
      </c>
      <c r="B5309" t="s">
        <v>129</v>
      </c>
      <c r="C5309">
        <v>0</v>
      </c>
      <c r="D5309">
        <v>0</v>
      </c>
      <c r="E5309">
        <v>1</v>
      </c>
      <c r="F5309">
        <v>0</v>
      </c>
      <c r="G5309">
        <v>1</v>
      </c>
      <c r="H5309">
        <v>0</v>
      </c>
      <c r="I5309">
        <v>0</v>
      </c>
      <c r="J5309">
        <v>31302.957953874</v>
      </c>
      <c r="K5309">
        <v>25934.900043499802</v>
      </c>
      <c r="L5309">
        <v>42.26</v>
      </c>
      <c r="M5309">
        <v>55.765999999999998</v>
      </c>
      <c r="N5309">
        <v>133.203</v>
      </c>
    </row>
    <row r="5310" spans="1:14" x14ac:dyDescent="0.45">
      <c r="A5310">
        <v>2005</v>
      </c>
      <c r="B5310" t="s">
        <v>130</v>
      </c>
      <c r="C5310">
        <v>1</v>
      </c>
      <c r="D5310">
        <v>0</v>
      </c>
      <c r="E5310">
        <v>0</v>
      </c>
      <c r="F5310">
        <v>0</v>
      </c>
      <c r="G5310">
        <v>0</v>
      </c>
      <c r="H5310">
        <v>1</v>
      </c>
      <c r="I5310">
        <v>1</v>
      </c>
      <c r="J5310">
        <v>38146.962971082998</v>
      </c>
      <c r="K5310">
        <v>34148.936650390802</v>
      </c>
      <c r="L5310">
        <v>25.547999999999998</v>
      </c>
      <c r="M5310">
        <v>79.650000000000006</v>
      </c>
      <c r="N5310">
        <v>4.7329999999999997</v>
      </c>
    </row>
    <row r="5311" spans="1:14" x14ac:dyDescent="0.45">
      <c r="A5311">
        <v>2005</v>
      </c>
      <c r="B5311" t="s">
        <v>131</v>
      </c>
      <c r="C5311">
        <v>0</v>
      </c>
      <c r="D5311">
        <v>1</v>
      </c>
      <c r="E5311">
        <v>0</v>
      </c>
      <c r="F5311">
        <v>0</v>
      </c>
      <c r="G5311">
        <v>1</v>
      </c>
      <c r="H5311">
        <v>0</v>
      </c>
      <c r="I5311">
        <v>0</v>
      </c>
      <c r="J5311">
        <v>14220.5512866626</v>
      </c>
      <c r="K5311">
        <v>13121.3748021556</v>
      </c>
      <c r="L5311">
        <v>64.105000000000004</v>
      </c>
      <c r="M5311">
        <v>73.7</v>
      </c>
      <c r="N5311">
        <v>14.544</v>
      </c>
    </row>
    <row r="5312" spans="1:14" x14ac:dyDescent="0.45">
      <c r="A5312">
        <v>2005</v>
      </c>
      <c r="B5312" t="s">
        <v>132</v>
      </c>
      <c r="C5312">
        <v>1</v>
      </c>
      <c r="D5312">
        <v>0</v>
      </c>
      <c r="E5312">
        <v>0</v>
      </c>
      <c r="F5312">
        <v>0</v>
      </c>
      <c r="G5312">
        <v>0</v>
      </c>
      <c r="H5312">
        <v>1</v>
      </c>
      <c r="I5312">
        <v>1</v>
      </c>
      <c r="J5312">
        <v>52189.001485462002</v>
      </c>
      <c r="K5312">
        <v>47239.822977666401</v>
      </c>
      <c r="L5312">
        <v>17.141999999999999</v>
      </c>
      <c r="M5312">
        <v>67.769000000000005</v>
      </c>
      <c r="N5312">
        <v>14.711</v>
      </c>
    </row>
    <row r="5313" spans="1:14" x14ac:dyDescent="0.45">
      <c r="A5313">
        <v>2005</v>
      </c>
      <c r="B5313" t="s">
        <v>133</v>
      </c>
      <c r="C5313">
        <v>0</v>
      </c>
      <c r="D5313">
        <v>1</v>
      </c>
      <c r="E5313">
        <v>0</v>
      </c>
      <c r="F5313">
        <v>1</v>
      </c>
      <c r="G5313">
        <v>0</v>
      </c>
      <c r="H5313">
        <v>0</v>
      </c>
      <c r="I5313">
        <v>0</v>
      </c>
      <c r="J5313">
        <v>9099.7230295996906</v>
      </c>
      <c r="K5313">
        <v>7904.7079060825699</v>
      </c>
      <c r="L5313">
        <v>53.087000000000003</v>
      </c>
      <c r="M5313">
        <v>68.167000000000002</v>
      </c>
      <c r="N5313">
        <v>43.936999999999998</v>
      </c>
    </row>
    <row r="5314" spans="1:14" x14ac:dyDescent="0.45">
      <c r="A5314">
        <v>2005</v>
      </c>
      <c r="B5314" t="s">
        <v>134</v>
      </c>
      <c r="C5314">
        <v>0</v>
      </c>
      <c r="D5314">
        <v>0</v>
      </c>
      <c r="E5314">
        <v>0</v>
      </c>
      <c r="F5314">
        <v>0</v>
      </c>
      <c r="G5314">
        <v>0</v>
      </c>
      <c r="H5314">
        <v>1</v>
      </c>
      <c r="I5314">
        <v>1</v>
      </c>
      <c r="L5314">
        <v>6.3689999999999998</v>
      </c>
      <c r="M5314">
        <v>76.427000000000007</v>
      </c>
      <c r="N5314">
        <v>11.138999999999999</v>
      </c>
    </row>
    <row r="5315" spans="1:14" x14ac:dyDescent="0.45">
      <c r="A5315">
        <v>2005</v>
      </c>
      <c r="B5315" t="s">
        <v>135</v>
      </c>
      <c r="C5315">
        <v>0</v>
      </c>
      <c r="D5315">
        <v>1</v>
      </c>
      <c r="E5315">
        <v>0</v>
      </c>
      <c r="F5315">
        <v>1</v>
      </c>
      <c r="G5315">
        <v>0</v>
      </c>
      <c r="H5315">
        <v>0</v>
      </c>
      <c r="I5315">
        <v>0</v>
      </c>
      <c r="J5315">
        <v>8256.5251907113798</v>
      </c>
      <c r="K5315">
        <v>7896.3684473171097</v>
      </c>
      <c r="L5315">
        <v>72.177999999999997</v>
      </c>
      <c r="M5315">
        <v>64.391999999999996</v>
      </c>
      <c r="N5315">
        <v>42.308999999999997</v>
      </c>
    </row>
    <row r="5316" spans="1:14" x14ac:dyDescent="0.45">
      <c r="A5316">
        <v>2005</v>
      </c>
      <c r="B5316" t="s">
        <v>136</v>
      </c>
      <c r="C5316">
        <v>0</v>
      </c>
      <c r="D5316">
        <v>0</v>
      </c>
      <c r="E5316">
        <v>0</v>
      </c>
      <c r="F5316">
        <v>0</v>
      </c>
      <c r="G5316">
        <v>0</v>
      </c>
      <c r="H5316">
        <v>1</v>
      </c>
      <c r="I5316">
        <v>1</v>
      </c>
      <c r="J5316">
        <v>47938.893168144197</v>
      </c>
      <c r="K5316">
        <v>43265.0163721754</v>
      </c>
      <c r="L5316">
        <v>0</v>
      </c>
      <c r="M5316">
        <v>81.674999999999997</v>
      </c>
      <c r="N5316">
        <v>3.625</v>
      </c>
    </row>
    <row r="5317" spans="1:14" x14ac:dyDescent="0.45">
      <c r="A5317">
        <v>2005</v>
      </c>
      <c r="B5317" t="s">
        <v>137</v>
      </c>
      <c r="C5317">
        <v>0</v>
      </c>
      <c r="D5317">
        <v>1</v>
      </c>
      <c r="E5317">
        <v>0</v>
      </c>
      <c r="F5317">
        <v>1</v>
      </c>
      <c r="G5317">
        <v>0</v>
      </c>
      <c r="H5317">
        <v>0</v>
      </c>
      <c r="I5317">
        <v>0</v>
      </c>
      <c r="J5317">
        <v>5056.6754441255098</v>
      </c>
      <c r="K5317">
        <v>4659.6153387064896</v>
      </c>
      <c r="L5317">
        <v>51.414999999999999</v>
      </c>
      <c r="M5317">
        <v>69.197999999999993</v>
      </c>
      <c r="N5317">
        <v>30.04</v>
      </c>
    </row>
    <row r="5318" spans="1:14" x14ac:dyDescent="0.45">
      <c r="A5318">
        <v>2005</v>
      </c>
      <c r="B5318" t="s">
        <v>138</v>
      </c>
      <c r="C5318">
        <v>1</v>
      </c>
      <c r="D5318">
        <v>0</v>
      </c>
      <c r="E5318">
        <v>0</v>
      </c>
      <c r="F5318">
        <v>0</v>
      </c>
      <c r="G5318">
        <v>1</v>
      </c>
      <c r="H5318">
        <v>0</v>
      </c>
      <c r="I5318">
        <v>0</v>
      </c>
      <c r="J5318">
        <v>27641.5780660686</v>
      </c>
      <c r="K5318">
        <v>23838.349576454701</v>
      </c>
      <c r="L5318">
        <v>45.685000000000002</v>
      </c>
      <c r="M5318">
        <v>75.569999999999993</v>
      </c>
      <c r="N5318">
        <v>6.7359999999999998</v>
      </c>
    </row>
    <row r="5319" spans="1:14" x14ac:dyDescent="0.45">
      <c r="A5319">
        <v>2005</v>
      </c>
      <c r="B5319" t="s">
        <v>139</v>
      </c>
      <c r="C5319">
        <v>0</v>
      </c>
      <c r="D5319">
        <v>1</v>
      </c>
      <c r="E5319">
        <v>0</v>
      </c>
      <c r="F5319">
        <v>0</v>
      </c>
      <c r="G5319">
        <v>0</v>
      </c>
      <c r="H5319">
        <v>0</v>
      </c>
      <c r="I5319">
        <v>0</v>
      </c>
      <c r="J5319">
        <v>3163.1138024653801</v>
      </c>
      <c r="K5319">
        <v>3040.24505040334</v>
      </c>
      <c r="L5319">
        <v>57.362000000000002</v>
      </c>
      <c r="M5319">
        <v>60.317999999999998</v>
      </c>
      <c r="N5319">
        <v>89.36</v>
      </c>
    </row>
    <row r="5320" spans="1:14" x14ac:dyDescent="0.45">
      <c r="A5320">
        <v>2005</v>
      </c>
      <c r="B5320" t="s">
        <v>140</v>
      </c>
      <c r="C5320">
        <v>1</v>
      </c>
      <c r="D5320">
        <v>0</v>
      </c>
      <c r="E5320">
        <v>0</v>
      </c>
      <c r="F5320">
        <v>0</v>
      </c>
      <c r="G5320">
        <v>1</v>
      </c>
      <c r="H5320">
        <v>0</v>
      </c>
      <c r="I5320">
        <v>0</v>
      </c>
      <c r="J5320">
        <v>27765.788614619702</v>
      </c>
      <c r="K5320">
        <v>24195.5935419751</v>
      </c>
      <c r="L5320">
        <v>33.634999999999998</v>
      </c>
      <c r="M5320">
        <v>72.864999999999995</v>
      </c>
      <c r="N5320">
        <v>7.5919999999999996</v>
      </c>
    </row>
    <row r="5321" spans="1:14" x14ac:dyDescent="0.45">
      <c r="A5321">
        <v>2005</v>
      </c>
      <c r="B5321" t="s">
        <v>141</v>
      </c>
      <c r="C5321">
        <v>0</v>
      </c>
      <c r="D5321">
        <v>0</v>
      </c>
      <c r="E5321">
        <v>0</v>
      </c>
      <c r="F5321">
        <v>1</v>
      </c>
      <c r="G5321">
        <v>0</v>
      </c>
      <c r="H5321">
        <v>0</v>
      </c>
      <c r="I5321">
        <v>0</v>
      </c>
      <c r="J5321">
        <v>7140.8545640703996</v>
      </c>
      <c r="K5321">
        <v>6482.7704504865596</v>
      </c>
      <c r="L5321">
        <v>54.058</v>
      </c>
      <c r="M5321">
        <v>67.531000000000006</v>
      </c>
      <c r="N5321">
        <v>41.588999999999999</v>
      </c>
    </row>
    <row r="5322" spans="1:14" x14ac:dyDescent="0.45">
      <c r="A5322">
        <v>2005</v>
      </c>
      <c r="B5322" t="s">
        <v>142</v>
      </c>
      <c r="C5322">
        <v>1</v>
      </c>
      <c r="D5322">
        <v>0</v>
      </c>
      <c r="E5322">
        <v>0</v>
      </c>
      <c r="F5322">
        <v>0</v>
      </c>
      <c r="G5322">
        <v>0</v>
      </c>
      <c r="H5322">
        <v>1</v>
      </c>
      <c r="I5322">
        <v>1</v>
      </c>
      <c r="L5322">
        <v>48.094999999999999</v>
      </c>
      <c r="M5322">
        <v>77.453000000000003</v>
      </c>
      <c r="N5322">
        <v>18.876000000000001</v>
      </c>
    </row>
    <row r="5323" spans="1:14" x14ac:dyDescent="0.45">
      <c r="A5323">
        <v>2005</v>
      </c>
      <c r="B5323" t="s">
        <v>143</v>
      </c>
      <c r="C5323">
        <v>0</v>
      </c>
      <c r="D5323">
        <v>0</v>
      </c>
      <c r="E5323">
        <v>0</v>
      </c>
      <c r="F5323">
        <v>0</v>
      </c>
      <c r="G5323">
        <v>0</v>
      </c>
      <c r="H5323">
        <v>0</v>
      </c>
      <c r="I5323">
        <v>0</v>
      </c>
      <c r="J5323">
        <v>3881.9661798273</v>
      </c>
      <c r="K5323">
        <v>3255.74815266933</v>
      </c>
      <c r="L5323">
        <v>70.765000000000001</v>
      </c>
      <c r="M5323">
        <v>64.938999999999993</v>
      </c>
      <c r="N5323">
        <v>73.912000000000006</v>
      </c>
    </row>
    <row r="5324" spans="1:14" x14ac:dyDescent="0.45">
      <c r="A5324">
        <v>2005</v>
      </c>
      <c r="B5324" t="s">
        <v>144</v>
      </c>
      <c r="C5324">
        <v>1</v>
      </c>
      <c r="D5324">
        <v>0</v>
      </c>
      <c r="E5324">
        <v>0</v>
      </c>
      <c r="F5324">
        <v>0</v>
      </c>
      <c r="G5324">
        <v>0</v>
      </c>
      <c r="H5324">
        <v>1</v>
      </c>
      <c r="I5324">
        <v>1</v>
      </c>
      <c r="J5324">
        <v>63771.5955065241</v>
      </c>
      <c r="K5324">
        <v>58634.654953521502</v>
      </c>
      <c r="L5324">
        <v>39.523000000000003</v>
      </c>
      <c r="M5324">
        <v>78.909000000000006</v>
      </c>
      <c r="N5324">
        <v>4.718</v>
      </c>
    </row>
    <row r="5325" spans="1:14" x14ac:dyDescent="0.45">
      <c r="A5325">
        <v>2005</v>
      </c>
      <c r="B5325" t="s">
        <v>145</v>
      </c>
      <c r="C5325">
        <v>0</v>
      </c>
      <c r="D5325">
        <v>0</v>
      </c>
      <c r="E5325">
        <v>0</v>
      </c>
      <c r="F5325">
        <v>1</v>
      </c>
      <c r="G5325">
        <v>0</v>
      </c>
      <c r="H5325">
        <v>0</v>
      </c>
      <c r="I5325">
        <v>0</v>
      </c>
      <c r="J5325">
        <v>13056.2499373752</v>
      </c>
      <c r="K5325">
        <v>13023.5397476818</v>
      </c>
      <c r="L5325">
        <v>32.442</v>
      </c>
      <c r="M5325">
        <v>72.445999999999998</v>
      </c>
      <c r="N5325">
        <v>26.62</v>
      </c>
    </row>
    <row r="5326" spans="1:14" x14ac:dyDescent="0.45">
      <c r="A5326">
        <v>2005</v>
      </c>
      <c r="B5326" t="s">
        <v>146</v>
      </c>
      <c r="C5326">
        <v>0</v>
      </c>
      <c r="D5326">
        <v>0</v>
      </c>
      <c r="E5326">
        <v>0</v>
      </c>
      <c r="F5326">
        <v>1</v>
      </c>
      <c r="G5326">
        <v>0</v>
      </c>
      <c r="H5326">
        <v>0</v>
      </c>
      <c r="I5326">
        <v>0</v>
      </c>
      <c r="J5326">
        <v>10078.4437646837</v>
      </c>
      <c r="K5326">
        <v>7124.3386874205498</v>
      </c>
      <c r="L5326">
        <v>31.234000000000002</v>
      </c>
      <c r="M5326">
        <v>64.899000000000001</v>
      </c>
      <c r="N5326">
        <v>39.847000000000001</v>
      </c>
    </row>
    <row r="5327" spans="1:14" x14ac:dyDescent="0.45">
      <c r="A5327">
        <v>2005</v>
      </c>
      <c r="B5327" t="s">
        <v>147</v>
      </c>
      <c r="C5327">
        <v>1</v>
      </c>
      <c r="D5327">
        <v>0</v>
      </c>
      <c r="E5327">
        <v>0</v>
      </c>
      <c r="F5327">
        <v>0</v>
      </c>
      <c r="G5327">
        <v>0</v>
      </c>
      <c r="H5327">
        <v>1</v>
      </c>
      <c r="I5327">
        <v>1</v>
      </c>
      <c r="J5327">
        <v>55333.2273812395</v>
      </c>
      <c r="K5327">
        <v>47879.226668119503</v>
      </c>
      <c r="L5327">
        <v>6.9629999999999903</v>
      </c>
      <c r="M5327">
        <v>81.168999999999997</v>
      </c>
      <c r="N5327">
        <v>3.4319999999999999</v>
      </c>
    </row>
    <row r="5328" spans="1:14" x14ac:dyDescent="0.45">
      <c r="A5328">
        <v>2005</v>
      </c>
      <c r="B5328" t="s">
        <v>148</v>
      </c>
      <c r="C5328">
        <v>0</v>
      </c>
      <c r="D5328">
        <v>0</v>
      </c>
      <c r="E5328">
        <v>0</v>
      </c>
      <c r="F5328">
        <v>0</v>
      </c>
      <c r="G5328">
        <v>0</v>
      </c>
      <c r="H5328">
        <v>1</v>
      </c>
      <c r="I5328">
        <v>1</v>
      </c>
      <c r="J5328">
        <v>33512.8909185546</v>
      </c>
      <c r="K5328">
        <v>30740.609892897399</v>
      </c>
      <c r="L5328">
        <v>8.4819999999999993</v>
      </c>
      <c r="M5328">
        <v>80.394000000000005</v>
      </c>
      <c r="N5328">
        <v>5.5960000000000001</v>
      </c>
    </row>
    <row r="5329" spans="1:14" x14ac:dyDescent="0.45">
      <c r="A5329">
        <v>2005</v>
      </c>
      <c r="B5329" t="s">
        <v>149</v>
      </c>
      <c r="C5329">
        <v>1</v>
      </c>
      <c r="D5329">
        <v>0</v>
      </c>
      <c r="E5329">
        <v>0</v>
      </c>
      <c r="F5329">
        <v>0</v>
      </c>
      <c r="G5329">
        <v>0</v>
      </c>
      <c r="H5329">
        <v>1</v>
      </c>
      <c r="I5329">
        <v>1</v>
      </c>
      <c r="J5329">
        <v>51585.6445807938</v>
      </c>
      <c r="K5329">
        <v>43938.955714123003</v>
      </c>
      <c r="L5329">
        <v>32.262</v>
      </c>
      <c r="M5329">
        <v>81.02</v>
      </c>
      <c r="N5329">
        <v>4.2080000000000002</v>
      </c>
    </row>
    <row r="5330" spans="1:14" x14ac:dyDescent="0.45">
      <c r="A5330">
        <v>2005</v>
      </c>
      <c r="B5330" t="s">
        <v>150</v>
      </c>
      <c r="C5330">
        <v>0</v>
      </c>
      <c r="D5330">
        <v>1</v>
      </c>
      <c r="E5330">
        <v>0</v>
      </c>
      <c r="F5330">
        <v>1</v>
      </c>
      <c r="G5330">
        <v>0</v>
      </c>
      <c r="H5330">
        <v>0</v>
      </c>
      <c r="I5330">
        <v>0</v>
      </c>
      <c r="J5330">
        <v>10119.533794503501</v>
      </c>
      <c r="K5330">
        <v>9973.1057346040798</v>
      </c>
      <c r="L5330">
        <v>47.189</v>
      </c>
      <c r="M5330">
        <v>71.492999999999995</v>
      </c>
      <c r="N5330">
        <v>19.225000000000001</v>
      </c>
    </row>
    <row r="5331" spans="1:14" x14ac:dyDescent="0.45">
      <c r="A5331">
        <v>2005</v>
      </c>
      <c r="B5331" t="s">
        <v>151</v>
      </c>
      <c r="C5331">
        <v>0</v>
      </c>
      <c r="D5331">
        <v>0</v>
      </c>
      <c r="E5331">
        <v>0</v>
      </c>
      <c r="F5331">
        <v>1</v>
      </c>
      <c r="G5331">
        <v>0</v>
      </c>
      <c r="H5331">
        <v>0</v>
      </c>
      <c r="I5331">
        <v>0</v>
      </c>
      <c r="J5331">
        <v>9839.6883496872306</v>
      </c>
      <c r="K5331">
        <v>9761.41649349625</v>
      </c>
      <c r="L5331">
        <v>20.515000000000001</v>
      </c>
      <c r="M5331">
        <v>72.977000000000004</v>
      </c>
      <c r="N5331">
        <v>23.395</v>
      </c>
    </row>
    <row r="5332" spans="1:14" x14ac:dyDescent="0.45">
      <c r="A5332">
        <v>2005</v>
      </c>
      <c r="B5332" t="s">
        <v>152</v>
      </c>
      <c r="C5332">
        <v>0</v>
      </c>
      <c r="D5332">
        <v>0</v>
      </c>
      <c r="E5332">
        <v>0</v>
      </c>
      <c r="F5332">
        <v>0</v>
      </c>
      <c r="G5332">
        <v>0</v>
      </c>
      <c r="H5332">
        <v>1</v>
      </c>
      <c r="I5332">
        <v>1</v>
      </c>
      <c r="J5332">
        <v>41075.824358084901</v>
      </c>
      <c r="K5332">
        <v>38049.863811723197</v>
      </c>
      <c r="L5332">
        <v>14.022</v>
      </c>
      <c r="M5332">
        <v>82.007000000000005</v>
      </c>
      <c r="N5332">
        <v>3.774</v>
      </c>
    </row>
    <row r="5333" spans="1:14" x14ac:dyDescent="0.45">
      <c r="A5333">
        <v>2005</v>
      </c>
      <c r="B5333" t="s">
        <v>153</v>
      </c>
      <c r="C5333">
        <v>1</v>
      </c>
      <c r="D5333">
        <v>0</v>
      </c>
      <c r="E5333">
        <v>0</v>
      </c>
      <c r="F5333">
        <v>1</v>
      </c>
      <c r="G5333">
        <v>0</v>
      </c>
      <c r="H5333">
        <v>0</v>
      </c>
      <c r="I5333">
        <v>0</v>
      </c>
      <c r="J5333">
        <v>20565.529447086599</v>
      </c>
      <c r="K5333">
        <v>15639.250427393499</v>
      </c>
      <c r="L5333">
        <v>43.536999999999999</v>
      </c>
      <c r="M5333">
        <v>65.355999999999995</v>
      </c>
      <c r="N5333">
        <v>30.71</v>
      </c>
    </row>
    <row r="5334" spans="1:14" x14ac:dyDescent="0.45">
      <c r="A5334">
        <v>2005</v>
      </c>
      <c r="B5334" t="s">
        <v>154</v>
      </c>
      <c r="C5334">
        <v>0</v>
      </c>
      <c r="D5334">
        <v>0</v>
      </c>
      <c r="E5334">
        <v>1</v>
      </c>
      <c r="F5334">
        <v>0</v>
      </c>
      <c r="G5334">
        <v>0</v>
      </c>
      <c r="H5334">
        <v>0</v>
      </c>
      <c r="I5334">
        <v>0</v>
      </c>
      <c r="J5334">
        <v>3844.7355712057802</v>
      </c>
      <c r="K5334">
        <v>3313.5708927600499</v>
      </c>
      <c r="L5334">
        <v>78.325000000000003</v>
      </c>
      <c r="M5334">
        <v>58.51</v>
      </c>
      <c r="N5334">
        <v>71.028000000000006</v>
      </c>
    </row>
    <row r="5335" spans="1:14" x14ac:dyDescent="0.45">
      <c r="A5335">
        <v>2005</v>
      </c>
      <c r="B5335" t="s">
        <v>155</v>
      </c>
      <c r="C5335">
        <v>1</v>
      </c>
      <c r="D5335">
        <v>0</v>
      </c>
      <c r="E5335">
        <v>0</v>
      </c>
      <c r="F5335">
        <v>0</v>
      </c>
      <c r="G5335">
        <v>0</v>
      </c>
      <c r="H5335">
        <v>0</v>
      </c>
      <c r="I5335">
        <v>0</v>
      </c>
      <c r="J5335">
        <v>4156.9584923011598</v>
      </c>
      <c r="K5335">
        <v>3513.3284425870402</v>
      </c>
      <c r="L5335">
        <v>64.709999999999994</v>
      </c>
      <c r="M5335">
        <v>65.789000000000001</v>
      </c>
      <c r="N5335">
        <v>39.113</v>
      </c>
    </row>
    <row r="5336" spans="1:14" x14ac:dyDescent="0.45">
      <c r="A5336">
        <v>2005</v>
      </c>
      <c r="B5336" t="s">
        <v>156</v>
      </c>
      <c r="C5336">
        <v>0</v>
      </c>
      <c r="D5336">
        <v>0</v>
      </c>
      <c r="E5336">
        <v>0</v>
      </c>
      <c r="F5336">
        <v>0</v>
      </c>
      <c r="G5336">
        <v>0</v>
      </c>
      <c r="H5336">
        <v>0</v>
      </c>
      <c r="I5336">
        <v>0</v>
      </c>
      <c r="J5336">
        <v>2781.8902889516498</v>
      </c>
      <c r="K5336">
        <v>2494.4328003976102</v>
      </c>
      <c r="L5336">
        <v>80.825999999999993</v>
      </c>
      <c r="M5336">
        <v>64.113</v>
      </c>
      <c r="N5336">
        <v>65.754999999999995</v>
      </c>
    </row>
    <row r="5337" spans="1:14" x14ac:dyDescent="0.45">
      <c r="A5337">
        <v>2005</v>
      </c>
      <c r="B5337" t="s">
        <v>157</v>
      </c>
      <c r="C5337">
        <v>0</v>
      </c>
      <c r="D5337">
        <v>0</v>
      </c>
      <c r="E5337">
        <v>0</v>
      </c>
      <c r="F5337">
        <v>1</v>
      </c>
      <c r="G5337">
        <v>0</v>
      </c>
      <c r="H5337">
        <v>0</v>
      </c>
      <c r="I5337">
        <v>0</v>
      </c>
      <c r="J5337">
        <v>2183.78113886233</v>
      </c>
      <c r="K5337">
        <v>1975.4468838456701</v>
      </c>
      <c r="L5337">
        <v>56.448999999999998</v>
      </c>
      <c r="M5337">
        <v>65.516999999999996</v>
      </c>
      <c r="N5337">
        <v>60.576999999999998</v>
      </c>
    </row>
    <row r="5338" spans="1:14" x14ac:dyDescent="0.45">
      <c r="A5338">
        <v>2005</v>
      </c>
      <c r="B5338" t="s">
        <v>158</v>
      </c>
      <c r="C5338">
        <v>0</v>
      </c>
      <c r="D5338">
        <v>1</v>
      </c>
      <c r="E5338">
        <v>0</v>
      </c>
      <c r="F5338">
        <v>0</v>
      </c>
      <c r="G5338">
        <v>1</v>
      </c>
      <c r="H5338">
        <v>0</v>
      </c>
      <c r="I5338">
        <v>0</v>
      </c>
      <c r="J5338">
        <v>22612.712655945499</v>
      </c>
      <c r="K5338">
        <v>22333.129488719402</v>
      </c>
      <c r="L5338">
        <v>67.971999999999994</v>
      </c>
      <c r="M5338">
        <v>71.150999999999996</v>
      </c>
      <c r="N5338">
        <v>19.552</v>
      </c>
    </row>
    <row r="5339" spans="1:14" x14ac:dyDescent="0.45">
      <c r="A5339">
        <v>2005</v>
      </c>
      <c r="B5339" t="s">
        <v>159</v>
      </c>
      <c r="C5339">
        <v>0</v>
      </c>
      <c r="D5339">
        <v>0</v>
      </c>
      <c r="E5339">
        <v>0</v>
      </c>
      <c r="F5339">
        <v>0</v>
      </c>
      <c r="G5339">
        <v>0</v>
      </c>
      <c r="H5339">
        <v>1</v>
      </c>
      <c r="I5339">
        <v>1</v>
      </c>
      <c r="J5339">
        <v>31319.109868639302</v>
      </c>
      <c r="K5339">
        <v>28551.205127683799</v>
      </c>
      <c r="L5339">
        <v>18.655000000000001</v>
      </c>
      <c r="M5339">
        <v>78.448999999999998</v>
      </c>
      <c r="N5339">
        <v>5.5739999999999998</v>
      </c>
    </row>
    <row r="5340" spans="1:14" x14ac:dyDescent="0.45">
      <c r="A5340">
        <v>2005</v>
      </c>
      <c r="B5340" t="s">
        <v>160</v>
      </c>
      <c r="C5340">
        <v>0</v>
      </c>
      <c r="D5340">
        <v>0</v>
      </c>
      <c r="E5340">
        <v>0</v>
      </c>
      <c r="F5340">
        <v>0</v>
      </c>
      <c r="G5340">
        <v>0</v>
      </c>
      <c r="H5340">
        <v>1</v>
      </c>
      <c r="I5340">
        <v>1</v>
      </c>
      <c r="J5340">
        <v>78193.901253416698</v>
      </c>
      <c r="K5340">
        <v>69639.498247288502</v>
      </c>
      <c r="L5340">
        <v>0</v>
      </c>
      <c r="M5340">
        <v>76.463999999999999</v>
      </c>
      <c r="N5340">
        <v>11.723000000000001</v>
      </c>
    </row>
    <row r="5341" spans="1:14" x14ac:dyDescent="0.45">
      <c r="A5341">
        <v>2005</v>
      </c>
      <c r="B5341" t="s">
        <v>161</v>
      </c>
      <c r="C5341">
        <v>0</v>
      </c>
      <c r="D5341">
        <v>0</v>
      </c>
      <c r="E5341">
        <v>0</v>
      </c>
      <c r="F5341">
        <v>0</v>
      </c>
      <c r="G5341">
        <v>0</v>
      </c>
      <c r="H5341">
        <v>0</v>
      </c>
      <c r="I5341">
        <v>0</v>
      </c>
      <c r="J5341">
        <v>3630.5587876937798</v>
      </c>
      <c r="K5341">
        <v>3488.63151508593</v>
      </c>
      <c r="L5341">
        <v>72.813999999999993</v>
      </c>
      <c r="M5341">
        <v>60.688000000000002</v>
      </c>
      <c r="N5341">
        <v>86.119</v>
      </c>
    </row>
    <row r="5342" spans="1:14" x14ac:dyDescent="0.45">
      <c r="A5342">
        <v>2005</v>
      </c>
      <c r="B5342" t="s">
        <v>162</v>
      </c>
      <c r="C5342">
        <v>0</v>
      </c>
      <c r="D5342">
        <v>0</v>
      </c>
      <c r="E5342">
        <v>0</v>
      </c>
      <c r="F5342">
        <v>0</v>
      </c>
      <c r="G5342">
        <v>1</v>
      </c>
      <c r="H5342">
        <v>0</v>
      </c>
      <c r="I5342">
        <v>0</v>
      </c>
      <c r="J5342">
        <v>13024.664892495601</v>
      </c>
      <c r="K5342">
        <v>16929.373576053498</v>
      </c>
      <c r="L5342">
        <v>13.372999999999999</v>
      </c>
      <c r="M5342">
        <v>76.073999999999998</v>
      </c>
      <c r="N5342">
        <v>15.188000000000001</v>
      </c>
    </row>
    <row r="5343" spans="1:14" x14ac:dyDescent="0.45">
      <c r="A5343">
        <v>2005</v>
      </c>
      <c r="B5343" t="s">
        <v>163</v>
      </c>
      <c r="C5343">
        <v>0</v>
      </c>
      <c r="D5343">
        <v>0</v>
      </c>
      <c r="E5343">
        <v>1</v>
      </c>
      <c r="F5343">
        <v>0</v>
      </c>
      <c r="G5343">
        <v>0</v>
      </c>
      <c r="H5343">
        <v>0</v>
      </c>
      <c r="I5343">
        <v>0</v>
      </c>
      <c r="J5343">
        <v>1335.6172888078499</v>
      </c>
      <c r="K5343">
        <v>1973.3016837186999</v>
      </c>
      <c r="L5343">
        <v>53.948999999999998</v>
      </c>
      <c r="M5343">
        <v>56.765000000000001</v>
      </c>
      <c r="N5343">
        <v>132.39400000000001</v>
      </c>
    </row>
    <row r="5344" spans="1:14" x14ac:dyDescent="0.45">
      <c r="A5344">
        <v>2005</v>
      </c>
      <c r="B5344" t="s">
        <v>164</v>
      </c>
      <c r="C5344">
        <v>0</v>
      </c>
      <c r="D5344">
        <v>0</v>
      </c>
      <c r="E5344">
        <v>0</v>
      </c>
      <c r="F5344">
        <v>0</v>
      </c>
      <c r="G5344">
        <v>1</v>
      </c>
      <c r="H5344">
        <v>0</v>
      </c>
      <c r="I5344">
        <v>0</v>
      </c>
      <c r="J5344">
        <v>20644.027076689199</v>
      </c>
      <c r="K5344">
        <v>24126.5742038346</v>
      </c>
      <c r="L5344">
        <v>22.92</v>
      </c>
      <c r="M5344">
        <v>71.438999999999993</v>
      </c>
      <c r="N5344">
        <v>22.529</v>
      </c>
    </row>
    <row r="5345" spans="1:14" x14ac:dyDescent="0.45">
      <c r="A5345">
        <v>2005</v>
      </c>
      <c r="B5345" t="s">
        <v>165</v>
      </c>
      <c r="C5345">
        <v>0</v>
      </c>
      <c r="D5345">
        <v>1</v>
      </c>
      <c r="E5345">
        <v>0</v>
      </c>
      <c r="F5345">
        <v>0</v>
      </c>
      <c r="G5345">
        <v>1</v>
      </c>
      <c r="H5345">
        <v>0</v>
      </c>
      <c r="I5345">
        <v>0</v>
      </c>
      <c r="J5345">
        <v>19491.218226058401</v>
      </c>
      <c r="K5345">
        <v>14022.1189735471</v>
      </c>
      <c r="L5345">
        <v>76.915000000000006</v>
      </c>
      <c r="M5345">
        <v>72.543999999999997</v>
      </c>
      <c r="N5345">
        <v>18.033000000000001</v>
      </c>
    </row>
    <row r="5346" spans="1:14" x14ac:dyDescent="0.45">
      <c r="A5346">
        <v>2005</v>
      </c>
      <c r="B5346" t="s">
        <v>166</v>
      </c>
      <c r="C5346">
        <v>1</v>
      </c>
      <c r="D5346">
        <v>0</v>
      </c>
      <c r="E5346">
        <v>0</v>
      </c>
      <c r="F5346">
        <v>0</v>
      </c>
      <c r="G5346">
        <v>0</v>
      </c>
      <c r="H5346">
        <v>1</v>
      </c>
      <c r="I5346">
        <v>1</v>
      </c>
      <c r="L5346">
        <v>85.260999999999996</v>
      </c>
      <c r="M5346">
        <v>81.117000000000004</v>
      </c>
      <c r="N5346">
        <v>8.7119999999999997</v>
      </c>
    </row>
    <row r="5347" spans="1:14" x14ac:dyDescent="0.45">
      <c r="A5347">
        <v>2005</v>
      </c>
      <c r="B5347" t="s">
        <v>167</v>
      </c>
      <c r="C5347">
        <v>0</v>
      </c>
      <c r="D5347">
        <v>0</v>
      </c>
      <c r="E5347">
        <v>0</v>
      </c>
      <c r="F5347">
        <v>1</v>
      </c>
      <c r="G5347">
        <v>0</v>
      </c>
      <c r="H5347">
        <v>0</v>
      </c>
      <c r="I5347">
        <v>0</v>
      </c>
      <c r="J5347">
        <v>7452.7423412451799</v>
      </c>
      <c r="K5347">
        <v>6960.7435553813802</v>
      </c>
      <c r="L5347">
        <v>81.697000000000003</v>
      </c>
      <c r="M5347">
        <v>73.072999999999993</v>
      </c>
      <c r="N5347">
        <v>13.882</v>
      </c>
    </row>
    <row r="5348" spans="1:14" x14ac:dyDescent="0.45">
      <c r="A5348">
        <v>2005</v>
      </c>
      <c r="B5348" t="s">
        <v>168</v>
      </c>
      <c r="C5348">
        <v>0</v>
      </c>
      <c r="D5348">
        <v>0</v>
      </c>
      <c r="E5348">
        <v>1</v>
      </c>
      <c r="F5348">
        <v>1</v>
      </c>
      <c r="G5348">
        <v>0</v>
      </c>
      <c r="H5348">
        <v>0</v>
      </c>
      <c r="I5348">
        <v>0</v>
      </c>
      <c r="J5348">
        <v>2275.0161441925602</v>
      </c>
      <c r="K5348">
        <v>2037.0954011638801</v>
      </c>
      <c r="L5348">
        <v>77.751000000000005</v>
      </c>
      <c r="M5348">
        <v>43.610999999999997</v>
      </c>
      <c r="N5348">
        <v>114.111</v>
      </c>
    </row>
    <row r="5349" spans="1:14" x14ac:dyDescent="0.45">
      <c r="A5349">
        <v>2005</v>
      </c>
      <c r="B5349" t="s">
        <v>169</v>
      </c>
      <c r="C5349">
        <v>1</v>
      </c>
      <c r="D5349">
        <v>0</v>
      </c>
      <c r="E5349">
        <v>0</v>
      </c>
      <c r="F5349">
        <v>0</v>
      </c>
      <c r="G5349">
        <v>1</v>
      </c>
      <c r="H5349">
        <v>0</v>
      </c>
      <c r="I5349">
        <v>0</v>
      </c>
      <c r="J5349">
        <v>23944.701994871899</v>
      </c>
      <c r="K5349">
        <v>20486.2892027823</v>
      </c>
      <c r="L5349">
        <v>33.365000000000002</v>
      </c>
      <c r="M5349">
        <v>71.245999999999995</v>
      </c>
      <c r="N5349">
        <v>8.8770000000000007</v>
      </c>
    </row>
    <row r="5350" spans="1:14" x14ac:dyDescent="0.45">
      <c r="A5350">
        <v>2005</v>
      </c>
      <c r="B5350" t="s">
        <v>170</v>
      </c>
      <c r="C5350">
        <v>1</v>
      </c>
      <c r="D5350">
        <v>0</v>
      </c>
      <c r="E5350">
        <v>0</v>
      </c>
      <c r="F5350">
        <v>0</v>
      </c>
      <c r="G5350">
        <v>0</v>
      </c>
      <c r="H5350">
        <v>1</v>
      </c>
      <c r="I5350">
        <v>1</v>
      </c>
      <c r="J5350">
        <v>124866.858810412</v>
      </c>
      <c r="K5350">
        <v>106706.386838009</v>
      </c>
      <c r="L5350">
        <v>13.401999999999999</v>
      </c>
      <c r="M5350">
        <v>78.879000000000005</v>
      </c>
      <c r="N5350">
        <v>4.319</v>
      </c>
    </row>
    <row r="5351" spans="1:14" x14ac:dyDescent="0.45">
      <c r="A5351">
        <v>2005</v>
      </c>
      <c r="B5351" t="s">
        <v>171</v>
      </c>
      <c r="C5351">
        <v>1</v>
      </c>
      <c r="D5351">
        <v>0</v>
      </c>
      <c r="E5351">
        <v>0</v>
      </c>
      <c r="F5351">
        <v>0</v>
      </c>
      <c r="G5351">
        <v>1</v>
      </c>
      <c r="H5351">
        <v>0</v>
      </c>
      <c r="I5351">
        <v>0</v>
      </c>
      <c r="J5351">
        <v>23213.3539355881</v>
      </c>
      <c r="K5351">
        <v>20139.657119281299</v>
      </c>
      <c r="L5351">
        <v>32</v>
      </c>
      <c r="M5351">
        <v>70.632000000000005</v>
      </c>
      <c r="N5351">
        <v>9.75</v>
      </c>
    </row>
    <row r="5352" spans="1:14" x14ac:dyDescent="0.45">
      <c r="A5352">
        <v>2005</v>
      </c>
      <c r="B5352" t="s">
        <v>172</v>
      </c>
      <c r="C5352">
        <v>0</v>
      </c>
      <c r="D5352">
        <v>0</v>
      </c>
      <c r="E5352">
        <v>0</v>
      </c>
      <c r="F5352">
        <v>0</v>
      </c>
      <c r="G5352">
        <v>0</v>
      </c>
      <c r="H5352">
        <v>1</v>
      </c>
      <c r="I5352">
        <v>1</v>
      </c>
      <c r="J5352">
        <v>87090.721319944802</v>
      </c>
      <c r="K5352">
        <v>78925.224679339299</v>
      </c>
      <c r="L5352">
        <v>0</v>
      </c>
      <c r="M5352">
        <v>80.522000000000006</v>
      </c>
      <c r="N5352">
        <v>5.9</v>
      </c>
    </row>
    <row r="5353" spans="1:14" x14ac:dyDescent="0.45">
      <c r="A5353">
        <v>2005</v>
      </c>
      <c r="B5353" t="s">
        <v>173</v>
      </c>
      <c r="C5353">
        <v>0</v>
      </c>
      <c r="D5353">
        <v>1</v>
      </c>
      <c r="E5353">
        <v>0</v>
      </c>
      <c r="F5353">
        <v>0</v>
      </c>
      <c r="G5353">
        <v>0</v>
      </c>
      <c r="H5353">
        <v>1</v>
      </c>
      <c r="I5353">
        <v>1</v>
      </c>
      <c r="L5353">
        <v>0</v>
      </c>
      <c r="M5353">
        <v>77.802000000000007</v>
      </c>
      <c r="N5353">
        <v>12.798</v>
      </c>
    </row>
    <row r="5354" spans="1:14" x14ac:dyDescent="0.45">
      <c r="A5354">
        <v>2005</v>
      </c>
      <c r="B5354" t="s">
        <v>174</v>
      </c>
      <c r="C5354">
        <v>0</v>
      </c>
      <c r="D5354">
        <v>0</v>
      </c>
      <c r="E5354">
        <v>0</v>
      </c>
      <c r="F5354">
        <v>1</v>
      </c>
      <c r="G5354">
        <v>0</v>
      </c>
      <c r="H5354">
        <v>0</v>
      </c>
      <c r="I5354">
        <v>0</v>
      </c>
      <c r="J5354">
        <v>6103.42236328125</v>
      </c>
      <c r="K5354">
        <v>5861.5342117907703</v>
      </c>
      <c r="L5354">
        <v>44.826000000000001</v>
      </c>
      <c r="M5354">
        <v>68.748000000000005</v>
      </c>
      <c r="N5354">
        <v>40.99</v>
      </c>
    </row>
    <row r="5355" spans="1:14" x14ac:dyDescent="0.45">
      <c r="A5355">
        <v>2005</v>
      </c>
      <c r="B5355" t="s">
        <v>175</v>
      </c>
      <c r="C5355">
        <v>1</v>
      </c>
      <c r="D5355">
        <v>0</v>
      </c>
      <c r="E5355">
        <v>0</v>
      </c>
      <c r="F5355">
        <v>0</v>
      </c>
      <c r="G5355">
        <v>0</v>
      </c>
      <c r="H5355">
        <v>1</v>
      </c>
      <c r="I5355">
        <v>1</v>
      </c>
      <c r="L5355">
        <v>0</v>
      </c>
      <c r="M5355">
        <v>84.34</v>
      </c>
      <c r="N5355">
        <v>5.992</v>
      </c>
    </row>
    <row r="5356" spans="1:14" x14ac:dyDescent="0.45">
      <c r="A5356">
        <v>2005</v>
      </c>
      <c r="B5356" t="s">
        <v>176</v>
      </c>
      <c r="C5356">
        <v>1</v>
      </c>
      <c r="D5356">
        <v>0</v>
      </c>
      <c r="E5356">
        <v>0</v>
      </c>
      <c r="F5356">
        <v>1</v>
      </c>
      <c r="G5356">
        <v>0</v>
      </c>
      <c r="H5356">
        <v>0</v>
      </c>
      <c r="I5356">
        <v>0</v>
      </c>
      <c r="J5356">
        <v>8161.4734472476503</v>
      </c>
      <c r="K5356">
        <v>7000.1581195774597</v>
      </c>
      <c r="L5356">
        <v>57.225000000000001</v>
      </c>
      <c r="M5356">
        <v>68.197000000000003</v>
      </c>
      <c r="N5356">
        <v>21.084</v>
      </c>
    </row>
    <row r="5357" spans="1:14" x14ac:dyDescent="0.45">
      <c r="A5357">
        <v>2005</v>
      </c>
      <c r="B5357" t="s">
        <v>177</v>
      </c>
      <c r="C5357">
        <v>0</v>
      </c>
      <c r="D5357">
        <v>0</v>
      </c>
      <c r="E5357">
        <v>1</v>
      </c>
      <c r="F5357">
        <v>0</v>
      </c>
      <c r="G5357">
        <v>0</v>
      </c>
      <c r="H5357">
        <v>0</v>
      </c>
      <c r="I5357">
        <v>0</v>
      </c>
      <c r="J5357">
        <v>1648.17631553759</v>
      </c>
      <c r="K5357">
        <v>1526.9142884453399</v>
      </c>
      <c r="L5357">
        <v>71.186000000000007</v>
      </c>
      <c r="M5357">
        <v>60.664000000000001</v>
      </c>
      <c r="N5357">
        <v>84.707999999999998</v>
      </c>
    </row>
    <row r="5358" spans="1:14" x14ac:dyDescent="0.45">
      <c r="A5358">
        <v>2005</v>
      </c>
      <c r="B5358" t="s">
        <v>178</v>
      </c>
      <c r="C5358">
        <v>0</v>
      </c>
      <c r="D5358">
        <v>0</v>
      </c>
      <c r="E5358">
        <v>0</v>
      </c>
      <c r="F5358">
        <v>1</v>
      </c>
      <c r="G5358">
        <v>0</v>
      </c>
      <c r="H5358">
        <v>0</v>
      </c>
      <c r="I5358">
        <v>0</v>
      </c>
      <c r="J5358">
        <v>13942.8753908979</v>
      </c>
      <c r="K5358">
        <v>13755.807993743299</v>
      </c>
      <c r="L5358">
        <v>66.25</v>
      </c>
      <c r="M5358">
        <v>74.784999999999997</v>
      </c>
      <c r="N5358">
        <v>21.922999999999998</v>
      </c>
    </row>
    <row r="5359" spans="1:14" x14ac:dyDescent="0.45">
      <c r="A5359">
        <v>2005</v>
      </c>
      <c r="B5359" t="s">
        <v>179</v>
      </c>
      <c r="C5359">
        <v>0</v>
      </c>
      <c r="D5359">
        <v>1</v>
      </c>
      <c r="E5359">
        <v>0</v>
      </c>
      <c r="F5359">
        <v>0</v>
      </c>
      <c r="G5359">
        <v>1</v>
      </c>
      <c r="H5359">
        <v>0</v>
      </c>
      <c r="I5359">
        <v>0</v>
      </c>
      <c r="J5359">
        <v>20277.2552828148</v>
      </c>
      <c r="K5359">
        <v>18851.261186043699</v>
      </c>
      <c r="L5359">
        <v>23.692</v>
      </c>
      <c r="M5359">
        <v>73.626999999999995</v>
      </c>
      <c r="N5359">
        <v>22.895</v>
      </c>
    </row>
    <row r="5360" spans="1:14" x14ac:dyDescent="0.45">
      <c r="A5360">
        <v>2005</v>
      </c>
      <c r="B5360" t="s">
        <v>180</v>
      </c>
      <c r="C5360">
        <v>0</v>
      </c>
      <c r="D5360">
        <v>0</v>
      </c>
      <c r="E5360">
        <v>0</v>
      </c>
      <c r="F5360">
        <v>1</v>
      </c>
      <c r="G5360">
        <v>0</v>
      </c>
      <c r="H5360">
        <v>0</v>
      </c>
      <c r="I5360">
        <v>0</v>
      </c>
      <c r="J5360">
        <v>4075.15864767418</v>
      </c>
      <c r="K5360">
        <v>3685.91940868452</v>
      </c>
      <c r="L5360">
        <v>28.861999999999998</v>
      </c>
      <c r="M5360">
        <v>64.111999999999995</v>
      </c>
      <c r="N5360">
        <v>41.081000000000003</v>
      </c>
    </row>
    <row r="5361" spans="1:14" x14ac:dyDescent="0.45">
      <c r="A5361">
        <v>2005</v>
      </c>
      <c r="B5361" t="s">
        <v>181</v>
      </c>
      <c r="C5361">
        <v>1</v>
      </c>
      <c r="D5361">
        <v>0</v>
      </c>
      <c r="E5361">
        <v>0</v>
      </c>
      <c r="F5361">
        <v>1</v>
      </c>
      <c r="G5361">
        <v>0</v>
      </c>
      <c r="H5361">
        <v>0</v>
      </c>
      <c r="I5361">
        <v>0</v>
      </c>
      <c r="J5361">
        <v>13353.7256734931</v>
      </c>
      <c r="K5361">
        <v>11273.053350001501</v>
      </c>
      <c r="L5361">
        <v>42.468000000000004</v>
      </c>
      <c r="M5361">
        <v>73.608000000000004</v>
      </c>
      <c r="N5361">
        <v>14.048999999999999</v>
      </c>
    </row>
    <row r="5362" spans="1:14" x14ac:dyDescent="0.45">
      <c r="A5362">
        <v>2005</v>
      </c>
      <c r="B5362" t="s">
        <v>182</v>
      </c>
      <c r="C5362">
        <v>0</v>
      </c>
      <c r="D5362">
        <v>0</v>
      </c>
      <c r="E5362">
        <v>1</v>
      </c>
      <c r="F5362">
        <v>0</v>
      </c>
      <c r="G5362">
        <v>0</v>
      </c>
      <c r="H5362">
        <v>0</v>
      </c>
      <c r="I5362">
        <v>0</v>
      </c>
      <c r="J5362">
        <v>2314.0151457209899</v>
      </c>
      <c r="K5362">
        <v>2141.8750541104</v>
      </c>
      <c r="L5362">
        <v>67.94</v>
      </c>
      <c r="M5362">
        <v>53.792000000000002</v>
      </c>
      <c r="N5362">
        <v>158.822</v>
      </c>
    </row>
    <row r="5363" spans="1:14" x14ac:dyDescent="0.45">
      <c r="A5363">
        <v>2005</v>
      </c>
      <c r="B5363" t="s">
        <v>183</v>
      </c>
      <c r="C5363">
        <v>0</v>
      </c>
      <c r="D5363">
        <v>0</v>
      </c>
      <c r="E5363">
        <v>0</v>
      </c>
      <c r="F5363">
        <v>0</v>
      </c>
      <c r="G5363">
        <v>0</v>
      </c>
      <c r="H5363">
        <v>1</v>
      </c>
      <c r="I5363">
        <v>1</v>
      </c>
      <c r="J5363">
        <v>32745.5946310613</v>
      </c>
      <c r="K5363">
        <v>28326.542114031101</v>
      </c>
      <c r="L5363">
        <v>6.3550000000000004</v>
      </c>
      <c r="M5363">
        <v>79.489000000000004</v>
      </c>
      <c r="N5363">
        <v>7.149</v>
      </c>
    </row>
    <row r="5364" spans="1:14" x14ac:dyDescent="0.45">
      <c r="A5364">
        <v>2005</v>
      </c>
      <c r="B5364" t="s">
        <v>184</v>
      </c>
      <c r="C5364">
        <v>0</v>
      </c>
      <c r="D5364">
        <v>0</v>
      </c>
      <c r="E5364">
        <v>0</v>
      </c>
      <c r="F5364">
        <v>0</v>
      </c>
      <c r="G5364">
        <v>0</v>
      </c>
      <c r="H5364">
        <v>0</v>
      </c>
      <c r="I5364">
        <v>0</v>
      </c>
      <c r="J5364">
        <v>2377.9025816297599</v>
      </c>
      <c r="K5364">
        <v>1903.99404493769</v>
      </c>
      <c r="L5364">
        <v>72.054000000000002</v>
      </c>
      <c r="M5364">
        <v>61.72</v>
      </c>
      <c r="N5364">
        <v>76.576999999999998</v>
      </c>
    </row>
    <row r="5365" spans="1:14" x14ac:dyDescent="0.45">
      <c r="A5365">
        <v>2005</v>
      </c>
      <c r="B5365" t="s">
        <v>185</v>
      </c>
      <c r="C5365">
        <v>1</v>
      </c>
      <c r="D5365">
        <v>0</v>
      </c>
      <c r="E5365">
        <v>0</v>
      </c>
      <c r="F5365">
        <v>1</v>
      </c>
      <c r="G5365">
        <v>0</v>
      </c>
      <c r="H5365">
        <v>0</v>
      </c>
      <c r="I5365">
        <v>0</v>
      </c>
      <c r="J5365">
        <v>16325.786893016701</v>
      </c>
      <c r="K5365">
        <v>13794.293281857899</v>
      </c>
      <c r="L5365">
        <v>37.534999999999997</v>
      </c>
      <c r="M5365">
        <v>74.424999999999997</v>
      </c>
      <c r="N5365">
        <v>10.41</v>
      </c>
    </row>
    <row r="5366" spans="1:14" x14ac:dyDescent="0.45">
      <c r="A5366">
        <v>2005</v>
      </c>
      <c r="B5366" t="s">
        <v>186</v>
      </c>
      <c r="C5366">
        <v>0</v>
      </c>
      <c r="D5366">
        <v>0</v>
      </c>
      <c r="E5366">
        <v>0</v>
      </c>
      <c r="F5366">
        <v>0</v>
      </c>
      <c r="G5366">
        <v>0</v>
      </c>
      <c r="H5366">
        <v>0</v>
      </c>
      <c r="I5366">
        <v>0</v>
      </c>
      <c r="J5366">
        <v>7499.8480393542804</v>
      </c>
      <c r="K5366">
        <v>5778.4521796018898</v>
      </c>
      <c r="L5366">
        <v>37.506</v>
      </c>
      <c r="M5366">
        <v>64.811000000000007</v>
      </c>
      <c r="N5366">
        <v>40.799999999999997</v>
      </c>
    </row>
    <row r="5367" spans="1:14" x14ac:dyDescent="0.45">
      <c r="A5367">
        <v>2005</v>
      </c>
      <c r="B5367" t="s">
        <v>187</v>
      </c>
      <c r="C5367">
        <v>0</v>
      </c>
      <c r="D5367">
        <v>0</v>
      </c>
      <c r="E5367">
        <v>0</v>
      </c>
      <c r="F5367">
        <v>0</v>
      </c>
      <c r="G5367">
        <v>1</v>
      </c>
      <c r="H5367">
        <v>0</v>
      </c>
      <c r="I5367">
        <v>0</v>
      </c>
      <c r="L5367">
        <v>9.4419999999999895</v>
      </c>
      <c r="M5367">
        <v>77.307000000000002</v>
      </c>
      <c r="N5367">
        <v>6.6050000000000004</v>
      </c>
    </row>
    <row r="5368" spans="1:14" x14ac:dyDescent="0.45">
      <c r="A5368">
        <v>2005</v>
      </c>
      <c r="B5368" t="s">
        <v>188</v>
      </c>
      <c r="C5368">
        <v>0</v>
      </c>
      <c r="D5368">
        <v>0</v>
      </c>
      <c r="E5368">
        <v>1</v>
      </c>
      <c r="F5368">
        <v>0</v>
      </c>
      <c r="G5368">
        <v>0</v>
      </c>
      <c r="H5368">
        <v>0</v>
      </c>
      <c r="I5368">
        <v>0</v>
      </c>
      <c r="J5368">
        <v>970.38995609863002</v>
      </c>
      <c r="K5368">
        <v>812.50741855519095</v>
      </c>
      <c r="L5368">
        <v>70.001000000000005</v>
      </c>
      <c r="M5368">
        <v>52.322000000000003</v>
      </c>
      <c r="N5368">
        <v>132.97999999999999</v>
      </c>
    </row>
    <row r="5369" spans="1:14" x14ac:dyDescent="0.45">
      <c r="A5369">
        <v>2005</v>
      </c>
      <c r="B5369" t="s">
        <v>189</v>
      </c>
      <c r="C5369">
        <v>0</v>
      </c>
      <c r="D5369">
        <v>0</v>
      </c>
      <c r="E5369">
        <v>1</v>
      </c>
      <c r="F5369">
        <v>0</v>
      </c>
      <c r="G5369">
        <v>0</v>
      </c>
      <c r="H5369">
        <v>0</v>
      </c>
      <c r="I5369">
        <v>0</v>
      </c>
      <c r="J5369">
        <v>5445.8295172195603</v>
      </c>
      <c r="K5369">
        <v>4817.9981883868504</v>
      </c>
      <c r="L5369">
        <v>57.889000000000003</v>
      </c>
      <c r="M5369">
        <v>63.92</v>
      </c>
      <c r="N5369">
        <v>72.792000000000002</v>
      </c>
    </row>
    <row r="5370" spans="1:14" x14ac:dyDescent="0.45">
      <c r="A5370">
        <v>2005</v>
      </c>
      <c r="B5370" t="s">
        <v>190</v>
      </c>
      <c r="C5370">
        <v>0</v>
      </c>
      <c r="D5370">
        <v>0</v>
      </c>
      <c r="E5370">
        <v>1</v>
      </c>
      <c r="F5370">
        <v>0</v>
      </c>
      <c r="G5370">
        <v>1</v>
      </c>
      <c r="H5370">
        <v>0</v>
      </c>
      <c r="I5370">
        <v>0</v>
      </c>
      <c r="J5370">
        <v>15205.661596689401</v>
      </c>
      <c r="K5370">
        <v>14272.4093005819</v>
      </c>
      <c r="L5370">
        <v>57.887999999999998</v>
      </c>
      <c r="M5370">
        <v>72.644000000000005</v>
      </c>
      <c r="N5370">
        <v>15.281000000000001</v>
      </c>
    </row>
    <row r="5371" spans="1:14" x14ac:dyDescent="0.45">
      <c r="A5371">
        <v>2005</v>
      </c>
      <c r="B5371" t="s">
        <v>191</v>
      </c>
      <c r="C5371">
        <v>0</v>
      </c>
      <c r="D5371">
        <v>0</v>
      </c>
      <c r="E5371">
        <v>1</v>
      </c>
      <c r="F5371">
        <v>0</v>
      </c>
      <c r="G5371">
        <v>0</v>
      </c>
      <c r="H5371">
        <v>0</v>
      </c>
      <c r="I5371">
        <v>0</v>
      </c>
      <c r="J5371">
        <v>1214.7426419188</v>
      </c>
      <c r="K5371">
        <v>1039.40835161473</v>
      </c>
      <c r="L5371">
        <v>84.945999999999998</v>
      </c>
      <c r="M5371">
        <v>52.469000000000001</v>
      </c>
      <c r="N5371">
        <v>112.93600000000001</v>
      </c>
    </row>
    <row r="5372" spans="1:14" x14ac:dyDescent="0.45">
      <c r="A5372">
        <v>2005</v>
      </c>
      <c r="B5372" t="s">
        <v>192</v>
      </c>
      <c r="C5372">
        <v>0</v>
      </c>
      <c r="D5372">
        <v>0</v>
      </c>
      <c r="E5372">
        <v>0</v>
      </c>
      <c r="F5372">
        <v>0</v>
      </c>
      <c r="G5372">
        <v>1</v>
      </c>
      <c r="H5372">
        <v>0</v>
      </c>
      <c r="I5372">
        <v>0</v>
      </c>
      <c r="J5372">
        <v>20767.5857243346</v>
      </c>
      <c r="K5372">
        <v>18563.771242447401</v>
      </c>
      <c r="L5372">
        <v>33.405999999999999</v>
      </c>
      <c r="M5372">
        <v>74.37</v>
      </c>
      <c r="N5372">
        <v>8.3539999999999992</v>
      </c>
    </row>
    <row r="5373" spans="1:14" x14ac:dyDescent="0.45">
      <c r="A5373">
        <v>2005</v>
      </c>
      <c r="B5373" t="s">
        <v>193</v>
      </c>
      <c r="C5373">
        <v>0</v>
      </c>
      <c r="D5373">
        <v>0</v>
      </c>
      <c r="E5373">
        <v>1</v>
      </c>
      <c r="F5373">
        <v>1</v>
      </c>
      <c r="G5373">
        <v>0</v>
      </c>
      <c r="H5373">
        <v>0</v>
      </c>
      <c r="I5373">
        <v>0</v>
      </c>
      <c r="J5373">
        <v>9245.1365329554992</v>
      </c>
      <c r="K5373">
        <v>8012.7580248325103</v>
      </c>
      <c r="L5373">
        <v>63.368000000000002</v>
      </c>
      <c r="M5373">
        <v>52.557000000000002</v>
      </c>
      <c r="N5373">
        <v>67.825999999999993</v>
      </c>
    </row>
    <row r="5374" spans="1:14" x14ac:dyDescent="0.45">
      <c r="A5374">
        <v>2005</v>
      </c>
      <c r="B5374" t="s">
        <v>194</v>
      </c>
      <c r="C5374">
        <v>0</v>
      </c>
      <c r="D5374">
        <v>0</v>
      </c>
      <c r="E5374">
        <v>0</v>
      </c>
      <c r="F5374">
        <v>0</v>
      </c>
      <c r="G5374">
        <v>0</v>
      </c>
      <c r="H5374">
        <v>1</v>
      </c>
      <c r="I5374">
        <v>1</v>
      </c>
      <c r="L5374">
        <v>36.034999999999997</v>
      </c>
      <c r="M5374">
        <v>74.867000000000004</v>
      </c>
      <c r="N5374">
        <v>18.937999999999999</v>
      </c>
    </row>
    <row r="5375" spans="1:14" x14ac:dyDescent="0.45">
      <c r="A5375">
        <v>2005</v>
      </c>
      <c r="B5375" t="s">
        <v>195</v>
      </c>
      <c r="C5375">
        <v>0</v>
      </c>
      <c r="D5375">
        <v>0</v>
      </c>
      <c r="E5375">
        <v>1</v>
      </c>
      <c r="F5375">
        <v>0</v>
      </c>
      <c r="G5375">
        <v>0</v>
      </c>
      <c r="H5375">
        <v>0</v>
      </c>
      <c r="I5375">
        <v>0</v>
      </c>
      <c r="J5375">
        <v>1233.87551052205</v>
      </c>
      <c r="K5375">
        <v>980.72396673329797</v>
      </c>
      <c r="L5375">
        <v>83.757999999999996</v>
      </c>
      <c r="M5375">
        <v>53.32</v>
      </c>
      <c r="N5375">
        <v>174.637</v>
      </c>
    </row>
    <row r="5376" spans="1:14" x14ac:dyDescent="0.45">
      <c r="A5376">
        <v>2005</v>
      </c>
      <c r="B5376" t="s">
        <v>196</v>
      </c>
      <c r="C5376">
        <v>0</v>
      </c>
      <c r="D5376">
        <v>0</v>
      </c>
      <c r="E5376">
        <v>1</v>
      </c>
      <c r="F5376">
        <v>0</v>
      </c>
      <c r="G5376">
        <v>0</v>
      </c>
      <c r="H5376">
        <v>0</v>
      </c>
      <c r="I5376">
        <v>0</v>
      </c>
      <c r="J5376">
        <v>4372.9756110508497</v>
      </c>
      <c r="K5376">
        <v>3866.2998210321798</v>
      </c>
      <c r="L5376">
        <v>60.926000000000002</v>
      </c>
      <c r="M5376">
        <v>49.537999999999997</v>
      </c>
      <c r="N5376">
        <v>155.35300000000001</v>
      </c>
    </row>
    <row r="5377" spans="1:14" x14ac:dyDescent="0.45">
      <c r="A5377">
        <v>2005</v>
      </c>
      <c r="B5377" t="s">
        <v>197</v>
      </c>
      <c r="C5377">
        <v>0</v>
      </c>
      <c r="D5377">
        <v>1</v>
      </c>
      <c r="E5377">
        <v>0</v>
      </c>
      <c r="F5377">
        <v>1</v>
      </c>
      <c r="G5377">
        <v>0</v>
      </c>
      <c r="H5377">
        <v>0</v>
      </c>
      <c r="I5377">
        <v>0</v>
      </c>
      <c r="J5377">
        <v>5356.9585097053796</v>
      </c>
      <c r="K5377">
        <v>4511.9794708414602</v>
      </c>
      <c r="L5377">
        <v>44.064999999999998</v>
      </c>
      <c r="M5377">
        <v>70.373999999999995</v>
      </c>
      <c r="N5377">
        <v>29.651</v>
      </c>
    </row>
    <row r="5378" spans="1:14" x14ac:dyDescent="0.45">
      <c r="A5378">
        <v>2005</v>
      </c>
      <c r="B5378" t="s">
        <v>198</v>
      </c>
      <c r="C5378">
        <v>1</v>
      </c>
      <c r="D5378">
        <v>0</v>
      </c>
      <c r="E5378">
        <v>0</v>
      </c>
      <c r="F5378">
        <v>0</v>
      </c>
      <c r="G5378">
        <v>0</v>
      </c>
      <c r="H5378">
        <v>1</v>
      </c>
      <c r="I5378">
        <v>1</v>
      </c>
      <c r="J5378">
        <v>58422.013519744403</v>
      </c>
      <c r="K5378">
        <v>49316.535217909703</v>
      </c>
      <c r="L5378">
        <v>17.37</v>
      </c>
      <c r="M5378">
        <v>79.488</v>
      </c>
      <c r="N5378">
        <v>5.8029999999999999</v>
      </c>
    </row>
    <row r="5379" spans="1:14" x14ac:dyDescent="0.45">
      <c r="A5379">
        <v>2005</v>
      </c>
      <c r="B5379" t="s">
        <v>199</v>
      </c>
      <c r="C5379">
        <v>1</v>
      </c>
      <c r="D5379">
        <v>0</v>
      </c>
      <c r="E5379">
        <v>0</v>
      </c>
      <c r="F5379">
        <v>0</v>
      </c>
      <c r="G5379">
        <v>0</v>
      </c>
      <c r="H5379">
        <v>1</v>
      </c>
      <c r="I5379">
        <v>1</v>
      </c>
      <c r="J5379">
        <v>84079.996241889006</v>
      </c>
      <c r="K5379">
        <v>62125.667244281998</v>
      </c>
      <c r="L5379">
        <v>22.324999999999999</v>
      </c>
      <c r="M5379">
        <v>80.168999999999997</v>
      </c>
      <c r="N5379">
        <v>3.9039999999999999</v>
      </c>
    </row>
    <row r="5380" spans="1:14" x14ac:dyDescent="0.45">
      <c r="A5380">
        <v>2005</v>
      </c>
      <c r="B5380" t="s">
        <v>200</v>
      </c>
      <c r="C5380">
        <v>0</v>
      </c>
      <c r="D5380">
        <v>0</v>
      </c>
      <c r="E5380">
        <v>0</v>
      </c>
      <c r="F5380">
        <v>0</v>
      </c>
      <c r="G5380">
        <v>0</v>
      </c>
      <c r="H5380">
        <v>0</v>
      </c>
      <c r="I5380">
        <v>0</v>
      </c>
      <c r="J5380">
        <v>2580.23106308364</v>
      </c>
      <c r="K5380">
        <v>2284.2964222527698</v>
      </c>
      <c r="L5380">
        <v>84.850999999999999</v>
      </c>
      <c r="M5380">
        <v>65.275000000000006</v>
      </c>
      <c r="N5380">
        <v>60.584000000000003</v>
      </c>
    </row>
    <row r="5381" spans="1:14" x14ac:dyDescent="0.45">
      <c r="A5381">
        <v>2005</v>
      </c>
      <c r="B5381" t="s">
        <v>201</v>
      </c>
      <c r="C5381">
        <v>0</v>
      </c>
      <c r="D5381">
        <v>0</v>
      </c>
      <c r="E5381">
        <v>0</v>
      </c>
      <c r="F5381">
        <v>0</v>
      </c>
      <c r="G5381">
        <v>0</v>
      </c>
      <c r="H5381">
        <v>1</v>
      </c>
      <c r="I5381">
        <v>1</v>
      </c>
      <c r="J5381">
        <v>7284.0409311744497</v>
      </c>
      <c r="K5381">
        <v>6590.0209303986703</v>
      </c>
      <c r="L5381">
        <v>0</v>
      </c>
      <c r="M5381">
        <v>59.360999999999997</v>
      </c>
      <c r="N5381">
        <v>38.996000000000002</v>
      </c>
    </row>
    <row r="5382" spans="1:14" x14ac:dyDescent="0.45">
      <c r="A5382">
        <v>2005</v>
      </c>
      <c r="B5382" t="s">
        <v>202</v>
      </c>
      <c r="C5382">
        <v>0</v>
      </c>
      <c r="D5382">
        <v>0</v>
      </c>
      <c r="E5382">
        <v>0</v>
      </c>
      <c r="F5382">
        <v>0</v>
      </c>
      <c r="G5382">
        <v>0</v>
      </c>
      <c r="H5382">
        <v>1</v>
      </c>
      <c r="I5382">
        <v>1</v>
      </c>
      <c r="J5382">
        <v>40848.298138742801</v>
      </c>
      <c r="K5382">
        <v>37153.6512703197</v>
      </c>
      <c r="L5382">
        <v>13.659000000000001</v>
      </c>
      <c r="M5382">
        <v>80.031000000000006</v>
      </c>
      <c r="N5382">
        <v>6.2779999999999996</v>
      </c>
    </row>
    <row r="5383" spans="1:14" x14ac:dyDescent="0.45">
      <c r="A5383">
        <v>2005</v>
      </c>
      <c r="B5383" t="s">
        <v>203</v>
      </c>
      <c r="C5383">
        <v>0</v>
      </c>
      <c r="D5383">
        <v>0</v>
      </c>
      <c r="E5383">
        <v>0</v>
      </c>
      <c r="F5383">
        <v>0</v>
      </c>
      <c r="G5383">
        <v>1</v>
      </c>
      <c r="H5383">
        <v>0</v>
      </c>
      <c r="I5383">
        <v>0</v>
      </c>
      <c r="J5383">
        <v>41551.141384455201</v>
      </c>
      <c r="K5383">
        <v>36104.642134536203</v>
      </c>
      <c r="L5383">
        <v>27.6</v>
      </c>
      <c r="M5383">
        <v>75.069999999999993</v>
      </c>
      <c r="N5383">
        <v>13.106999999999999</v>
      </c>
    </row>
    <row r="5384" spans="1:14" x14ac:dyDescent="0.45">
      <c r="A5384">
        <v>2005</v>
      </c>
      <c r="B5384" t="s">
        <v>204</v>
      </c>
      <c r="C5384">
        <v>0</v>
      </c>
      <c r="D5384">
        <v>0</v>
      </c>
      <c r="E5384">
        <v>0</v>
      </c>
      <c r="F5384">
        <v>0</v>
      </c>
      <c r="G5384">
        <v>0</v>
      </c>
      <c r="H5384">
        <v>0</v>
      </c>
      <c r="I5384">
        <v>0</v>
      </c>
      <c r="J5384">
        <v>4042.1545751337799</v>
      </c>
      <c r="K5384">
        <v>3847.7220092146199</v>
      </c>
      <c r="L5384">
        <v>66.018000000000001</v>
      </c>
      <c r="M5384">
        <v>62.415999999999997</v>
      </c>
      <c r="N5384">
        <v>99.614000000000004</v>
      </c>
    </row>
    <row r="5385" spans="1:14" x14ac:dyDescent="0.45">
      <c r="A5385">
        <v>2005</v>
      </c>
      <c r="B5385" t="s">
        <v>205</v>
      </c>
      <c r="C5385">
        <v>0</v>
      </c>
      <c r="D5385">
        <v>1</v>
      </c>
      <c r="E5385">
        <v>0</v>
      </c>
      <c r="F5385">
        <v>0</v>
      </c>
      <c r="G5385">
        <v>1</v>
      </c>
      <c r="H5385">
        <v>0</v>
      </c>
      <c r="I5385">
        <v>0</v>
      </c>
      <c r="J5385">
        <v>16867.9609254194</v>
      </c>
      <c r="K5385">
        <v>17687.373264618302</v>
      </c>
      <c r="L5385">
        <v>36.317999999999998</v>
      </c>
      <c r="M5385">
        <v>75.16</v>
      </c>
      <c r="N5385">
        <v>21.669</v>
      </c>
    </row>
    <row r="5386" spans="1:14" x14ac:dyDescent="0.45">
      <c r="A5386">
        <v>2005</v>
      </c>
      <c r="B5386" t="s">
        <v>206</v>
      </c>
      <c r="C5386">
        <v>0</v>
      </c>
      <c r="D5386">
        <v>1</v>
      </c>
      <c r="E5386">
        <v>0</v>
      </c>
      <c r="F5386">
        <v>1</v>
      </c>
      <c r="G5386">
        <v>0</v>
      </c>
      <c r="H5386">
        <v>0</v>
      </c>
      <c r="I5386">
        <v>0</v>
      </c>
      <c r="J5386">
        <v>8949.9544269107701</v>
      </c>
      <c r="K5386">
        <v>7478.4407209229503</v>
      </c>
      <c r="L5386">
        <v>24.966000000000001</v>
      </c>
      <c r="M5386">
        <v>71.988</v>
      </c>
      <c r="N5386">
        <v>26.702000000000002</v>
      </c>
    </row>
    <row r="5387" spans="1:14" x14ac:dyDescent="0.45">
      <c r="A5387">
        <v>2005</v>
      </c>
      <c r="B5387" t="s">
        <v>207</v>
      </c>
      <c r="C5387">
        <v>0</v>
      </c>
      <c r="D5387">
        <v>0</v>
      </c>
      <c r="E5387">
        <v>0</v>
      </c>
      <c r="F5387">
        <v>1</v>
      </c>
      <c r="G5387">
        <v>0</v>
      </c>
      <c r="H5387">
        <v>0</v>
      </c>
      <c r="I5387">
        <v>0</v>
      </c>
      <c r="J5387">
        <v>5386.8165371289097</v>
      </c>
      <c r="K5387">
        <v>4878.30414702095</v>
      </c>
      <c r="L5387">
        <v>54.29</v>
      </c>
      <c r="M5387">
        <v>68.423000000000002</v>
      </c>
      <c r="N5387">
        <v>33.045000000000002</v>
      </c>
    </row>
    <row r="5388" spans="1:14" x14ac:dyDescent="0.45">
      <c r="A5388">
        <v>2005</v>
      </c>
      <c r="B5388" t="s">
        <v>208</v>
      </c>
      <c r="C5388">
        <v>0</v>
      </c>
      <c r="D5388">
        <v>0</v>
      </c>
      <c r="E5388">
        <v>0</v>
      </c>
      <c r="F5388">
        <v>0</v>
      </c>
      <c r="G5388">
        <v>1</v>
      </c>
      <c r="H5388">
        <v>0</v>
      </c>
      <c r="I5388">
        <v>0</v>
      </c>
      <c r="J5388">
        <v>17382.299447859201</v>
      </c>
      <c r="K5388">
        <v>15726.1221157608</v>
      </c>
      <c r="L5388">
        <v>28.847999999999999</v>
      </c>
      <c r="M5388">
        <v>66.218999999999994</v>
      </c>
      <c r="N5388">
        <v>22.082000000000001</v>
      </c>
    </row>
    <row r="5389" spans="1:14" x14ac:dyDescent="0.45">
      <c r="A5389">
        <v>2005</v>
      </c>
      <c r="B5389" t="s">
        <v>209</v>
      </c>
      <c r="C5389">
        <v>0</v>
      </c>
      <c r="D5389">
        <v>0</v>
      </c>
      <c r="E5389">
        <v>0</v>
      </c>
      <c r="F5389">
        <v>0</v>
      </c>
      <c r="G5389">
        <v>0</v>
      </c>
      <c r="H5389">
        <v>0</v>
      </c>
      <c r="I5389">
        <v>0</v>
      </c>
      <c r="J5389">
        <v>3136.5856825103501</v>
      </c>
      <c r="K5389">
        <v>2837.3596299676301</v>
      </c>
      <c r="L5389">
        <v>86.891000000000005</v>
      </c>
      <c r="M5389">
        <v>61.868000000000002</v>
      </c>
      <c r="N5389">
        <v>65.331000000000003</v>
      </c>
    </row>
    <row r="5390" spans="1:14" x14ac:dyDescent="0.45">
      <c r="A5390">
        <v>2005</v>
      </c>
      <c r="B5390" t="s">
        <v>210</v>
      </c>
      <c r="C5390">
        <v>1</v>
      </c>
      <c r="D5390">
        <v>0</v>
      </c>
      <c r="E5390">
        <v>0</v>
      </c>
      <c r="F5390">
        <v>0</v>
      </c>
      <c r="G5390">
        <v>1</v>
      </c>
      <c r="H5390">
        <v>0</v>
      </c>
      <c r="I5390">
        <v>0</v>
      </c>
      <c r="J5390">
        <v>21568.947659435598</v>
      </c>
      <c r="K5390">
        <v>18617.691490110599</v>
      </c>
      <c r="L5390">
        <v>38.548000000000002</v>
      </c>
      <c r="M5390">
        <v>75.126999999999995</v>
      </c>
      <c r="N5390">
        <v>7.3819999999999997</v>
      </c>
    </row>
    <row r="5391" spans="1:14" x14ac:dyDescent="0.45">
      <c r="A5391">
        <v>2005</v>
      </c>
      <c r="B5391" t="s">
        <v>211</v>
      </c>
      <c r="C5391">
        <v>0</v>
      </c>
      <c r="D5391">
        <v>1</v>
      </c>
      <c r="E5391">
        <v>0</v>
      </c>
      <c r="F5391">
        <v>0</v>
      </c>
      <c r="G5391">
        <v>0</v>
      </c>
      <c r="H5391">
        <v>1</v>
      </c>
      <c r="I5391">
        <v>1</v>
      </c>
      <c r="J5391">
        <v>42555.708118966897</v>
      </c>
      <c r="K5391">
        <v>32693.028342661</v>
      </c>
      <c r="L5391">
        <v>5.8880000000000097</v>
      </c>
      <c r="M5391">
        <v>76.703000000000003</v>
      </c>
      <c r="N5391">
        <v>10.731999999999999</v>
      </c>
    </row>
    <row r="5392" spans="1:14" x14ac:dyDescent="0.45">
      <c r="A5392">
        <v>2005</v>
      </c>
      <c r="B5392" t="s">
        <v>212</v>
      </c>
      <c r="C5392">
        <v>0</v>
      </c>
      <c r="D5392">
        <v>0</v>
      </c>
      <c r="E5392">
        <v>0</v>
      </c>
      <c r="F5392">
        <v>0</v>
      </c>
      <c r="G5392">
        <v>0</v>
      </c>
      <c r="H5392">
        <v>0</v>
      </c>
      <c r="I5392">
        <v>0</v>
      </c>
      <c r="L5392">
        <v>40.195</v>
      </c>
      <c r="M5392">
        <v>69.168000000000006</v>
      </c>
      <c r="N5392">
        <v>33.395000000000003</v>
      </c>
    </row>
    <row r="5393" spans="1:14" x14ac:dyDescent="0.45">
      <c r="A5393">
        <v>2005</v>
      </c>
      <c r="B5393" t="s">
        <v>213</v>
      </c>
      <c r="C5393">
        <v>1</v>
      </c>
      <c r="D5393">
        <v>0</v>
      </c>
      <c r="E5393">
        <v>0</v>
      </c>
      <c r="F5393">
        <v>0</v>
      </c>
      <c r="G5393">
        <v>0</v>
      </c>
      <c r="H5393">
        <v>1</v>
      </c>
      <c r="I5393">
        <v>1</v>
      </c>
      <c r="J5393">
        <v>35870.309115796801</v>
      </c>
      <c r="K5393">
        <v>31005.688771196201</v>
      </c>
      <c r="L5393">
        <v>42.478000000000002</v>
      </c>
      <c r="M5393">
        <v>78.316999999999993</v>
      </c>
      <c r="N5393">
        <v>4.3840000000000003</v>
      </c>
    </row>
    <row r="5394" spans="1:14" x14ac:dyDescent="0.45">
      <c r="A5394">
        <v>2005</v>
      </c>
      <c r="B5394" t="s">
        <v>214</v>
      </c>
      <c r="C5394">
        <v>0</v>
      </c>
      <c r="D5394">
        <v>1</v>
      </c>
      <c r="E5394">
        <v>0</v>
      </c>
      <c r="F5394">
        <v>1</v>
      </c>
      <c r="G5394">
        <v>0</v>
      </c>
      <c r="H5394">
        <v>0</v>
      </c>
      <c r="I5394">
        <v>0</v>
      </c>
      <c r="J5394">
        <v>10290.1008222945</v>
      </c>
      <c r="K5394">
        <v>9388.0606531741596</v>
      </c>
      <c r="L5394">
        <v>42.366999999999997</v>
      </c>
      <c r="M5394">
        <v>71.316999999999993</v>
      </c>
      <c r="N5394">
        <v>29.718</v>
      </c>
    </row>
    <row r="5395" spans="1:14" x14ac:dyDescent="0.45">
      <c r="A5395">
        <v>2005</v>
      </c>
      <c r="B5395" t="s">
        <v>215</v>
      </c>
      <c r="C5395">
        <v>0</v>
      </c>
      <c r="D5395">
        <v>0</v>
      </c>
      <c r="E5395">
        <v>0</v>
      </c>
      <c r="F5395">
        <v>1</v>
      </c>
      <c r="G5395">
        <v>0</v>
      </c>
      <c r="H5395">
        <v>0</v>
      </c>
      <c r="I5395">
        <v>0</v>
      </c>
      <c r="J5395">
        <v>4885.0725218444404</v>
      </c>
      <c r="K5395">
        <v>4165.4274192238699</v>
      </c>
      <c r="L5395">
        <v>26.939</v>
      </c>
      <c r="M5395">
        <v>72.004000000000005</v>
      </c>
      <c r="N5395">
        <v>25.657</v>
      </c>
    </row>
    <row r="5396" spans="1:14" x14ac:dyDescent="0.45">
      <c r="A5396">
        <v>2005</v>
      </c>
      <c r="B5396" t="s">
        <v>216</v>
      </c>
      <c r="C5396">
        <v>0</v>
      </c>
      <c r="D5396">
        <v>0</v>
      </c>
      <c r="E5396">
        <v>0</v>
      </c>
      <c r="F5396">
        <v>0</v>
      </c>
      <c r="G5396">
        <v>0</v>
      </c>
      <c r="H5396">
        <v>1</v>
      </c>
      <c r="I5396">
        <v>1</v>
      </c>
      <c r="L5396">
        <v>42.582999999999998</v>
      </c>
      <c r="M5396">
        <v>79.950999999999993</v>
      </c>
      <c r="N5396">
        <v>9.6950000000000003</v>
      </c>
    </row>
    <row r="5397" spans="1:14" x14ac:dyDescent="0.45">
      <c r="A5397">
        <v>2005</v>
      </c>
      <c r="B5397" t="s">
        <v>217</v>
      </c>
      <c r="C5397">
        <v>0</v>
      </c>
      <c r="D5397">
        <v>0</v>
      </c>
      <c r="E5397">
        <v>0</v>
      </c>
      <c r="F5397">
        <v>0</v>
      </c>
      <c r="G5397">
        <v>0</v>
      </c>
      <c r="H5397">
        <v>1</v>
      </c>
      <c r="I5397">
        <v>1</v>
      </c>
      <c r="J5397">
        <v>107784.523492671</v>
      </c>
      <c r="K5397">
        <v>93071.705586976706</v>
      </c>
      <c r="L5397">
        <v>2.6040000000000001</v>
      </c>
      <c r="M5397">
        <v>76.909000000000006</v>
      </c>
      <c r="N5397">
        <v>10.491</v>
      </c>
    </row>
    <row r="5398" spans="1:14" x14ac:dyDescent="0.45">
      <c r="A5398">
        <v>2005</v>
      </c>
      <c r="B5398" t="s">
        <v>218</v>
      </c>
      <c r="C5398">
        <v>1</v>
      </c>
      <c r="D5398">
        <v>0</v>
      </c>
      <c r="E5398">
        <v>0</v>
      </c>
      <c r="F5398">
        <v>0</v>
      </c>
      <c r="G5398">
        <v>1</v>
      </c>
      <c r="H5398">
        <v>0</v>
      </c>
      <c r="I5398">
        <v>0</v>
      </c>
      <c r="J5398">
        <v>20568.716534368901</v>
      </c>
      <c r="K5398">
        <v>16718.994612680799</v>
      </c>
      <c r="L5398">
        <v>46.826000000000001</v>
      </c>
      <c r="M5398">
        <v>71.581000000000003</v>
      </c>
      <c r="N5398">
        <v>18.119</v>
      </c>
    </row>
    <row r="5399" spans="1:14" x14ac:dyDescent="0.45">
      <c r="A5399">
        <v>2005</v>
      </c>
      <c r="B5399" t="s">
        <v>219</v>
      </c>
      <c r="C5399">
        <v>1</v>
      </c>
      <c r="D5399">
        <v>0</v>
      </c>
      <c r="E5399">
        <v>0</v>
      </c>
      <c r="F5399">
        <v>0</v>
      </c>
      <c r="G5399">
        <v>1</v>
      </c>
      <c r="H5399">
        <v>0</v>
      </c>
      <c r="I5399">
        <v>0</v>
      </c>
      <c r="J5399">
        <v>27656.658203125</v>
      </c>
      <c r="K5399">
        <v>20042.812346499199</v>
      </c>
      <c r="L5399">
        <v>26.536999999999999</v>
      </c>
      <c r="M5399">
        <v>65.218999999999994</v>
      </c>
      <c r="N5399">
        <v>13.85</v>
      </c>
    </row>
    <row r="5400" spans="1:14" x14ac:dyDescent="0.45">
      <c r="A5400">
        <v>2005</v>
      </c>
      <c r="B5400" t="s">
        <v>220</v>
      </c>
      <c r="C5400">
        <v>0</v>
      </c>
      <c r="D5400">
        <v>0</v>
      </c>
      <c r="E5400">
        <v>1</v>
      </c>
      <c r="F5400">
        <v>0</v>
      </c>
      <c r="G5400">
        <v>0</v>
      </c>
      <c r="H5400">
        <v>0</v>
      </c>
      <c r="I5400">
        <v>0</v>
      </c>
      <c r="J5400">
        <v>1360.29587570276</v>
      </c>
      <c r="K5400">
        <v>1138.3688503517999</v>
      </c>
      <c r="L5400">
        <v>83.087999999999994</v>
      </c>
      <c r="M5400">
        <v>56.968000000000004</v>
      </c>
      <c r="N5400">
        <v>106.066</v>
      </c>
    </row>
    <row r="5401" spans="1:14" x14ac:dyDescent="0.45">
      <c r="A5401">
        <v>2005</v>
      </c>
      <c r="B5401" t="s">
        <v>221</v>
      </c>
      <c r="C5401">
        <v>0</v>
      </c>
      <c r="D5401">
        <v>0</v>
      </c>
      <c r="E5401">
        <v>0</v>
      </c>
      <c r="F5401">
        <v>0</v>
      </c>
      <c r="G5401">
        <v>0</v>
      </c>
      <c r="H5401">
        <v>1</v>
      </c>
      <c r="I5401">
        <v>1</v>
      </c>
      <c r="J5401">
        <v>54931.7942450845</v>
      </c>
      <c r="K5401">
        <v>50360.262700894797</v>
      </c>
      <c r="L5401">
        <v>19.021000000000001</v>
      </c>
      <c r="M5401">
        <v>74.400000000000006</v>
      </c>
      <c r="N5401">
        <v>16.558</v>
      </c>
    </row>
    <row r="5402" spans="1:14" x14ac:dyDescent="0.45">
      <c r="A5402">
        <v>2005</v>
      </c>
      <c r="B5402" t="s">
        <v>222</v>
      </c>
      <c r="C5402">
        <v>0</v>
      </c>
      <c r="D5402">
        <v>0</v>
      </c>
      <c r="E5402">
        <v>1</v>
      </c>
      <c r="F5402">
        <v>0</v>
      </c>
      <c r="G5402">
        <v>0</v>
      </c>
      <c r="H5402">
        <v>0</v>
      </c>
      <c r="I5402">
        <v>0</v>
      </c>
      <c r="J5402">
        <v>4152.32275390625</v>
      </c>
      <c r="K5402">
        <v>4348.0295078050503</v>
      </c>
      <c r="L5402">
        <v>67.239999999999995</v>
      </c>
      <c r="M5402">
        <v>57.225999999999999</v>
      </c>
      <c r="N5402">
        <v>100.447</v>
      </c>
    </row>
    <row r="5403" spans="1:14" x14ac:dyDescent="0.45">
      <c r="A5403">
        <v>2005</v>
      </c>
      <c r="B5403" t="s">
        <v>223</v>
      </c>
      <c r="C5403">
        <v>0</v>
      </c>
      <c r="D5403">
        <v>0</v>
      </c>
      <c r="E5403">
        <v>1</v>
      </c>
      <c r="F5403">
        <v>0</v>
      </c>
      <c r="G5403">
        <v>0</v>
      </c>
      <c r="H5403">
        <v>0</v>
      </c>
      <c r="I5403">
        <v>0</v>
      </c>
      <c r="J5403">
        <v>3301.82076160815</v>
      </c>
      <c r="K5403">
        <v>2758.4698646675201</v>
      </c>
      <c r="L5403">
        <v>58.286000000000001</v>
      </c>
      <c r="M5403">
        <v>60.98</v>
      </c>
      <c r="N5403">
        <v>92.65</v>
      </c>
    </row>
    <row r="5404" spans="1:14" x14ac:dyDescent="0.45">
      <c r="A5404">
        <v>2005</v>
      </c>
      <c r="B5404" t="s">
        <v>224</v>
      </c>
      <c r="C5404">
        <v>0</v>
      </c>
      <c r="D5404">
        <v>0</v>
      </c>
      <c r="E5404">
        <v>0</v>
      </c>
      <c r="F5404">
        <v>0</v>
      </c>
      <c r="G5404">
        <v>0</v>
      </c>
      <c r="H5404">
        <v>1</v>
      </c>
      <c r="I5404">
        <v>1</v>
      </c>
      <c r="J5404">
        <v>81841.158780105397</v>
      </c>
      <c r="K5404">
        <v>67276.486269803005</v>
      </c>
      <c r="L5404">
        <v>0</v>
      </c>
      <c r="M5404">
        <v>80.271000000000001</v>
      </c>
      <c r="N5404">
        <v>3.028</v>
      </c>
    </row>
    <row r="5405" spans="1:14" x14ac:dyDescent="0.45">
      <c r="A5405">
        <v>2005</v>
      </c>
      <c r="B5405" t="s">
        <v>225</v>
      </c>
      <c r="C5405">
        <v>0</v>
      </c>
      <c r="D5405">
        <v>0</v>
      </c>
      <c r="E5405">
        <v>0</v>
      </c>
      <c r="F5405">
        <v>0</v>
      </c>
      <c r="G5405">
        <v>0</v>
      </c>
      <c r="H5405">
        <v>0</v>
      </c>
      <c r="I5405">
        <v>0</v>
      </c>
      <c r="J5405">
        <v>2287.2599887236602</v>
      </c>
      <c r="K5405">
        <v>2068.9935381300602</v>
      </c>
      <c r="L5405">
        <v>82.168000000000006</v>
      </c>
      <c r="M5405">
        <v>67.790000000000006</v>
      </c>
      <c r="N5405">
        <v>29.207000000000001</v>
      </c>
    </row>
    <row r="5406" spans="1:14" x14ac:dyDescent="0.45">
      <c r="A5406">
        <v>2005</v>
      </c>
      <c r="B5406" t="s">
        <v>226</v>
      </c>
      <c r="C5406">
        <v>0</v>
      </c>
      <c r="D5406">
        <v>0</v>
      </c>
      <c r="E5406">
        <v>1</v>
      </c>
      <c r="F5406">
        <v>0</v>
      </c>
      <c r="G5406">
        <v>0</v>
      </c>
      <c r="H5406">
        <v>0</v>
      </c>
      <c r="I5406">
        <v>0</v>
      </c>
      <c r="J5406">
        <v>2298.7238446137799</v>
      </c>
      <c r="K5406">
        <v>2086.4840066269799</v>
      </c>
      <c r="L5406">
        <v>63.081000000000003</v>
      </c>
      <c r="M5406">
        <v>48.305999999999997</v>
      </c>
      <c r="N5406">
        <v>195.12</v>
      </c>
    </row>
    <row r="5407" spans="1:14" x14ac:dyDescent="0.45">
      <c r="A5407">
        <v>2005</v>
      </c>
      <c r="B5407" t="s">
        <v>227</v>
      </c>
      <c r="C5407">
        <v>0</v>
      </c>
      <c r="D5407">
        <v>1</v>
      </c>
      <c r="E5407">
        <v>0</v>
      </c>
      <c r="F5407">
        <v>1</v>
      </c>
      <c r="G5407">
        <v>0</v>
      </c>
      <c r="H5407">
        <v>0</v>
      </c>
      <c r="I5407">
        <v>0</v>
      </c>
      <c r="J5407">
        <v>8050.5345128918998</v>
      </c>
      <c r="K5407">
        <v>7171.0168003992003</v>
      </c>
      <c r="L5407">
        <v>38.351999999999997</v>
      </c>
      <c r="M5407">
        <v>69.335999999999999</v>
      </c>
      <c r="N5407">
        <v>25.324999999999999</v>
      </c>
    </row>
    <row r="5408" spans="1:14" x14ac:dyDescent="0.45">
      <c r="A5408">
        <v>2005</v>
      </c>
      <c r="B5408" t="s">
        <v>228</v>
      </c>
      <c r="C5408">
        <v>1</v>
      </c>
      <c r="D5408">
        <v>0</v>
      </c>
      <c r="E5408">
        <v>0</v>
      </c>
      <c r="F5408">
        <v>0</v>
      </c>
      <c r="G5408">
        <v>0</v>
      </c>
      <c r="H5408">
        <v>1</v>
      </c>
      <c r="I5408">
        <v>1</v>
      </c>
      <c r="J5408">
        <v>81632.174898957601</v>
      </c>
      <c r="K5408">
        <v>71948.503586212202</v>
      </c>
      <c r="L5408">
        <v>5.5469999999999997</v>
      </c>
      <c r="M5408">
        <v>81.926000000000002</v>
      </c>
      <c r="N5408">
        <v>3.6339999999999999</v>
      </c>
    </row>
    <row r="5409" spans="1:14" x14ac:dyDescent="0.45">
      <c r="A5409">
        <v>2005</v>
      </c>
      <c r="B5409" t="s">
        <v>229</v>
      </c>
      <c r="C5409">
        <v>0</v>
      </c>
      <c r="D5409">
        <v>0</v>
      </c>
      <c r="E5409">
        <v>1</v>
      </c>
      <c r="F5409">
        <v>0</v>
      </c>
      <c r="G5409">
        <v>0</v>
      </c>
      <c r="H5409">
        <v>0</v>
      </c>
      <c r="I5409">
        <v>0</v>
      </c>
      <c r="J5409">
        <v>830.50914772483804</v>
      </c>
      <c r="K5409">
        <v>770.32570708889295</v>
      </c>
      <c r="L5409">
        <v>63.689</v>
      </c>
      <c r="M5409">
        <v>50.893999999999998</v>
      </c>
      <c r="N5409">
        <v>170.404</v>
      </c>
    </row>
    <row r="5410" spans="1:14" x14ac:dyDescent="0.45">
      <c r="A5410">
        <v>2005</v>
      </c>
      <c r="B5410" t="s">
        <v>230</v>
      </c>
      <c r="C5410">
        <v>1</v>
      </c>
      <c r="D5410">
        <v>0</v>
      </c>
      <c r="E5410">
        <v>0</v>
      </c>
      <c r="F5410">
        <v>1</v>
      </c>
      <c r="G5410">
        <v>0</v>
      </c>
      <c r="H5410">
        <v>0</v>
      </c>
      <c r="I5410">
        <v>0</v>
      </c>
      <c r="J5410">
        <v>15076.716771949301</v>
      </c>
      <c r="K5410">
        <v>13257.3153141885</v>
      </c>
      <c r="L5410">
        <v>46.116999999999997</v>
      </c>
      <c r="M5410">
        <v>73.114999999999995</v>
      </c>
      <c r="N5410">
        <v>8.9190000000000005</v>
      </c>
    </row>
    <row r="5411" spans="1:14" x14ac:dyDescent="0.45">
      <c r="A5411">
        <v>2005</v>
      </c>
      <c r="B5411" t="s">
        <v>231</v>
      </c>
      <c r="C5411">
        <v>0</v>
      </c>
      <c r="D5411">
        <v>0</v>
      </c>
      <c r="E5411">
        <v>1</v>
      </c>
      <c r="F5411">
        <v>1</v>
      </c>
      <c r="G5411">
        <v>0</v>
      </c>
      <c r="H5411">
        <v>0</v>
      </c>
      <c r="I5411">
        <v>0</v>
      </c>
      <c r="L5411">
        <v>82.846000000000004</v>
      </c>
      <c r="M5411">
        <v>53.965000000000003</v>
      </c>
      <c r="N5411">
        <v>140.87200000000001</v>
      </c>
    </row>
    <row r="5412" spans="1:14" x14ac:dyDescent="0.45">
      <c r="A5412">
        <v>2005</v>
      </c>
      <c r="B5412" t="s">
        <v>232</v>
      </c>
      <c r="C5412">
        <v>0</v>
      </c>
      <c r="D5412">
        <v>0</v>
      </c>
      <c r="E5412">
        <v>1</v>
      </c>
      <c r="F5412">
        <v>0</v>
      </c>
      <c r="G5412">
        <v>0</v>
      </c>
      <c r="H5412">
        <v>0</v>
      </c>
      <c r="I5412">
        <v>0</v>
      </c>
      <c r="J5412">
        <v>4371.4972164412802</v>
      </c>
      <c r="K5412">
        <v>2720.7511549085898</v>
      </c>
      <c r="L5412">
        <v>40.835000000000001</v>
      </c>
      <c r="M5412">
        <v>62.433999999999997</v>
      </c>
      <c r="N5412">
        <v>56.807000000000002</v>
      </c>
    </row>
    <row r="5413" spans="1:14" x14ac:dyDescent="0.45">
      <c r="A5413">
        <v>2005</v>
      </c>
      <c r="B5413" t="s">
        <v>233</v>
      </c>
      <c r="C5413">
        <v>0</v>
      </c>
      <c r="D5413">
        <v>1</v>
      </c>
      <c r="E5413">
        <v>0</v>
      </c>
      <c r="F5413">
        <v>1</v>
      </c>
      <c r="G5413">
        <v>0</v>
      </c>
      <c r="H5413">
        <v>0</v>
      </c>
      <c r="I5413">
        <v>0</v>
      </c>
      <c r="J5413">
        <v>19220.283969660501</v>
      </c>
      <c r="K5413">
        <v>15298.9544529371</v>
      </c>
      <c r="L5413">
        <v>33.317999999999998</v>
      </c>
      <c r="M5413">
        <v>66.997</v>
      </c>
      <c r="N5413">
        <v>26.506</v>
      </c>
    </row>
    <row r="5414" spans="1:14" x14ac:dyDescent="0.45">
      <c r="A5414">
        <v>2005</v>
      </c>
      <c r="B5414" t="s">
        <v>234</v>
      </c>
      <c r="C5414">
        <v>1</v>
      </c>
      <c r="D5414">
        <v>0</v>
      </c>
      <c r="E5414">
        <v>0</v>
      </c>
      <c r="F5414">
        <v>0</v>
      </c>
      <c r="G5414">
        <v>1</v>
      </c>
      <c r="H5414">
        <v>0</v>
      </c>
      <c r="I5414">
        <v>0</v>
      </c>
      <c r="J5414">
        <v>23257.130292157799</v>
      </c>
      <c r="K5414">
        <v>20030.9670983451</v>
      </c>
      <c r="L5414">
        <v>44.436999999999998</v>
      </c>
      <c r="M5414">
        <v>74.156000000000006</v>
      </c>
      <c r="N5414">
        <v>8.625</v>
      </c>
    </row>
    <row r="5415" spans="1:14" x14ac:dyDescent="0.45">
      <c r="A5415">
        <v>2005</v>
      </c>
      <c r="B5415" t="s">
        <v>235</v>
      </c>
      <c r="C5415">
        <v>1</v>
      </c>
      <c r="D5415">
        <v>0</v>
      </c>
      <c r="E5415">
        <v>0</v>
      </c>
      <c r="F5415">
        <v>0</v>
      </c>
      <c r="G5415">
        <v>0</v>
      </c>
      <c r="H5415">
        <v>1</v>
      </c>
      <c r="I5415">
        <v>1</v>
      </c>
      <c r="J5415">
        <v>35567.305254418701</v>
      </c>
      <c r="K5415">
        <v>30616.5032247214</v>
      </c>
      <c r="L5415">
        <v>48.466999999999999</v>
      </c>
      <c r="M5415">
        <v>77.503</v>
      </c>
      <c r="N5415">
        <v>4.6779999999999999</v>
      </c>
    </row>
    <row r="5416" spans="1:14" x14ac:dyDescent="0.45">
      <c r="A5416">
        <v>2005</v>
      </c>
      <c r="B5416" t="s">
        <v>236</v>
      </c>
      <c r="C5416">
        <v>1</v>
      </c>
      <c r="D5416">
        <v>0</v>
      </c>
      <c r="E5416">
        <v>0</v>
      </c>
      <c r="F5416">
        <v>0</v>
      </c>
      <c r="G5416">
        <v>0</v>
      </c>
      <c r="H5416">
        <v>1</v>
      </c>
      <c r="I5416">
        <v>1</v>
      </c>
      <c r="J5416">
        <v>53205.878671163096</v>
      </c>
      <c r="K5416">
        <v>45449.443308256603</v>
      </c>
      <c r="L5416">
        <v>15.680999999999999</v>
      </c>
      <c r="M5416">
        <v>80.620999999999995</v>
      </c>
      <c r="N5416">
        <v>3.2669999999999999</v>
      </c>
    </row>
    <row r="5417" spans="1:14" x14ac:dyDescent="0.45">
      <c r="A5417">
        <v>2005</v>
      </c>
      <c r="B5417" t="s">
        <v>237</v>
      </c>
      <c r="C5417">
        <v>0</v>
      </c>
      <c r="D5417">
        <v>0</v>
      </c>
      <c r="E5417">
        <v>1</v>
      </c>
      <c r="F5417">
        <v>1</v>
      </c>
      <c r="G5417">
        <v>0</v>
      </c>
      <c r="H5417">
        <v>0</v>
      </c>
      <c r="I5417">
        <v>0</v>
      </c>
      <c r="J5417">
        <v>7189.9691561436503</v>
      </c>
      <c r="K5417">
        <v>6366.71900496119</v>
      </c>
      <c r="L5417">
        <v>77.962000000000003</v>
      </c>
      <c r="M5417">
        <v>43.957999999999998</v>
      </c>
      <c r="N5417">
        <v>113.968</v>
      </c>
    </row>
    <row r="5418" spans="1:14" x14ac:dyDescent="0.45">
      <c r="A5418">
        <v>2005</v>
      </c>
      <c r="B5418" t="s">
        <v>238</v>
      </c>
      <c r="C5418">
        <v>0</v>
      </c>
      <c r="D5418">
        <v>1</v>
      </c>
      <c r="E5418">
        <v>0</v>
      </c>
      <c r="F5418">
        <v>0</v>
      </c>
      <c r="G5418">
        <v>0</v>
      </c>
      <c r="H5418">
        <v>1</v>
      </c>
      <c r="I5418">
        <v>1</v>
      </c>
      <c r="L5418">
        <v>0</v>
      </c>
      <c r="M5418">
        <v>74.680999999999997</v>
      </c>
      <c r="N5418">
        <v>18.692</v>
      </c>
    </row>
    <row r="5419" spans="1:14" x14ac:dyDescent="0.45">
      <c r="A5419">
        <v>2005</v>
      </c>
      <c r="B5419" t="s">
        <v>239</v>
      </c>
      <c r="C5419">
        <v>0</v>
      </c>
      <c r="D5419">
        <v>0</v>
      </c>
      <c r="E5419">
        <v>1</v>
      </c>
      <c r="F5419">
        <v>0</v>
      </c>
      <c r="G5419">
        <v>1</v>
      </c>
      <c r="H5419">
        <v>0</v>
      </c>
      <c r="I5419">
        <v>0</v>
      </c>
      <c r="J5419">
        <v>19917.119453422099</v>
      </c>
      <c r="K5419">
        <v>19336.5330306262</v>
      </c>
      <c r="L5419">
        <v>48.33</v>
      </c>
      <c r="M5419">
        <v>71.921000000000006</v>
      </c>
      <c r="N5419">
        <v>13.817</v>
      </c>
    </row>
    <row r="5420" spans="1:14" x14ac:dyDescent="0.45">
      <c r="A5420">
        <v>2005</v>
      </c>
      <c r="B5420" t="s">
        <v>240</v>
      </c>
      <c r="C5420">
        <v>0</v>
      </c>
      <c r="D5420">
        <v>0</v>
      </c>
      <c r="E5420">
        <v>0</v>
      </c>
      <c r="F5420">
        <v>1</v>
      </c>
      <c r="G5420">
        <v>0</v>
      </c>
      <c r="H5420">
        <v>0</v>
      </c>
      <c r="I5420">
        <v>0</v>
      </c>
      <c r="J5420">
        <v>8828.9459046152297</v>
      </c>
      <c r="K5420">
        <v>5791.14778331462</v>
      </c>
      <c r="L5420">
        <v>46.218000000000004</v>
      </c>
      <c r="M5420">
        <v>72.796999999999997</v>
      </c>
      <c r="N5420">
        <v>20.184000000000001</v>
      </c>
    </row>
    <row r="5421" spans="1:14" x14ac:dyDescent="0.45">
      <c r="A5421">
        <v>2005</v>
      </c>
      <c r="B5421" t="s">
        <v>241</v>
      </c>
      <c r="C5421">
        <v>0</v>
      </c>
      <c r="D5421">
        <v>1</v>
      </c>
      <c r="E5421">
        <v>0</v>
      </c>
      <c r="F5421">
        <v>0</v>
      </c>
      <c r="G5421">
        <v>0</v>
      </c>
      <c r="H5421">
        <v>1</v>
      </c>
      <c r="I5421">
        <v>1</v>
      </c>
      <c r="L5421">
        <v>12.255000000000001</v>
      </c>
      <c r="M5421">
        <v>75.953999999999994</v>
      </c>
      <c r="N5421">
        <v>8.6929999999999996</v>
      </c>
    </row>
    <row r="5422" spans="1:14" x14ac:dyDescent="0.45">
      <c r="A5422">
        <v>2005</v>
      </c>
      <c r="B5422" t="s">
        <v>242</v>
      </c>
      <c r="C5422">
        <v>0</v>
      </c>
      <c r="D5422">
        <v>0</v>
      </c>
      <c r="E5422">
        <v>1</v>
      </c>
      <c r="F5422">
        <v>0</v>
      </c>
      <c r="G5422">
        <v>0</v>
      </c>
      <c r="H5422">
        <v>0</v>
      </c>
      <c r="I5422">
        <v>0</v>
      </c>
      <c r="J5422">
        <v>2695.8120213854299</v>
      </c>
      <c r="K5422">
        <v>2264.5796287255098</v>
      </c>
      <c r="L5422">
        <v>78.198999999999998</v>
      </c>
      <c r="M5422">
        <v>48.86</v>
      </c>
      <c r="N5422">
        <v>167.06</v>
      </c>
    </row>
    <row r="5423" spans="1:14" x14ac:dyDescent="0.45">
      <c r="A5423">
        <v>2005</v>
      </c>
      <c r="B5423" t="s">
        <v>243</v>
      </c>
      <c r="C5423">
        <v>0</v>
      </c>
      <c r="D5423">
        <v>0</v>
      </c>
      <c r="E5423">
        <v>1</v>
      </c>
      <c r="F5423">
        <v>0</v>
      </c>
      <c r="G5423">
        <v>0</v>
      </c>
      <c r="H5423">
        <v>0</v>
      </c>
      <c r="I5423">
        <v>0</v>
      </c>
      <c r="J5423">
        <v>1944.7795106378801</v>
      </c>
      <c r="K5423">
        <v>1616.1851753506201</v>
      </c>
      <c r="L5423">
        <v>64.814999999999998</v>
      </c>
      <c r="M5423">
        <v>55.915999999999997</v>
      </c>
      <c r="N5423">
        <v>103.53400000000001</v>
      </c>
    </row>
    <row r="5424" spans="1:14" x14ac:dyDescent="0.45">
      <c r="A5424">
        <v>2005</v>
      </c>
      <c r="B5424" t="s">
        <v>244</v>
      </c>
      <c r="C5424">
        <v>0</v>
      </c>
      <c r="D5424">
        <v>0</v>
      </c>
      <c r="E5424">
        <v>0</v>
      </c>
      <c r="F5424">
        <v>1</v>
      </c>
      <c r="G5424">
        <v>0</v>
      </c>
      <c r="H5424">
        <v>0</v>
      </c>
      <c r="I5424">
        <v>0</v>
      </c>
      <c r="J5424">
        <v>14458.2551810694</v>
      </c>
      <c r="K5424">
        <v>12644.135612550501</v>
      </c>
      <c r="L5424">
        <v>62.588999999999999</v>
      </c>
      <c r="M5424">
        <v>72.894000000000005</v>
      </c>
      <c r="N5424">
        <v>16.218</v>
      </c>
    </row>
    <row r="5425" spans="1:14" x14ac:dyDescent="0.45">
      <c r="A5425">
        <v>2005</v>
      </c>
      <c r="B5425" t="s">
        <v>245</v>
      </c>
      <c r="C5425">
        <v>1</v>
      </c>
      <c r="D5425">
        <v>0</v>
      </c>
      <c r="E5425">
        <v>0</v>
      </c>
      <c r="F5425">
        <v>0</v>
      </c>
      <c r="G5425">
        <v>0</v>
      </c>
      <c r="H5425">
        <v>0</v>
      </c>
      <c r="I5425">
        <v>0</v>
      </c>
      <c r="J5425">
        <v>1965.3002045825599</v>
      </c>
      <c r="K5425">
        <v>1789.86807983565</v>
      </c>
      <c r="L5425">
        <v>73.489999999999995</v>
      </c>
      <c r="M5425">
        <v>66.531000000000006</v>
      </c>
      <c r="N5425">
        <v>57.026000000000003</v>
      </c>
    </row>
    <row r="5426" spans="1:14" x14ac:dyDescent="0.45">
      <c r="A5426">
        <v>2005</v>
      </c>
      <c r="B5426" t="s">
        <v>246</v>
      </c>
      <c r="C5426">
        <v>1</v>
      </c>
      <c r="D5426">
        <v>0</v>
      </c>
      <c r="E5426">
        <v>0</v>
      </c>
      <c r="F5426">
        <v>1</v>
      </c>
      <c r="G5426">
        <v>0</v>
      </c>
      <c r="H5426">
        <v>0</v>
      </c>
      <c r="I5426">
        <v>0</v>
      </c>
      <c r="J5426">
        <v>5945.9523980480399</v>
      </c>
      <c r="K5426">
        <v>5596.4429096821796</v>
      </c>
      <c r="L5426">
        <v>52.948</v>
      </c>
      <c r="M5426">
        <v>66.275000000000006</v>
      </c>
      <c r="N5426">
        <v>52.463999999999999</v>
      </c>
    </row>
    <row r="5427" spans="1:14" x14ac:dyDescent="0.45">
      <c r="A5427">
        <v>2005</v>
      </c>
      <c r="B5427" t="s">
        <v>247</v>
      </c>
      <c r="C5427">
        <v>0</v>
      </c>
      <c r="D5427">
        <v>0</v>
      </c>
      <c r="E5427">
        <v>0</v>
      </c>
      <c r="F5427">
        <v>0</v>
      </c>
      <c r="G5427">
        <v>0</v>
      </c>
      <c r="H5427">
        <v>0</v>
      </c>
      <c r="I5427">
        <v>0</v>
      </c>
      <c r="J5427">
        <v>3265.5049418562298</v>
      </c>
      <c r="K5427">
        <v>2634.8139535659302</v>
      </c>
      <c r="L5427">
        <v>73.959000000000003</v>
      </c>
      <c r="M5427">
        <v>61.271999999999998</v>
      </c>
      <c r="N5427">
        <v>88.326999999999998</v>
      </c>
    </row>
    <row r="5428" spans="1:14" x14ac:dyDescent="0.45">
      <c r="A5428">
        <v>2005</v>
      </c>
      <c r="B5428" t="s">
        <v>248</v>
      </c>
      <c r="C5428">
        <v>0</v>
      </c>
      <c r="D5428">
        <v>0</v>
      </c>
      <c r="E5428">
        <v>0</v>
      </c>
      <c r="F5428">
        <v>1</v>
      </c>
      <c r="G5428">
        <v>0</v>
      </c>
      <c r="H5428">
        <v>0</v>
      </c>
      <c r="I5428">
        <v>0</v>
      </c>
      <c r="J5428">
        <v>5828.3705439802097</v>
      </c>
      <c r="K5428">
        <v>5276.0232723181098</v>
      </c>
      <c r="L5428">
        <v>76.844999999999999</v>
      </c>
      <c r="M5428">
        <v>70.56</v>
      </c>
      <c r="N5428">
        <v>14.792</v>
      </c>
    </row>
    <row r="5429" spans="1:14" x14ac:dyDescent="0.45">
      <c r="A5429">
        <v>2005</v>
      </c>
      <c r="B5429" t="s">
        <v>249</v>
      </c>
      <c r="C5429">
        <v>0</v>
      </c>
      <c r="D5429">
        <v>1</v>
      </c>
      <c r="E5429">
        <v>0</v>
      </c>
      <c r="F5429">
        <v>0</v>
      </c>
      <c r="G5429">
        <v>1</v>
      </c>
      <c r="H5429">
        <v>0</v>
      </c>
      <c r="I5429">
        <v>0</v>
      </c>
      <c r="J5429">
        <v>29574.334750059199</v>
      </c>
      <c r="K5429">
        <v>24682.533504573501</v>
      </c>
      <c r="L5429">
        <v>45.033000000000001</v>
      </c>
      <c r="M5429">
        <v>70.185000000000002</v>
      </c>
      <c r="N5429">
        <v>25.588999999999999</v>
      </c>
    </row>
    <row r="5430" spans="1:14" x14ac:dyDescent="0.45">
      <c r="A5430">
        <v>2005</v>
      </c>
      <c r="B5430" t="s">
        <v>250</v>
      </c>
      <c r="C5430">
        <v>0</v>
      </c>
      <c r="D5430">
        <v>0</v>
      </c>
      <c r="E5430">
        <v>0</v>
      </c>
      <c r="F5430">
        <v>1</v>
      </c>
      <c r="G5430">
        <v>0</v>
      </c>
      <c r="H5430">
        <v>0</v>
      </c>
      <c r="I5430">
        <v>0</v>
      </c>
      <c r="J5430">
        <v>10529.148331840301</v>
      </c>
      <c r="K5430">
        <v>9175.9768886314305</v>
      </c>
      <c r="L5430">
        <v>34.762999999999998</v>
      </c>
      <c r="M5430">
        <v>73.712000000000003</v>
      </c>
      <c r="N5430">
        <v>22.042999999999999</v>
      </c>
    </row>
    <row r="5431" spans="1:14" x14ac:dyDescent="0.45">
      <c r="A5431">
        <v>2005</v>
      </c>
      <c r="B5431" t="s">
        <v>251</v>
      </c>
      <c r="C5431">
        <v>1</v>
      </c>
      <c r="D5431">
        <v>0</v>
      </c>
      <c r="E5431">
        <v>0</v>
      </c>
      <c r="F5431">
        <v>0</v>
      </c>
      <c r="G5431">
        <v>1</v>
      </c>
      <c r="H5431">
        <v>0</v>
      </c>
      <c r="I5431">
        <v>0</v>
      </c>
      <c r="J5431">
        <v>17659.8983161707</v>
      </c>
      <c r="K5431">
        <v>17707.141378570799</v>
      </c>
      <c r="L5431">
        <v>32.159999999999997</v>
      </c>
      <c r="M5431">
        <v>73.510000000000005</v>
      </c>
      <c r="N5431">
        <v>25.771000000000001</v>
      </c>
    </row>
    <row r="5432" spans="1:14" x14ac:dyDescent="0.45">
      <c r="A5432">
        <v>2005</v>
      </c>
      <c r="B5432" t="s">
        <v>252</v>
      </c>
      <c r="C5432">
        <v>0</v>
      </c>
      <c r="D5432">
        <v>0</v>
      </c>
      <c r="E5432">
        <v>0</v>
      </c>
      <c r="F5432">
        <v>1</v>
      </c>
      <c r="G5432">
        <v>0</v>
      </c>
      <c r="H5432">
        <v>0</v>
      </c>
      <c r="I5432">
        <v>0</v>
      </c>
      <c r="J5432">
        <v>3488.53634577403</v>
      </c>
      <c r="K5432">
        <v>3155.9198102100599</v>
      </c>
      <c r="L5432">
        <v>50.301000000000002</v>
      </c>
      <c r="M5432">
        <v>64.096000000000004</v>
      </c>
      <c r="N5432">
        <v>37.61</v>
      </c>
    </row>
    <row r="5433" spans="1:14" x14ac:dyDescent="0.45">
      <c r="A5433">
        <v>2005</v>
      </c>
      <c r="B5433" t="s">
        <v>253</v>
      </c>
      <c r="C5433">
        <v>0</v>
      </c>
      <c r="D5433">
        <v>0</v>
      </c>
      <c r="E5433">
        <v>0</v>
      </c>
      <c r="F5433">
        <v>0</v>
      </c>
      <c r="G5433">
        <v>0</v>
      </c>
      <c r="H5433">
        <v>1</v>
      </c>
      <c r="I5433">
        <v>1</v>
      </c>
      <c r="L5433">
        <v>57.478000000000002</v>
      </c>
      <c r="M5433">
        <v>77.132999999999996</v>
      </c>
      <c r="N5433">
        <v>6.7809999999999997</v>
      </c>
    </row>
    <row r="5434" spans="1:14" x14ac:dyDescent="0.45">
      <c r="A5434">
        <v>2005</v>
      </c>
      <c r="B5434" t="s">
        <v>254</v>
      </c>
      <c r="C5434">
        <v>0</v>
      </c>
      <c r="D5434">
        <v>0</v>
      </c>
      <c r="E5434">
        <v>1</v>
      </c>
      <c r="F5434">
        <v>0</v>
      </c>
      <c r="G5434">
        <v>0</v>
      </c>
      <c r="H5434">
        <v>0</v>
      </c>
      <c r="I5434">
        <v>0</v>
      </c>
      <c r="J5434">
        <v>2253.09326171875</v>
      </c>
      <c r="K5434">
        <v>1678.2542256890999</v>
      </c>
      <c r="L5434">
        <v>75.155000000000001</v>
      </c>
      <c r="M5434">
        <v>57.674999999999997</v>
      </c>
      <c r="N5434">
        <v>93.195999999999998</v>
      </c>
    </row>
    <row r="5435" spans="1:14" x14ac:dyDescent="0.45">
      <c r="A5435">
        <v>2005</v>
      </c>
      <c r="B5435" t="s">
        <v>255</v>
      </c>
      <c r="C5435">
        <v>0</v>
      </c>
      <c r="D5435">
        <v>0</v>
      </c>
      <c r="E5435">
        <v>1</v>
      </c>
      <c r="F5435">
        <v>0</v>
      </c>
      <c r="G5435">
        <v>0</v>
      </c>
      <c r="H5435">
        <v>0</v>
      </c>
      <c r="I5435">
        <v>0</v>
      </c>
      <c r="J5435">
        <v>1765.03788457066</v>
      </c>
      <c r="K5435">
        <v>1497.28966912276</v>
      </c>
      <c r="L5435">
        <v>83.04</v>
      </c>
      <c r="M5435">
        <v>54.926000000000002</v>
      </c>
      <c r="N5435">
        <v>106.9</v>
      </c>
    </row>
    <row r="5436" spans="1:14" x14ac:dyDescent="0.45">
      <c r="A5436">
        <v>2005</v>
      </c>
      <c r="B5436" t="s">
        <v>256</v>
      </c>
      <c r="C5436">
        <v>1</v>
      </c>
      <c r="D5436">
        <v>0</v>
      </c>
      <c r="E5436">
        <v>0</v>
      </c>
      <c r="F5436">
        <v>1</v>
      </c>
      <c r="G5436">
        <v>0</v>
      </c>
      <c r="H5436">
        <v>0</v>
      </c>
      <c r="I5436">
        <v>0</v>
      </c>
      <c r="J5436">
        <v>15610.5732421875</v>
      </c>
      <c r="K5436">
        <v>11041.1326189885</v>
      </c>
      <c r="L5436">
        <v>32.21</v>
      </c>
      <c r="M5436">
        <v>67.516999999999996</v>
      </c>
      <c r="N5436">
        <v>12.726000000000001</v>
      </c>
    </row>
    <row r="5437" spans="1:14" x14ac:dyDescent="0.45">
      <c r="A5437">
        <v>2005</v>
      </c>
      <c r="B5437" t="s">
        <v>257</v>
      </c>
      <c r="C5437">
        <v>0</v>
      </c>
      <c r="D5437">
        <v>1</v>
      </c>
      <c r="E5437">
        <v>0</v>
      </c>
      <c r="F5437">
        <v>0</v>
      </c>
      <c r="G5437">
        <v>1</v>
      </c>
      <c r="H5437">
        <v>0</v>
      </c>
      <c r="I5437">
        <v>0</v>
      </c>
      <c r="J5437">
        <v>18811.319597102101</v>
      </c>
      <c r="K5437">
        <v>14920.5476345856</v>
      </c>
      <c r="L5437">
        <v>6.681</v>
      </c>
      <c r="M5437">
        <v>75.828999999999994</v>
      </c>
      <c r="N5437">
        <v>13.754</v>
      </c>
    </row>
    <row r="5438" spans="1:14" x14ac:dyDescent="0.45">
      <c r="A5438">
        <v>2005</v>
      </c>
      <c r="B5438" t="s">
        <v>258</v>
      </c>
      <c r="C5438">
        <v>0</v>
      </c>
      <c r="D5438">
        <v>0</v>
      </c>
      <c r="E5438">
        <v>0</v>
      </c>
      <c r="F5438">
        <v>0</v>
      </c>
      <c r="G5438">
        <v>0</v>
      </c>
      <c r="H5438">
        <v>1</v>
      </c>
      <c r="I5438">
        <v>1</v>
      </c>
      <c r="J5438">
        <v>59604.753636355301</v>
      </c>
      <c r="K5438">
        <v>54101.721350454303</v>
      </c>
      <c r="L5438">
        <v>20.071999999999999</v>
      </c>
      <c r="M5438">
        <v>77.525999999999996</v>
      </c>
      <c r="N5438">
        <v>8.234</v>
      </c>
    </row>
    <row r="5439" spans="1:14" x14ac:dyDescent="0.45">
      <c r="A5439">
        <v>2005</v>
      </c>
      <c r="B5439" t="s">
        <v>259</v>
      </c>
      <c r="C5439">
        <v>1</v>
      </c>
      <c r="D5439">
        <v>0</v>
      </c>
      <c r="E5439">
        <v>0</v>
      </c>
      <c r="F5439">
        <v>0</v>
      </c>
      <c r="G5439">
        <v>0</v>
      </c>
      <c r="H5439">
        <v>0</v>
      </c>
      <c r="I5439">
        <v>0</v>
      </c>
      <c r="J5439">
        <v>4160.9551297070302</v>
      </c>
      <c r="K5439">
        <v>4042.5218717457301</v>
      </c>
      <c r="L5439">
        <v>51.463000000000001</v>
      </c>
      <c r="M5439">
        <v>67.480999999999995</v>
      </c>
      <c r="N5439">
        <v>45.462000000000003</v>
      </c>
    </row>
    <row r="5440" spans="1:14" x14ac:dyDescent="0.45">
      <c r="A5440">
        <v>2005</v>
      </c>
      <c r="B5440" t="s">
        <v>260</v>
      </c>
      <c r="C5440">
        <v>0</v>
      </c>
      <c r="D5440">
        <v>1</v>
      </c>
      <c r="E5440">
        <v>0</v>
      </c>
      <c r="F5440">
        <v>0</v>
      </c>
      <c r="G5440">
        <v>1</v>
      </c>
      <c r="H5440">
        <v>0</v>
      </c>
      <c r="I5440">
        <v>0</v>
      </c>
      <c r="J5440">
        <v>12320.071001107701</v>
      </c>
      <c r="K5440">
        <v>10767.263770502401</v>
      </c>
      <c r="L5440">
        <v>52.968000000000004</v>
      </c>
      <c r="M5440">
        <v>70.453999999999994</v>
      </c>
      <c r="N5440">
        <v>24.427</v>
      </c>
    </row>
    <row r="5441" spans="1:14" x14ac:dyDescent="0.45">
      <c r="A5441">
        <v>2005</v>
      </c>
      <c r="B5441" t="s">
        <v>261</v>
      </c>
      <c r="C5441">
        <v>0</v>
      </c>
      <c r="D5441">
        <v>1</v>
      </c>
      <c r="E5441">
        <v>0</v>
      </c>
      <c r="F5441">
        <v>0</v>
      </c>
      <c r="G5441">
        <v>1</v>
      </c>
      <c r="H5441">
        <v>0</v>
      </c>
      <c r="I5441">
        <v>0</v>
      </c>
      <c r="L5441">
        <v>12.045999999999999</v>
      </c>
      <c r="M5441">
        <v>73.075000000000003</v>
      </c>
      <c r="N5441">
        <v>18.791</v>
      </c>
    </row>
    <row r="5442" spans="1:14" x14ac:dyDescent="0.45">
      <c r="A5442">
        <v>2005</v>
      </c>
      <c r="B5442" t="s">
        <v>262</v>
      </c>
      <c r="C5442">
        <v>0</v>
      </c>
      <c r="D5442">
        <v>1</v>
      </c>
      <c r="E5442">
        <v>0</v>
      </c>
      <c r="F5442">
        <v>0</v>
      </c>
      <c r="G5442">
        <v>0</v>
      </c>
      <c r="H5442">
        <v>1</v>
      </c>
      <c r="I5442">
        <v>1</v>
      </c>
      <c r="L5442">
        <v>56.79</v>
      </c>
      <c r="M5442">
        <v>75.569000000000003</v>
      </c>
      <c r="N5442">
        <v>15.97</v>
      </c>
    </row>
    <row r="5443" spans="1:14" x14ac:dyDescent="0.45">
      <c r="A5443">
        <v>2005</v>
      </c>
      <c r="B5443" t="s">
        <v>263</v>
      </c>
      <c r="C5443">
        <v>0</v>
      </c>
      <c r="D5443">
        <v>1</v>
      </c>
      <c r="E5443">
        <v>0</v>
      </c>
      <c r="F5443">
        <v>0</v>
      </c>
      <c r="G5443">
        <v>0</v>
      </c>
      <c r="H5443">
        <v>1</v>
      </c>
      <c r="I5443">
        <v>1</v>
      </c>
      <c r="J5443">
        <v>57838.097714282303</v>
      </c>
      <c r="K5443">
        <v>45297.3068051964</v>
      </c>
      <c r="L5443">
        <v>6.3360000000000003</v>
      </c>
      <c r="M5443">
        <v>72.234999999999999</v>
      </c>
      <c r="N5443">
        <v>11.036</v>
      </c>
    </row>
    <row r="5444" spans="1:14" x14ac:dyDescent="0.45">
      <c r="A5444">
        <v>2005</v>
      </c>
      <c r="B5444" t="s">
        <v>264</v>
      </c>
      <c r="C5444">
        <v>0</v>
      </c>
      <c r="D5444">
        <v>0</v>
      </c>
      <c r="E5444">
        <v>0</v>
      </c>
      <c r="F5444">
        <v>0</v>
      </c>
      <c r="G5444">
        <v>0</v>
      </c>
      <c r="H5444">
        <v>0</v>
      </c>
      <c r="I5444">
        <v>0</v>
      </c>
      <c r="J5444">
        <v>5776.3630445126801</v>
      </c>
      <c r="K5444">
        <v>5147.2182814376501</v>
      </c>
      <c r="L5444">
        <v>72.718999999999994</v>
      </c>
      <c r="M5444">
        <v>73.197999999999993</v>
      </c>
      <c r="N5444">
        <v>25.425000000000001</v>
      </c>
    </row>
    <row r="5445" spans="1:14" x14ac:dyDescent="0.45">
      <c r="A5445">
        <v>2005</v>
      </c>
      <c r="B5445" t="s">
        <v>265</v>
      </c>
      <c r="C5445">
        <v>0</v>
      </c>
      <c r="D5445">
        <v>0</v>
      </c>
      <c r="E5445">
        <v>0</v>
      </c>
      <c r="F5445">
        <v>1</v>
      </c>
      <c r="G5445">
        <v>0</v>
      </c>
      <c r="H5445">
        <v>0</v>
      </c>
      <c r="I5445">
        <v>0</v>
      </c>
      <c r="J5445">
        <v>3089.43704035767</v>
      </c>
      <c r="K5445">
        <v>2794.7089048183898</v>
      </c>
      <c r="L5445">
        <v>76.900999999999996</v>
      </c>
      <c r="M5445">
        <v>69.165999999999997</v>
      </c>
      <c r="N5445">
        <v>27.009</v>
      </c>
    </row>
    <row r="5446" spans="1:14" x14ac:dyDescent="0.45">
      <c r="A5446">
        <v>2005</v>
      </c>
      <c r="B5446" t="s">
        <v>266</v>
      </c>
      <c r="C5446">
        <v>0</v>
      </c>
      <c r="D5446">
        <v>0</v>
      </c>
      <c r="E5446">
        <v>0</v>
      </c>
      <c r="F5446">
        <v>1</v>
      </c>
      <c r="G5446">
        <v>0</v>
      </c>
      <c r="H5446">
        <v>0</v>
      </c>
      <c r="I5446">
        <v>0</v>
      </c>
      <c r="J5446">
        <v>5914.8897060429999</v>
      </c>
      <c r="K5446">
        <v>5350.6171890083997</v>
      </c>
      <c r="L5446">
        <v>78.781999999999996</v>
      </c>
      <c r="M5446">
        <v>71.486999999999995</v>
      </c>
      <c r="N5446">
        <v>19.954000000000001</v>
      </c>
    </row>
    <row r="5447" spans="1:14" x14ac:dyDescent="0.45">
      <c r="A5447">
        <v>2005</v>
      </c>
      <c r="B5447" t="s">
        <v>267</v>
      </c>
      <c r="C5447">
        <v>1</v>
      </c>
      <c r="D5447">
        <v>0</v>
      </c>
      <c r="E5447">
        <v>0</v>
      </c>
      <c r="F5447">
        <v>1</v>
      </c>
      <c r="G5447">
        <v>0</v>
      </c>
      <c r="H5447">
        <v>0</v>
      </c>
      <c r="I5447">
        <v>0</v>
      </c>
      <c r="J5447">
        <v>5999.2337572737097</v>
      </c>
      <c r="K5447">
        <v>5445.3427175107399</v>
      </c>
      <c r="L5447">
        <v>46.116999999999997</v>
      </c>
      <c r="M5447">
        <v>73.436999999999998</v>
      </c>
      <c r="N5447">
        <v>30.622</v>
      </c>
    </row>
    <row r="5448" spans="1:14" x14ac:dyDescent="0.45">
      <c r="A5448">
        <v>2005</v>
      </c>
      <c r="B5448" t="s">
        <v>268</v>
      </c>
      <c r="C5448">
        <v>0</v>
      </c>
      <c r="D5448">
        <v>0</v>
      </c>
      <c r="E5448">
        <v>0</v>
      </c>
      <c r="F5448">
        <v>0</v>
      </c>
      <c r="G5448">
        <v>0</v>
      </c>
      <c r="H5448">
        <v>0</v>
      </c>
      <c r="I5448">
        <v>0</v>
      </c>
      <c r="L5448">
        <v>71.063999999999993</v>
      </c>
      <c r="M5448">
        <v>65.355999999999995</v>
      </c>
      <c r="N5448">
        <v>71.293000000000006</v>
      </c>
    </row>
    <row r="5449" spans="1:14" x14ac:dyDescent="0.45">
      <c r="A5449">
        <v>2005</v>
      </c>
      <c r="B5449" t="s">
        <v>269</v>
      </c>
      <c r="C5449">
        <v>0</v>
      </c>
      <c r="D5449">
        <v>0</v>
      </c>
      <c r="E5449">
        <v>1</v>
      </c>
      <c r="F5449">
        <v>0</v>
      </c>
      <c r="G5449">
        <v>1</v>
      </c>
      <c r="H5449">
        <v>0</v>
      </c>
      <c r="I5449">
        <v>0</v>
      </c>
      <c r="J5449">
        <v>12877.306310551199</v>
      </c>
      <c r="K5449">
        <v>12124.5135762838</v>
      </c>
      <c r="L5449">
        <v>40.463999999999999</v>
      </c>
      <c r="M5449">
        <v>53.914000000000001</v>
      </c>
      <c r="N5449">
        <v>78.225999999999999</v>
      </c>
    </row>
    <row r="5450" spans="1:14" x14ac:dyDescent="0.45">
      <c r="A5450">
        <v>2005</v>
      </c>
      <c r="B5450" t="s">
        <v>270</v>
      </c>
      <c r="C5450">
        <v>0</v>
      </c>
      <c r="D5450">
        <v>0</v>
      </c>
      <c r="E5450">
        <v>1</v>
      </c>
      <c r="F5450">
        <v>0</v>
      </c>
      <c r="G5450">
        <v>0</v>
      </c>
      <c r="H5450">
        <v>0</v>
      </c>
      <c r="I5450">
        <v>0</v>
      </c>
      <c r="J5450">
        <v>2564.47560965912</v>
      </c>
      <c r="K5450">
        <v>2407.6765621547002</v>
      </c>
      <c r="L5450">
        <v>63.088999999999999</v>
      </c>
      <c r="M5450">
        <v>51.615000000000002</v>
      </c>
      <c r="N5450">
        <v>107.81100000000001</v>
      </c>
    </row>
    <row r="5451" spans="1:14" x14ac:dyDescent="0.45">
      <c r="A5451">
        <v>2005</v>
      </c>
      <c r="B5451" t="s">
        <v>271</v>
      </c>
      <c r="C5451">
        <v>0</v>
      </c>
      <c r="D5451">
        <v>0</v>
      </c>
      <c r="E5451">
        <v>1</v>
      </c>
      <c r="F5451">
        <v>0</v>
      </c>
      <c r="G5451">
        <v>0</v>
      </c>
      <c r="H5451">
        <v>0</v>
      </c>
      <c r="I5451">
        <v>0</v>
      </c>
      <c r="J5451">
        <v>2642.17228645763</v>
      </c>
      <c r="K5451">
        <v>1759.25312880155</v>
      </c>
      <c r="L5451">
        <v>65.89</v>
      </c>
      <c r="M5451">
        <v>46.57</v>
      </c>
      <c r="N5451">
        <v>91.802999999999997</v>
      </c>
    </row>
    <row r="5452" spans="1:14" x14ac:dyDescent="0.45">
      <c r="A5452">
        <v>2006</v>
      </c>
      <c r="B5452" t="s">
        <v>54</v>
      </c>
      <c r="C5452">
        <v>0</v>
      </c>
      <c r="D5452">
        <v>1</v>
      </c>
      <c r="E5452">
        <v>0</v>
      </c>
      <c r="F5452">
        <v>0</v>
      </c>
      <c r="G5452">
        <v>0</v>
      </c>
      <c r="H5452">
        <v>1</v>
      </c>
      <c r="I5452">
        <v>1</v>
      </c>
      <c r="J5452">
        <v>40335.417689218499</v>
      </c>
      <c r="K5452">
        <v>39254.722899205</v>
      </c>
      <c r="L5452">
        <v>55.488999999999997</v>
      </c>
      <c r="M5452">
        <v>73.498000000000005</v>
      </c>
      <c r="N5452">
        <v>19.449000000000002</v>
      </c>
    </row>
    <row r="5453" spans="1:14" x14ac:dyDescent="0.45">
      <c r="A5453">
        <v>2006</v>
      </c>
      <c r="B5453" t="s">
        <v>55</v>
      </c>
      <c r="C5453">
        <v>0</v>
      </c>
      <c r="D5453">
        <v>0</v>
      </c>
      <c r="E5453">
        <v>0</v>
      </c>
      <c r="F5453">
        <v>0</v>
      </c>
      <c r="G5453">
        <v>0</v>
      </c>
      <c r="H5453">
        <v>0</v>
      </c>
      <c r="I5453">
        <v>0</v>
      </c>
      <c r="J5453">
        <v>1929.7238970937201</v>
      </c>
      <c r="K5453">
        <v>1526.3944753964299</v>
      </c>
      <c r="L5453">
        <v>77.093000000000004</v>
      </c>
      <c r="M5453">
        <v>58.552999999999997</v>
      </c>
      <c r="N5453">
        <v>105.377</v>
      </c>
    </row>
    <row r="5454" spans="1:14" x14ac:dyDescent="0.45">
      <c r="A5454">
        <v>2006</v>
      </c>
      <c r="B5454" t="s">
        <v>56</v>
      </c>
      <c r="C5454">
        <v>0</v>
      </c>
      <c r="D5454">
        <v>0</v>
      </c>
      <c r="E5454">
        <v>1</v>
      </c>
      <c r="F5454">
        <v>1</v>
      </c>
      <c r="G5454">
        <v>0</v>
      </c>
      <c r="H5454">
        <v>0</v>
      </c>
      <c r="I5454">
        <v>0</v>
      </c>
      <c r="J5454">
        <v>8435.4550466421006</v>
      </c>
      <c r="K5454">
        <v>6523.5658704043799</v>
      </c>
      <c r="L5454">
        <v>43.235999999999997</v>
      </c>
      <c r="M5454">
        <v>52.965000000000003</v>
      </c>
      <c r="N5454">
        <v>155.11199999999999</v>
      </c>
    </row>
    <row r="5455" spans="1:14" x14ac:dyDescent="0.45">
      <c r="A5455">
        <v>2006</v>
      </c>
      <c r="B5455" t="s">
        <v>57</v>
      </c>
      <c r="C5455">
        <v>1</v>
      </c>
      <c r="D5455">
        <v>0</v>
      </c>
      <c r="E5455">
        <v>0</v>
      </c>
      <c r="F5455">
        <v>1</v>
      </c>
      <c r="G5455">
        <v>0</v>
      </c>
      <c r="H5455">
        <v>0</v>
      </c>
      <c r="I5455">
        <v>0</v>
      </c>
      <c r="J5455">
        <v>9563.4807680253907</v>
      </c>
      <c r="K5455">
        <v>8664.0749211779803</v>
      </c>
      <c r="L5455">
        <v>52.185000000000002</v>
      </c>
      <c r="M5455">
        <v>76.994</v>
      </c>
      <c r="N5455">
        <v>18.373000000000001</v>
      </c>
    </row>
    <row r="5456" spans="1:14" x14ac:dyDescent="0.45">
      <c r="A5456">
        <v>2006</v>
      </c>
      <c r="B5456" t="s">
        <v>58</v>
      </c>
      <c r="C5456">
        <v>1</v>
      </c>
      <c r="D5456">
        <v>0</v>
      </c>
      <c r="E5456">
        <v>0</v>
      </c>
      <c r="F5456">
        <v>0</v>
      </c>
      <c r="G5456">
        <v>0</v>
      </c>
      <c r="H5456">
        <v>1</v>
      </c>
      <c r="I5456">
        <v>1</v>
      </c>
      <c r="J5456">
        <v>66390.293726491</v>
      </c>
      <c r="K5456">
        <v>55729.5815920967</v>
      </c>
      <c r="L5456">
        <v>10.193</v>
      </c>
      <c r="M5456">
        <v>83.373999999999995</v>
      </c>
      <c r="N5456">
        <v>6.5279999999999996</v>
      </c>
    </row>
    <row r="5457" spans="1:14" x14ac:dyDescent="0.45">
      <c r="A5457">
        <v>2006</v>
      </c>
      <c r="B5457" t="s">
        <v>59</v>
      </c>
      <c r="C5457">
        <v>0</v>
      </c>
      <c r="D5457">
        <v>0</v>
      </c>
      <c r="E5457">
        <v>0</v>
      </c>
      <c r="F5457">
        <v>0</v>
      </c>
      <c r="G5457">
        <v>0</v>
      </c>
      <c r="H5457">
        <v>1</v>
      </c>
      <c r="I5457">
        <v>1</v>
      </c>
      <c r="J5457">
        <v>92044.512606771401</v>
      </c>
      <c r="K5457">
        <v>90937.096561199898</v>
      </c>
      <c r="L5457">
        <v>17.352</v>
      </c>
      <c r="M5457">
        <v>81.155000000000001</v>
      </c>
      <c r="N5457">
        <v>9.5820000000000007</v>
      </c>
    </row>
    <row r="5458" spans="1:14" x14ac:dyDescent="0.45">
      <c r="A5458">
        <v>2006</v>
      </c>
      <c r="B5458" t="s">
        <v>60</v>
      </c>
      <c r="C5458">
        <v>0</v>
      </c>
      <c r="D5458">
        <v>1</v>
      </c>
      <c r="E5458">
        <v>0</v>
      </c>
      <c r="F5458">
        <v>0</v>
      </c>
      <c r="G5458">
        <v>1</v>
      </c>
      <c r="H5458">
        <v>0</v>
      </c>
      <c r="I5458">
        <v>0</v>
      </c>
      <c r="J5458">
        <v>24877.249392229602</v>
      </c>
      <c r="K5458">
        <v>20531.437495298698</v>
      </c>
      <c r="L5458">
        <v>9.8000000000000007</v>
      </c>
      <c r="M5458">
        <v>75.278999999999996</v>
      </c>
      <c r="N5458">
        <v>17.297999999999998</v>
      </c>
    </row>
    <row r="5459" spans="1:14" x14ac:dyDescent="0.45">
      <c r="A5459">
        <v>2006</v>
      </c>
      <c r="B5459" t="s">
        <v>61</v>
      </c>
      <c r="C5459">
        <v>1</v>
      </c>
      <c r="D5459">
        <v>0</v>
      </c>
      <c r="E5459">
        <v>0</v>
      </c>
      <c r="F5459">
        <v>1</v>
      </c>
      <c r="G5459">
        <v>0</v>
      </c>
      <c r="H5459">
        <v>0</v>
      </c>
      <c r="I5459">
        <v>0</v>
      </c>
      <c r="J5459">
        <v>9525.2314677977793</v>
      </c>
      <c r="K5459">
        <v>8068.8353053453602</v>
      </c>
      <c r="L5459">
        <v>36.161000000000001</v>
      </c>
      <c r="M5459">
        <v>72.218999999999994</v>
      </c>
      <c r="N5459">
        <v>22.805</v>
      </c>
    </row>
    <row r="5460" spans="1:14" x14ac:dyDescent="0.45">
      <c r="A5460">
        <v>2006</v>
      </c>
      <c r="B5460" t="s">
        <v>62</v>
      </c>
      <c r="C5460">
        <v>0</v>
      </c>
      <c r="D5460">
        <v>0</v>
      </c>
      <c r="E5460">
        <v>0</v>
      </c>
      <c r="F5460">
        <v>0</v>
      </c>
      <c r="G5460">
        <v>1</v>
      </c>
      <c r="H5460">
        <v>0</v>
      </c>
      <c r="I5460">
        <v>0</v>
      </c>
      <c r="L5460">
        <v>12</v>
      </c>
      <c r="M5460">
        <v>72.397000000000006</v>
      </c>
      <c r="N5460">
        <v>11.856999999999999</v>
      </c>
    </row>
    <row r="5461" spans="1:14" x14ac:dyDescent="0.45">
      <c r="A5461">
        <v>2006</v>
      </c>
      <c r="B5461" t="s">
        <v>63</v>
      </c>
      <c r="C5461">
        <v>0</v>
      </c>
      <c r="D5461">
        <v>1</v>
      </c>
      <c r="E5461">
        <v>0</v>
      </c>
      <c r="F5461">
        <v>0</v>
      </c>
      <c r="G5461">
        <v>0</v>
      </c>
      <c r="H5461">
        <v>1</v>
      </c>
      <c r="I5461">
        <v>1</v>
      </c>
      <c r="J5461">
        <v>30827.3416754916</v>
      </c>
      <c r="K5461">
        <v>24279.516614878699</v>
      </c>
      <c r="L5461">
        <v>71.394000000000005</v>
      </c>
      <c r="M5461">
        <v>75.506</v>
      </c>
      <c r="N5461">
        <v>12.961</v>
      </c>
    </row>
    <row r="5462" spans="1:14" x14ac:dyDescent="0.45">
      <c r="A5462">
        <v>2006</v>
      </c>
      <c r="B5462" t="s">
        <v>64</v>
      </c>
      <c r="C5462">
        <v>0</v>
      </c>
      <c r="D5462">
        <v>0</v>
      </c>
      <c r="E5462">
        <v>0</v>
      </c>
      <c r="F5462">
        <v>0</v>
      </c>
      <c r="G5462">
        <v>0</v>
      </c>
      <c r="H5462">
        <v>1</v>
      </c>
      <c r="I5462">
        <v>1</v>
      </c>
      <c r="J5462">
        <v>50602.350251033698</v>
      </c>
      <c r="K5462">
        <v>43829.306175366401</v>
      </c>
      <c r="L5462">
        <v>15.3</v>
      </c>
      <c r="M5462">
        <v>81.257999999999996</v>
      </c>
      <c r="N5462">
        <v>5.6420000000000003</v>
      </c>
    </row>
    <row r="5463" spans="1:14" x14ac:dyDescent="0.45">
      <c r="A5463">
        <v>2006</v>
      </c>
      <c r="B5463" t="s">
        <v>65</v>
      </c>
      <c r="C5463">
        <v>1</v>
      </c>
      <c r="D5463">
        <v>0</v>
      </c>
      <c r="E5463">
        <v>0</v>
      </c>
      <c r="F5463">
        <v>0</v>
      </c>
      <c r="G5463">
        <v>0</v>
      </c>
      <c r="H5463">
        <v>1</v>
      </c>
      <c r="I5463">
        <v>1</v>
      </c>
      <c r="J5463">
        <v>58531.509788372903</v>
      </c>
      <c r="K5463">
        <v>49877.949987421103</v>
      </c>
      <c r="L5463">
        <v>41.468000000000004</v>
      </c>
      <c r="M5463">
        <v>79.965000000000003</v>
      </c>
      <c r="N5463">
        <v>4.4749999999999996</v>
      </c>
    </row>
    <row r="5464" spans="1:14" x14ac:dyDescent="0.45">
      <c r="A5464">
        <v>2006</v>
      </c>
      <c r="B5464" t="s">
        <v>66</v>
      </c>
      <c r="C5464">
        <v>1</v>
      </c>
      <c r="D5464">
        <v>0</v>
      </c>
      <c r="E5464">
        <v>0</v>
      </c>
      <c r="F5464">
        <v>1</v>
      </c>
      <c r="G5464">
        <v>0</v>
      </c>
      <c r="H5464">
        <v>0</v>
      </c>
      <c r="I5464">
        <v>0</v>
      </c>
      <c r="J5464">
        <v>13371.6584935601</v>
      </c>
      <c r="K5464">
        <v>9737.4069248206706</v>
      </c>
      <c r="L5464">
        <v>47.411000000000001</v>
      </c>
      <c r="M5464">
        <v>68.489000000000004</v>
      </c>
      <c r="N5464">
        <v>49.475999999999999</v>
      </c>
    </row>
    <row r="5465" spans="1:14" x14ac:dyDescent="0.45">
      <c r="A5465">
        <v>2006</v>
      </c>
      <c r="B5465" t="s">
        <v>67</v>
      </c>
      <c r="C5465">
        <v>0</v>
      </c>
      <c r="D5465">
        <v>0</v>
      </c>
      <c r="E5465">
        <v>1</v>
      </c>
      <c r="F5465">
        <v>0</v>
      </c>
      <c r="G5465">
        <v>0</v>
      </c>
      <c r="H5465">
        <v>0</v>
      </c>
      <c r="I5465">
        <v>0</v>
      </c>
      <c r="J5465">
        <v>954.19085388946405</v>
      </c>
      <c r="K5465">
        <v>824.51941144948501</v>
      </c>
      <c r="L5465">
        <v>90.382999999999996</v>
      </c>
      <c r="M5465">
        <v>53.962000000000003</v>
      </c>
      <c r="N5465">
        <v>115.861</v>
      </c>
    </row>
    <row r="5466" spans="1:14" x14ac:dyDescent="0.45">
      <c r="A5466">
        <v>2006</v>
      </c>
      <c r="B5466" t="s">
        <v>68</v>
      </c>
      <c r="C5466">
        <v>1</v>
      </c>
      <c r="D5466">
        <v>0</v>
      </c>
      <c r="E5466">
        <v>0</v>
      </c>
      <c r="F5466">
        <v>0</v>
      </c>
      <c r="G5466">
        <v>0</v>
      </c>
      <c r="H5466">
        <v>1</v>
      </c>
      <c r="I5466">
        <v>1</v>
      </c>
      <c r="J5466">
        <v>55392.050034276697</v>
      </c>
      <c r="K5466">
        <v>46613.331078276402</v>
      </c>
      <c r="L5466">
        <v>2.54600000000001</v>
      </c>
      <c r="M5466">
        <v>79.388999999999996</v>
      </c>
      <c r="N5466">
        <v>4.9909999999999997</v>
      </c>
    </row>
    <row r="5467" spans="1:14" x14ac:dyDescent="0.45">
      <c r="A5467">
        <v>2006</v>
      </c>
      <c r="B5467" t="s">
        <v>69</v>
      </c>
      <c r="C5467">
        <v>0</v>
      </c>
      <c r="D5467">
        <v>0</v>
      </c>
      <c r="E5467">
        <v>1</v>
      </c>
      <c r="F5467">
        <v>0</v>
      </c>
      <c r="G5467">
        <v>0</v>
      </c>
      <c r="H5467">
        <v>0</v>
      </c>
      <c r="I5467">
        <v>0</v>
      </c>
      <c r="J5467">
        <v>2652.2184196715898</v>
      </c>
      <c r="K5467">
        <v>2516.2972238469702</v>
      </c>
      <c r="L5467">
        <v>58.951000000000001</v>
      </c>
      <c r="M5467">
        <v>57.966000000000001</v>
      </c>
      <c r="N5467">
        <v>118.79300000000001</v>
      </c>
    </row>
    <row r="5468" spans="1:14" x14ac:dyDescent="0.45">
      <c r="A5468">
        <v>2006</v>
      </c>
      <c r="B5468" t="s">
        <v>70</v>
      </c>
      <c r="C5468">
        <v>0</v>
      </c>
      <c r="D5468">
        <v>0</v>
      </c>
      <c r="E5468">
        <v>1</v>
      </c>
      <c r="F5468">
        <v>0</v>
      </c>
      <c r="G5468">
        <v>0</v>
      </c>
      <c r="H5468">
        <v>0</v>
      </c>
      <c r="I5468">
        <v>0</v>
      </c>
      <c r="J5468">
        <v>1714.7603490450899</v>
      </c>
      <c r="K5468">
        <v>1568.8978383486599</v>
      </c>
      <c r="L5468">
        <v>77.661000000000001</v>
      </c>
      <c r="M5468">
        <v>53.783999999999999</v>
      </c>
      <c r="N5468">
        <v>146.19</v>
      </c>
    </row>
    <row r="5469" spans="1:14" x14ac:dyDescent="0.45">
      <c r="A5469">
        <v>2006</v>
      </c>
      <c r="B5469" t="s">
        <v>71</v>
      </c>
      <c r="C5469">
        <v>0</v>
      </c>
      <c r="D5469">
        <v>0</v>
      </c>
      <c r="E5469">
        <v>0</v>
      </c>
      <c r="F5469">
        <v>0</v>
      </c>
      <c r="G5469">
        <v>0</v>
      </c>
      <c r="H5469">
        <v>0</v>
      </c>
      <c r="I5469">
        <v>0</v>
      </c>
      <c r="J5469">
        <v>3407.4273502158999</v>
      </c>
      <c r="K5469">
        <v>2770.2199160935602</v>
      </c>
      <c r="L5469">
        <v>72.483000000000004</v>
      </c>
      <c r="M5469">
        <v>66.048000000000002</v>
      </c>
      <c r="N5469">
        <v>61.258000000000003</v>
      </c>
    </row>
    <row r="5470" spans="1:14" x14ac:dyDescent="0.45">
      <c r="A5470">
        <v>2006</v>
      </c>
      <c r="B5470" t="s">
        <v>72</v>
      </c>
      <c r="C5470">
        <v>1</v>
      </c>
      <c r="D5470">
        <v>0</v>
      </c>
      <c r="E5470">
        <v>0</v>
      </c>
      <c r="F5470">
        <v>0</v>
      </c>
      <c r="G5470">
        <v>1</v>
      </c>
      <c r="H5470">
        <v>0</v>
      </c>
      <c r="I5470">
        <v>0</v>
      </c>
      <c r="J5470">
        <v>19017.181449746298</v>
      </c>
      <c r="K5470">
        <v>15780.447139955701</v>
      </c>
      <c r="L5470">
        <v>29.068000000000001</v>
      </c>
      <c r="M5470">
        <v>72.69</v>
      </c>
      <c r="N5470">
        <v>12.044</v>
      </c>
    </row>
    <row r="5471" spans="1:14" x14ac:dyDescent="0.45">
      <c r="A5471">
        <v>2006</v>
      </c>
      <c r="B5471" t="s">
        <v>73</v>
      </c>
      <c r="C5471">
        <v>0</v>
      </c>
      <c r="D5471">
        <v>0</v>
      </c>
      <c r="E5471">
        <v>0</v>
      </c>
      <c r="F5471">
        <v>0</v>
      </c>
      <c r="G5471">
        <v>0</v>
      </c>
      <c r="H5471">
        <v>1</v>
      </c>
      <c r="I5471">
        <v>1</v>
      </c>
      <c r="J5471">
        <v>52691.932336685102</v>
      </c>
      <c r="K5471">
        <v>49096.353332111001</v>
      </c>
      <c r="L5471">
        <v>11.548</v>
      </c>
      <c r="M5471">
        <v>76.510000000000005</v>
      </c>
      <c r="N5471">
        <v>10.207000000000001</v>
      </c>
    </row>
    <row r="5472" spans="1:14" x14ac:dyDescent="0.45">
      <c r="A5472">
        <v>2006</v>
      </c>
      <c r="B5472" t="s">
        <v>74</v>
      </c>
      <c r="C5472">
        <v>0</v>
      </c>
      <c r="D5472">
        <v>1</v>
      </c>
      <c r="E5472">
        <v>0</v>
      </c>
      <c r="F5472">
        <v>0</v>
      </c>
      <c r="G5472">
        <v>0</v>
      </c>
      <c r="H5472">
        <v>1</v>
      </c>
      <c r="I5472">
        <v>1</v>
      </c>
      <c r="J5472">
        <v>35789.0423240979</v>
      </c>
      <c r="K5472">
        <v>37123.4720139821</v>
      </c>
      <c r="L5472">
        <v>17.739999999999998</v>
      </c>
      <c r="M5472">
        <v>73.456000000000003</v>
      </c>
      <c r="N5472">
        <v>16.494</v>
      </c>
    </row>
    <row r="5473" spans="1:14" x14ac:dyDescent="0.45">
      <c r="A5473">
        <v>2006</v>
      </c>
      <c r="B5473" t="s">
        <v>75</v>
      </c>
      <c r="C5473">
        <v>1</v>
      </c>
      <c r="D5473">
        <v>0</v>
      </c>
      <c r="E5473">
        <v>0</v>
      </c>
      <c r="F5473">
        <v>1</v>
      </c>
      <c r="G5473">
        <v>0</v>
      </c>
      <c r="H5473">
        <v>0</v>
      </c>
      <c r="I5473">
        <v>0</v>
      </c>
      <c r="J5473">
        <v>10426.948575193501</v>
      </c>
      <c r="K5473">
        <v>9007.43726064361</v>
      </c>
      <c r="L5473">
        <v>55.718000000000004</v>
      </c>
      <c r="M5473">
        <v>76.028000000000006</v>
      </c>
      <c r="N5473">
        <v>7.4009999999999998</v>
      </c>
    </row>
    <row r="5474" spans="1:14" x14ac:dyDescent="0.45">
      <c r="A5474">
        <v>2006</v>
      </c>
      <c r="B5474" t="s">
        <v>76</v>
      </c>
      <c r="C5474">
        <v>1</v>
      </c>
      <c r="D5474">
        <v>0</v>
      </c>
      <c r="E5474">
        <v>0</v>
      </c>
      <c r="F5474">
        <v>1</v>
      </c>
      <c r="G5474">
        <v>0</v>
      </c>
      <c r="H5474">
        <v>0</v>
      </c>
      <c r="I5474">
        <v>0</v>
      </c>
      <c r="J5474">
        <v>18349.8718998326</v>
      </c>
      <c r="K5474">
        <v>13248.5170151361</v>
      </c>
      <c r="L5474">
        <v>27.184000000000001</v>
      </c>
      <c r="M5474">
        <v>69.436000000000007</v>
      </c>
      <c r="N5474">
        <v>7.9269999999999996</v>
      </c>
    </row>
    <row r="5475" spans="1:14" x14ac:dyDescent="0.45">
      <c r="A5475">
        <v>2006</v>
      </c>
      <c r="B5475" t="s">
        <v>77</v>
      </c>
      <c r="C5475">
        <v>0</v>
      </c>
      <c r="D5475">
        <v>1</v>
      </c>
      <c r="E5475">
        <v>0</v>
      </c>
      <c r="F5475">
        <v>0</v>
      </c>
      <c r="G5475">
        <v>1</v>
      </c>
      <c r="H5475">
        <v>0</v>
      </c>
      <c r="I5475">
        <v>0</v>
      </c>
      <c r="J5475">
        <v>12900.1113839766</v>
      </c>
      <c r="K5475">
        <v>10166.489767840099</v>
      </c>
      <c r="L5475">
        <v>54.704000000000001</v>
      </c>
      <c r="M5475">
        <v>70.534999999999997</v>
      </c>
      <c r="N5475">
        <v>20.474</v>
      </c>
    </row>
    <row r="5476" spans="1:14" x14ac:dyDescent="0.45">
      <c r="A5476">
        <v>2006</v>
      </c>
      <c r="B5476" t="s">
        <v>78</v>
      </c>
      <c r="C5476">
        <v>0</v>
      </c>
      <c r="D5476">
        <v>0</v>
      </c>
      <c r="E5476">
        <v>0</v>
      </c>
      <c r="F5476">
        <v>0</v>
      </c>
      <c r="G5476">
        <v>0</v>
      </c>
      <c r="H5476">
        <v>1</v>
      </c>
      <c r="I5476">
        <v>1</v>
      </c>
      <c r="J5476">
        <v>115170.899920201</v>
      </c>
      <c r="K5476">
        <v>102325.18901132001</v>
      </c>
      <c r="L5476">
        <v>0</v>
      </c>
      <c r="M5476">
        <v>78.87</v>
      </c>
      <c r="N5476">
        <v>4.8470000000000004</v>
      </c>
    </row>
    <row r="5477" spans="1:14" x14ac:dyDescent="0.45">
      <c r="A5477">
        <v>2006</v>
      </c>
      <c r="B5477" t="s">
        <v>79</v>
      </c>
      <c r="C5477">
        <v>0</v>
      </c>
      <c r="D5477">
        <v>1</v>
      </c>
      <c r="E5477">
        <v>0</v>
      </c>
      <c r="F5477">
        <v>1</v>
      </c>
      <c r="G5477">
        <v>0</v>
      </c>
      <c r="H5477">
        <v>0</v>
      </c>
      <c r="I5477">
        <v>0</v>
      </c>
      <c r="J5477">
        <v>6778.3849253532699</v>
      </c>
      <c r="K5477">
        <v>5982.2650577001496</v>
      </c>
      <c r="L5477">
        <v>35.372</v>
      </c>
      <c r="M5477">
        <v>64.528999999999996</v>
      </c>
      <c r="N5477">
        <v>74.177999999999997</v>
      </c>
    </row>
    <row r="5478" spans="1:14" x14ac:dyDescent="0.45">
      <c r="A5478">
        <v>2006</v>
      </c>
      <c r="B5478" t="s">
        <v>80</v>
      </c>
      <c r="C5478">
        <v>0</v>
      </c>
      <c r="D5478">
        <v>1</v>
      </c>
      <c r="E5478">
        <v>0</v>
      </c>
      <c r="F5478">
        <v>0</v>
      </c>
      <c r="G5478">
        <v>1</v>
      </c>
      <c r="H5478">
        <v>0</v>
      </c>
      <c r="I5478">
        <v>0</v>
      </c>
      <c r="J5478">
        <v>15657.479571698301</v>
      </c>
      <c r="K5478">
        <v>12861.196851197899</v>
      </c>
      <c r="L5478">
        <v>16.856999999999999</v>
      </c>
      <c r="M5478">
        <v>72.296000000000006</v>
      </c>
      <c r="N5478">
        <v>23.318000000000001</v>
      </c>
    </row>
    <row r="5479" spans="1:14" x14ac:dyDescent="0.45">
      <c r="A5479">
        <v>2006</v>
      </c>
      <c r="B5479" t="s">
        <v>81</v>
      </c>
      <c r="C5479">
        <v>0</v>
      </c>
      <c r="D5479">
        <v>1</v>
      </c>
      <c r="E5479">
        <v>0</v>
      </c>
      <c r="F5479">
        <v>0</v>
      </c>
      <c r="G5479">
        <v>0</v>
      </c>
      <c r="H5479">
        <v>1</v>
      </c>
      <c r="I5479">
        <v>1</v>
      </c>
      <c r="J5479">
        <v>20571.810508697101</v>
      </c>
      <c r="K5479">
        <v>19648.127359210201</v>
      </c>
      <c r="L5479">
        <v>67.353999999999999</v>
      </c>
      <c r="M5479">
        <v>75.049000000000007</v>
      </c>
      <c r="N5479">
        <v>15.111000000000001</v>
      </c>
    </row>
    <row r="5480" spans="1:14" x14ac:dyDescent="0.45">
      <c r="A5480">
        <v>2006</v>
      </c>
      <c r="B5480" t="s">
        <v>82</v>
      </c>
      <c r="C5480">
        <v>0</v>
      </c>
      <c r="D5480">
        <v>0</v>
      </c>
      <c r="E5480">
        <v>0</v>
      </c>
      <c r="F5480">
        <v>0</v>
      </c>
      <c r="G5480">
        <v>0</v>
      </c>
      <c r="H5480">
        <v>1</v>
      </c>
      <c r="I5480">
        <v>1</v>
      </c>
      <c r="J5480">
        <v>102248.51037260301</v>
      </c>
      <c r="K5480">
        <v>79836.094333825604</v>
      </c>
      <c r="L5480">
        <v>26.471</v>
      </c>
      <c r="M5480">
        <v>74.753</v>
      </c>
      <c r="N5480">
        <v>9.593</v>
      </c>
    </row>
    <row r="5481" spans="1:14" x14ac:dyDescent="0.45">
      <c r="A5481">
        <v>2006</v>
      </c>
      <c r="B5481" t="s">
        <v>83</v>
      </c>
      <c r="C5481">
        <v>0</v>
      </c>
      <c r="D5481">
        <v>0</v>
      </c>
      <c r="E5481">
        <v>0</v>
      </c>
      <c r="F5481">
        <v>1</v>
      </c>
      <c r="G5481">
        <v>0</v>
      </c>
      <c r="H5481">
        <v>0</v>
      </c>
      <c r="I5481">
        <v>0</v>
      </c>
      <c r="J5481">
        <v>7140.8560914837599</v>
      </c>
      <c r="K5481">
        <v>6184.8844149701999</v>
      </c>
      <c r="L5481">
        <v>68.287999999999997</v>
      </c>
      <c r="M5481">
        <v>66.498999999999995</v>
      </c>
      <c r="N5481">
        <v>52.947000000000003</v>
      </c>
    </row>
    <row r="5482" spans="1:14" x14ac:dyDescent="0.45">
      <c r="A5482">
        <v>2006</v>
      </c>
      <c r="B5482" t="s">
        <v>84</v>
      </c>
      <c r="C5482">
        <v>0</v>
      </c>
      <c r="D5482">
        <v>0</v>
      </c>
      <c r="E5482">
        <v>1</v>
      </c>
      <c r="F5482">
        <v>0</v>
      </c>
      <c r="G5482">
        <v>1</v>
      </c>
      <c r="H5482">
        <v>0</v>
      </c>
      <c r="I5482">
        <v>0</v>
      </c>
      <c r="J5482">
        <v>15275.582879735501</v>
      </c>
      <c r="K5482">
        <v>13821.140175820001</v>
      </c>
      <c r="L5482">
        <v>43.6</v>
      </c>
      <c r="M5482">
        <v>55.112000000000002</v>
      </c>
      <c r="N5482">
        <v>68.798000000000002</v>
      </c>
    </row>
    <row r="5483" spans="1:14" x14ac:dyDescent="0.45">
      <c r="A5483">
        <v>2006</v>
      </c>
      <c r="B5483" t="s">
        <v>85</v>
      </c>
      <c r="C5483">
        <v>0</v>
      </c>
      <c r="D5483">
        <v>0</v>
      </c>
      <c r="E5483">
        <v>1</v>
      </c>
      <c r="F5483">
        <v>0</v>
      </c>
      <c r="G5483">
        <v>0</v>
      </c>
      <c r="H5483">
        <v>0</v>
      </c>
      <c r="I5483">
        <v>0</v>
      </c>
      <c r="J5483">
        <v>1251.8708217133501</v>
      </c>
      <c r="K5483">
        <v>1002.31077870306</v>
      </c>
      <c r="L5483">
        <v>61.807000000000002</v>
      </c>
      <c r="M5483">
        <v>48.686999999999998</v>
      </c>
      <c r="N5483">
        <v>144.089</v>
      </c>
    </row>
    <row r="5484" spans="1:14" x14ac:dyDescent="0.45">
      <c r="A5484">
        <v>2006</v>
      </c>
      <c r="B5484" t="s">
        <v>86</v>
      </c>
      <c r="C5484">
        <v>0</v>
      </c>
      <c r="D5484">
        <v>0</v>
      </c>
      <c r="E5484">
        <v>0</v>
      </c>
      <c r="F5484">
        <v>0</v>
      </c>
      <c r="G5484">
        <v>0</v>
      </c>
      <c r="H5484">
        <v>1</v>
      </c>
      <c r="I5484">
        <v>1</v>
      </c>
      <c r="J5484">
        <v>53195.781842154996</v>
      </c>
      <c r="K5484">
        <v>46047.150511469903</v>
      </c>
      <c r="L5484">
        <v>19.786999999999999</v>
      </c>
      <c r="M5484">
        <v>80.540000000000006</v>
      </c>
      <c r="N5484">
        <v>5.907</v>
      </c>
    </row>
    <row r="5485" spans="1:14" x14ac:dyDescent="0.45">
      <c r="A5485">
        <v>2006</v>
      </c>
      <c r="B5485" t="s">
        <v>87</v>
      </c>
      <c r="C5485">
        <v>1</v>
      </c>
      <c r="D5485">
        <v>0</v>
      </c>
      <c r="E5485">
        <v>0</v>
      </c>
      <c r="F5485">
        <v>0</v>
      </c>
      <c r="G5485">
        <v>0</v>
      </c>
      <c r="H5485">
        <v>1</v>
      </c>
      <c r="I5485">
        <v>1</v>
      </c>
      <c r="J5485">
        <v>72077.859847030806</v>
      </c>
      <c r="K5485">
        <v>62705.352401354801</v>
      </c>
      <c r="L5485">
        <v>26.495999999999999</v>
      </c>
      <c r="M5485">
        <v>81.549000000000007</v>
      </c>
      <c r="N5485">
        <v>5.149</v>
      </c>
    </row>
    <row r="5486" spans="1:14" x14ac:dyDescent="0.45">
      <c r="A5486">
        <v>2006</v>
      </c>
      <c r="B5486" t="s">
        <v>88</v>
      </c>
      <c r="C5486">
        <v>1</v>
      </c>
      <c r="D5486">
        <v>0</v>
      </c>
      <c r="E5486">
        <v>0</v>
      </c>
      <c r="F5486">
        <v>0</v>
      </c>
      <c r="G5486">
        <v>0</v>
      </c>
      <c r="H5486">
        <v>1</v>
      </c>
      <c r="I5486">
        <v>1</v>
      </c>
      <c r="L5486">
        <v>69.194999999999993</v>
      </c>
      <c r="M5486">
        <v>80.4025383817293</v>
      </c>
      <c r="N5486">
        <v>9.3729527409962792</v>
      </c>
    </row>
    <row r="5487" spans="1:14" x14ac:dyDescent="0.45">
      <c r="A5487">
        <v>2006</v>
      </c>
      <c r="B5487" t="s">
        <v>89</v>
      </c>
      <c r="C5487">
        <v>0</v>
      </c>
      <c r="D5487">
        <v>1</v>
      </c>
      <c r="E5487">
        <v>0</v>
      </c>
      <c r="F5487">
        <v>0</v>
      </c>
      <c r="G5487">
        <v>1</v>
      </c>
      <c r="H5487">
        <v>0</v>
      </c>
      <c r="I5487">
        <v>0</v>
      </c>
      <c r="J5487">
        <v>21968.537535585401</v>
      </c>
      <c r="K5487">
        <v>19136.396449312</v>
      </c>
      <c r="L5487">
        <v>13.157999999999999</v>
      </c>
      <c r="M5487">
        <v>78.533000000000001</v>
      </c>
      <c r="N5487">
        <v>9.5589999999999993</v>
      </c>
    </row>
    <row r="5488" spans="1:14" x14ac:dyDescent="0.45">
      <c r="A5488">
        <v>2006</v>
      </c>
      <c r="B5488" t="s">
        <v>90</v>
      </c>
      <c r="C5488">
        <v>0</v>
      </c>
      <c r="D5488">
        <v>0</v>
      </c>
      <c r="E5488">
        <v>0</v>
      </c>
      <c r="F5488">
        <v>1</v>
      </c>
      <c r="G5488">
        <v>0</v>
      </c>
      <c r="H5488">
        <v>0</v>
      </c>
      <c r="I5488">
        <v>0</v>
      </c>
      <c r="J5488">
        <v>7057.09993331646</v>
      </c>
      <c r="K5488">
        <v>6326.23314576147</v>
      </c>
      <c r="L5488">
        <v>56.131999999999998</v>
      </c>
      <c r="M5488">
        <v>74.403999999999996</v>
      </c>
      <c r="N5488">
        <v>22.196000000000002</v>
      </c>
    </row>
    <row r="5489" spans="1:14" x14ac:dyDescent="0.45">
      <c r="A5489">
        <v>2006</v>
      </c>
      <c r="B5489" t="s">
        <v>91</v>
      </c>
      <c r="C5489">
        <v>0</v>
      </c>
      <c r="D5489">
        <v>0</v>
      </c>
      <c r="E5489">
        <v>1</v>
      </c>
      <c r="F5489">
        <v>0</v>
      </c>
      <c r="G5489">
        <v>0</v>
      </c>
      <c r="H5489">
        <v>0</v>
      </c>
      <c r="I5489">
        <v>0</v>
      </c>
      <c r="J5489">
        <v>4049.2603296249599</v>
      </c>
      <c r="K5489">
        <v>3418.17206205608</v>
      </c>
      <c r="L5489">
        <v>54.347999999999999</v>
      </c>
      <c r="M5489">
        <v>52.884999999999998</v>
      </c>
      <c r="N5489">
        <v>117.82599999999999</v>
      </c>
    </row>
    <row r="5490" spans="1:14" x14ac:dyDescent="0.45">
      <c r="A5490">
        <v>2006</v>
      </c>
      <c r="B5490" t="s">
        <v>92</v>
      </c>
      <c r="C5490">
        <v>0</v>
      </c>
      <c r="D5490">
        <v>0</v>
      </c>
      <c r="E5490">
        <v>1</v>
      </c>
      <c r="F5490">
        <v>1</v>
      </c>
      <c r="G5490">
        <v>0</v>
      </c>
      <c r="H5490">
        <v>0</v>
      </c>
      <c r="I5490">
        <v>0</v>
      </c>
      <c r="J5490">
        <v>4241.5174472282097</v>
      </c>
      <c r="K5490">
        <v>3330.4927937498801</v>
      </c>
      <c r="L5490">
        <v>50.856999999999999</v>
      </c>
      <c r="M5490">
        <v>55.301000000000002</v>
      </c>
      <c r="N5490">
        <v>124.364</v>
      </c>
    </row>
    <row r="5491" spans="1:14" x14ac:dyDescent="0.45">
      <c r="A5491">
        <v>2006</v>
      </c>
      <c r="B5491" t="s">
        <v>93</v>
      </c>
      <c r="C5491">
        <v>0</v>
      </c>
      <c r="D5491">
        <v>0</v>
      </c>
      <c r="E5491">
        <v>1</v>
      </c>
      <c r="F5491">
        <v>0</v>
      </c>
      <c r="G5491">
        <v>0</v>
      </c>
      <c r="H5491">
        <v>0</v>
      </c>
      <c r="I5491">
        <v>0</v>
      </c>
      <c r="J5491">
        <v>938.04116408318998</v>
      </c>
      <c r="K5491">
        <v>750.96247004137501</v>
      </c>
      <c r="L5491">
        <v>62.029000000000003</v>
      </c>
      <c r="M5491">
        <v>54.497999999999998</v>
      </c>
      <c r="N5491">
        <v>131.22300000000001</v>
      </c>
    </row>
    <row r="5492" spans="1:14" x14ac:dyDescent="0.45">
      <c r="A5492">
        <v>2006</v>
      </c>
      <c r="B5492" t="s">
        <v>94</v>
      </c>
      <c r="C5492">
        <v>0</v>
      </c>
      <c r="D5492">
        <v>0</v>
      </c>
      <c r="E5492">
        <v>1</v>
      </c>
      <c r="F5492">
        <v>1</v>
      </c>
      <c r="G5492">
        <v>0</v>
      </c>
      <c r="H5492">
        <v>0</v>
      </c>
      <c r="I5492">
        <v>0</v>
      </c>
      <c r="J5492">
        <v>8192.5797971902302</v>
      </c>
      <c r="K5492">
        <v>4938.85750192873</v>
      </c>
      <c r="L5492">
        <v>38.558999999999997</v>
      </c>
      <c r="M5492">
        <v>59.473999999999997</v>
      </c>
      <c r="N5492">
        <v>80.046999999999997</v>
      </c>
    </row>
    <row r="5493" spans="1:14" x14ac:dyDescent="0.45">
      <c r="A5493">
        <v>2006</v>
      </c>
      <c r="B5493" t="s">
        <v>95</v>
      </c>
      <c r="C5493">
        <v>0</v>
      </c>
      <c r="D5493">
        <v>1</v>
      </c>
      <c r="E5493">
        <v>0</v>
      </c>
      <c r="F5493">
        <v>1</v>
      </c>
      <c r="G5493">
        <v>0</v>
      </c>
      <c r="H5493">
        <v>0</v>
      </c>
      <c r="I5493">
        <v>0</v>
      </c>
      <c r="J5493">
        <v>12636.6246577724</v>
      </c>
      <c r="K5493">
        <v>10521.373545005399</v>
      </c>
      <c r="L5493">
        <v>23.577000000000002</v>
      </c>
      <c r="M5493">
        <v>73.497</v>
      </c>
      <c r="N5493">
        <v>20.898</v>
      </c>
    </row>
    <row r="5494" spans="1:14" x14ac:dyDescent="0.45">
      <c r="A5494">
        <v>2006</v>
      </c>
      <c r="B5494" t="s">
        <v>96</v>
      </c>
      <c r="C5494">
        <v>0</v>
      </c>
      <c r="D5494">
        <v>0</v>
      </c>
      <c r="E5494">
        <v>1</v>
      </c>
      <c r="F5494">
        <v>0</v>
      </c>
      <c r="G5494">
        <v>0</v>
      </c>
      <c r="H5494">
        <v>0</v>
      </c>
      <c r="I5494">
        <v>0</v>
      </c>
      <c r="J5494">
        <v>2455.7154241417202</v>
      </c>
      <c r="K5494">
        <v>2539.523150172</v>
      </c>
      <c r="L5494">
        <v>72.137</v>
      </c>
      <c r="M5494">
        <v>61.228999999999999</v>
      </c>
      <c r="N5494">
        <v>82.013000000000005</v>
      </c>
    </row>
    <row r="5495" spans="1:14" x14ac:dyDescent="0.45">
      <c r="A5495">
        <v>2006</v>
      </c>
      <c r="B5495" t="s">
        <v>97</v>
      </c>
      <c r="C5495">
        <v>0</v>
      </c>
      <c r="D5495">
        <v>0</v>
      </c>
      <c r="E5495">
        <v>1</v>
      </c>
      <c r="F5495">
        <v>1</v>
      </c>
      <c r="G5495">
        <v>0</v>
      </c>
      <c r="H5495">
        <v>0</v>
      </c>
      <c r="I5495">
        <v>0</v>
      </c>
      <c r="J5495">
        <v>5941.3821809151104</v>
      </c>
      <c r="K5495">
        <v>5725.7938196353798</v>
      </c>
      <c r="L5495">
        <v>41.470999999999997</v>
      </c>
      <c r="M5495">
        <v>71.340999999999994</v>
      </c>
      <c r="N5495">
        <v>27.053000000000001</v>
      </c>
    </row>
    <row r="5496" spans="1:14" x14ac:dyDescent="0.45">
      <c r="A5496">
        <v>2006</v>
      </c>
      <c r="B5496" t="s">
        <v>98</v>
      </c>
      <c r="C5496">
        <v>0</v>
      </c>
      <c r="D5496">
        <v>1</v>
      </c>
      <c r="E5496">
        <v>0</v>
      </c>
      <c r="F5496">
        <v>0</v>
      </c>
      <c r="G5496">
        <v>1</v>
      </c>
      <c r="H5496">
        <v>0</v>
      </c>
      <c r="I5496">
        <v>0</v>
      </c>
      <c r="J5496">
        <v>16620.135643216599</v>
      </c>
      <c r="K5496">
        <v>14880.9122750486</v>
      </c>
      <c r="L5496">
        <v>33.064999999999998</v>
      </c>
      <c r="M5496">
        <v>79.049000000000007</v>
      </c>
      <c r="N5496">
        <v>11.21</v>
      </c>
    </row>
    <row r="5497" spans="1:14" x14ac:dyDescent="0.45">
      <c r="A5497">
        <v>2006</v>
      </c>
      <c r="B5497" t="s">
        <v>99</v>
      </c>
      <c r="C5497">
        <v>0</v>
      </c>
      <c r="D5497">
        <v>1</v>
      </c>
      <c r="E5497">
        <v>0</v>
      </c>
      <c r="F5497">
        <v>1</v>
      </c>
      <c r="G5497">
        <v>0</v>
      </c>
      <c r="H5497">
        <v>0</v>
      </c>
      <c r="I5497">
        <v>0</v>
      </c>
      <c r="L5497">
        <v>23.773</v>
      </c>
      <c r="M5497">
        <v>77.406000000000006</v>
      </c>
      <c r="N5497">
        <v>6.923</v>
      </c>
    </row>
    <row r="5498" spans="1:14" x14ac:dyDescent="0.45">
      <c r="A5498">
        <v>2006</v>
      </c>
      <c r="B5498" t="s">
        <v>100</v>
      </c>
      <c r="C5498">
        <v>0</v>
      </c>
      <c r="D5498">
        <v>1</v>
      </c>
      <c r="E5498">
        <v>0</v>
      </c>
      <c r="F5498">
        <v>0</v>
      </c>
      <c r="G5498">
        <v>0</v>
      </c>
      <c r="H5498">
        <v>1</v>
      </c>
      <c r="I5498">
        <v>1</v>
      </c>
      <c r="J5498">
        <v>33334.856349742702</v>
      </c>
      <c r="K5498">
        <v>27271.6595266763</v>
      </c>
      <c r="L5498">
        <v>9.5890000000000004</v>
      </c>
      <c r="M5498">
        <v>73.977999999999994</v>
      </c>
      <c r="N5498">
        <v>15.815</v>
      </c>
    </row>
    <row r="5499" spans="1:14" x14ac:dyDescent="0.45">
      <c r="A5499">
        <v>2006</v>
      </c>
      <c r="B5499" t="s">
        <v>101</v>
      </c>
      <c r="C5499">
        <v>0</v>
      </c>
      <c r="D5499">
        <v>1</v>
      </c>
      <c r="E5499">
        <v>0</v>
      </c>
      <c r="F5499">
        <v>0</v>
      </c>
      <c r="G5499">
        <v>0</v>
      </c>
      <c r="H5499">
        <v>1</v>
      </c>
      <c r="I5499">
        <v>1</v>
      </c>
      <c r="J5499">
        <v>92169.884857511002</v>
      </c>
      <c r="K5499">
        <v>84077.025354651603</v>
      </c>
      <c r="L5499">
        <v>0</v>
      </c>
      <c r="M5499">
        <v>75</v>
      </c>
      <c r="N5499">
        <v>5.649</v>
      </c>
    </row>
    <row r="5500" spans="1:14" x14ac:dyDescent="0.45">
      <c r="A5500">
        <v>2006</v>
      </c>
      <c r="B5500" t="s">
        <v>102</v>
      </c>
      <c r="C5500">
        <v>1</v>
      </c>
      <c r="D5500">
        <v>0</v>
      </c>
      <c r="E5500">
        <v>0</v>
      </c>
      <c r="F5500">
        <v>0</v>
      </c>
      <c r="G5500">
        <v>0</v>
      </c>
      <c r="H5500">
        <v>1</v>
      </c>
      <c r="I5500">
        <v>1</v>
      </c>
      <c r="J5500">
        <v>42596.42578125</v>
      </c>
      <c r="K5500">
        <v>37946.691621465798</v>
      </c>
      <c r="L5500">
        <v>31.875</v>
      </c>
      <c r="M5500">
        <v>79.456000000000003</v>
      </c>
      <c r="N5500">
        <v>4.3739999999999997</v>
      </c>
    </row>
    <row r="5501" spans="1:14" x14ac:dyDescent="0.45">
      <c r="A5501">
        <v>2006</v>
      </c>
      <c r="B5501" t="s">
        <v>103</v>
      </c>
      <c r="C5501">
        <v>1</v>
      </c>
      <c r="D5501">
        <v>0</v>
      </c>
      <c r="E5501">
        <v>0</v>
      </c>
      <c r="F5501">
        <v>0</v>
      </c>
      <c r="G5501">
        <v>0</v>
      </c>
      <c r="H5501">
        <v>1</v>
      </c>
      <c r="I5501">
        <v>1</v>
      </c>
      <c r="J5501">
        <v>37786.878174090503</v>
      </c>
      <c r="K5501">
        <v>31461.4508592366</v>
      </c>
      <c r="L5501">
        <v>26.466999999999999</v>
      </c>
      <c r="M5501">
        <v>76.707999999999998</v>
      </c>
      <c r="N5501">
        <v>4.181</v>
      </c>
    </row>
    <row r="5502" spans="1:14" x14ac:dyDescent="0.45">
      <c r="A5502">
        <v>2006</v>
      </c>
      <c r="B5502" t="s">
        <v>104</v>
      </c>
      <c r="C5502">
        <v>1</v>
      </c>
      <c r="D5502">
        <v>0</v>
      </c>
      <c r="E5502">
        <v>0</v>
      </c>
      <c r="F5502">
        <v>0</v>
      </c>
      <c r="G5502">
        <v>0</v>
      </c>
      <c r="H5502">
        <v>1</v>
      </c>
      <c r="I5502">
        <v>1</v>
      </c>
      <c r="J5502">
        <v>53326.976936094798</v>
      </c>
      <c r="K5502">
        <v>46237.269101768899</v>
      </c>
      <c r="L5502">
        <v>23.821000000000002</v>
      </c>
      <c r="M5502">
        <v>79.585999999999999</v>
      </c>
      <c r="N5502">
        <v>4.5250000000000004</v>
      </c>
    </row>
    <row r="5503" spans="1:14" x14ac:dyDescent="0.45">
      <c r="A5503">
        <v>2006</v>
      </c>
      <c r="B5503" t="s">
        <v>105</v>
      </c>
      <c r="C5503">
        <v>0</v>
      </c>
      <c r="D5503">
        <v>0</v>
      </c>
      <c r="E5503">
        <v>0</v>
      </c>
      <c r="F5503">
        <v>1</v>
      </c>
      <c r="G5503">
        <v>0</v>
      </c>
      <c r="H5503">
        <v>0</v>
      </c>
      <c r="I5503">
        <v>0</v>
      </c>
      <c r="J5503">
        <v>3745.4921770061001</v>
      </c>
      <c r="K5503">
        <v>3230.67744303785</v>
      </c>
      <c r="L5503">
        <v>23.193000000000001</v>
      </c>
      <c r="M5503">
        <v>58.962000000000003</v>
      </c>
      <c r="N5503">
        <v>85.438999999999993</v>
      </c>
    </row>
    <row r="5504" spans="1:14" x14ac:dyDescent="0.45">
      <c r="A5504">
        <v>2006</v>
      </c>
      <c r="B5504" t="s">
        <v>106</v>
      </c>
      <c r="C5504">
        <v>0</v>
      </c>
      <c r="D5504">
        <v>1</v>
      </c>
      <c r="E5504">
        <v>0</v>
      </c>
      <c r="F5504">
        <v>0</v>
      </c>
      <c r="G5504">
        <v>1</v>
      </c>
      <c r="H5504">
        <v>0</v>
      </c>
      <c r="I5504">
        <v>0</v>
      </c>
      <c r="J5504">
        <v>15727.7053232323</v>
      </c>
      <c r="K5504">
        <v>12239.745854328899</v>
      </c>
      <c r="L5504">
        <v>33.097000000000001</v>
      </c>
      <c r="M5504">
        <v>72.007000000000005</v>
      </c>
      <c r="N5504">
        <v>20.425000000000001</v>
      </c>
    </row>
    <row r="5505" spans="1:14" x14ac:dyDescent="0.45">
      <c r="A5505">
        <v>2006</v>
      </c>
      <c r="B5505" t="s">
        <v>107</v>
      </c>
      <c r="C5505">
        <v>1</v>
      </c>
      <c r="D5505">
        <v>0</v>
      </c>
      <c r="E5505">
        <v>0</v>
      </c>
      <c r="F5505">
        <v>0</v>
      </c>
      <c r="G5505">
        <v>0</v>
      </c>
      <c r="H5505">
        <v>1</v>
      </c>
      <c r="I5505">
        <v>1</v>
      </c>
      <c r="J5505">
        <v>62743.232518822202</v>
      </c>
      <c r="K5505">
        <v>53027.260290088903</v>
      </c>
      <c r="L5505">
        <v>13.901999999999999</v>
      </c>
      <c r="M5505">
        <v>78.222999999999999</v>
      </c>
      <c r="N5505">
        <v>4.4619999999999997</v>
      </c>
    </row>
    <row r="5506" spans="1:14" x14ac:dyDescent="0.45">
      <c r="A5506">
        <v>2006</v>
      </c>
      <c r="B5506" t="s">
        <v>108</v>
      </c>
      <c r="C5506">
        <v>0</v>
      </c>
      <c r="D5506">
        <v>1</v>
      </c>
      <c r="E5506">
        <v>0</v>
      </c>
      <c r="F5506">
        <v>1</v>
      </c>
      <c r="G5506">
        <v>0</v>
      </c>
      <c r="H5506">
        <v>0</v>
      </c>
      <c r="I5506">
        <v>0</v>
      </c>
      <c r="J5506">
        <v>12961.918363213301</v>
      </c>
      <c r="K5506">
        <v>11196.829089659301</v>
      </c>
      <c r="L5506">
        <v>31.29</v>
      </c>
      <c r="M5506">
        <v>71.054000000000002</v>
      </c>
      <c r="N5506">
        <v>36.159999999999997</v>
      </c>
    </row>
    <row r="5507" spans="1:14" x14ac:dyDescent="0.45">
      <c r="A5507">
        <v>2006</v>
      </c>
      <c r="B5507" t="s">
        <v>109</v>
      </c>
      <c r="C5507">
        <v>0</v>
      </c>
      <c r="D5507">
        <v>0</v>
      </c>
      <c r="E5507">
        <v>0</v>
      </c>
      <c r="F5507">
        <v>1</v>
      </c>
      <c r="G5507">
        <v>0</v>
      </c>
      <c r="H5507">
        <v>0</v>
      </c>
      <c r="I5507">
        <v>0</v>
      </c>
      <c r="J5507">
        <v>13920.694055370101</v>
      </c>
      <c r="K5507">
        <v>12175.5140337875</v>
      </c>
      <c r="L5507">
        <v>35.406999999999996</v>
      </c>
      <c r="M5507">
        <v>73.116</v>
      </c>
      <c r="N5507">
        <v>32.463999999999999</v>
      </c>
    </row>
    <row r="5508" spans="1:14" x14ac:dyDescent="0.45">
      <c r="A5508">
        <v>2006</v>
      </c>
      <c r="B5508" t="s">
        <v>110</v>
      </c>
      <c r="C5508">
        <v>0</v>
      </c>
      <c r="D5508">
        <v>1</v>
      </c>
      <c r="E5508">
        <v>0</v>
      </c>
      <c r="F5508">
        <v>1</v>
      </c>
      <c r="G5508">
        <v>0</v>
      </c>
      <c r="H5508">
        <v>0</v>
      </c>
      <c r="I5508">
        <v>0</v>
      </c>
      <c r="J5508">
        <v>10933.489747028299</v>
      </c>
      <c r="K5508">
        <v>9093.9057831173195</v>
      </c>
      <c r="L5508">
        <v>38.093000000000004</v>
      </c>
      <c r="M5508">
        <v>74.010000000000005</v>
      </c>
      <c r="N5508">
        <v>22.486000000000001</v>
      </c>
    </row>
    <row r="5509" spans="1:14" x14ac:dyDescent="0.45">
      <c r="A5509">
        <v>2006</v>
      </c>
      <c r="B5509" t="s">
        <v>111</v>
      </c>
      <c r="C5509">
        <v>0</v>
      </c>
      <c r="D5509">
        <v>0</v>
      </c>
      <c r="E5509">
        <v>0</v>
      </c>
      <c r="F5509">
        <v>1</v>
      </c>
      <c r="G5509">
        <v>0</v>
      </c>
      <c r="H5509">
        <v>0</v>
      </c>
      <c r="I5509">
        <v>0</v>
      </c>
      <c r="J5509">
        <v>11211.832022950801</v>
      </c>
      <c r="K5509">
        <v>8897.5209894418203</v>
      </c>
      <c r="L5509">
        <v>56.927</v>
      </c>
      <c r="M5509">
        <v>68.492999999999995</v>
      </c>
      <c r="N5509">
        <v>34.273000000000003</v>
      </c>
    </row>
    <row r="5510" spans="1:14" x14ac:dyDescent="0.45">
      <c r="A5510">
        <v>2006</v>
      </c>
      <c r="B5510" t="s">
        <v>112</v>
      </c>
      <c r="C5510">
        <v>0</v>
      </c>
      <c r="D5510">
        <v>0</v>
      </c>
      <c r="E5510">
        <v>1</v>
      </c>
      <c r="F5510">
        <v>0</v>
      </c>
      <c r="G5510">
        <v>0</v>
      </c>
      <c r="H5510">
        <v>0</v>
      </c>
      <c r="I5510">
        <v>0</v>
      </c>
      <c r="L5510">
        <v>67.948999999999998</v>
      </c>
      <c r="M5510">
        <v>61.457000000000001</v>
      </c>
      <c r="N5510">
        <v>64.888999999999996</v>
      </c>
    </row>
    <row r="5511" spans="1:14" x14ac:dyDescent="0.45">
      <c r="A5511">
        <v>2006</v>
      </c>
      <c r="B5511" t="s">
        <v>113</v>
      </c>
      <c r="C5511">
        <v>1</v>
      </c>
      <c r="D5511">
        <v>0</v>
      </c>
      <c r="E5511">
        <v>0</v>
      </c>
      <c r="F5511">
        <v>0</v>
      </c>
      <c r="G5511">
        <v>0</v>
      </c>
      <c r="H5511">
        <v>1</v>
      </c>
      <c r="I5511">
        <v>1</v>
      </c>
      <c r="J5511">
        <v>44572.681545993102</v>
      </c>
      <c r="K5511">
        <v>39225.145220423503</v>
      </c>
      <c r="L5511">
        <v>22.498000000000001</v>
      </c>
      <c r="M5511">
        <v>80.962999999999994</v>
      </c>
      <c r="N5511">
        <v>4.2720000000000002</v>
      </c>
    </row>
    <row r="5512" spans="1:14" x14ac:dyDescent="0.45">
      <c r="A5512">
        <v>2006</v>
      </c>
      <c r="B5512" t="s">
        <v>114</v>
      </c>
      <c r="C5512">
        <v>1</v>
      </c>
      <c r="D5512">
        <v>0</v>
      </c>
      <c r="E5512">
        <v>0</v>
      </c>
      <c r="F5512">
        <v>0</v>
      </c>
      <c r="G5512">
        <v>0</v>
      </c>
      <c r="H5512">
        <v>1</v>
      </c>
      <c r="I5512">
        <v>1</v>
      </c>
      <c r="J5512">
        <v>33646.618508555403</v>
      </c>
      <c r="K5512">
        <v>28545.988821213501</v>
      </c>
      <c r="L5512">
        <v>31.393000000000001</v>
      </c>
      <c r="M5512">
        <v>73.2</v>
      </c>
      <c r="N5512">
        <v>5.9260000000000002</v>
      </c>
    </row>
    <row r="5513" spans="1:14" x14ac:dyDescent="0.45">
      <c r="A5513">
        <v>2006</v>
      </c>
      <c r="B5513" t="s">
        <v>115</v>
      </c>
      <c r="C5513">
        <v>0</v>
      </c>
      <c r="D5513">
        <v>0</v>
      </c>
      <c r="E5513">
        <v>1</v>
      </c>
      <c r="F5513">
        <v>0</v>
      </c>
      <c r="G5513">
        <v>0</v>
      </c>
      <c r="H5513">
        <v>0</v>
      </c>
      <c r="I5513">
        <v>0</v>
      </c>
      <c r="J5513">
        <v>1024.72911936948</v>
      </c>
      <c r="K5513">
        <v>924.19335831619901</v>
      </c>
      <c r="L5513">
        <v>84.100999999999999</v>
      </c>
      <c r="M5513">
        <v>55.402000000000001</v>
      </c>
      <c r="N5513">
        <v>103.73399999999999</v>
      </c>
    </row>
    <row r="5514" spans="1:14" x14ac:dyDescent="0.45">
      <c r="A5514">
        <v>2006</v>
      </c>
      <c r="B5514" t="s">
        <v>116</v>
      </c>
      <c r="C5514">
        <v>1</v>
      </c>
      <c r="D5514">
        <v>0</v>
      </c>
      <c r="E5514">
        <v>0</v>
      </c>
      <c r="F5514">
        <v>0</v>
      </c>
      <c r="G5514">
        <v>0</v>
      </c>
      <c r="H5514">
        <v>1</v>
      </c>
      <c r="I5514">
        <v>1</v>
      </c>
      <c r="J5514">
        <v>54653.981203281</v>
      </c>
      <c r="K5514">
        <v>45946.6625972162</v>
      </c>
      <c r="L5514">
        <v>16.963000000000001</v>
      </c>
      <c r="M5514">
        <v>79.373000000000005</v>
      </c>
      <c r="N5514">
        <v>3.343</v>
      </c>
    </row>
    <row r="5515" spans="1:14" x14ac:dyDescent="0.45">
      <c r="A5515">
        <v>2006</v>
      </c>
      <c r="B5515" t="s">
        <v>117</v>
      </c>
      <c r="C5515">
        <v>0</v>
      </c>
      <c r="D5515">
        <v>0</v>
      </c>
      <c r="E5515">
        <v>0</v>
      </c>
      <c r="F5515">
        <v>1</v>
      </c>
      <c r="G5515">
        <v>0</v>
      </c>
      <c r="H5515">
        <v>0</v>
      </c>
      <c r="I5515">
        <v>0</v>
      </c>
      <c r="J5515">
        <v>10222.1983556255</v>
      </c>
      <c r="K5515">
        <v>10010.6264273705</v>
      </c>
      <c r="L5515">
        <v>49.735999999999997</v>
      </c>
      <c r="M5515">
        <v>66.126000000000005</v>
      </c>
      <c r="N5515">
        <v>23.233000000000001</v>
      </c>
    </row>
    <row r="5516" spans="1:14" x14ac:dyDescent="0.45">
      <c r="A5516">
        <v>2006</v>
      </c>
      <c r="B5516" t="s">
        <v>118</v>
      </c>
      <c r="C5516">
        <v>1</v>
      </c>
      <c r="D5516">
        <v>0</v>
      </c>
      <c r="E5516">
        <v>0</v>
      </c>
      <c r="F5516">
        <v>0</v>
      </c>
      <c r="G5516">
        <v>0</v>
      </c>
      <c r="H5516">
        <v>1</v>
      </c>
      <c r="I5516">
        <v>1</v>
      </c>
      <c r="J5516">
        <v>49223.247197008001</v>
      </c>
      <c r="K5516">
        <v>41096.429416484003</v>
      </c>
      <c r="L5516">
        <v>22.623000000000001</v>
      </c>
      <c r="M5516">
        <v>80.745000000000005</v>
      </c>
      <c r="N5516">
        <v>4.6120000000000001</v>
      </c>
    </row>
    <row r="5517" spans="1:14" x14ac:dyDescent="0.45">
      <c r="A5517">
        <v>2006</v>
      </c>
      <c r="B5517" t="s">
        <v>119</v>
      </c>
      <c r="C5517">
        <v>1</v>
      </c>
      <c r="D5517">
        <v>0</v>
      </c>
      <c r="E5517">
        <v>0</v>
      </c>
      <c r="F5517">
        <v>0</v>
      </c>
      <c r="G5517">
        <v>0</v>
      </c>
      <c r="H5517">
        <v>1</v>
      </c>
      <c r="I5517">
        <v>1</v>
      </c>
      <c r="L5517">
        <v>59.853000000000002</v>
      </c>
      <c r="M5517">
        <v>78.388999999999996</v>
      </c>
      <c r="N5517">
        <v>8.7680000000000007</v>
      </c>
    </row>
    <row r="5518" spans="1:14" x14ac:dyDescent="0.45">
      <c r="A5518">
        <v>2006</v>
      </c>
      <c r="B5518" t="s">
        <v>120</v>
      </c>
      <c r="C5518">
        <v>0</v>
      </c>
      <c r="D5518">
        <v>0</v>
      </c>
      <c r="E5518">
        <v>0</v>
      </c>
      <c r="F5518">
        <v>1</v>
      </c>
      <c r="G5518">
        <v>0</v>
      </c>
      <c r="H5518">
        <v>0</v>
      </c>
      <c r="I5518">
        <v>0</v>
      </c>
      <c r="J5518">
        <v>3767.9449026735701</v>
      </c>
      <c r="K5518">
        <v>3410.51007800765</v>
      </c>
      <c r="L5518">
        <v>77.676000000000002</v>
      </c>
      <c r="M5518">
        <v>64.858999999999995</v>
      </c>
      <c r="N5518">
        <v>35.179000000000002</v>
      </c>
    </row>
    <row r="5519" spans="1:14" x14ac:dyDescent="0.45">
      <c r="A5519">
        <v>2006</v>
      </c>
      <c r="B5519" t="s">
        <v>121</v>
      </c>
      <c r="C5519">
        <v>0</v>
      </c>
      <c r="D5519">
        <v>0</v>
      </c>
      <c r="E5519">
        <v>1</v>
      </c>
      <c r="F5519">
        <v>0</v>
      </c>
      <c r="G5519">
        <v>1</v>
      </c>
      <c r="H5519">
        <v>0</v>
      </c>
      <c r="I5519">
        <v>0</v>
      </c>
      <c r="J5519">
        <v>19224.126865838702</v>
      </c>
      <c r="K5519">
        <v>14545.741775365401</v>
      </c>
      <c r="L5519">
        <v>16.893000000000001</v>
      </c>
      <c r="M5519">
        <v>63.259</v>
      </c>
      <c r="N5519">
        <v>71.171000000000006</v>
      </c>
    </row>
    <row r="5520" spans="1:14" x14ac:dyDescent="0.45">
      <c r="A5520">
        <v>2006</v>
      </c>
      <c r="B5520" t="s">
        <v>122</v>
      </c>
      <c r="C5520">
        <v>1</v>
      </c>
      <c r="D5520">
        <v>0</v>
      </c>
      <c r="E5520">
        <v>0</v>
      </c>
      <c r="F5520">
        <v>0</v>
      </c>
      <c r="G5520">
        <v>0</v>
      </c>
      <c r="H5520">
        <v>1</v>
      </c>
      <c r="I5520">
        <v>1</v>
      </c>
      <c r="J5520">
        <v>48584.435965586301</v>
      </c>
      <c r="K5520">
        <v>41856.956738607798</v>
      </c>
      <c r="L5520">
        <v>19.800999999999998</v>
      </c>
      <c r="M5520">
        <v>79.346999999999994</v>
      </c>
      <c r="N5520">
        <v>5.9539999999999997</v>
      </c>
    </row>
    <row r="5521" spans="1:14" x14ac:dyDescent="0.45">
      <c r="A5521">
        <v>2006</v>
      </c>
      <c r="B5521" t="s">
        <v>123</v>
      </c>
      <c r="C5521">
        <v>1</v>
      </c>
      <c r="D5521">
        <v>0</v>
      </c>
      <c r="E5521">
        <v>0</v>
      </c>
      <c r="F5521">
        <v>1</v>
      </c>
      <c r="G5521">
        <v>0</v>
      </c>
      <c r="H5521">
        <v>0</v>
      </c>
      <c r="I5521">
        <v>0</v>
      </c>
      <c r="J5521">
        <v>9337.9890642010105</v>
      </c>
      <c r="K5521">
        <v>7889.53323830929</v>
      </c>
      <c r="L5521">
        <v>46.008000000000003</v>
      </c>
      <c r="M5521">
        <v>70.983000000000004</v>
      </c>
      <c r="N5521">
        <v>21.123999999999999</v>
      </c>
    </row>
    <row r="5522" spans="1:14" x14ac:dyDescent="0.45">
      <c r="A5522">
        <v>2006</v>
      </c>
      <c r="B5522" t="s">
        <v>124</v>
      </c>
      <c r="C5522">
        <v>0</v>
      </c>
      <c r="D5522">
        <v>0</v>
      </c>
      <c r="E5522">
        <v>1</v>
      </c>
      <c r="F5522">
        <v>0</v>
      </c>
      <c r="G5522">
        <v>0</v>
      </c>
      <c r="H5522">
        <v>0</v>
      </c>
      <c r="I5522">
        <v>0</v>
      </c>
      <c r="J5522">
        <v>3857.8615484760498</v>
      </c>
      <c r="K5522">
        <v>3328.3419908287901</v>
      </c>
      <c r="L5522">
        <v>52.012</v>
      </c>
      <c r="M5522">
        <v>59.975000000000001</v>
      </c>
      <c r="N5522">
        <v>80.81</v>
      </c>
    </row>
    <row r="5523" spans="1:14" x14ac:dyDescent="0.45">
      <c r="A5523">
        <v>2006</v>
      </c>
      <c r="B5523" t="s">
        <v>125</v>
      </c>
      <c r="C5523">
        <v>1</v>
      </c>
      <c r="D5523">
        <v>0</v>
      </c>
      <c r="E5523">
        <v>0</v>
      </c>
      <c r="F5523">
        <v>0</v>
      </c>
      <c r="G5523">
        <v>0</v>
      </c>
      <c r="H5523">
        <v>1</v>
      </c>
      <c r="I5523">
        <v>1</v>
      </c>
      <c r="L5523">
        <v>0</v>
      </c>
      <c r="M5523">
        <v>81.102999999999994</v>
      </c>
      <c r="N5523">
        <v>13.52</v>
      </c>
    </row>
    <row r="5524" spans="1:14" x14ac:dyDescent="0.45">
      <c r="A5524">
        <v>2006</v>
      </c>
      <c r="B5524" t="s">
        <v>126</v>
      </c>
      <c r="C5524">
        <v>0</v>
      </c>
      <c r="D5524">
        <v>0</v>
      </c>
      <c r="E5524">
        <v>1</v>
      </c>
      <c r="F5524">
        <v>0</v>
      </c>
      <c r="G5524">
        <v>0</v>
      </c>
      <c r="H5524">
        <v>0</v>
      </c>
      <c r="I5524">
        <v>0</v>
      </c>
      <c r="J5524">
        <v>2478.6131951072598</v>
      </c>
      <c r="K5524">
        <v>1998.4210789378999</v>
      </c>
      <c r="L5524">
        <v>67.460999999999999</v>
      </c>
      <c r="M5524">
        <v>54.875</v>
      </c>
      <c r="N5524">
        <v>134.86600000000001</v>
      </c>
    </row>
    <row r="5525" spans="1:14" x14ac:dyDescent="0.45">
      <c r="A5525">
        <v>2006</v>
      </c>
      <c r="B5525" t="s">
        <v>127</v>
      </c>
      <c r="C5525">
        <v>0</v>
      </c>
      <c r="D5525">
        <v>0</v>
      </c>
      <c r="E5525">
        <v>1</v>
      </c>
      <c r="F5525">
        <v>0</v>
      </c>
      <c r="G5525">
        <v>0</v>
      </c>
      <c r="H5525">
        <v>0</v>
      </c>
      <c r="I5525">
        <v>0</v>
      </c>
      <c r="J5525">
        <v>2564.6865397051902</v>
      </c>
      <c r="K5525">
        <v>2064.3084125175301</v>
      </c>
      <c r="L5525">
        <v>47.249000000000002</v>
      </c>
      <c r="M5525">
        <v>59.667000000000002</v>
      </c>
      <c r="N5525">
        <v>87.34</v>
      </c>
    </row>
    <row r="5526" spans="1:14" x14ac:dyDescent="0.45">
      <c r="A5526">
        <v>2006</v>
      </c>
      <c r="B5526" t="s">
        <v>128</v>
      </c>
      <c r="C5526">
        <v>0</v>
      </c>
      <c r="D5526">
        <v>0</v>
      </c>
      <c r="E5526">
        <v>1</v>
      </c>
      <c r="F5526">
        <v>0</v>
      </c>
      <c r="G5526">
        <v>0</v>
      </c>
      <c r="H5526">
        <v>0</v>
      </c>
      <c r="I5526">
        <v>0</v>
      </c>
      <c r="J5526">
        <v>2040.17194018736</v>
      </c>
      <c r="K5526">
        <v>1835.33551247778</v>
      </c>
      <c r="L5526">
        <v>61.454999999999998</v>
      </c>
      <c r="M5526">
        <v>54.088999999999999</v>
      </c>
      <c r="N5526">
        <v>138.035</v>
      </c>
    </row>
    <row r="5527" spans="1:14" x14ac:dyDescent="0.45">
      <c r="A5527">
        <v>2006</v>
      </c>
      <c r="B5527" t="s">
        <v>129</v>
      </c>
      <c r="C5527">
        <v>0</v>
      </c>
      <c r="D5527">
        <v>0</v>
      </c>
      <c r="E5527">
        <v>1</v>
      </c>
      <c r="F5527">
        <v>0</v>
      </c>
      <c r="G5527">
        <v>1</v>
      </c>
      <c r="H5527">
        <v>0</v>
      </c>
      <c r="I5527">
        <v>0</v>
      </c>
      <c r="J5527">
        <v>32251.7680082519</v>
      </c>
      <c r="K5527">
        <v>26721.001278942698</v>
      </c>
      <c r="L5527">
        <v>40.569000000000003</v>
      </c>
      <c r="M5527">
        <v>56.353999999999999</v>
      </c>
      <c r="N5527">
        <v>128.40700000000001</v>
      </c>
    </row>
    <row r="5528" spans="1:14" x14ac:dyDescent="0.45">
      <c r="A5528">
        <v>2006</v>
      </c>
      <c r="B5528" t="s">
        <v>130</v>
      </c>
      <c r="C5528">
        <v>1</v>
      </c>
      <c r="D5528">
        <v>0</v>
      </c>
      <c r="E5528">
        <v>0</v>
      </c>
      <c r="F5528">
        <v>0</v>
      </c>
      <c r="G5528">
        <v>0</v>
      </c>
      <c r="H5528">
        <v>1</v>
      </c>
      <c r="I5528">
        <v>1</v>
      </c>
      <c r="J5528">
        <v>40483.156922533701</v>
      </c>
      <c r="K5528">
        <v>36240.283720709202</v>
      </c>
      <c r="L5528">
        <v>25.172999999999998</v>
      </c>
      <c r="M5528">
        <v>79.760000000000005</v>
      </c>
      <c r="N5528">
        <v>4.53</v>
      </c>
    </row>
    <row r="5529" spans="1:14" x14ac:dyDescent="0.45">
      <c r="A5529">
        <v>2006</v>
      </c>
      <c r="B5529" t="s">
        <v>131</v>
      </c>
      <c r="C5529">
        <v>0</v>
      </c>
      <c r="D5529">
        <v>1</v>
      </c>
      <c r="E5529">
        <v>0</v>
      </c>
      <c r="F5529">
        <v>0</v>
      </c>
      <c r="G5529">
        <v>1</v>
      </c>
      <c r="H5529">
        <v>0</v>
      </c>
      <c r="I5529">
        <v>0</v>
      </c>
      <c r="J5529">
        <v>13602.6854098528</v>
      </c>
      <c r="K5529">
        <v>12551.2668236634</v>
      </c>
      <c r="L5529">
        <v>64.111000000000004</v>
      </c>
      <c r="M5529">
        <v>73.930000000000007</v>
      </c>
      <c r="N5529">
        <v>14.462</v>
      </c>
    </row>
    <row r="5530" spans="1:14" x14ac:dyDescent="0.45">
      <c r="A5530">
        <v>2006</v>
      </c>
      <c r="B5530" t="s">
        <v>132</v>
      </c>
      <c r="C5530">
        <v>1</v>
      </c>
      <c r="D5530">
        <v>0</v>
      </c>
      <c r="E5530">
        <v>0</v>
      </c>
      <c r="F5530">
        <v>0</v>
      </c>
      <c r="G5530">
        <v>0</v>
      </c>
      <c r="H5530">
        <v>1</v>
      </c>
      <c r="I5530">
        <v>1</v>
      </c>
      <c r="J5530">
        <v>55243.7102798786</v>
      </c>
      <c r="K5530">
        <v>50004.848147514902</v>
      </c>
      <c r="L5530">
        <v>16.827999999999999</v>
      </c>
      <c r="M5530">
        <v>68.144000000000005</v>
      </c>
      <c r="N5530">
        <v>13.962</v>
      </c>
    </row>
    <row r="5531" spans="1:14" x14ac:dyDescent="0.45">
      <c r="A5531">
        <v>2006</v>
      </c>
      <c r="B5531" t="s">
        <v>133</v>
      </c>
      <c r="C5531">
        <v>0</v>
      </c>
      <c r="D5531">
        <v>1</v>
      </c>
      <c r="E5531">
        <v>0</v>
      </c>
      <c r="F5531">
        <v>1</v>
      </c>
      <c r="G5531">
        <v>0</v>
      </c>
      <c r="H5531">
        <v>0</v>
      </c>
      <c r="I5531">
        <v>0</v>
      </c>
      <c r="J5531">
        <v>9386.0008801367494</v>
      </c>
      <c r="K5531">
        <v>8153.3905067634496</v>
      </c>
      <c r="L5531">
        <v>52.79</v>
      </c>
      <c r="M5531">
        <v>68.790000000000006</v>
      </c>
      <c r="N5531">
        <v>40.905000000000001</v>
      </c>
    </row>
    <row r="5532" spans="1:14" x14ac:dyDescent="0.45">
      <c r="A5532">
        <v>2006</v>
      </c>
      <c r="B5532" t="s">
        <v>134</v>
      </c>
      <c r="C5532">
        <v>0</v>
      </c>
      <c r="D5532">
        <v>0</v>
      </c>
      <c r="E5532">
        <v>0</v>
      </c>
      <c r="F5532">
        <v>0</v>
      </c>
      <c r="G5532">
        <v>0</v>
      </c>
      <c r="H5532">
        <v>1</v>
      </c>
      <c r="I5532">
        <v>1</v>
      </c>
      <c r="L5532">
        <v>6.2729999999999997</v>
      </c>
      <c r="M5532">
        <v>76.477000000000004</v>
      </c>
      <c r="N5532">
        <v>10.427</v>
      </c>
    </row>
    <row r="5533" spans="1:14" x14ac:dyDescent="0.45">
      <c r="A5533">
        <v>2006</v>
      </c>
      <c r="B5533" t="s">
        <v>135</v>
      </c>
      <c r="C5533">
        <v>0</v>
      </c>
      <c r="D5533">
        <v>1</v>
      </c>
      <c r="E5533">
        <v>0</v>
      </c>
      <c r="F5533">
        <v>1</v>
      </c>
      <c r="G5533">
        <v>0</v>
      </c>
      <c r="H5533">
        <v>0</v>
      </c>
      <c r="I5533">
        <v>0</v>
      </c>
      <c r="J5533">
        <v>8702.3313349400105</v>
      </c>
      <c r="K5533">
        <v>8322.7281433872395</v>
      </c>
      <c r="L5533">
        <v>72.418000000000006</v>
      </c>
      <c r="M5533">
        <v>64.847999999999999</v>
      </c>
      <c r="N5533">
        <v>40.481999999999999</v>
      </c>
    </row>
    <row r="5534" spans="1:14" x14ac:dyDescent="0.45">
      <c r="A5534">
        <v>2006</v>
      </c>
      <c r="B5534" t="s">
        <v>136</v>
      </c>
      <c r="C5534">
        <v>0</v>
      </c>
      <c r="D5534">
        <v>0</v>
      </c>
      <c r="E5534">
        <v>0</v>
      </c>
      <c r="F5534">
        <v>0</v>
      </c>
      <c r="G5534">
        <v>0</v>
      </c>
      <c r="H5534">
        <v>1</v>
      </c>
      <c r="I5534">
        <v>1</v>
      </c>
      <c r="J5534">
        <v>50981.761068127198</v>
      </c>
      <c r="K5534">
        <v>46011.215143377201</v>
      </c>
      <c r="L5534">
        <v>0</v>
      </c>
      <c r="M5534">
        <v>81.947000000000003</v>
      </c>
      <c r="N5534">
        <v>3.5630000000000002</v>
      </c>
    </row>
    <row r="5535" spans="1:14" x14ac:dyDescent="0.45">
      <c r="A5535">
        <v>2006</v>
      </c>
      <c r="B5535" t="s">
        <v>137</v>
      </c>
      <c r="C5535">
        <v>0</v>
      </c>
      <c r="D5535">
        <v>1</v>
      </c>
      <c r="E5535">
        <v>0</v>
      </c>
      <c r="F5535">
        <v>1</v>
      </c>
      <c r="G5535">
        <v>0</v>
      </c>
      <c r="H5535">
        <v>0</v>
      </c>
      <c r="I5535">
        <v>0</v>
      </c>
      <c r="J5535">
        <v>5263.1502909957799</v>
      </c>
      <c r="K5535">
        <v>4849.8773743393003</v>
      </c>
      <c r="L5535">
        <v>50.755000000000003</v>
      </c>
      <c r="M5535">
        <v>69.364000000000004</v>
      </c>
      <c r="N5535">
        <v>28.742999999999999</v>
      </c>
    </row>
    <row r="5536" spans="1:14" x14ac:dyDescent="0.45">
      <c r="A5536">
        <v>2006</v>
      </c>
      <c r="B5536" t="s">
        <v>138</v>
      </c>
      <c r="C5536">
        <v>1</v>
      </c>
      <c r="D5536">
        <v>0</v>
      </c>
      <c r="E5536">
        <v>0</v>
      </c>
      <c r="F5536">
        <v>0</v>
      </c>
      <c r="G5536">
        <v>1</v>
      </c>
      <c r="H5536">
        <v>0</v>
      </c>
      <c r="I5536">
        <v>0</v>
      </c>
      <c r="J5536">
        <v>29039.343666604102</v>
      </c>
      <c r="K5536">
        <v>25043.795406351499</v>
      </c>
      <c r="L5536">
        <v>45.517000000000003</v>
      </c>
      <c r="M5536">
        <v>75.677000000000007</v>
      </c>
      <c r="N5536">
        <v>6.5049999999999999</v>
      </c>
    </row>
    <row r="5537" spans="1:14" x14ac:dyDescent="0.45">
      <c r="A5537">
        <v>2006</v>
      </c>
      <c r="B5537" t="s">
        <v>139</v>
      </c>
      <c r="C5537">
        <v>0</v>
      </c>
      <c r="D5537">
        <v>1</v>
      </c>
      <c r="E5537">
        <v>0</v>
      </c>
      <c r="F5537">
        <v>0</v>
      </c>
      <c r="G5537">
        <v>0</v>
      </c>
      <c r="H5537">
        <v>0</v>
      </c>
      <c r="I5537">
        <v>0</v>
      </c>
      <c r="J5537">
        <v>3164.8237294145301</v>
      </c>
      <c r="K5537">
        <v>3041.8885565394899</v>
      </c>
      <c r="L5537">
        <v>56.396000000000001</v>
      </c>
      <c r="M5537">
        <v>60.74</v>
      </c>
      <c r="N5537">
        <v>86.954999999999998</v>
      </c>
    </row>
    <row r="5538" spans="1:14" x14ac:dyDescent="0.45">
      <c r="A5538">
        <v>2006</v>
      </c>
      <c r="B5538" t="s">
        <v>140</v>
      </c>
      <c r="C5538">
        <v>1</v>
      </c>
      <c r="D5538">
        <v>0</v>
      </c>
      <c r="E5538">
        <v>0</v>
      </c>
      <c r="F5538">
        <v>0</v>
      </c>
      <c r="G5538">
        <v>1</v>
      </c>
      <c r="H5538">
        <v>0</v>
      </c>
      <c r="I5538">
        <v>0</v>
      </c>
      <c r="J5538">
        <v>28903.047540707801</v>
      </c>
      <c r="K5538">
        <v>25186.620849340001</v>
      </c>
      <c r="L5538">
        <v>33.104999999999997</v>
      </c>
      <c r="M5538">
        <v>73.343999999999994</v>
      </c>
      <c r="N5538">
        <v>7.1289999999999996</v>
      </c>
    </row>
    <row r="5539" spans="1:14" x14ac:dyDescent="0.45">
      <c r="A5539">
        <v>2006</v>
      </c>
      <c r="B5539" t="s">
        <v>141</v>
      </c>
      <c r="C5539">
        <v>0</v>
      </c>
      <c r="D5539">
        <v>0</v>
      </c>
      <c r="E5539">
        <v>0</v>
      </c>
      <c r="F5539">
        <v>1</v>
      </c>
      <c r="G5539">
        <v>0</v>
      </c>
      <c r="H5539">
        <v>0</v>
      </c>
      <c r="I5539">
        <v>0</v>
      </c>
      <c r="J5539">
        <v>7434.4878535222097</v>
      </c>
      <c r="K5539">
        <v>6749.3431967955603</v>
      </c>
      <c r="L5539">
        <v>53.262</v>
      </c>
      <c r="M5539">
        <v>67.664000000000001</v>
      </c>
      <c r="N5539">
        <v>40.070999999999998</v>
      </c>
    </row>
    <row r="5540" spans="1:14" x14ac:dyDescent="0.45">
      <c r="A5540">
        <v>2006</v>
      </c>
      <c r="B5540" t="s">
        <v>142</v>
      </c>
      <c r="C5540">
        <v>1</v>
      </c>
      <c r="D5540">
        <v>0</v>
      </c>
      <c r="E5540">
        <v>0</v>
      </c>
      <c r="F5540">
        <v>0</v>
      </c>
      <c r="G5540">
        <v>0</v>
      </c>
      <c r="H5540">
        <v>1</v>
      </c>
      <c r="I5540">
        <v>1</v>
      </c>
      <c r="L5540">
        <v>48.078000000000003</v>
      </c>
      <c r="M5540">
        <v>77.971000000000004</v>
      </c>
      <c r="N5540">
        <v>18.021999999999998</v>
      </c>
    </row>
    <row r="5541" spans="1:14" x14ac:dyDescent="0.45">
      <c r="A5541">
        <v>2006</v>
      </c>
      <c r="B5541" t="s">
        <v>143</v>
      </c>
      <c r="C5541">
        <v>0</v>
      </c>
      <c r="D5541">
        <v>0</v>
      </c>
      <c r="E5541">
        <v>0</v>
      </c>
      <c r="F5541">
        <v>0</v>
      </c>
      <c r="G5541">
        <v>0</v>
      </c>
      <c r="H5541">
        <v>0</v>
      </c>
      <c r="I5541">
        <v>0</v>
      </c>
      <c r="J5541">
        <v>4129.7783700923901</v>
      </c>
      <c r="K5541">
        <v>3463.5846054589401</v>
      </c>
      <c r="L5541">
        <v>70.430999999999997</v>
      </c>
      <c r="M5541">
        <v>65.373000000000005</v>
      </c>
      <c r="N5541">
        <v>70.575999999999993</v>
      </c>
    </row>
    <row r="5542" spans="1:14" x14ac:dyDescent="0.45">
      <c r="A5542">
        <v>2006</v>
      </c>
      <c r="B5542" t="s">
        <v>144</v>
      </c>
      <c r="C5542">
        <v>1</v>
      </c>
      <c r="D5542">
        <v>0</v>
      </c>
      <c r="E5542">
        <v>0</v>
      </c>
      <c r="F5542">
        <v>0</v>
      </c>
      <c r="G5542">
        <v>0</v>
      </c>
      <c r="H5542">
        <v>1</v>
      </c>
      <c r="I5542">
        <v>1</v>
      </c>
      <c r="J5542">
        <v>65171.503612724897</v>
      </c>
      <c r="K5542">
        <v>59921.797420661504</v>
      </c>
      <c r="L5542">
        <v>39.262</v>
      </c>
      <c r="M5542">
        <v>79.150000000000006</v>
      </c>
      <c r="N5542">
        <v>4.6779999999999999</v>
      </c>
    </row>
    <row r="5543" spans="1:14" x14ac:dyDescent="0.45">
      <c r="A5543">
        <v>2006</v>
      </c>
      <c r="B5543" t="s">
        <v>145</v>
      </c>
      <c r="C5543">
        <v>0</v>
      </c>
      <c r="D5543">
        <v>0</v>
      </c>
      <c r="E5543">
        <v>0</v>
      </c>
      <c r="F5543">
        <v>1</v>
      </c>
      <c r="G5543">
        <v>0</v>
      </c>
      <c r="H5543">
        <v>0</v>
      </c>
      <c r="I5543">
        <v>0</v>
      </c>
      <c r="J5543">
        <v>13416.8415056781</v>
      </c>
      <c r="K5543">
        <v>13383.2279158003</v>
      </c>
      <c r="L5543">
        <v>31.760999999999999</v>
      </c>
      <c r="M5543">
        <v>72.894999999999996</v>
      </c>
      <c r="N5543">
        <v>24.847000000000001</v>
      </c>
    </row>
    <row r="5544" spans="1:14" x14ac:dyDescent="0.45">
      <c r="A5544">
        <v>2006</v>
      </c>
      <c r="B5544" t="s">
        <v>146</v>
      </c>
      <c r="C5544">
        <v>0</v>
      </c>
      <c r="D5544">
        <v>0</v>
      </c>
      <c r="E5544">
        <v>0</v>
      </c>
      <c r="F5544">
        <v>1</v>
      </c>
      <c r="G5544">
        <v>0</v>
      </c>
      <c r="H5544">
        <v>0</v>
      </c>
      <c r="I5544">
        <v>0</v>
      </c>
      <c r="J5544">
        <v>10568.913765297701</v>
      </c>
      <c r="K5544">
        <v>7471.0464214695303</v>
      </c>
      <c r="L5544">
        <v>31.181000000000001</v>
      </c>
      <c r="M5544">
        <v>64.028999999999996</v>
      </c>
      <c r="N5544">
        <v>38.887</v>
      </c>
    </row>
    <row r="5545" spans="1:14" x14ac:dyDescent="0.45">
      <c r="A5545">
        <v>2006</v>
      </c>
      <c r="B5545" t="s">
        <v>147</v>
      </c>
      <c r="C5545">
        <v>1</v>
      </c>
      <c r="D5545">
        <v>0</v>
      </c>
      <c r="E5545">
        <v>0</v>
      </c>
      <c r="F5545">
        <v>0</v>
      </c>
      <c r="G5545">
        <v>0</v>
      </c>
      <c r="H5545">
        <v>1</v>
      </c>
      <c r="I5545">
        <v>1</v>
      </c>
      <c r="J5545">
        <v>57463.749543251302</v>
      </c>
      <c r="K5545">
        <v>49722.743815846901</v>
      </c>
      <c r="L5545">
        <v>6.8409999999999904</v>
      </c>
      <c r="M5545">
        <v>80.938000000000002</v>
      </c>
      <c r="N5545">
        <v>2.5569999999999999</v>
      </c>
    </row>
    <row r="5546" spans="1:14" x14ac:dyDescent="0.45">
      <c r="A5546">
        <v>2006</v>
      </c>
      <c r="B5546" t="s">
        <v>148</v>
      </c>
      <c r="C5546">
        <v>0</v>
      </c>
      <c r="D5546">
        <v>0</v>
      </c>
      <c r="E5546">
        <v>0</v>
      </c>
      <c r="F5546">
        <v>0</v>
      </c>
      <c r="G5546">
        <v>0</v>
      </c>
      <c r="H5546">
        <v>1</v>
      </c>
      <c r="I5546">
        <v>1</v>
      </c>
      <c r="J5546">
        <v>34770.026278633602</v>
      </c>
      <c r="K5546">
        <v>31893.7514640222</v>
      </c>
      <c r="L5546">
        <v>8.42</v>
      </c>
      <c r="M5546">
        <v>80.786000000000001</v>
      </c>
      <c r="N5546">
        <v>5.4279999999999999</v>
      </c>
    </row>
    <row r="5547" spans="1:14" x14ac:dyDescent="0.45">
      <c r="A5547">
        <v>2006</v>
      </c>
      <c r="B5547" t="s">
        <v>149</v>
      </c>
      <c r="C5547">
        <v>1</v>
      </c>
      <c r="D5547">
        <v>0</v>
      </c>
      <c r="E5547">
        <v>0</v>
      </c>
      <c r="F5547">
        <v>0</v>
      </c>
      <c r="G5547">
        <v>0</v>
      </c>
      <c r="H5547">
        <v>1</v>
      </c>
      <c r="I5547">
        <v>1</v>
      </c>
      <c r="J5547">
        <v>52304.240294981901</v>
      </c>
      <c r="K5547">
        <v>44551.031913202401</v>
      </c>
      <c r="L5547">
        <v>32.143999999999998</v>
      </c>
      <c r="M5547">
        <v>81.414000000000001</v>
      </c>
      <c r="N5547">
        <v>4.0810000000000004</v>
      </c>
    </row>
    <row r="5548" spans="1:14" x14ac:dyDescent="0.45">
      <c r="A5548">
        <v>2006</v>
      </c>
      <c r="B5548" t="s">
        <v>150</v>
      </c>
      <c r="C5548">
        <v>0</v>
      </c>
      <c r="D5548">
        <v>1</v>
      </c>
      <c r="E5548">
        <v>0</v>
      </c>
      <c r="F5548">
        <v>1</v>
      </c>
      <c r="G5548">
        <v>0</v>
      </c>
      <c r="H5548">
        <v>0</v>
      </c>
      <c r="I5548">
        <v>0</v>
      </c>
      <c r="J5548">
        <v>10359.3160533723</v>
      </c>
      <c r="K5548">
        <v>10209.4183819594</v>
      </c>
      <c r="L5548">
        <v>47.002000000000002</v>
      </c>
      <c r="M5548">
        <v>71.394999999999996</v>
      </c>
      <c r="N5548">
        <v>19.175999999999998</v>
      </c>
    </row>
    <row r="5549" spans="1:14" x14ac:dyDescent="0.45">
      <c r="A5549">
        <v>2006</v>
      </c>
      <c r="B5549" t="s">
        <v>151</v>
      </c>
      <c r="C5549">
        <v>0</v>
      </c>
      <c r="D5549">
        <v>0</v>
      </c>
      <c r="E5549">
        <v>0</v>
      </c>
      <c r="F5549">
        <v>1</v>
      </c>
      <c r="G5549">
        <v>0</v>
      </c>
      <c r="H5549">
        <v>0</v>
      </c>
      <c r="I5549">
        <v>0</v>
      </c>
      <c r="J5549">
        <v>9977.7590332927502</v>
      </c>
      <c r="K5549">
        <v>9898.3888650102399</v>
      </c>
      <c r="L5549">
        <v>19.03</v>
      </c>
      <c r="M5549">
        <v>73.224999999999994</v>
      </c>
      <c r="N5549">
        <v>22.637</v>
      </c>
    </row>
    <row r="5550" spans="1:14" x14ac:dyDescent="0.45">
      <c r="A5550">
        <v>2006</v>
      </c>
      <c r="B5550" t="s">
        <v>152</v>
      </c>
      <c r="C5550">
        <v>0</v>
      </c>
      <c r="D5550">
        <v>0</v>
      </c>
      <c r="E5550">
        <v>0</v>
      </c>
      <c r="F5550">
        <v>0</v>
      </c>
      <c r="G5550">
        <v>0</v>
      </c>
      <c r="H5550">
        <v>1</v>
      </c>
      <c r="I5550">
        <v>1</v>
      </c>
      <c r="J5550">
        <v>41613.148382142703</v>
      </c>
      <c r="K5550">
        <v>38547.604423328099</v>
      </c>
      <c r="L5550">
        <v>12.882</v>
      </c>
      <c r="M5550">
        <v>82.37</v>
      </c>
      <c r="N5550">
        <v>3.6629999999999998</v>
      </c>
    </row>
    <row r="5551" spans="1:14" x14ac:dyDescent="0.45">
      <c r="A5551">
        <v>2006</v>
      </c>
      <c r="B5551" t="s">
        <v>153</v>
      </c>
      <c r="C5551">
        <v>1</v>
      </c>
      <c r="D5551">
        <v>0</v>
      </c>
      <c r="E5551">
        <v>0</v>
      </c>
      <c r="F5551">
        <v>0</v>
      </c>
      <c r="G5551">
        <v>1</v>
      </c>
      <c r="H5551">
        <v>0</v>
      </c>
      <c r="I5551">
        <v>0</v>
      </c>
      <c r="J5551">
        <v>22574.342957766501</v>
      </c>
      <c r="K5551">
        <v>17166.871568210001</v>
      </c>
      <c r="L5551">
        <v>43.463999999999999</v>
      </c>
      <c r="M5551">
        <v>65.721999999999994</v>
      </c>
      <c r="N5551">
        <v>28.58</v>
      </c>
    </row>
    <row r="5552" spans="1:14" x14ac:dyDescent="0.45">
      <c r="A5552">
        <v>2006</v>
      </c>
      <c r="B5552" t="s">
        <v>154</v>
      </c>
      <c r="C5552">
        <v>0</v>
      </c>
      <c r="D5552">
        <v>0</v>
      </c>
      <c r="E5552">
        <v>1</v>
      </c>
      <c r="F5552">
        <v>0</v>
      </c>
      <c r="G5552">
        <v>0</v>
      </c>
      <c r="H5552">
        <v>0</v>
      </c>
      <c r="I5552">
        <v>0</v>
      </c>
      <c r="J5552">
        <v>3970.7334988768498</v>
      </c>
      <c r="K5552">
        <v>3422.16173287028</v>
      </c>
      <c r="L5552">
        <v>77.954999999999998</v>
      </c>
      <c r="M5552">
        <v>59.058999999999997</v>
      </c>
      <c r="N5552">
        <v>66.891999999999996</v>
      </c>
    </row>
    <row r="5553" spans="1:14" x14ac:dyDescent="0.45">
      <c r="A5553">
        <v>2006</v>
      </c>
      <c r="B5553" t="s">
        <v>155</v>
      </c>
      <c r="C5553">
        <v>1</v>
      </c>
      <c r="D5553">
        <v>0</v>
      </c>
      <c r="E5553">
        <v>0</v>
      </c>
      <c r="F5553">
        <v>0</v>
      </c>
      <c r="G5553">
        <v>0</v>
      </c>
      <c r="H5553">
        <v>0</v>
      </c>
      <c r="I5553">
        <v>0</v>
      </c>
      <c r="J5553">
        <v>4240.1701779755404</v>
      </c>
      <c r="K5553">
        <v>3583.6562994989799</v>
      </c>
      <c r="L5553">
        <v>64.710999999999999</v>
      </c>
      <c r="M5553">
        <v>65.781999999999996</v>
      </c>
      <c r="N5553">
        <v>37.279000000000003</v>
      </c>
    </row>
    <row r="5554" spans="1:14" x14ac:dyDescent="0.45">
      <c r="A5554">
        <v>2006</v>
      </c>
      <c r="B5554" t="s">
        <v>156</v>
      </c>
      <c r="C5554">
        <v>0</v>
      </c>
      <c r="D5554">
        <v>0</v>
      </c>
      <c r="E5554">
        <v>0</v>
      </c>
      <c r="F5554">
        <v>0</v>
      </c>
      <c r="G5554">
        <v>0</v>
      </c>
      <c r="H5554">
        <v>0</v>
      </c>
      <c r="I5554">
        <v>0</v>
      </c>
      <c r="J5554">
        <v>3041.1047122005398</v>
      </c>
      <c r="K5554">
        <v>2726.8621532934199</v>
      </c>
      <c r="L5554">
        <v>80.706999999999994</v>
      </c>
      <c r="M5554">
        <v>64.885999999999996</v>
      </c>
      <c r="N5554">
        <v>60.341000000000001</v>
      </c>
    </row>
    <row r="5555" spans="1:14" x14ac:dyDescent="0.45">
      <c r="A5555">
        <v>2006</v>
      </c>
      <c r="B5555" t="s">
        <v>157</v>
      </c>
      <c r="C5555">
        <v>0</v>
      </c>
      <c r="D5555">
        <v>0</v>
      </c>
      <c r="E5555">
        <v>0</v>
      </c>
      <c r="F5555">
        <v>1</v>
      </c>
      <c r="G5555">
        <v>0</v>
      </c>
      <c r="H5555">
        <v>0</v>
      </c>
      <c r="I5555">
        <v>0</v>
      </c>
      <c r="J5555">
        <v>2264.1615803371901</v>
      </c>
      <c r="K5555">
        <v>2048.1589747268899</v>
      </c>
      <c r="L5555">
        <v>55.97</v>
      </c>
      <c r="M5555">
        <v>65.600999999999999</v>
      </c>
      <c r="N5555">
        <v>60.045000000000002</v>
      </c>
    </row>
    <row r="5556" spans="1:14" x14ac:dyDescent="0.45">
      <c r="A5556">
        <v>2006</v>
      </c>
      <c r="B5556" t="s">
        <v>158</v>
      </c>
      <c r="C5556">
        <v>0</v>
      </c>
      <c r="D5556">
        <v>1</v>
      </c>
      <c r="E5556">
        <v>0</v>
      </c>
      <c r="F5556">
        <v>0</v>
      </c>
      <c r="G5556">
        <v>1</v>
      </c>
      <c r="H5556">
        <v>0</v>
      </c>
      <c r="I5556">
        <v>0</v>
      </c>
      <c r="J5556">
        <v>23258.984225321099</v>
      </c>
      <c r="K5556">
        <v>22971.410568187701</v>
      </c>
      <c r="L5556">
        <v>68.114000000000004</v>
      </c>
      <c r="M5556">
        <v>71.355999999999995</v>
      </c>
      <c r="N5556">
        <v>19.045999999999999</v>
      </c>
    </row>
    <row r="5557" spans="1:14" x14ac:dyDescent="0.45">
      <c r="A5557">
        <v>2006</v>
      </c>
      <c r="B5557" t="s">
        <v>159</v>
      </c>
      <c r="C5557">
        <v>0</v>
      </c>
      <c r="D5557">
        <v>0</v>
      </c>
      <c r="E5557">
        <v>0</v>
      </c>
      <c r="F5557">
        <v>0</v>
      </c>
      <c r="G5557">
        <v>0</v>
      </c>
      <c r="H5557">
        <v>1</v>
      </c>
      <c r="I5557">
        <v>1</v>
      </c>
      <c r="J5557">
        <v>32795.156858918199</v>
      </c>
      <c r="K5557">
        <v>29896.802769963899</v>
      </c>
      <c r="L5557">
        <v>18.472000000000001</v>
      </c>
      <c r="M5557">
        <v>79.034999999999997</v>
      </c>
      <c r="N5557">
        <v>5.2320000000000002</v>
      </c>
    </row>
    <row r="5558" spans="1:14" x14ac:dyDescent="0.45">
      <c r="A5558">
        <v>2006</v>
      </c>
      <c r="B5558" t="s">
        <v>160</v>
      </c>
      <c r="C5558">
        <v>0</v>
      </c>
      <c r="D5558">
        <v>0</v>
      </c>
      <c r="E5558">
        <v>0</v>
      </c>
      <c r="F5558">
        <v>0</v>
      </c>
      <c r="G5558">
        <v>0</v>
      </c>
      <c r="H5558">
        <v>1</v>
      </c>
      <c r="I5558">
        <v>1</v>
      </c>
      <c r="J5558">
        <v>79521.348475193794</v>
      </c>
      <c r="K5558">
        <v>70821.722909218603</v>
      </c>
      <c r="L5558">
        <v>0</v>
      </c>
      <c r="M5558">
        <v>76.554000000000002</v>
      </c>
      <c r="N5558">
        <v>11.515000000000001</v>
      </c>
    </row>
    <row r="5559" spans="1:14" x14ac:dyDescent="0.45">
      <c r="A5559">
        <v>2006</v>
      </c>
      <c r="B5559" t="s">
        <v>161</v>
      </c>
      <c r="C5559">
        <v>0</v>
      </c>
      <c r="D5559">
        <v>0</v>
      </c>
      <c r="E5559">
        <v>0</v>
      </c>
      <c r="F5559">
        <v>0</v>
      </c>
      <c r="G5559">
        <v>0</v>
      </c>
      <c r="H5559">
        <v>0</v>
      </c>
      <c r="I5559">
        <v>0</v>
      </c>
      <c r="J5559">
        <v>3881.53736632657</v>
      </c>
      <c r="K5559">
        <v>3729.7987376076198</v>
      </c>
      <c r="L5559">
        <v>72.251999999999995</v>
      </c>
      <c r="M5559">
        <v>61.073999999999998</v>
      </c>
      <c r="N5559">
        <v>82.290999999999997</v>
      </c>
    </row>
    <row r="5560" spans="1:14" x14ac:dyDescent="0.45">
      <c r="A5560">
        <v>2006</v>
      </c>
      <c r="B5560" t="s">
        <v>162</v>
      </c>
      <c r="C5560">
        <v>0</v>
      </c>
      <c r="D5560">
        <v>0</v>
      </c>
      <c r="E5560">
        <v>0</v>
      </c>
      <c r="F5560">
        <v>0</v>
      </c>
      <c r="G5560">
        <v>1</v>
      </c>
      <c r="H5560">
        <v>0</v>
      </c>
      <c r="I5560">
        <v>0</v>
      </c>
      <c r="J5560">
        <v>13003.680803908001</v>
      </c>
      <c r="K5560">
        <v>16902.098596022599</v>
      </c>
      <c r="L5560">
        <v>13.238</v>
      </c>
      <c r="M5560">
        <v>75.677000000000007</v>
      </c>
      <c r="N5560">
        <v>14.484</v>
      </c>
    </row>
    <row r="5561" spans="1:14" x14ac:dyDescent="0.45">
      <c r="A5561">
        <v>2006</v>
      </c>
      <c r="B5561" t="s">
        <v>163</v>
      </c>
      <c r="C5561">
        <v>0</v>
      </c>
      <c r="D5561">
        <v>0</v>
      </c>
      <c r="E5561">
        <v>1</v>
      </c>
      <c r="F5561">
        <v>0</v>
      </c>
      <c r="G5561">
        <v>0</v>
      </c>
      <c r="H5561">
        <v>0</v>
      </c>
      <c r="I5561">
        <v>0</v>
      </c>
      <c r="J5561">
        <v>1364.6034732370899</v>
      </c>
      <c r="K5561">
        <v>2016.12718996073</v>
      </c>
      <c r="L5561">
        <v>53.603999999999999</v>
      </c>
      <c r="M5561">
        <v>57.494999999999997</v>
      </c>
      <c r="N5561">
        <v>124.21599999999999</v>
      </c>
    </row>
    <row r="5562" spans="1:14" x14ac:dyDescent="0.45">
      <c r="A5562">
        <v>2006</v>
      </c>
      <c r="B5562" t="s">
        <v>164</v>
      </c>
      <c r="C5562">
        <v>0</v>
      </c>
      <c r="D5562">
        <v>0</v>
      </c>
      <c r="E5562">
        <v>0</v>
      </c>
      <c r="F5562">
        <v>0</v>
      </c>
      <c r="G5562">
        <v>1</v>
      </c>
      <c r="H5562">
        <v>0</v>
      </c>
      <c r="I5562">
        <v>0</v>
      </c>
      <c r="J5562">
        <v>21539.627453820802</v>
      </c>
      <c r="K5562">
        <v>25173.258015843599</v>
      </c>
      <c r="L5562">
        <v>22.747</v>
      </c>
      <c r="M5562">
        <v>71.632000000000005</v>
      </c>
      <c r="N5562">
        <v>21.337</v>
      </c>
    </row>
    <row r="5563" spans="1:14" x14ac:dyDescent="0.45">
      <c r="A5563">
        <v>2006</v>
      </c>
      <c r="B5563" t="s">
        <v>165</v>
      </c>
      <c r="C5563">
        <v>0</v>
      </c>
      <c r="D5563">
        <v>1</v>
      </c>
      <c r="E5563">
        <v>0</v>
      </c>
      <c r="F5563">
        <v>0</v>
      </c>
      <c r="G5563">
        <v>1</v>
      </c>
      <c r="H5563">
        <v>0</v>
      </c>
      <c r="I5563">
        <v>0</v>
      </c>
      <c r="J5563">
        <v>20551.059950130701</v>
      </c>
      <c r="K5563">
        <v>14784.576536523</v>
      </c>
      <c r="L5563">
        <v>77.932000000000002</v>
      </c>
      <c r="M5563">
        <v>72.793999999999997</v>
      </c>
      <c r="N5563">
        <v>18.013999999999999</v>
      </c>
    </row>
    <row r="5564" spans="1:14" x14ac:dyDescent="0.45">
      <c r="A5564">
        <v>2006</v>
      </c>
      <c r="B5564" t="s">
        <v>166</v>
      </c>
      <c r="C5564">
        <v>1</v>
      </c>
      <c r="D5564">
        <v>0</v>
      </c>
      <c r="E5564">
        <v>0</v>
      </c>
      <c r="F5564">
        <v>0</v>
      </c>
      <c r="G5564">
        <v>0</v>
      </c>
      <c r="H5564">
        <v>1</v>
      </c>
      <c r="I5564">
        <v>1</v>
      </c>
      <c r="L5564">
        <v>85.316000000000003</v>
      </c>
      <c r="M5564">
        <v>81.403000000000006</v>
      </c>
      <c r="N5564">
        <v>8.4450000000000003</v>
      </c>
    </row>
    <row r="5565" spans="1:14" x14ac:dyDescent="0.45">
      <c r="A5565">
        <v>2006</v>
      </c>
      <c r="B5565" t="s">
        <v>167</v>
      </c>
      <c r="C5565">
        <v>0</v>
      </c>
      <c r="D5565">
        <v>0</v>
      </c>
      <c r="E5565">
        <v>0</v>
      </c>
      <c r="F5565">
        <v>1</v>
      </c>
      <c r="G5565">
        <v>0</v>
      </c>
      <c r="H5565">
        <v>0</v>
      </c>
      <c r="I5565">
        <v>0</v>
      </c>
      <c r="J5565">
        <v>7970.6649102104502</v>
      </c>
      <c r="K5565">
        <v>7444.4750489766902</v>
      </c>
      <c r="L5565">
        <v>81.712000000000003</v>
      </c>
      <c r="M5565">
        <v>72.825000000000003</v>
      </c>
      <c r="N5565">
        <v>13.295</v>
      </c>
    </row>
    <row r="5566" spans="1:14" x14ac:dyDescent="0.45">
      <c r="A5566">
        <v>2006</v>
      </c>
      <c r="B5566" t="s">
        <v>168</v>
      </c>
      <c r="C5566">
        <v>0</v>
      </c>
      <c r="D5566">
        <v>0</v>
      </c>
      <c r="E5566">
        <v>1</v>
      </c>
      <c r="F5566">
        <v>1</v>
      </c>
      <c r="G5566">
        <v>0</v>
      </c>
      <c r="H5566">
        <v>0</v>
      </c>
      <c r="I5566">
        <v>0</v>
      </c>
      <c r="J5566">
        <v>2381.0202456207298</v>
      </c>
      <c r="K5566">
        <v>2132.01361441484</v>
      </c>
      <c r="L5566">
        <v>77.180000000000007</v>
      </c>
      <c r="M5566">
        <v>43.182000000000002</v>
      </c>
      <c r="N5566">
        <v>112.319</v>
      </c>
    </row>
    <row r="5567" spans="1:14" x14ac:dyDescent="0.45">
      <c r="A5567">
        <v>2006</v>
      </c>
      <c r="B5567" t="s">
        <v>169</v>
      </c>
      <c r="C5567">
        <v>1</v>
      </c>
      <c r="D5567">
        <v>0</v>
      </c>
      <c r="E5567">
        <v>0</v>
      </c>
      <c r="F5567">
        <v>0</v>
      </c>
      <c r="G5567">
        <v>1</v>
      </c>
      <c r="H5567">
        <v>0</v>
      </c>
      <c r="I5567">
        <v>0</v>
      </c>
      <c r="J5567">
        <v>26129.339256693798</v>
      </c>
      <c r="K5567">
        <v>22355.392053109801</v>
      </c>
      <c r="L5567">
        <v>33.293999999999997</v>
      </c>
      <c r="M5567">
        <v>70.963999999999999</v>
      </c>
      <c r="N5567">
        <v>9.1379999999999999</v>
      </c>
    </row>
    <row r="5568" spans="1:14" x14ac:dyDescent="0.45">
      <c r="A5568">
        <v>2006</v>
      </c>
      <c r="B5568" t="s">
        <v>170</v>
      </c>
      <c r="C5568">
        <v>1</v>
      </c>
      <c r="D5568">
        <v>0</v>
      </c>
      <c r="E5568">
        <v>0</v>
      </c>
      <c r="F5568">
        <v>0</v>
      </c>
      <c r="G5568">
        <v>0</v>
      </c>
      <c r="H5568">
        <v>1</v>
      </c>
      <c r="I5568">
        <v>1</v>
      </c>
      <c r="J5568">
        <v>130284.96750237999</v>
      </c>
      <c r="K5568">
        <v>111336.492916783</v>
      </c>
      <c r="L5568">
        <v>12.991</v>
      </c>
      <c r="M5568">
        <v>78.837999999999994</v>
      </c>
      <c r="N5568">
        <v>4.968</v>
      </c>
    </row>
    <row r="5569" spans="1:14" x14ac:dyDescent="0.45">
      <c r="A5569">
        <v>2006</v>
      </c>
      <c r="B5569" t="s">
        <v>171</v>
      </c>
      <c r="C5569">
        <v>1</v>
      </c>
      <c r="D5569">
        <v>0</v>
      </c>
      <c r="E5569">
        <v>0</v>
      </c>
      <c r="F5569">
        <v>0</v>
      </c>
      <c r="G5569">
        <v>1</v>
      </c>
      <c r="H5569">
        <v>0</v>
      </c>
      <c r="I5569">
        <v>0</v>
      </c>
      <c r="J5569">
        <v>26431.8140222767</v>
      </c>
      <c r="K5569">
        <v>22931.958601344599</v>
      </c>
      <c r="L5569">
        <v>32.033000000000001</v>
      </c>
      <c r="M5569">
        <v>70.55</v>
      </c>
      <c r="N5569">
        <v>9.5180000000000007</v>
      </c>
    </row>
    <row r="5570" spans="1:14" x14ac:dyDescent="0.45">
      <c r="A5570">
        <v>2006</v>
      </c>
      <c r="B5570" t="s">
        <v>172</v>
      </c>
      <c r="C5570">
        <v>0</v>
      </c>
      <c r="D5570">
        <v>0</v>
      </c>
      <c r="E5570">
        <v>0</v>
      </c>
      <c r="F5570">
        <v>0</v>
      </c>
      <c r="G5570">
        <v>0</v>
      </c>
      <c r="H5570">
        <v>1</v>
      </c>
      <c r="I5570">
        <v>1</v>
      </c>
      <c r="J5570">
        <v>93724.988231234704</v>
      </c>
      <c r="K5570">
        <v>84937.472581531605</v>
      </c>
      <c r="L5570">
        <v>0</v>
      </c>
      <c r="M5570">
        <v>80.709999999999994</v>
      </c>
      <c r="N5570">
        <v>5.6130000000000004</v>
      </c>
    </row>
    <row r="5571" spans="1:14" x14ac:dyDescent="0.45">
      <c r="A5571">
        <v>2006</v>
      </c>
      <c r="B5571" t="s">
        <v>173</v>
      </c>
      <c r="C5571">
        <v>0</v>
      </c>
      <c r="D5571">
        <v>1</v>
      </c>
      <c r="E5571">
        <v>0</v>
      </c>
      <c r="F5571">
        <v>0</v>
      </c>
      <c r="G5571">
        <v>0</v>
      </c>
      <c r="H5571">
        <v>1</v>
      </c>
      <c r="I5571">
        <v>1</v>
      </c>
      <c r="L5571">
        <v>0</v>
      </c>
      <c r="M5571">
        <v>77.989000000000004</v>
      </c>
      <c r="N5571">
        <v>12.475</v>
      </c>
    </row>
    <row r="5572" spans="1:14" x14ac:dyDescent="0.45">
      <c r="A5572">
        <v>2006</v>
      </c>
      <c r="B5572" t="s">
        <v>174</v>
      </c>
      <c r="C5572">
        <v>0</v>
      </c>
      <c r="D5572">
        <v>0</v>
      </c>
      <c r="E5572">
        <v>0</v>
      </c>
      <c r="F5572">
        <v>1</v>
      </c>
      <c r="G5572">
        <v>0</v>
      </c>
      <c r="H5572">
        <v>0</v>
      </c>
      <c r="I5572">
        <v>0</v>
      </c>
      <c r="J5572">
        <v>6488.673828125</v>
      </c>
      <c r="K5572">
        <v>6231.51755997088</v>
      </c>
      <c r="L5572">
        <v>44.253999999999998</v>
      </c>
      <c r="M5572">
        <v>69.156999999999996</v>
      </c>
      <c r="N5572">
        <v>38.912999999999997</v>
      </c>
    </row>
    <row r="5573" spans="1:14" x14ac:dyDescent="0.45">
      <c r="A5573">
        <v>2006</v>
      </c>
      <c r="B5573" t="s">
        <v>175</v>
      </c>
      <c r="C5573">
        <v>1</v>
      </c>
      <c r="D5573">
        <v>0</v>
      </c>
      <c r="E5573">
        <v>0</v>
      </c>
      <c r="F5573">
        <v>0</v>
      </c>
      <c r="G5573">
        <v>0</v>
      </c>
      <c r="H5573">
        <v>1</v>
      </c>
      <c r="I5573">
        <v>1</v>
      </c>
      <c r="L5573">
        <v>0</v>
      </c>
      <c r="M5573">
        <v>84.194000000000003</v>
      </c>
      <c r="N5573">
        <v>6.0720000000000001</v>
      </c>
    </row>
    <row r="5574" spans="1:14" x14ac:dyDescent="0.45">
      <c r="A5574">
        <v>2006</v>
      </c>
      <c r="B5574" t="s">
        <v>176</v>
      </c>
      <c r="C5574">
        <v>1</v>
      </c>
      <c r="D5574">
        <v>0</v>
      </c>
      <c r="E5574">
        <v>0</v>
      </c>
      <c r="F5574">
        <v>1</v>
      </c>
      <c r="G5574">
        <v>0</v>
      </c>
      <c r="H5574">
        <v>0</v>
      </c>
      <c r="I5574">
        <v>0</v>
      </c>
      <c r="J5574">
        <v>8577.0285803728602</v>
      </c>
      <c r="K5574">
        <v>7356.5829316019999</v>
      </c>
      <c r="L5574">
        <v>57.256</v>
      </c>
      <c r="M5574">
        <v>68.423000000000002</v>
      </c>
      <c r="N5574">
        <v>19.93</v>
      </c>
    </row>
    <row r="5575" spans="1:14" x14ac:dyDescent="0.45">
      <c r="A5575">
        <v>2006</v>
      </c>
      <c r="B5575" t="s">
        <v>177</v>
      </c>
      <c r="C5575">
        <v>0</v>
      </c>
      <c r="D5575">
        <v>0</v>
      </c>
      <c r="E5575">
        <v>1</v>
      </c>
      <c r="F5575">
        <v>0</v>
      </c>
      <c r="G5575">
        <v>0</v>
      </c>
      <c r="H5575">
        <v>0</v>
      </c>
      <c r="I5575">
        <v>0</v>
      </c>
      <c r="J5575">
        <v>1686.8633545976099</v>
      </c>
      <c r="K5575">
        <v>1562.75498835196</v>
      </c>
      <c r="L5575">
        <v>70.575000000000003</v>
      </c>
      <c r="M5575">
        <v>61.14</v>
      </c>
      <c r="N5575">
        <v>81.311000000000007</v>
      </c>
    </row>
    <row r="5576" spans="1:14" x14ac:dyDescent="0.45">
      <c r="A5576">
        <v>2006</v>
      </c>
      <c r="B5576" t="s">
        <v>178</v>
      </c>
      <c r="C5576">
        <v>0</v>
      </c>
      <c r="D5576">
        <v>0</v>
      </c>
      <c r="E5576">
        <v>0</v>
      </c>
      <c r="F5576">
        <v>1</v>
      </c>
      <c r="G5576">
        <v>0</v>
      </c>
      <c r="H5576">
        <v>0</v>
      </c>
      <c r="I5576">
        <v>0</v>
      </c>
      <c r="J5576">
        <v>16829.976838269198</v>
      </c>
      <c r="K5576">
        <v>16604.174062798498</v>
      </c>
      <c r="L5576">
        <v>65.206000000000003</v>
      </c>
      <c r="M5576">
        <v>75.256</v>
      </c>
      <c r="N5576">
        <v>19.765000000000001</v>
      </c>
    </row>
    <row r="5577" spans="1:14" x14ac:dyDescent="0.45">
      <c r="A5577">
        <v>2006</v>
      </c>
      <c r="B5577" t="s">
        <v>179</v>
      </c>
      <c r="C5577">
        <v>0</v>
      </c>
      <c r="D5577">
        <v>1</v>
      </c>
      <c r="E5577">
        <v>0</v>
      </c>
      <c r="F5577">
        <v>0</v>
      </c>
      <c r="G5577">
        <v>1</v>
      </c>
      <c r="H5577">
        <v>0</v>
      </c>
      <c r="I5577">
        <v>0</v>
      </c>
      <c r="J5577">
        <v>20965.8256062375</v>
      </c>
      <c r="K5577">
        <v>19491.407933261598</v>
      </c>
      <c r="L5577">
        <v>23.384</v>
      </c>
      <c r="M5577">
        <v>73.745999999999995</v>
      </c>
      <c r="N5577">
        <v>22.024000000000001</v>
      </c>
    </row>
    <row r="5578" spans="1:14" x14ac:dyDescent="0.45">
      <c r="A5578">
        <v>2006</v>
      </c>
      <c r="B5578" t="s">
        <v>180</v>
      </c>
      <c r="C5578">
        <v>0</v>
      </c>
      <c r="D5578">
        <v>0</v>
      </c>
      <c r="E5578">
        <v>0</v>
      </c>
      <c r="F5578">
        <v>1</v>
      </c>
      <c r="G5578">
        <v>0</v>
      </c>
      <c r="H5578">
        <v>0</v>
      </c>
      <c r="I5578">
        <v>0</v>
      </c>
      <c r="J5578">
        <v>4075.5764317974099</v>
      </c>
      <c r="K5578">
        <v>3686.2972881099799</v>
      </c>
      <c r="L5578">
        <v>28.364999999999998</v>
      </c>
      <c r="M5578">
        <v>64.206999999999994</v>
      </c>
      <c r="N5578">
        <v>40.710999999999999</v>
      </c>
    </row>
    <row r="5579" spans="1:14" x14ac:dyDescent="0.45">
      <c r="A5579">
        <v>2006</v>
      </c>
      <c r="B5579" t="s">
        <v>181</v>
      </c>
      <c r="C5579">
        <v>1</v>
      </c>
      <c r="D5579">
        <v>0</v>
      </c>
      <c r="E5579">
        <v>0</v>
      </c>
      <c r="F5579">
        <v>1</v>
      </c>
      <c r="G5579">
        <v>0</v>
      </c>
      <c r="H5579">
        <v>0</v>
      </c>
      <c r="I5579">
        <v>0</v>
      </c>
      <c r="J5579">
        <v>14117.452250637099</v>
      </c>
      <c r="K5579">
        <v>11917.782069122</v>
      </c>
      <c r="L5579">
        <v>42.616999999999997</v>
      </c>
      <c r="M5579">
        <v>73.790999999999997</v>
      </c>
      <c r="N5579">
        <v>12.932</v>
      </c>
    </row>
    <row r="5580" spans="1:14" x14ac:dyDescent="0.45">
      <c r="A5580">
        <v>2006</v>
      </c>
      <c r="B5580" t="s">
        <v>182</v>
      </c>
      <c r="C5580">
        <v>0</v>
      </c>
      <c r="D5580">
        <v>0</v>
      </c>
      <c r="E5580">
        <v>1</v>
      </c>
      <c r="F5580">
        <v>0</v>
      </c>
      <c r="G5580">
        <v>0</v>
      </c>
      <c r="H5580">
        <v>0</v>
      </c>
      <c r="I5580">
        <v>0</v>
      </c>
      <c r="J5580">
        <v>2388.3482027456798</v>
      </c>
      <c r="K5580">
        <v>2210.6784588034802</v>
      </c>
      <c r="L5580">
        <v>67.168000000000006</v>
      </c>
      <c r="M5580">
        <v>54.305</v>
      </c>
      <c r="N5580">
        <v>153.501</v>
      </c>
    </row>
    <row r="5581" spans="1:14" x14ac:dyDescent="0.45">
      <c r="A5581">
        <v>2006</v>
      </c>
      <c r="B5581" t="s">
        <v>183</v>
      </c>
      <c r="C5581">
        <v>0</v>
      </c>
      <c r="D5581">
        <v>0</v>
      </c>
      <c r="E5581">
        <v>0</v>
      </c>
      <c r="F5581">
        <v>0</v>
      </c>
      <c r="G5581">
        <v>0</v>
      </c>
      <c r="H5581">
        <v>1</v>
      </c>
      <c r="I5581">
        <v>1</v>
      </c>
      <c r="J5581">
        <v>33388.702658981099</v>
      </c>
      <c r="K5581">
        <v>28882.862035595801</v>
      </c>
      <c r="L5581">
        <v>6.2159999999999904</v>
      </c>
      <c r="M5581">
        <v>79.561000000000007</v>
      </c>
      <c r="N5581">
        <v>4.9470000000000001</v>
      </c>
    </row>
    <row r="5582" spans="1:14" x14ac:dyDescent="0.45">
      <c r="A5582">
        <v>2006</v>
      </c>
      <c r="B5582" t="s">
        <v>184</v>
      </c>
      <c r="C5582">
        <v>0</v>
      </c>
      <c r="D5582">
        <v>0</v>
      </c>
      <c r="E5582">
        <v>0</v>
      </c>
      <c r="F5582">
        <v>0</v>
      </c>
      <c r="G5582">
        <v>0</v>
      </c>
      <c r="H5582">
        <v>0</v>
      </c>
      <c r="I5582">
        <v>0</v>
      </c>
      <c r="J5582">
        <v>2669.3270037999901</v>
      </c>
      <c r="K5582">
        <v>2137.3384925395899</v>
      </c>
      <c r="L5582">
        <v>71.867999999999995</v>
      </c>
      <c r="M5582">
        <v>62.026000000000003</v>
      </c>
      <c r="N5582">
        <v>73.948999999999998</v>
      </c>
    </row>
    <row r="5583" spans="1:14" x14ac:dyDescent="0.45">
      <c r="A5583">
        <v>2006</v>
      </c>
      <c r="B5583" t="s">
        <v>185</v>
      </c>
      <c r="C5583">
        <v>1</v>
      </c>
      <c r="D5583">
        <v>0</v>
      </c>
      <c r="E5583">
        <v>0</v>
      </c>
      <c r="F5583">
        <v>0</v>
      </c>
      <c r="G5583">
        <v>1</v>
      </c>
      <c r="H5583">
        <v>0</v>
      </c>
      <c r="I5583">
        <v>0</v>
      </c>
      <c r="J5583">
        <v>17702.304432540001</v>
      </c>
      <c r="K5583">
        <v>14957.366570284001</v>
      </c>
      <c r="L5583">
        <v>37.197000000000003</v>
      </c>
      <c r="M5583">
        <v>74.671000000000006</v>
      </c>
      <c r="N5583">
        <v>9.8989999999999991</v>
      </c>
    </row>
    <row r="5584" spans="1:14" x14ac:dyDescent="0.45">
      <c r="A5584">
        <v>2006</v>
      </c>
      <c r="B5584" t="s">
        <v>186</v>
      </c>
      <c r="C5584">
        <v>0</v>
      </c>
      <c r="D5584">
        <v>0</v>
      </c>
      <c r="E5584">
        <v>0</v>
      </c>
      <c r="F5584">
        <v>0</v>
      </c>
      <c r="G5584">
        <v>0</v>
      </c>
      <c r="H5584">
        <v>0</v>
      </c>
      <c r="I5584">
        <v>0</v>
      </c>
      <c r="J5584">
        <v>8043.9967810855696</v>
      </c>
      <c r="K5584">
        <v>6197.7056719640505</v>
      </c>
      <c r="L5584">
        <v>36.465000000000003</v>
      </c>
      <c r="M5584">
        <v>65.569000000000003</v>
      </c>
      <c r="N5584">
        <v>37.377000000000002</v>
      </c>
    </row>
    <row r="5585" spans="1:14" x14ac:dyDescent="0.45">
      <c r="A5585">
        <v>2006</v>
      </c>
      <c r="B5585" t="s">
        <v>187</v>
      </c>
      <c r="C5585">
        <v>0</v>
      </c>
      <c r="D5585">
        <v>0</v>
      </c>
      <c r="E5585">
        <v>0</v>
      </c>
      <c r="F5585">
        <v>0</v>
      </c>
      <c r="G5585">
        <v>1</v>
      </c>
      <c r="H5585">
        <v>0</v>
      </c>
      <c r="I5585">
        <v>0</v>
      </c>
      <c r="L5585">
        <v>9.3619999999999894</v>
      </c>
      <c r="M5585">
        <v>77.688000000000002</v>
      </c>
      <c r="N5585">
        <v>6.73</v>
      </c>
    </row>
    <row r="5586" spans="1:14" x14ac:dyDescent="0.45">
      <c r="A5586">
        <v>2006</v>
      </c>
      <c r="B5586" t="s">
        <v>188</v>
      </c>
      <c r="C5586">
        <v>0</v>
      </c>
      <c r="D5586">
        <v>0</v>
      </c>
      <c r="E5586">
        <v>1</v>
      </c>
      <c r="F5586">
        <v>0</v>
      </c>
      <c r="G5586">
        <v>0</v>
      </c>
      <c r="H5586">
        <v>0</v>
      </c>
      <c r="I5586">
        <v>0</v>
      </c>
      <c r="J5586">
        <v>1041.8047170959501</v>
      </c>
      <c r="K5586">
        <v>872.30299119070503</v>
      </c>
      <c r="L5586">
        <v>69.817999999999998</v>
      </c>
      <c r="M5586">
        <v>52.747999999999998</v>
      </c>
      <c r="N5586">
        <v>126.485</v>
      </c>
    </row>
    <row r="5587" spans="1:14" x14ac:dyDescent="0.45">
      <c r="A5587">
        <v>2006</v>
      </c>
      <c r="B5587" t="s">
        <v>189</v>
      </c>
      <c r="C5587">
        <v>0</v>
      </c>
      <c r="D5587">
        <v>0</v>
      </c>
      <c r="E5587">
        <v>1</v>
      </c>
      <c r="F5587">
        <v>0</v>
      </c>
      <c r="G5587">
        <v>0</v>
      </c>
      <c r="H5587">
        <v>0</v>
      </c>
      <c r="I5587">
        <v>0</v>
      </c>
      <c r="J5587">
        <v>6284.7020959566698</v>
      </c>
      <c r="K5587">
        <v>5560.1599751014601</v>
      </c>
      <c r="L5587">
        <v>57.002000000000002</v>
      </c>
      <c r="M5587">
        <v>64.492999999999995</v>
      </c>
      <c r="N5587">
        <v>68.462999999999994</v>
      </c>
    </row>
    <row r="5588" spans="1:14" x14ac:dyDescent="0.45">
      <c r="A5588">
        <v>2006</v>
      </c>
      <c r="B5588" t="s">
        <v>190</v>
      </c>
      <c r="C5588">
        <v>0</v>
      </c>
      <c r="D5588">
        <v>0</v>
      </c>
      <c r="E5588">
        <v>1</v>
      </c>
      <c r="F5588">
        <v>0</v>
      </c>
      <c r="G5588">
        <v>1</v>
      </c>
      <c r="H5588">
        <v>0</v>
      </c>
      <c r="I5588">
        <v>0</v>
      </c>
      <c r="J5588">
        <v>15871.3026347781</v>
      </c>
      <c r="K5588">
        <v>14897.1964091504</v>
      </c>
      <c r="L5588">
        <v>58</v>
      </c>
      <c r="M5588">
        <v>72.781000000000006</v>
      </c>
      <c r="N5588">
        <v>15.765000000000001</v>
      </c>
    </row>
    <row r="5589" spans="1:14" x14ac:dyDescent="0.45">
      <c r="A5589">
        <v>2006</v>
      </c>
      <c r="B5589" t="s">
        <v>191</v>
      </c>
      <c r="C5589">
        <v>0</v>
      </c>
      <c r="D5589">
        <v>0</v>
      </c>
      <c r="E5589">
        <v>1</v>
      </c>
      <c r="F5589">
        <v>0</v>
      </c>
      <c r="G5589">
        <v>0</v>
      </c>
      <c r="H5589">
        <v>0</v>
      </c>
      <c r="I5589">
        <v>0</v>
      </c>
      <c r="J5589">
        <v>1237.27386519947</v>
      </c>
      <c r="K5589">
        <v>1058.68744896578</v>
      </c>
      <c r="L5589">
        <v>84.855999999999995</v>
      </c>
      <c r="M5589">
        <v>53.652000000000001</v>
      </c>
      <c r="N5589">
        <v>105.01600000000001</v>
      </c>
    </row>
    <row r="5590" spans="1:14" x14ac:dyDescent="0.45">
      <c r="A5590">
        <v>2006</v>
      </c>
      <c r="B5590" t="s">
        <v>192</v>
      </c>
      <c r="C5590">
        <v>0</v>
      </c>
      <c r="D5590">
        <v>0</v>
      </c>
      <c r="E5590">
        <v>0</v>
      </c>
      <c r="F5590">
        <v>0</v>
      </c>
      <c r="G5590">
        <v>1</v>
      </c>
      <c r="H5590">
        <v>0</v>
      </c>
      <c r="I5590">
        <v>0</v>
      </c>
      <c r="J5590">
        <v>21444.485771502801</v>
      </c>
      <c r="K5590">
        <v>19168.840016277401</v>
      </c>
      <c r="L5590">
        <v>32.517000000000003</v>
      </c>
      <c r="M5590">
        <v>74.697000000000003</v>
      </c>
      <c r="N5590">
        <v>8.2479999999999993</v>
      </c>
    </row>
    <row r="5591" spans="1:14" x14ac:dyDescent="0.45">
      <c r="A5591">
        <v>2006</v>
      </c>
      <c r="B5591" t="s">
        <v>193</v>
      </c>
      <c r="C5591">
        <v>0</v>
      </c>
      <c r="D5591">
        <v>0</v>
      </c>
      <c r="E5591">
        <v>1</v>
      </c>
      <c r="F5591">
        <v>1</v>
      </c>
      <c r="G5591">
        <v>0</v>
      </c>
      <c r="H5591">
        <v>0</v>
      </c>
      <c r="I5591">
        <v>0</v>
      </c>
      <c r="J5591">
        <v>9773.2983319979794</v>
      </c>
      <c r="K5591">
        <v>8470.5157527581105</v>
      </c>
      <c r="L5591">
        <v>62.39</v>
      </c>
      <c r="M5591">
        <v>53.183</v>
      </c>
      <c r="N5591">
        <v>64.314999999999998</v>
      </c>
    </row>
    <row r="5592" spans="1:14" x14ac:dyDescent="0.45">
      <c r="A5592">
        <v>2006</v>
      </c>
      <c r="B5592" t="s">
        <v>194</v>
      </c>
      <c r="C5592">
        <v>0</v>
      </c>
      <c r="D5592">
        <v>0</v>
      </c>
      <c r="E5592">
        <v>0</v>
      </c>
      <c r="F5592">
        <v>0</v>
      </c>
      <c r="G5592">
        <v>0</v>
      </c>
      <c r="H5592">
        <v>1</v>
      </c>
      <c r="I5592">
        <v>1</v>
      </c>
      <c r="L5592">
        <v>35.362000000000002</v>
      </c>
      <c r="M5592">
        <v>75.016000000000005</v>
      </c>
      <c r="N5592">
        <v>18.367999999999999</v>
      </c>
    </row>
    <row r="5593" spans="1:14" x14ac:dyDescent="0.45">
      <c r="A5593">
        <v>2006</v>
      </c>
      <c r="B5593" t="s">
        <v>195</v>
      </c>
      <c r="C5593">
        <v>0</v>
      </c>
      <c r="D5593">
        <v>0</v>
      </c>
      <c r="E5593">
        <v>1</v>
      </c>
      <c r="F5593">
        <v>0</v>
      </c>
      <c r="G5593">
        <v>0</v>
      </c>
      <c r="H5593">
        <v>0</v>
      </c>
      <c r="I5593">
        <v>0</v>
      </c>
      <c r="J5593">
        <v>1260.12046671298</v>
      </c>
      <c r="K5593">
        <v>1001.58430257984</v>
      </c>
      <c r="L5593">
        <v>83.762</v>
      </c>
      <c r="M5593">
        <v>54.222999999999999</v>
      </c>
      <c r="N5593">
        <v>165.10499999999999</v>
      </c>
    </row>
    <row r="5594" spans="1:14" x14ac:dyDescent="0.45">
      <c r="A5594">
        <v>2006</v>
      </c>
      <c r="B5594" t="s">
        <v>196</v>
      </c>
      <c r="C5594">
        <v>0</v>
      </c>
      <c r="D5594">
        <v>0</v>
      </c>
      <c r="E5594">
        <v>1</v>
      </c>
      <c r="F5594">
        <v>0</v>
      </c>
      <c r="G5594">
        <v>0</v>
      </c>
      <c r="H5594">
        <v>0</v>
      </c>
      <c r="I5594">
        <v>0</v>
      </c>
      <c r="J5594">
        <v>4511.6395236551698</v>
      </c>
      <c r="K5594">
        <v>3988.89740861783</v>
      </c>
      <c r="L5594">
        <v>60.057000000000002</v>
      </c>
      <c r="M5594">
        <v>49.875999999999998</v>
      </c>
      <c r="N5594">
        <v>150.577</v>
      </c>
    </row>
    <row r="5595" spans="1:14" x14ac:dyDescent="0.45">
      <c r="A5595">
        <v>2006</v>
      </c>
      <c r="B5595" t="s">
        <v>197</v>
      </c>
      <c r="C5595">
        <v>0</v>
      </c>
      <c r="D5595">
        <v>1</v>
      </c>
      <c r="E5595">
        <v>0</v>
      </c>
      <c r="F5595">
        <v>1</v>
      </c>
      <c r="G5595">
        <v>0</v>
      </c>
      <c r="H5595">
        <v>0</v>
      </c>
      <c r="I5595">
        <v>0</v>
      </c>
      <c r="J5595">
        <v>5500.4057757679702</v>
      </c>
      <c r="K5595">
        <v>4632.8001041262096</v>
      </c>
      <c r="L5595">
        <v>43.868000000000002</v>
      </c>
      <c r="M5595">
        <v>70.957999999999998</v>
      </c>
      <c r="N5595">
        <v>28.244</v>
      </c>
    </row>
    <row r="5596" spans="1:14" x14ac:dyDescent="0.45">
      <c r="A5596">
        <v>2006</v>
      </c>
      <c r="B5596" t="s">
        <v>198</v>
      </c>
      <c r="C5596">
        <v>1</v>
      </c>
      <c r="D5596">
        <v>0</v>
      </c>
      <c r="E5596">
        <v>0</v>
      </c>
      <c r="F5596">
        <v>0</v>
      </c>
      <c r="G5596">
        <v>0</v>
      </c>
      <c r="H5596">
        <v>1</v>
      </c>
      <c r="I5596">
        <v>1</v>
      </c>
      <c r="J5596">
        <v>60391.544265121003</v>
      </c>
      <c r="K5596">
        <v>50979.100859100603</v>
      </c>
      <c r="L5596">
        <v>16.364000000000001</v>
      </c>
      <c r="M5596">
        <v>79.846999999999994</v>
      </c>
      <c r="N5596">
        <v>5.2640000000000002</v>
      </c>
    </row>
    <row r="5597" spans="1:14" x14ac:dyDescent="0.45">
      <c r="A5597">
        <v>2006</v>
      </c>
      <c r="B5597" t="s">
        <v>199</v>
      </c>
      <c r="C5597">
        <v>1</v>
      </c>
      <c r="D5597">
        <v>0</v>
      </c>
      <c r="E5597">
        <v>0</v>
      </c>
      <c r="F5597">
        <v>0</v>
      </c>
      <c r="G5597">
        <v>0</v>
      </c>
      <c r="H5597">
        <v>1</v>
      </c>
      <c r="I5597">
        <v>1</v>
      </c>
      <c r="J5597">
        <v>85458.546693402299</v>
      </c>
      <c r="K5597">
        <v>63144.261088931802</v>
      </c>
      <c r="L5597">
        <v>22.05</v>
      </c>
      <c r="M5597">
        <v>80.44</v>
      </c>
      <c r="N5597">
        <v>3.915</v>
      </c>
    </row>
    <row r="5598" spans="1:14" x14ac:dyDescent="0.45">
      <c r="A5598">
        <v>2006</v>
      </c>
      <c r="B5598" t="s">
        <v>200</v>
      </c>
      <c r="C5598">
        <v>0</v>
      </c>
      <c r="D5598">
        <v>0</v>
      </c>
      <c r="E5598">
        <v>0</v>
      </c>
      <c r="F5598">
        <v>0</v>
      </c>
      <c r="G5598">
        <v>0</v>
      </c>
      <c r="H5598">
        <v>0</v>
      </c>
      <c r="I5598">
        <v>0</v>
      </c>
      <c r="J5598">
        <v>2641.34799494749</v>
      </c>
      <c r="K5598">
        <v>2338.4036651245801</v>
      </c>
      <c r="L5598">
        <v>84.537999999999997</v>
      </c>
      <c r="M5598">
        <v>65.891000000000005</v>
      </c>
      <c r="N5598">
        <v>57.768000000000001</v>
      </c>
    </row>
    <row r="5599" spans="1:14" x14ac:dyDescent="0.45">
      <c r="A5599">
        <v>2006</v>
      </c>
      <c r="B5599" t="s">
        <v>201</v>
      </c>
      <c r="C5599">
        <v>0</v>
      </c>
      <c r="D5599">
        <v>0</v>
      </c>
      <c r="E5599">
        <v>0</v>
      </c>
      <c r="F5599">
        <v>0</v>
      </c>
      <c r="G5599">
        <v>0</v>
      </c>
      <c r="H5599">
        <v>1</v>
      </c>
      <c r="I5599">
        <v>1</v>
      </c>
      <c r="J5599">
        <v>7902.5072379726798</v>
      </c>
      <c r="K5599">
        <v>7149.5600577947598</v>
      </c>
      <c r="L5599">
        <v>0</v>
      </c>
      <c r="M5599">
        <v>59.408999999999999</v>
      </c>
      <c r="N5599">
        <v>38.56</v>
      </c>
    </row>
    <row r="5600" spans="1:14" x14ac:dyDescent="0.45">
      <c r="A5600">
        <v>2006</v>
      </c>
      <c r="B5600" t="s">
        <v>202</v>
      </c>
      <c r="C5600">
        <v>0</v>
      </c>
      <c r="D5600">
        <v>0</v>
      </c>
      <c r="E5600">
        <v>0</v>
      </c>
      <c r="F5600">
        <v>0</v>
      </c>
      <c r="G5600">
        <v>0</v>
      </c>
      <c r="H5600">
        <v>1</v>
      </c>
      <c r="I5600">
        <v>1</v>
      </c>
      <c r="J5600">
        <v>41475.121744179502</v>
      </c>
      <c r="K5600">
        <v>37723.779934316903</v>
      </c>
      <c r="L5600">
        <v>13.6</v>
      </c>
      <c r="M5600">
        <v>80.015000000000001</v>
      </c>
      <c r="N5600">
        <v>6.1859999999999999</v>
      </c>
    </row>
    <row r="5601" spans="1:14" x14ac:dyDescent="0.45">
      <c r="A5601">
        <v>2006</v>
      </c>
      <c r="B5601" t="s">
        <v>203</v>
      </c>
      <c r="C5601">
        <v>0</v>
      </c>
      <c r="D5601">
        <v>0</v>
      </c>
      <c r="E5601">
        <v>0</v>
      </c>
      <c r="F5601">
        <v>0</v>
      </c>
      <c r="G5601">
        <v>1</v>
      </c>
      <c r="H5601">
        <v>0</v>
      </c>
      <c r="I5601">
        <v>0</v>
      </c>
      <c r="J5601">
        <v>42540.439848533402</v>
      </c>
      <c r="K5601">
        <v>36964.263936000199</v>
      </c>
      <c r="L5601">
        <v>27.033000000000001</v>
      </c>
      <c r="M5601">
        <v>75.353999999999999</v>
      </c>
      <c r="N5601">
        <v>12.715</v>
      </c>
    </row>
    <row r="5602" spans="1:14" x14ac:dyDescent="0.45">
      <c r="A5602">
        <v>2006</v>
      </c>
      <c r="B5602" t="s">
        <v>204</v>
      </c>
      <c r="C5602">
        <v>0</v>
      </c>
      <c r="D5602">
        <v>0</v>
      </c>
      <c r="E5602">
        <v>0</v>
      </c>
      <c r="F5602">
        <v>0</v>
      </c>
      <c r="G5602">
        <v>0</v>
      </c>
      <c r="H5602">
        <v>0</v>
      </c>
      <c r="I5602">
        <v>0</v>
      </c>
      <c r="J5602">
        <v>4185.8665565920601</v>
      </c>
      <c r="K5602">
        <v>3984.5212690565199</v>
      </c>
      <c r="L5602">
        <v>65.816000000000003</v>
      </c>
      <c r="M5602">
        <v>63.624000000000002</v>
      </c>
      <c r="N5602">
        <v>94.840999999999994</v>
      </c>
    </row>
    <row r="5603" spans="1:14" x14ac:dyDescent="0.45">
      <c r="A5603">
        <v>2006</v>
      </c>
      <c r="B5603" t="s">
        <v>205</v>
      </c>
      <c r="C5603">
        <v>0</v>
      </c>
      <c r="D5603">
        <v>1</v>
      </c>
      <c r="E5603">
        <v>0</v>
      </c>
      <c r="F5603">
        <v>0</v>
      </c>
      <c r="G5603">
        <v>1</v>
      </c>
      <c r="H5603">
        <v>0</v>
      </c>
      <c r="I5603">
        <v>0</v>
      </c>
      <c r="J5603">
        <v>18190.274117246099</v>
      </c>
      <c r="K5603">
        <v>19073.921828489001</v>
      </c>
      <c r="L5603">
        <v>36.024000000000001</v>
      </c>
      <c r="M5603">
        <v>75.429000000000002</v>
      </c>
      <c r="N5603">
        <v>21.004999999999999</v>
      </c>
    </row>
    <row r="5604" spans="1:14" x14ac:dyDescent="0.45">
      <c r="A5604">
        <v>2006</v>
      </c>
      <c r="B5604" t="s">
        <v>206</v>
      </c>
      <c r="C5604">
        <v>0</v>
      </c>
      <c r="D5604">
        <v>1</v>
      </c>
      <c r="E5604">
        <v>0</v>
      </c>
      <c r="F5604">
        <v>1</v>
      </c>
      <c r="G5604">
        <v>0</v>
      </c>
      <c r="H5604">
        <v>0</v>
      </c>
      <c r="I5604">
        <v>0</v>
      </c>
      <c r="J5604">
        <v>9547.9132776255392</v>
      </c>
      <c r="K5604">
        <v>7978.0857029326698</v>
      </c>
      <c r="L5604">
        <v>24.579000000000001</v>
      </c>
      <c r="M5604">
        <v>72.337000000000003</v>
      </c>
      <c r="N5604">
        <v>25.137</v>
      </c>
    </row>
    <row r="5605" spans="1:14" x14ac:dyDescent="0.45">
      <c r="A5605">
        <v>2006</v>
      </c>
      <c r="B5605" t="s">
        <v>207</v>
      </c>
      <c r="C5605">
        <v>0</v>
      </c>
      <c r="D5605">
        <v>0</v>
      </c>
      <c r="E5605">
        <v>0</v>
      </c>
      <c r="F5605">
        <v>1</v>
      </c>
      <c r="G5605">
        <v>0</v>
      </c>
      <c r="H5605">
        <v>0</v>
      </c>
      <c r="I5605">
        <v>0</v>
      </c>
      <c r="J5605">
        <v>5578.5722511213899</v>
      </c>
      <c r="K5605">
        <v>5051.9582316434498</v>
      </c>
      <c r="L5605">
        <v>54.375</v>
      </c>
      <c r="M5605">
        <v>68.171999999999997</v>
      </c>
      <c r="N5605">
        <v>32.597000000000001</v>
      </c>
    </row>
    <row r="5606" spans="1:14" x14ac:dyDescent="0.45">
      <c r="A5606">
        <v>2006</v>
      </c>
      <c r="B5606" t="s">
        <v>208</v>
      </c>
      <c r="C5606">
        <v>0</v>
      </c>
      <c r="D5606">
        <v>0</v>
      </c>
      <c r="E5606">
        <v>0</v>
      </c>
      <c r="F5606">
        <v>0</v>
      </c>
      <c r="G5606">
        <v>1</v>
      </c>
      <c r="H5606">
        <v>0</v>
      </c>
      <c r="I5606">
        <v>0</v>
      </c>
      <c r="J5606">
        <v>17561.0461892411</v>
      </c>
      <c r="K5606">
        <v>15887.837951527999</v>
      </c>
      <c r="L5606">
        <v>28.09</v>
      </c>
      <c r="M5606">
        <v>66.632999999999996</v>
      </c>
      <c r="N5606">
        <v>21.420999999999999</v>
      </c>
    </row>
    <row r="5607" spans="1:14" x14ac:dyDescent="0.45">
      <c r="A5607">
        <v>2006</v>
      </c>
      <c r="B5607" t="s">
        <v>209</v>
      </c>
      <c r="C5607">
        <v>0</v>
      </c>
      <c r="D5607">
        <v>0</v>
      </c>
      <c r="E5607">
        <v>0</v>
      </c>
      <c r="F5607">
        <v>0</v>
      </c>
      <c r="G5607">
        <v>0</v>
      </c>
      <c r="H5607">
        <v>0</v>
      </c>
      <c r="I5607">
        <v>0</v>
      </c>
      <c r="J5607">
        <v>3202.4873042638801</v>
      </c>
      <c r="K5607">
        <v>2896.9743257036698</v>
      </c>
      <c r="L5607">
        <v>86.909000000000006</v>
      </c>
      <c r="M5607">
        <v>62.018000000000001</v>
      </c>
      <c r="N5607">
        <v>63.987000000000002</v>
      </c>
    </row>
    <row r="5608" spans="1:14" x14ac:dyDescent="0.45">
      <c r="A5608">
        <v>2006</v>
      </c>
      <c r="B5608" t="s">
        <v>210</v>
      </c>
      <c r="C5608">
        <v>1</v>
      </c>
      <c r="D5608">
        <v>0</v>
      </c>
      <c r="E5608">
        <v>0</v>
      </c>
      <c r="F5608">
        <v>0</v>
      </c>
      <c r="G5608">
        <v>1</v>
      </c>
      <c r="H5608">
        <v>0</v>
      </c>
      <c r="I5608">
        <v>0</v>
      </c>
      <c r="J5608">
        <v>22921.197588769599</v>
      </c>
      <c r="K5608">
        <v>19784.9144997529</v>
      </c>
      <c r="L5608">
        <v>38.658999999999999</v>
      </c>
      <c r="M5608">
        <v>75.25</v>
      </c>
      <c r="N5608">
        <v>7.085</v>
      </c>
    </row>
    <row r="5609" spans="1:14" x14ac:dyDescent="0.45">
      <c r="A5609">
        <v>2006</v>
      </c>
      <c r="B5609" t="s">
        <v>211</v>
      </c>
      <c r="C5609">
        <v>0</v>
      </c>
      <c r="D5609">
        <v>1</v>
      </c>
      <c r="E5609">
        <v>0</v>
      </c>
      <c r="F5609">
        <v>0</v>
      </c>
      <c r="G5609">
        <v>0</v>
      </c>
      <c r="H5609">
        <v>1</v>
      </c>
      <c r="I5609">
        <v>1</v>
      </c>
      <c r="J5609">
        <v>42133.968274877298</v>
      </c>
      <c r="K5609">
        <v>32369.0306162571</v>
      </c>
      <c r="L5609">
        <v>5.944</v>
      </c>
      <c r="M5609">
        <v>77.561000000000007</v>
      </c>
      <c r="N5609">
        <v>10.176</v>
      </c>
    </row>
    <row r="5610" spans="1:14" x14ac:dyDescent="0.45">
      <c r="A5610">
        <v>2006</v>
      </c>
      <c r="B5610" t="s">
        <v>212</v>
      </c>
      <c r="C5610">
        <v>0</v>
      </c>
      <c r="D5610">
        <v>0</v>
      </c>
      <c r="E5610">
        <v>0</v>
      </c>
      <c r="F5610">
        <v>0</v>
      </c>
      <c r="G5610">
        <v>0</v>
      </c>
      <c r="H5610">
        <v>0</v>
      </c>
      <c r="I5610">
        <v>0</v>
      </c>
      <c r="L5610">
        <v>40.116</v>
      </c>
      <c r="M5610">
        <v>69.061000000000007</v>
      </c>
      <c r="N5610">
        <v>32.860999999999997</v>
      </c>
    </row>
    <row r="5611" spans="1:14" x14ac:dyDescent="0.45">
      <c r="A5611">
        <v>2006</v>
      </c>
      <c r="B5611" t="s">
        <v>213</v>
      </c>
      <c r="C5611">
        <v>1</v>
      </c>
      <c r="D5611">
        <v>0</v>
      </c>
      <c r="E5611">
        <v>0</v>
      </c>
      <c r="F5611">
        <v>0</v>
      </c>
      <c r="G5611">
        <v>0</v>
      </c>
      <c r="H5611">
        <v>1</v>
      </c>
      <c r="I5611">
        <v>1</v>
      </c>
      <c r="J5611">
        <v>36387.536574400299</v>
      </c>
      <c r="K5611">
        <v>31452.771442092799</v>
      </c>
      <c r="L5611">
        <v>41.863</v>
      </c>
      <c r="M5611">
        <v>79.088999999999999</v>
      </c>
      <c r="N5611">
        <v>4.3019999999999996</v>
      </c>
    </row>
    <row r="5612" spans="1:14" x14ac:dyDescent="0.45">
      <c r="A5612">
        <v>2006</v>
      </c>
      <c r="B5612" t="s">
        <v>214</v>
      </c>
      <c r="C5612">
        <v>0</v>
      </c>
      <c r="D5612">
        <v>1</v>
      </c>
      <c r="E5612">
        <v>0</v>
      </c>
      <c r="F5612">
        <v>1</v>
      </c>
      <c r="G5612">
        <v>0</v>
      </c>
      <c r="H5612">
        <v>0</v>
      </c>
      <c r="I5612">
        <v>0</v>
      </c>
      <c r="J5612">
        <v>10672.993325236799</v>
      </c>
      <c r="K5612">
        <v>9737.3884297766908</v>
      </c>
      <c r="L5612">
        <v>42.04</v>
      </c>
      <c r="M5612">
        <v>71.584000000000003</v>
      </c>
      <c r="N5612">
        <v>28.937000000000001</v>
      </c>
    </row>
    <row r="5613" spans="1:14" x14ac:dyDescent="0.45">
      <c r="A5613">
        <v>2006</v>
      </c>
      <c r="B5613" t="s">
        <v>215</v>
      </c>
      <c r="C5613">
        <v>0</v>
      </c>
      <c r="D5613">
        <v>0</v>
      </c>
      <c r="E5613">
        <v>0</v>
      </c>
      <c r="F5613">
        <v>1</v>
      </c>
      <c r="G5613">
        <v>0</v>
      </c>
      <c r="H5613">
        <v>0</v>
      </c>
      <c r="I5613">
        <v>0</v>
      </c>
      <c r="J5613">
        <v>4714.3733179334204</v>
      </c>
      <c r="K5613">
        <v>4019.87479104258</v>
      </c>
      <c r="L5613">
        <v>26.724</v>
      </c>
      <c r="M5613">
        <v>71.831000000000003</v>
      </c>
      <c r="N5613">
        <v>24.802</v>
      </c>
    </row>
    <row r="5614" spans="1:14" x14ac:dyDescent="0.45">
      <c r="A5614">
        <v>2006</v>
      </c>
      <c r="B5614" t="s">
        <v>216</v>
      </c>
      <c r="C5614">
        <v>0</v>
      </c>
      <c r="D5614">
        <v>0</v>
      </c>
      <c r="E5614">
        <v>0</v>
      </c>
      <c r="F5614">
        <v>0</v>
      </c>
      <c r="G5614">
        <v>0</v>
      </c>
      <c r="H5614">
        <v>1</v>
      </c>
      <c r="I5614">
        <v>1</v>
      </c>
      <c r="L5614">
        <v>41.997999999999998</v>
      </c>
      <c r="M5614">
        <v>80.099999999999994</v>
      </c>
      <c r="N5614">
        <v>9.5129999999999999</v>
      </c>
    </row>
    <row r="5615" spans="1:14" x14ac:dyDescent="0.45">
      <c r="A5615">
        <v>2006</v>
      </c>
      <c r="B5615" t="s">
        <v>217</v>
      </c>
      <c r="C5615">
        <v>0</v>
      </c>
      <c r="D5615">
        <v>0</v>
      </c>
      <c r="E5615">
        <v>0</v>
      </c>
      <c r="F5615">
        <v>0</v>
      </c>
      <c r="G5615">
        <v>0</v>
      </c>
      <c r="H5615">
        <v>1</v>
      </c>
      <c r="I5615">
        <v>1</v>
      </c>
      <c r="J5615">
        <v>115383.744098991</v>
      </c>
      <c r="K5615">
        <v>99633.6163330032</v>
      </c>
      <c r="L5615">
        <v>2.32899999999999</v>
      </c>
      <c r="M5615">
        <v>77.322999999999993</v>
      </c>
      <c r="N5615">
        <v>10.178000000000001</v>
      </c>
    </row>
    <row r="5616" spans="1:14" x14ac:dyDescent="0.45">
      <c r="A5616">
        <v>2006</v>
      </c>
      <c r="B5616" t="s">
        <v>218</v>
      </c>
      <c r="C5616">
        <v>1</v>
      </c>
      <c r="D5616">
        <v>0</v>
      </c>
      <c r="E5616">
        <v>0</v>
      </c>
      <c r="F5616">
        <v>0</v>
      </c>
      <c r="G5616">
        <v>1</v>
      </c>
      <c r="H5616">
        <v>0</v>
      </c>
      <c r="I5616">
        <v>0</v>
      </c>
      <c r="J5616">
        <v>22352.163272170699</v>
      </c>
      <c r="K5616">
        <v>18168.644441414101</v>
      </c>
      <c r="L5616">
        <v>46.695</v>
      </c>
      <c r="M5616">
        <v>72.168999999999997</v>
      </c>
      <c r="N5616">
        <v>16.975999999999999</v>
      </c>
    </row>
    <row r="5617" spans="1:14" x14ac:dyDescent="0.45">
      <c r="A5617">
        <v>2006</v>
      </c>
      <c r="B5617" t="s">
        <v>219</v>
      </c>
      <c r="C5617">
        <v>1</v>
      </c>
      <c r="D5617">
        <v>0</v>
      </c>
      <c r="E5617">
        <v>0</v>
      </c>
      <c r="F5617">
        <v>0</v>
      </c>
      <c r="G5617">
        <v>1</v>
      </c>
      <c r="H5617">
        <v>0</v>
      </c>
      <c r="I5617">
        <v>0</v>
      </c>
      <c r="J5617">
        <v>30022.671875</v>
      </c>
      <c r="K5617">
        <v>21757.465204641099</v>
      </c>
      <c r="L5617">
        <v>26.492000000000001</v>
      </c>
      <c r="M5617">
        <v>66.546000000000006</v>
      </c>
      <c r="N5617">
        <v>13.122</v>
      </c>
    </row>
    <row r="5618" spans="1:14" x14ac:dyDescent="0.45">
      <c r="A5618">
        <v>2006</v>
      </c>
      <c r="B5618" t="s">
        <v>220</v>
      </c>
      <c r="C5618">
        <v>0</v>
      </c>
      <c r="D5618">
        <v>0</v>
      </c>
      <c r="E5618">
        <v>1</v>
      </c>
      <c r="F5618">
        <v>0</v>
      </c>
      <c r="G5618">
        <v>0</v>
      </c>
      <c r="H5618">
        <v>0</v>
      </c>
      <c r="I5618">
        <v>0</v>
      </c>
      <c r="J5618">
        <v>1446.7109468655101</v>
      </c>
      <c r="K5618">
        <v>1210.6856359641899</v>
      </c>
      <c r="L5618">
        <v>83.082999999999998</v>
      </c>
      <c r="M5618">
        <v>58.341999999999999</v>
      </c>
      <c r="N5618">
        <v>95.067999999999998</v>
      </c>
    </row>
    <row r="5619" spans="1:14" x14ac:dyDescent="0.45">
      <c r="A5619">
        <v>2006</v>
      </c>
      <c r="B5619" t="s">
        <v>221</v>
      </c>
      <c r="C5619">
        <v>0</v>
      </c>
      <c r="D5619">
        <v>0</v>
      </c>
      <c r="E5619">
        <v>0</v>
      </c>
      <c r="F5619">
        <v>0</v>
      </c>
      <c r="G5619">
        <v>0</v>
      </c>
      <c r="H5619">
        <v>1</v>
      </c>
      <c r="I5619">
        <v>1</v>
      </c>
      <c r="J5619">
        <v>54373.737695386</v>
      </c>
      <c r="K5619">
        <v>49848.648710654801</v>
      </c>
      <c r="L5619">
        <v>18.795999999999999</v>
      </c>
      <c r="M5619">
        <v>74.762</v>
      </c>
      <c r="N5619">
        <v>15.548999999999999</v>
      </c>
    </row>
    <row r="5620" spans="1:14" x14ac:dyDescent="0.45">
      <c r="A5620">
        <v>2006</v>
      </c>
      <c r="B5620" t="s">
        <v>222</v>
      </c>
      <c r="C5620">
        <v>0</v>
      </c>
      <c r="D5620">
        <v>0</v>
      </c>
      <c r="E5620">
        <v>1</v>
      </c>
      <c r="F5620">
        <v>0</v>
      </c>
      <c r="G5620">
        <v>0</v>
      </c>
      <c r="H5620">
        <v>0</v>
      </c>
      <c r="I5620">
        <v>0</v>
      </c>
      <c r="J5620">
        <v>4299.97412109375</v>
      </c>
      <c r="K5620">
        <v>4502.6399606642499</v>
      </c>
      <c r="L5620">
        <v>67.186999999999998</v>
      </c>
      <c r="M5620">
        <v>60.4</v>
      </c>
      <c r="N5620">
        <v>88.415999999999997</v>
      </c>
    </row>
    <row r="5621" spans="1:14" x14ac:dyDescent="0.45">
      <c r="A5621">
        <v>2006</v>
      </c>
      <c r="B5621" t="s">
        <v>223</v>
      </c>
      <c r="C5621">
        <v>0</v>
      </c>
      <c r="D5621">
        <v>0</v>
      </c>
      <c r="E5621">
        <v>1</v>
      </c>
      <c r="F5621">
        <v>0</v>
      </c>
      <c r="G5621">
        <v>0</v>
      </c>
      <c r="H5621">
        <v>0</v>
      </c>
      <c r="I5621">
        <v>0</v>
      </c>
      <c r="J5621">
        <v>3301.0315241419298</v>
      </c>
      <c r="K5621">
        <v>2757.81050490095</v>
      </c>
      <c r="L5621">
        <v>57.875999999999998</v>
      </c>
      <c r="M5621">
        <v>61.801000000000002</v>
      </c>
      <c r="N5621">
        <v>85.936999999999998</v>
      </c>
    </row>
    <row r="5622" spans="1:14" x14ac:dyDescent="0.45">
      <c r="A5622">
        <v>2006</v>
      </c>
      <c r="B5622" t="s">
        <v>224</v>
      </c>
      <c r="C5622">
        <v>0</v>
      </c>
      <c r="D5622">
        <v>0</v>
      </c>
      <c r="E5622">
        <v>0</v>
      </c>
      <c r="F5622">
        <v>0</v>
      </c>
      <c r="G5622">
        <v>0</v>
      </c>
      <c r="H5622">
        <v>1</v>
      </c>
      <c r="I5622">
        <v>1</v>
      </c>
      <c r="J5622">
        <v>86463.828383660701</v>
      </c>
      <c r="K5622">
        <v>71076.493170353104</v>
      </c>
      <c r="L5622">
        <v>0</v>
      </c>
      <c r="M5622">
        <v>80.64</v>
      </c>
      <c r="N5622">
        <v>2.952</v>
      </c>
    </row>
    <row r="5623" spans="1:14" x14ac:dyDescent="0.45">
      <c r="A5623">
        <v>2006</v>
      </c>
      <c r="B5623" t="s">
        <v>225</v>
      </c>
      <c r="C5623">
        <v>0</v>
      </c>
      <c r="D5623">
        <v>0</v>
      </c>
      <c r="E5623">
        <v>0</v>
      </c>
      <c r="F5623">
        <v>0</v>
      </c>
      <c r="G5623">
        <v>0</v>
      </c>
      <c r="H5623">
        <v>0</v>
      </c>
      <c r="I5623">
        <v>0</v>
      </c>
      <c r="J5623">
        <v>2340.6604589811</v>
      </c>
      <c r="K5623">
        <v>2117.2981595725</v>
      </c>
      <c r="L5623">
        <v>81.741</v>
      </c>
      <c r="M5623">
        <v>67.968000000000004</v>
      </c>
      <c r="N5623">
        <v>28.773</v>
      </c>
    </row>
    <row r="5624" spans="1:14" x14ac:dyDescent="0.45">
      <c r="A5624">
        <v>2006</v>
      </c>
      <c r="B5624" t="s">
        <v>226</v>
      </c>
      <c r="C5624">
        <v>0</v>
      </c>
      <c r="D5624">
        <v>0</v>
      </c>
      <c r="E5624">
        <v>1</v>
      </c>
      <c r="F5624">
        <v>0</v>
      </c>
      <c r="G5624">
        <v>0</v>
      </c>
      <c r="H5624">
        <v>0</v>
      </c>
      <c r="I5624">
        <v>0</v>
      </c>
      <c r="J5624">
        <v>2344.8622450073799</v>
      </c>
      <c r="K5624">
        <v>2128.36247529913</v>
      </c>
      <c r="L5624">
        <v>62.697000000000003</v>
      </c>
      <c r="M5624">
        <v>49.546999999999997</v>
      </c>
      <c r="N5624">
        <v>188.58</v>
      </c>
    </row>
    <row r="5625" spans="1:14" x14ac:dyDescent="0.45">
      <c r="A5625">
        <v>2006</v>
      </c>
      <c r="B5625" t="s">
        <v>227</v>
      </c>
      <c r="C5625">
        <v>0</v>
      </c>
      <c r="D5625">
        <v>1</v>
      </c>
      <c r="E5625">
        <v>0</v>
      </c>
      <c r="F5625">
        <v>1</v>
      </c>
      <c r="G5625">
        <v>0</v>
      </c>
      <c r="H5625">
        <v>0</v>
      </c>
      <c r="I5625">
        <v>0</v>
      </c>
      <c r="J5625">
        <v>8404.2467490314302</v>
      </c>
      <c r="K5625">
        <v>7486.0861145921299</v>
      </c>
      <c r="L5625">
        <v>37.813000000000002</v>
      </c>
      <c r="M5625">
        <v>69.611999999999995</v>
      </c>
      <c r="N5625">
        <v>23.710999999999999</v>
      </c>
    </row>
    <row r="5626" spans="1:14" x14ac:dyDescent="0.45">
      <c r="A5626">
        <v>2006</v>
      </c>
      <c r="B5626" t="s">
        <v>228</v>
      </c>
      <c r="C5626">
        <v>1</v>
      </c>
      <c r="D5626">
        <v>0</v>
      </c>
      <c r="E5626">
        <v>0</v>
      </c>
      <c r="F5626">
        <v>0</v>
      </c>
      <c r="G5626">
        <v>0</v>
      </c>
      <c r="H5626">
        <v>1</v>
      </c>
      <c r="I5626">
        <v>1</v>
      </c>
      <c r="J5626">
        <v>83781.547393613</v>
      </c>
      <c r="K5626">
        <v>73842.905331985094</v>
      </c>
      <c r="L5626">
        <v>5.2640000000000002</v>
      </c>
      <c r="M5626">
        <v>82.257999999999996</v>
      </c>
      <c r="N5626">
        <v>3.3959999999999999</v>
      </c>
    </row>
    <row r="5627" spans="1:14" x14ac:dyDescent="0.45">
      <c r="A5627">
        <v>2006</v>
      </c>
      <c r="B5627" t="s">
        <v>229</v>
      </c>
      <c r="C5627">
        <v>0</v>
      </c>
      <c r="D5627">
        <v>0</v>
      </c>
      <c r="E5627">
        <v>1</v>
      </c>
      <c r="F5627">
        <v>0</v>
      </c>
      <c r="G5627">
        <v>0</v>
      </c>
      <c r="H5627">
        <v>0</v>
      </c>
      <c r="I5627">
        <v>0</v>
      </c>
      <c r="J5627">
        <v>857.68580305354806</v>
      </c>
      <c r="K5627">
        <v>795.53298661103997</v>
      </c>
      <c r="L5627">
        <v>62.9</v>
      </c>
      <c r="M5627">
        <v>50.914999999999999</v>
      </c>
      <c r="N5627">
        <v>169.191</v>
      </c>
    </row>
    <row r="5628" spans="1:14" x14ac:dyDescent="0.45">
      <c r="A5628">
        <v>2006</v>
      </c>
      <c r="B5628" t="s">
        <v>230</v>
      </c>
      <c r="C5628">
        <v>1</v>
      </c>
      <c r="D5628">
        <v>0</v>
      </c>
      <c r="E5628">
        <v>0</v>
      </c>
      <c r="F5628">
        <v>0</v>
      </c>
      <c r="G5628">
        <v>1</v>
      </c>
      <c r="H5628">
        <v>0</v>
      </c>
      <c r="I5628">
        <v>0</v>
      </c>
      <c r="J5628">
        <v>15726.524816965801</v>
      </c>
      <c r="K5628">
        <v>13828.7069690684</v>
      </c>
      <c r="L5628">
        <v>45.895000000000003</v>
      </c>
      <c r="M5628">
        <v>73.394999999999996</v>
      </c>
      <c r="N5628">
        <v>8.4640000000000004</v>
      </c>
    </row>
    <row r="5629" spans="1:14" x14ac:dyDescent="0.45">
      <c r="A5629">
        <v>2006</v>
      </c>
      <c r="B5629" t="s">
        <v>231</v>
      </c>
      <c r="C5629">
        <v>0</v>
      </c>
      <c r="D5629">
        <v>0</v>
      </c>
      <c r="E5629">
        <v>1</v>
      </c>
      <c r="F5629">
        <v>1</v>
      </c>
      <c r="G5629">
        <v>0</v>
      </c>
      <c r="H5629">
        <v>0</v>
      </c>
      <c r="I5629">
        <v>0</v>
      </c>
      <c r="L5629">
        <v>82.712999999999994</v>
      </c>
      <c r="M5629">
        <v>54.652999999999999</v>
      </c>
      <c r="N5629">
        <v>134.631</v>
      </c>
    </row>
    <row r="5630" spans="1:14" x14ac:dyDescent="0.45">
      <c r="A5630">
        <v>2006</v>
      </c>
      <c r="B5630" t="s">
        <v>232</v>
      </c>
      <c r="C5630">
        <v>0</v>
      </c>
      <c r="D5630">
        <v>0</v>
      </c>
      <c r="E5630">
        <v>1</v>
      </c>
      <c r="F5630">
        <v>0</v>
      </c>
      <c r="G5630">
        <v>0</v>
      </c>
      <c r="H5630">
        <v>0</v>
      </c>
      <c r="I5630">
        <v>0</v>
      </c>
      <c r="J5630">
        <v>4644.1804466999101</v>
      </c>
      <c r="K5630">
        <v>2890.4649112985198</v>
      </c>
      <c r="L5630">
        <v>39.652000000000001</v>
      </c>
      <c r="M5630">
        <v>63.040999999999997</v>
      </c>
      <c r="N5630">
        <v>51.125999999999998</v>
      </c>
    </row>
    <row r="5631" spans="1:14" x14ac:dyDescent="0.45">
      <c r="A5631">
        <v>2006</v>
      </c>
      <c r="B5631" t="s">
        <v>233</v>
      </c>
      <c r="C5631">
        <v>0</v>
      </c>
      <c r="D5631">
        <v>1</v>
      </c>
      <c r="E5631">
        <v>0</v>
      </c>
      <c r="F5631">
        <v>1</v>
      </c>
      <c r="G5631">
        <v>0</v>
      </c>
      <c r="H5631">
        <v>0</v>
      </c>
      <c r="I5631">
        <v>0</v>
      </c>
      <c r="J5631">
        <v>20113.6707547695</v>
      </c>
      <c r="K5631">
        <v>16010.0721323539</v>
      </c>
      <c r="L5631">
        <v>33.384999999999998</v>
      </c>
      <c r="M5631">
        <v>67.643000000000001</v>
      </c>
      <c r="N5631">
        <v>25.876999999999999</v>
      </c>
    </row>
    <row r="5632" spans="1:14" x14ac:dyDescent="0.45">
      <c r="A5632">
        <v>2006</v>
      </c>
      <c r="B5632" t="s">
        <v>234</v>
      </c>
      <c r="C5632">
        <v>1</v>
      </c>
      <c r="D5632">
        <v>0</v>
      </c>
      <c r="E5632">
        <v>0</v>
      </c>
      <c r="F5632">
        <v>0</v>
      </c>
      <c r="G5632">
        <v>1</v>
      </c>
      <c r="H5632">
        <v>0</v>
      </c>
      <c r="I5632">
        <v>0</v>
      </c>
      <c r="J5632">
        <v>25331.824397473501</v>
      </c>
      <c r="K5632">
        <v>21817.865517911599</v>
      </c>
      <c r="L5632">
        <v>44.588000000000001</v>
      </c>
      <c r="M5632">
        <v>74.415999999999997</v>
      </c>
      <c r="N5632">
        <v>7.9210000000000003</v>
      </c>
    </row>
    <row r="5633" spans="1:14" x14ac:dyDescent="0.45">
      <c r="A5633">
        <v>2006</v>
      </c>
      <c r="B5633" t="s">
        <v>235</v>
      </c>
      <c r="C5633">
        <v>1</v>
      </c>
      <c r="D5633">
        <v>0</v>
      </c>
      <c r="E5633">
        <v>0</v>
      </c>
      <c r="F5633">
        <v>0</v>
      </c>
      <c r="G5633">
        <v>0</v>
      </c>
      <c r="H5633">
        <v>1</v>
      </c>
      <c r="I5633">
        <v>1</v>
      </c>
      <c r="J5633">
        <v>37548.8841971027</v>
      </c>
      <c r="K5633">
        <v>32322.255675033601</v>
      </c>
      <c r="L5633">
        <v>48.241999999999997</v>
      </c>
      <c r="M5633">
        <v>77.819999999999993</v>
      </c>
      <c r="N5633">
        <v>4.3959999999999999</v>
      </c>
    </row>
    <row r="5634" spans="1:14" x14ac:dyDescent="0.45">
      <c r="A5634">
        <v>2006</v>
      </c>
      <c r="B5634" t="s">
        <v>236</v>
      </c>
      <c r="C5634">
        <v>1</v>
      </c>
      <c r="D5634">
        <v>0</v>
      </c>
      <c r="E5634">
        <v>0</v>
      </c>
      <c r="F5634">
        <v>0</v>
      </c>
      <c r="G5634">
        <v>0</v>
      </c>
      <c r="H5634">
        <v>1</v>
      </c>
      <c r="I5634">
        <v>1</v>
      </c>
      <c r="J5634">
        <v>55381.395684103401</v>
      </c>
      <c r="K5634">
        <v>47307.810083042503</v>
      </c>
      <c r="L5634">
        <v>15.57</v>
      </c>
      <c r="M5634">
        <v>80.831999999999994</v>
      </c>
      <c r="N5634">
        <v>3.532</v>
      </c>
    </row>
    <row r="5635" spans="1:14" x14ac:dyDescent="0.45">
      <c r="A5635">
        <v>2006</v>
      </c>
      <c r="B5635" t="s">
        <v>237</v>
      </c>
      <c r="C5635">
        <v>0</v>
      </c>
      <c r="D5635">
        <v>0</v>
      </c>
      <c r="E5635">
        <v>1</v>
      </c>
      <c r="F5635">
        <v>1</v>
      </c>
      <c r="G5635">
        <v>0</v>
      </c>
      <c r="H5635">
        <v>0</v>
      </c>
      <c r="I5635">
        <v>0</v>
      </c>
      <c r="J5635">
        <v>7582.7575745640397</v>
      </c>
      <c r="K5635">
        <v>6714.5332214309401</v>
      </c>
      <c r="L5635">
        <v>78.09</v>
      </c>
      <c r="M5635">
        <v>44.563000000000002</v>
      </c>
      <c r="N5635">
        <v>110.196</v>
      </c>
    </row>
    <row r="5636" spans="1:14" x14ac:dyDescent="0.45">
      <c r="A5636">
        <v>2006</v>
      </c>
      <c r="B5636" t="s">
        <v>238</v>
      </c>
      <c r="C5636">
        <v>0</v>
      </c>
      <c r="D5636">
        <v>1</v>
      </c>
      <c r="E5636">
        <v>0</v>
      </c>
      <c r="F5636">
        <v>0</v>
      </c>
      <c r="G5636">
        <v>0</v>
      </c>
      <c r="H5636">
        <v>1</v>
      </c>
      <c r="I5636">
        <v>1</v>
      </c>
      <c r="L5636">
        <v>0</v>
      </c>
      <c r="M5636">
        <v>74.778999999999996</v>
      </c>
      <c r="N5636">
        <v>18.518000000000001</v>
      </c>
    </row>
    <row r="5637" spans="1:14" x14ac:dyDescent="0.45">
      <c r="A5637">
        <v>2006</v>
      </c>
      <c r="B5637" t="s">
        <v>239</v>
      </c>
      <c r="C5637">
        <v>0</v>
      </c>
      <c r="D5637">
        <v>0</v>
      </c>
      <c r="E5637">
        <v>1</v>
      </c>
      <c r="F5637">
        <v>0</v>
      </c>
      <c r="G5637">
        <v>1</v>
      </c>
      <c r="H5637">
        <v>0</v>
      </c>
      <c r="I5637">
        <v>0</v>
      </c>
      <c r="J5637">
        <v>21341.8597526003</v>
      </c>
      <c r="K5637">
        <v>20719.741979066301</v>
      </c>
      <c r="L5637">
        <v>48.030999999999999</v>
      </c>
      <c r="M5637">
        <v>72.046999999999997</v>
      </c>
      <c r="N5637">
        <v>13.859</v>
      </c>
    </row>
    <row r="5638" spans="1:14" x14ac:dyDescent="0.45">
      <c r="A5638">
        <v>2006</v>
      </c>
      <c r="B5638" t="s">
        <v>240</v>
      </c>
      <c r="C5638">
        <v>0</v>
      </c>
      <c r="D5638">
        <v>0</v>
      </c>
      <c r="E5638">
        <v>0</v>
      </c>
      <c r="F5638">
        <v>1</v>
      </c>
      <c r="G5638">
        <v>0</v>
      </c>
      <c r="H5638">
        <v>0</v>
      </c>
      <c r="I5638">
        <v>0</v>
      </c>
      <c r="J5638">
        <v>8885.8053963037291</v>
      </c>
      <c r="K5638">
        <v>5828.4434834819704</v>
      </c>
      <c r="L5638">
        <v>45.853999999999999</v>
      </c>
      <c r="M5638">
        <v>73.040000000000006</v>
      </c>
      <c r="N5638">
        <v>19.841000000000001</v>
      </c>
    </row>
    <row r="5639" spans="1:14" x14ac:dyDescent="0.45">
      <c r="A5639">
        <v>2006</v>
      </c>
      <c r="B5639" t="s">
        <v>241</v>
      </c>
      <c r="C5639">
        <v>0</v>
      </c>
      <c r="D5639">
        <v>1</v>
      </c>
      <c r="E5639">
        <v>0</v>
      </c>
      <c r="F5639">
        <v>0</v>
      </c>
      <c r="G5639">
        <v>0</v>
      </c>
      <c r="H5639">
        <v>1</v>
      </c>
      <c r="I5639">
        <v>1</v>
      </c>
      <c r="L5639">
        <v>11.718999999999999</v>
      </c>
      <c r="M5639">
        <v>76.197000000000003</v>
      </c>
      <c r="N5639">
        <v>8.4260000000000002</v>
      </c>
    </row>
    <row r="5640" spans="1:14" x14ac:dyDescent="0.45">
      <c r="A5640">
        <v>2006</v>
      </c>
      <c r="B5640" t="s">
        <v>242</v>
      </c>
      <c r="C5640">
        <v>0</v>
      </c>
      <c r="D5640">
        <v>0</v>
      </c>
      <c r="E5640">
        <v>1</v>
      </c>
      <c r="F5640">
        <v>0</v>
      </c>
      <c r="G5640">
        <v>0</v>
      </c>
      <c r="H5640">
        <v>0</v>
      </c>
      <c r="I5640">
        <v>0</v>
      </c>
      <c r="J5640">
        <v>2586.9878908005398</v>
      </c>
      <c r="K5640">
        <v>2173.16342192721</v>
      </c>
      <c r="L5640">
        <v>78.165999999999997</v>
      </c>
      <c r="M5640">
        <v>48.747</v>
      </c>
      <c r="N5640">
        <v>163.75200000000001</v>
      </c>
    </row>
    <row r="5641" spans="1:14" x14ac:dyDescent="0.45">
      <c r="A5641">
        <v>2006</v>
      </c>
      <c r="B5641" t="s">
        <v>243</v>
      </c>
      <c r="C5641">
        <v>0</v>
      </c>
      <c r="D5641">
        <v>0</v>
      </c>
      <c r="E5641">
        <v>1</v>
      </c>
      <c r="F5641">
        <v>0</v>
      </c>
      <c r="G5641">
        <v>0</v>
      </c>
      <c r="H5641">
        <v>0</v>
      </c>
      <c r="I5641">
        <v>0</v>
      </c>
      <c r="J5641">
        <v>1941.1729901686199</v>
      </c>
      <c r="K5641">
        <v>1613.1880207193999</v>
      </c>
      <c r="L5641">
        <v>64.350999999999999</v>
      </c>
      <c r="M5641">
        <v>56.142000000000003</v>
      </c>
      <c r="N5641">
        <v>100.41200000000001</v>
      </c>
    </row>
    <row r="5642" spans="1:14" x14ac:dyDescent="0.45">
      <c r="A5642">
        <v>2006</v>
      </c>
      <c r="B5642" t="s">
        <v>244</v>
      </c>
      <c r="C5642">
        <v>0</v>
      </c>
      <c r="D5642">
        <v>0</v>
      </c>
      <c r="E5642">
        <v>0</v>
      </c>
      <c r="F5642">
        <v>1</v>
      </c>
      <c r="G5642">
        <v>0</v>
      </c>
      <c r="H5642">
        <v>0</v>
      </c>
      <c r="I5642">
        <v>0</v>
      </c>
      <c r="J5642">
        <v>15051.0606748719</v>
      </c>
      <c r="K5642">
        <v>13162.560067066799</v>
      </c>
      <c r="L5642">
        <v>61.326999999999998</v>
      </c>
      <c r="M5642">
        <v>73.340999999999994</v>
      </c>
      <c r="N5642">
        <v>15.476000000000001</v>
      </c>
    </row>
    <row r="5643" spans="1:14" x14ac:dyDescent="0.45">
      <c r="A5643">
        <v>2006</v>
      </c>
      <c r="B5643" t="s">
        <v>245</v>
      </c>
      <c r="C5643">
        <v>1</v>
      </c>
      <c r="D5643">
        <v>0</v>
      </c>
      <c r="E5643">
        <v>0</v>
      </c>
      <c r="F5643">
        <v>0</v>
      </c>
      <c r="G5643">
        <v>0</v>
      </c>
      <c r="H5643">
        <v>0</v>
      </c>
      <c r="I5643">
        <v>0</v>
      </c>
      <c r="J5643">
        <v>2063.2885082429998</v>
      </c>
      <c r="K5643">
        <v>1879.1094774145599</v>
      </c>
      <c r="L5643">
        <v>73.488</v>
      </c>
      <c r="M5643">
        <v>66.997</v>
      </c>
      <c r="N5643">
        <v>53.381</v>
      </c>
    </row>
    <row r="5644" spans="1:14" x14ac:dyDescent="0.45">
      <c r="A5644">
        <v>2006</v>
      </c>
      <c r="B5644" t="s">
        <v>246</v>
      </c>
      <c r="C5644">
        <v>1</v>
      </c>
      <c r="D5644">
        <v>0</v>
      </c>
      <c r="E5644">
        <v>0</v>
      </c>
      <c r="F5644">
        <v>1</v>
      </c>
      <c r="G5644">
        <v>0</v>
      </c>
      <c r="H5644">
        <v>0</v>
      </c>
      <c r="I5644">
        <v>0</v>
      </c>
      <c r="J5644">
        <v>6476.8280570055103</v>
      </c>
      <c r="K5644">
        <v>6096.1131254193097</v>
      </c>
      <c r="L5644">
        <v>52.692</v>
      </c>
      <c r="M5644">
        <v>66.573999999999998</v>
      </c>
      <c r="N5644">
        <v>49.996000000000002</v>
      </c>
    </row>
    <row r="5645" spans="1:14" x14ac:dyDescent="0.45">
      <c r="A5645">
        <v>2006</v>
      </c>
      <c r="B5645" t="s">
        <v>247</v>
      </c>
      <c r="C5645">
        <v>0</v>
      </c>
      <c r="D5645">
        <v>0</v>
      </c>
      <c r="E5645">
        <v>0</v>
      </c>
      <c r="F5645">
        <v>0</v>
      </c>
      <c r="G5645">
        <v>0</v>
      </c>
      <c r="H5645">
        <v>0</v>
      </c>
      <c r="I5645">
        <v>0</v>
      </c>
      <c r="J5645">
        <v>3040.40523140601</v>
      </c>
      <c r="K5645">
        <v>2453.1894058778298</v>
      </c>
      <c r="L5645">
        <v>73.626000000000005</v>
      </c>
      <c r="M5645">
        <v>61.881</v>
      </c>
      <c r="N5645">
        <v>84.173000000000002</v>
      </c>
    </row>
    <row r="5646" spans="1:14" x14ac:dyDescent="0.45">
      <c r="A5646">
        <v>2006</v>
      </c>
      <c r="B5646" t="s">
        <v>248</v>
      </c>
      <c r="C5646">
        <v>0</v>
      </c>
      <c r="D5646">
        <v>0</v>
      </c>
      <c r="E5646">
        <v>0</v>
      </c>
      <c r="F5646">
        <v>1</v>
      </c>
      <c r="G5646">
        <v>0</v>
      </c>
      <c r="H5646">
        <v>0</v>
      </c>
      <c r="I5646">
        <v>0</v>
      </c>
      <c r="J5646">
        <v>5670.9141842869303</v>
      </c>
      <c r="K5646">
        <v>5133.4888517888203</v>
      </c>
      <c r="L5646">
        <v>76.816000000000003</v>
      </c>
      <c r="M5646">
        <v>70.709999999999994</v>
      </c>
      <c r="N5646">
        <v>14.44</v>
      </c>
    </row>
    <row r="5647" spans="1:14" x14ac:dyDescent="0.45">
      <c r="A5647">
        <v>2006</v>
      </c>
      <c r="B5647" t="s">
        <v>249</v>
      </c>
      <c r="C5647">
        <v>0</v>
      </c>
      <c r="D5647">
        <v>1</v>
      </c>
      <c r="E5647">
        <v>0</v>
      </c>
      <c r="F5647">
        <v>0</v>
      </c>
      <c r="G5647">
        <v>0</v>
      </c>
      <c r="H5647">
        <v>1</v>
      </c>
      <c r="I5647">
        <v>1</v>
      </c>
      <c r="J5647">
        <v>33391.537293865898</v>
      </c>
      <c r="K5647">
        <v>27868.3441230545</v>
      </c>
      <c r="L5647">
        <v>45.220999999999997</v>
      </c>
      <c r="M5647">
        <v>70.436999999999998</v>
      </c>
      <c r="N5647">
        <v>24.989000000000001</v>
      </c>
    </row>
    <row r="5648" spans="1:14" x14ac:dyDescent="0.45">
      <c r="A5648">
        <v>2006</v>
      </c>
      <c r="B5648" t="s">
        <v>250</v>
      </c>
      <c r="C5648">
        <v>0</v>
      </c>
      <c r="D5648">
        <v>0</v>
      </c>
      <c r="E5648">
        <v>0</v>
      </c>
      <c r="F5648">
        <v>1</v>
      </c>
      <c r="G5648">
        <v>0</v>
      </c>
      <c r="H5648">
        <v>0</v>
      </c>
      <c r="I5648">
        <v>0</v>
      </c>
      <c r="J5648">
        <v>10983.9101271039</v>
      </c>
      <c r="K5648">
        <v>9572.2941967039606</v>
      </c>
      <c r="L5648">
        <v>34.475999999999999</v>
      </c>
      <c r="M5648">
        <v>73.888000000000005</v>
      </c>
      <c r="N5648">
        <v>21.138000000000002</v>
      </c>
    </row>
    <row r="5649" spans="1:14" x14ac:dyDescent="0.45">
      <c r="A5649">
        <v>2006</v>
      </c>
      <c r="B5649" t="s">
        <v>251</v>
      </c>
      <c r="C5649">
        <v>1</v>
      </c>
      <c r="D5649">
        <v>0</v>
      </c>
      <c r="E5649">
        <v>0</v>
      </c>
      <c r="F5649">
        <v>0</v>
      </c>
      <c r="G5649">
        <v>1</v>
      </c>
      <c r="H5649">
        <v>0</v>
      </c>
      <c r="I5649">
        <v>0</v>
      </c>
      <c r="J5649">
        <v>18693.901038526899</v>
      </c>
      <c r="K5649">
        <v>18743.9102241662</v>
      </c>
      <c r="L5649">
        <v>31.55</v>
      </c>
      <c r="M5649">
        <v>73.804000000000002</v>
      </c>
      <c r="N5649">
        <v>23.946000000000002</v>
      </c>
    </row>
    <row r="5650" spans="1:14" x14ac:dyDescent="0.45">
      <c r="A5650">
        <v>2006</v>
      </c>
      <c r="B5650" t="s">
        <v>252</v>
      </c>
      <c r="C5650">
        <v>0</v>
      </c>
      <c r="D5650">
        <v>0</v>
      </c>
      <c r="E5650">
        <v>0</v>
      </c>
      <c r="F5650">
        <v>1</v>
      </c>
      <c r="G5650">
        <v>0</v>
      </c>
      <c r="H5650">
        <v>0</v>
      </c>
      <c r="I5650">
        <v>0</v>
      </c>
      <c r="J5650">
        <v>3532.3994257371901</v>
      </c>
      <c r="K5650">
        <v>3195.6007391934299</v>
      </c>
      <c r="L5650">
        <v>49.279000000000003</v>
      </c>
      <c r="M5650">
        <v>64.247</v>
      </c>
      <c r="N5650">
        <v>36.445</v>
      </c>
    </row>
    <row r="5651" spans="1:14" x14ac:dyDescent="0.45">
      <c r="A5651">
        <v>2006</v>
      </c>
      <c r="B5651" t="s">
        <v>253</v>
      </c>
      <c r="C5651">
        <v>0</v>
      </c>
      <c r="D5651">
        <v>0</v>
      </c>
      <c r="E5651">
        <v>0</v>
      </c>
      <c r="F5651">
        <v>0</v>
      </c>
      <c r="G5651">
        <v>0</v>
      </c>
      <c r="H5651">
        <v>1</v>
      </c>
      <c r="I5651">
        <v>1</v>
      </c>
      <c r="L5651">
        <v>56.131999999999998</v>
      </c>
      <c r="M5651">
        <v>77.844999999999999</v>
      </c>
      <c r="N5651">
        <v>6.4880000000000004</v>
      </c>
    </row>
    <row r="5652" spans="1:14" x14ac:dyDescent="0.45">
      <c r="A5652">
        <v>2006</v>
      </c>
      <c r="B5652" t="s">
        <v>254</v>
      </c>
      <c r="C5652">
        <v>0</v>
      </c>
      <c r="D5652">
        <v>0</v>
      </c>
      <c r="E5652">
        <v>1</v>
      </c>
      <c r="F5652">
        <v>0</v>
      </c>
      <c r="G5652">
        <v>0</v>
      </c>
      <c r="H5652">
        <v>0</v>
      </c>
      <c r="I5652">
        <v>0</v>
      </c>
      <c r="J5652">
        <v>2334.1044921875</v>
      </c>
      <c r="K5652">
        <v>1738.5967965770601</v>
      </c>
      <c r="L5652">
        <v>74.522000000000006</v>
      </c>
      <c r="M5652">
        <v>58.512</v>
      </c>
      <c r="N5652">
        <v>87.486999999999995</v>
      </c>
    </row>
    <row r="5653" spans="1:14" x14ac:dyDescent="0.45">
      <c r="A5653">
        <v>2006</v>
      </c>
      <c r="B5653" t="s">
        <v>255</v>
      </c>
      <c r="C5653">
        <v>0</v>
      </c>
      <c r="D5653">
        <v>0</v>
      </c>
      <c r="E5653">
        <v>1</v>
      </c>
      <c r="F5653">
        <v>0</v>
      </c>
      <c r="G5653">
        <v>0</v>
      </c>
      <c r="H5653">
        <v>0</v>
      </c>
      <c r="I5653">
        <v>0</v>
      </c>
      <c r="J5653">
        <v>1898.9791528047899</v>
      </c>
      <c r="K5653">
        <v>1610.91265645311</v>
      </c>
      <c r="L5653">
        <v>82.575000000000003</v>
      </c>
      <c r="M5653">
        <v>56.118000000000002</v>
      </c>
      <c r="N5653">
        <v>99.77</v>
      </c>
    </row>
    <row r="5654" spans="1:14" x14ac:dyDescent="0.45">
      <c r="A5654">
        <v>2006</v>
      </c>
      <c r="B5654" t="s">
        <v>256</v>
      </c>
      <c r="C5654">
        <v>1</v>
      </c>
      <c r="D5654">
        <v>0</v>
      </c>
      <c r="E5654">
        <v>0</v>
      </c>
      <c r="F5654">
        <v>1</v>
      </c>
      <c r="G5654">
        <v>0</v>
      </c>
      <c r="H5654">
        <v>0</v>
      </c>
      <c r="I5654">
        <v>0</v>
      </c>
      <c r="J5654">
        <v>16901.5078125</v>
      </c>
      <c r="K5654">
        <v>11954.1919648643</v>
      </c>
      <c r="L5654">
        <v>32.030999999999999</v>
      </c>
      <c r="M5654">
        <v>67.489999999999995</v>
      </c>
      <c r="N5654">
        <v>13.125</v>
      </c>
    </row>
    <row r="5655" spans="1:14" x14ac:dyDescent="0.45">
      <c r="A5655">
        <v>2006</v>
      </c>
      <c r="B5655" t="s">
        <v>257</v>
      </c>
      <c r="C5655">
        <v>0</v>
      </c>
      <c r="D5655">
        <v>1</v>
      </c>
      <c r="E5655">
        <v>0</v>
      </c>
      <c r="F5655">
        <v>0</v>
      </c>
      <c r="G5655">
        <v>1</v>
      </c>
      <c r="H5655">
        <v>0</v>
      </c>
      <c r="I5655">
        <v>0</v>
      </c>
      <c r="J5655">
        <v>19560.081755640502</v>
      </c>
      <c r="K5655">
        <v>15514.4422519079</v>
      </c>
      <c r="L5655">
        <v>6.4470000000000001</v>
      </c>
      <c r="M5655">
        <v>75.888000000000005</v>
      </c>
      <c r="N5655">
        <v>13.02</v>
      </c>
    </row>
    <row r="5656" spans="1:14" x14ac:dyDescent="0.45">
      <c r="A5656">
        <v>2006</v>
      </c>
      <c r="B5656" t="s">
        <v>258</v>
      </c>
      <c r="C5656">
        <v>0</v>
      </c>
      <c r="D5656">
        <v>0</v>
      </c>
      <c r="E5656">
        <v>0</v>
      </c>
      <c r="F5656">
        <v>0</v>
      </c>
      <c r="G5656">
        <v>0</v>
      </c>
      <c r="H5656">
        <v>1</v>
      </c>
      <c r="I5656">
        <v>1</v>
      </c>
      <c r="J5656">
        <v>60676.565568931197</v>
      </c>
      <c r="K5656">
        <v>55074.5778254611</v>
      </c>
      <c r="L5656">
        <v>19.901</v>
      </c>
      <c r="M5656">
        <v>77.798000000000002</v>
      </c>
      <c r="N5656">
        <v>8.1519999999999992</v>
      </c>
    </row>
    <row r="5657" spans="1:14" x14ac:dyDescent="0.45">
      <c r="A5657">
        <v>2006</v>
      </c>
      <c r="B5657" t="s">
        <v>259</v>
      </c>
      <c r="C5657">
        <v>1</v>
      </c>
      <c r="D5657">
        <v>0</v>
      </c>
      <c r="E5657">
        <v>0</v>
      </c>
      <c r="F5657">
        <v>0</v>
      </c>
      <c r="G5657">
        <v>0</v>
      </c>
      <c r="H5657">
        <v>0</v>
      </c>
      <c r="I5657">
        <v>0</v>
      </c>
      <c r="J5657">
        <v>4413.7228122726601</v>
      </c>
      <c r="K5657">
        <v>4288.09502824213</v>
      </c>
      <c r="L5657">
        <v>50.978999999999999</v>
      </c>
      <c r="M5657">
        <v>67.905000000000001</v>
      </c>
      <c r="N5657">
        <v>42.186999999999998</v>
      </c>
    </row>
    <row r="5658" spans="1:14" x14ac:dyDescent="0.45">
      <c r="A5658">
        <v>2006</v>
      </c>
      <c r="B5658" t="s">
        <v>260</v>
      </c>
      <c r="C5658">
        <v>0</v>
      </c>
      <c r="D5658">
        <v>1</v>
      </c>
      <c r="E5658">
        <v>0</v>
      </c>
      <c r="F5658">
        <v>0</v>
      </c>
      <c r="G5658">
        <v>1</v>
      </c>
      <c r="H5658">
        <v>0</v>
      </c>
      <c r="I5658">
        <v>0</v>
      </c>
      <c r="J5658">
        <v>13233.4068930431</v>
      </c>
      <c r="K5658">
        <v>11565.483882923199</v>
      </c>
      <c r="L5658">
        <v>52.588000000000001</v>
      </c>
      <c r="M5658">
        <v>70.433999999999997</v>
      </c>
      <c r="N5658">
        <v>24.835999999999999</v>
      </c>
    </row>
    <row r="5659" spans="1:14" x14ac:dyDescent="0.45">
      <c r="A5659">
        <v>2006</v>
      </c>
      <c r="B5659" t="s">
        <v>261</v>
      </c>
      <c r="C5659">
        <v>0</v>
      </c>
      <c r="D5659">
        <v>1</v>
      </c>
      <c r="E5659">
        <v>0</v>
      </c>
      <c r="F5659">
        <v>0</v>
      </c>
      <c r="G5659">
        <v>1</v>
      </c>
      <c r="H5659">
        <v>0</v>
      </c>
      <c r="I5659">
        <v>0</v>
      </c>
      <c r="L5659">
        <v>12.02</v>
      </c>
      <c r="M5659">
        <v>72.971999999999994</v>
      </c>
      <c r="N5659">
        <v>18.268000000000001</v>
      </c>
    </row>
    <row r="5660" spans="1:14" x14ac:dyDescent="0.45">
      <c r="A5660">
        <v>2006</v>
      </c>
      <c r="B5660" t="s">
        <v>262</v>
      </c>
      <c r="C5660">
        <v>0</v>
      </c>
      <c r="D5660">
        <v>1</v>
      </c>
      <c r="E5660">
        <v>0</v>
      </c>
      <c r="F5660">
        <v>0</v>
      </c>
      <c r="G5660">
        <v>0</v>
      </c>
      <c r="H5660">
        <v>1</v>
      </c>
      <c r="I5660">
        <v>1</v>
      </c>
      <c r="L5660">
        <v>56.482999999999997</v>
      </c>
      <c r="M5660">
        <v>75.745000000000005</v>
      </c>
      <c r="N5660">
        <v>15.853999999999999</v>
      </c>
    </row>
    <row r="5661" spans="1:14" x14ac:dyDescent="0.45">
      <c r="A5661">
        <v>2006</v>
      </c>
      <c r="B5661" t="s">
        <v>263</v>
      </c>
      <c r="C5661">
        <v>0</v>
      </c>
      <c r="D5661">
        <v>1</v>
      </c>
      <c r="E5661">
        <v>0</v>
      </c>
      <c r="F5661">
        <v>0</v>
      </c>
      <c r="G5661">
        <v>0</v>
      </c>
      <c r="H5661">
        <v>1</v>
      </c>
      <c r="I5661">
        <v>1</v>
      </c>
      <c r="J5661">
        <v>59911.722445316198</v>
      </c>
      <c r="K5661">
        <v>46921.3162272298</v>
      </c>
      <c r="L5661">
        <v>6.1390000000000002</v>
      </c>
      <c r="M5661">
        <v>72.478999999999999</v>
      </c>
      <c r="N5661">
        <v>10.996</v>
      </c>
    </row>
    <row r="5662" spans="1:14" x14ac:dyDescent="0.45">
      <c r="A5662">
        <v>2006</v>
      </c>
      <c r="B5662" t="s">
        <v>264</v>
      </c>
      <c r="C5662">
        <v>0</v>
      </c>
      <c r="D5662">
        <v>0</v>
      </c>
      <c r="E5662">
        <v>0</v>
      </c>
      <c r="F5662">
        <v>0</v>
      </c>
      <c r="G5662">
        <v>0</v>
      </c>
      <c r="H5662">
        <v>0</v>
      </c>
      <c r="I5662">
        <v>0</v>
      </c>
      <c r="J5662">
        <v>6098.2449543651401</v>
      </c>
      <c r="K5662">
        <v>5434.0417442444996</v>
      </c>
      <c r="L5662">
        <v>72.111999999999995</v>
      </c>
      <c r="M5662">
        <v>73.293000000000006</v>
      </c>
      <c r="N5662">
        <v>24.908999999999999</v>
      </c>
    </row>
    <row r="5663" spans="1:14" x14ac:dyDescent="0.45">
      <c r="A5663">
        <v>2006</v>
      </c>
      <c r="B5663" t="s">
        <v>265</v>
      </c>
      <c r="C5663">
        <v>0</v>
      </c>
      <c r="D5663">
        <v>0</v>
      </c>
      <c r="E5663">
        <v>0</v>
      </c>
      <c r="F5663">
        <v>1</v>
      </c>
      <c r="G5663">
        <v>0</v>
      </c>
      <c r="H5663">
        <v>0</v>
      </c>
      <c r="I5663">
        <v>0</v>
      </c>
      <c r="J5663">
        <v>3270.7023752762402</v>
      </c>
      <c r="K5663">
        <v>2958.6817707529399</v>
      </c>
      <c r="L5663">
        <v>76.608000000000004</v>
      </c>
      <c r="M5663">
        <v>69.126000000000005</v>
      </c>
      <c r="N5663">
        <v>26.491</v>
      </c>
    </row>
    <row r="5664" spans="1:14" x14ac:dyDescent="0.45">
      <c r="A5664">
        <v>2006</v>
      </c>
      <c r="B5664" t="s">
        <v>266</v>
      </c>
      <c r="C5664">
        <v>0</v>
      </c>
      <c r="D5664">
        <v>0</v>
      </c>
      <c r="E5664">
        <v>0</v>
      </c>
      <c r="F5664">
        <v>1</v>
      </c>
      <c r="G5664">
        <v>0</v>
      </c>
      <c r="H5664">
        <v>0</v>
      </c>
      <c r="I5664">
        <v>0</v>
      </c>
      <c r="J5664">
        <v>6017.4770426427203</v>
      </c>
      <c r="K5664">
        <v>5443.4178317700498</v>
      </c>
      <c r="L5664">
        <v>79.019000000000005</v>
      </c>
      <c r="M5664">
        <v>71.62</v>
      </c>
      <c r="N5664">
        <v>19.318999999999999</v>
      </c>
    </row>
    <row r="5665" spans="1:14" x14ac:dyDescent="0.45">
      <c r="A5665">
        <v>2006</v>
      </c>
      <c r="B5665" t="s">
        <v>267</v>
      </c>
      <c r="C5665">
        <v>1</v>
      </c>
      <c r="D5665">
        <v>0</v>
      </c>
      <c r="E5665">
        <v>0</v>
      </c>
      <c r="F5665">
        <v>0</v>
      </c>
      <c r="G5665">
        <v>1</v>
      </c>
      <c r="H5665">
        <v>0</v>
      </c>
      <c r="I5665">
        <v>0</v>
      </c>
      <c r="J5665">
        <v>6285.0278646693996</v>
      </c>
      <c r="K5665">
        <v>5704.7503226115996</v>
      </c>
      <c r="L5665">
        <v>45.895000000000003</v>
      </c>
      <c r="M5665">
        <v>73.63</v>
      </c>
      <c r="N5665">
        <v>28.030999999999999</v>
      </c>
    </row>
    <row r="5666" spans="1:14" x14ac:dyDescent="0.45">
      <c r="A5666">
        <v>2006</v>
      </c>
      <c r="B5666" t="s">
        <v>268</v>
      </c>
      <c r="C5666">
        <v>0</v>
      </c>
      <c r="D5666">
        <v>0</v>
      </c>
      <c r="E5666">
        <v>0</v>
      </c>
      <c r="F5666">
        <v>0</v>
      </c>
      <c r="G5666">
        <v>0</v>
      </c>
      <c r="H5666">
        <v>0</v>
      </c>
      <c r="I5666">
        <v>0</v>
      </c>
      <c r="L5666">
        <v>70.510000000000005</v>
      </c>
      <c r="M5666">
        <v>65.8</v>
      </c>
      <c r="N5666">
        <v>67.662999999999997</v>
      </c>
    </row>
    <row r="5667" spans="1:14" x14ac:dyDescent="0.45">
      <c r="A5667">
        <v>2006</v>
      </c>
      <c r="B5667" t="s">
        <v>269</v>
      </c>
      <c r="C5667">
        <v>0</v>
      </c>
      <c r="D5667">
        <v>0</v>
      </c>
      <c r="E5667">
        <v>1</v>
      </c>
      <c r="F5667">
        <v>0</v>
      </c>
      <c r="G5667">
        <v>1</v>
      </c>
      <c r="H5667">
        <v>0</v>
      </c>
      <c r="I5667">
        <v>0</v>
      </c>
      <c r="J5667">
        <v>13460.689422510301</v>
      </c>
      <c r="K5667">
        <v>12673.792772611299</v>
      </c>
      <c r="L5667">
        <v>39.923000000000002</v>
      </c>
      <c r="M5667">
        <v>54.22</v>
      </c>
      <c r="N5667">
        <v>73.808000000000007</v>
      </c>
    </row>
    <row r="5668" spans="1:14" x14ac:dyDescent="0.45">
      <c r="A5668">
        <v>2006</v>
      </c>
      <c r="B5668" t="s">
        <v>270</v>
      </c>
      <c r="C5668">
        <v>0</v>
      </c>
      <c r="D5668">
        <v>0</v>
      </c>
      <c r="E5668">
        <v>1</v>
      </c>
      <c r="F5668">
        <v>0</v>
      </c>
      <c r="G5668">
        <v>0</v>
      </c>
      <c r="H5668">
        <v>0</v>
      </c>
      <c r="I5668">
        <v>0</v>
      </c>
      <c r="J5668">
        <v>2673.4615192852898</v>
      </c>
      <c r="K5668">
        <v>2509.9987754070698</v>
      </c>
      <c r="L5668">
        <v>62.604999999999997</v>
      </c>
      <c r="M5668">
        <v>52.692999999999998</v>
      </c>
      <c r="N5668">
        <v>100.65600000000001</v>
      </c>
    </row>
    <row r="5669" spans="1:14" x14ac:dyDescent="0.45">
      <c r="A5669">
        <v>2006</v>
      </c>
      <c r="B5669" t="s">
        <v>271</v>
      </c>
      <c r="C5669">
        <v>0</v>
      </c>
      <c r="D5669">
        <v>0</v>
      </c>
      <c r="E5669">
        <v>1</v>
      </c>
      <c r="F5669">
        <v>0</v>
      </c>
      <c r="G5669">
        <v>0</v>
      </c>
      <c r="H5669">
        <v>0</v>
      </c>
      <c r="I5669">
        <v>0</v>
      </c>
      <c r="J5669">
        <v>2519.8273743602199</v>
      </c>
      <c r="K5669">
        <v>1677.79149569628</v>
      </c>
      <c r="L5669">
        <v>66.073999999999998</v>
      </c>
      <c r="M5669">
        <v>47.055999999999997</v>
      </c>
      <c r="N5669">
        <v>91.852999999999994</v>
      </c>
    </row>
    <row r="5670" spans="1:14" x14ac:dyDescent="0.45">
      <c r="A5670">
        <v>2007</v>
      </c>
      <c r="B5670" t="s">
        <v>54</v>
      </c>
      <c r="C5670">
        <v>0</v>
      </c>
      <c r="D5670">
        <v>1</v>
      </c>
      <c r="E5670">
        <v>0</v>
      </c>
      <c r="F5670">
        <v>0</v>
      </c>
      <c r="G5670">
        <v>0</v>
      </c>
      <c r="H5670">
        <v>1</v>
      </c>
      <c r="I5670">
        <v>1</v>
      </c>
      <c r="J5670">
        <v>41272.279392440003</v>
      </c>
      <c r="K5670">
        <v>40166.483546837197</v>
      </c>
      <c r="L5670">
        <v>55.853000000000002</v>
      </c>
      <c r="M5670">
        <v>73.641999999999996</v>
      </c>
      <c r="N5670">
        <v>19.093</v>
      </c>
    </row>
    <row r="5671" spans="1:14" x14ac:dyDescent="0.45">
      <c r="A5671">
        <v>2007</v>
      </c>
      <c r="B5671" t="s">
        <v>55</v>
      </c>
      <c r="C5671">
        <v>0</v>
      </c>
      <c r="D5671">
        <v>0</v>
      </c>
      <c r="E5671">
        <v>0</v>
      </c>
      <c r="F5671">
        <v>0</v>
      </c>
      <c r="G5671">
        <v>0</v>
      </c>
      <c r="H5671">
        <v>0</v>
      </c>
      <c r="I5671">
        <v>0</v>
      </c>
      <c r="J5671">
        <v>2155.3530678441298</v>
      </c>
      <c r="K5671">
        <v>1704.8651468952801</v>
      </c>
      <c r="L5671">
        <v>76.887</v>
      </c>
      <c r="M5671">
        <v>58.956000000000003</v>
      </c>
      <c r="N5671">
        <v>100.529</v>
      </c>
    </row>
    <row r="5672" spans="1:14" x14ac:dyDescent="0.45">
      <c r="A5672">
        <v>2007</v>
      </c>
      <c r="B5672" t="s">
        <v>56</v>
      </c>
      <c r="C5672">
        <v>0</v>
      </c>
      <c r="D5672">
        <v>0</v>
      </c>
      <c r="E5672">
        <v>1</v>
      </c>
      <c r="F5672">
        <v>1</v>
      </c>
      <c r="G5672">
        <v>0</v>
      </c>
      <c r="H5672">
        <v>0</v>
      </c>
      <c r="I5672">
        <v>0</v>
      </c>
      <c r="J5672">
        <v>9263.9807029334097</v>
      </c>
      <c r="K5672">
        <v>7164.3068457579202</v>
      </c>
      <c r="L5672">
        <v>42.475999999999999</v>
      </c>
      <c r="M5672">
        <v>54.2</v>
      </c>
      <c r="N5672">
        <v>145.26</v>
      </c>
    </row>
    <row r="5673" spans="1:14" x14ac:dyDescent="0.45">
      <c r="A5673">
        <v>2007</v>
      </c>
      <c r="B5673" t="s">
        <v>57</v>
      </c>
      <c r="C5673">
        <v>1</v>
      </c>
      <c r="D5673">
        <v>0</v>
      </c>
      <c r="E5673">
        <v>0</v>
      </c>
      <c r="F5673">
        <v>1</v>
      </c>
      <c r="G5673">
        <v>0</v>
      </c>
      <c r="H5673">
        <v>0</v>
      </c>
      <c r="I5673">
        <v>0</v>
      </c>
      <c r="J5673">
        <v>10262.378281302301</v>
      </c>
      <c r="K5673">
        <v>9297.2440114010096</v>
      </c>
      <c r="L5673">
        <v>51.097999999999999</v>
      </c>
      <c r="M5673">
        <v>77.691000000000003</v>
      </c>
      <c r="N5673">
        <v>17.006</v>
      </c>
    </row>
    <row r="5674" spans="1:14" x14ac:dyDescent="0.45">
      <c r="A5674">
        <v>2007</v>
      </c>
      <c r="B5674" t="s">
        <v>58</v>
      </c>
      <c r="C5674">
        <v>1</v>
      </c>
      <c r="D5674">
        <v>0</v>
      </c>
      <c r="E5674">
        <v>0</v>
      </c>
      <c r="F5674">
        <v>0</v>
      </c>
      <c r="G5674">
        <v>0</v>
      </c>
      <c r="H5674">
        <v>1</v>
      </c>
      <c r="I5674">
        <v>1</v>
      </c>
      <c r="J5674">
        <v>65534.116855517103</v>
      </c>
      <c r="K5674">
        <v>55010.886492105499</v>
      </c>
      <c r="L5674">
        <v>10.692</v>
      </c>
      <c r="M5674">
        <v>83.632000000000005</v>
      </c>
      <c r="N5674">
        <v>6.3150000000000004</v>
      </c>
    </row>
    <row r="5675" spans="1:14" x14ac:dyDescent="0.45">
      <c r="A5675">
        <v>2007</v>
      </c>
      <c r="B5675" t="s">
        <v>59</v>
      </c>
      <c r="C5675">
        <v>0</v>
      </c>
      <c r="D5675">
        <v>0</v>
      </c>
      <c r="E5675">
        <v>0</v>
      </c>
      <c r="F5675">
        <v>0</v>
      </c>
      <c r="G5675">
        <v>0</v>
      </c>
      <c r="H5675">
        <v>1</v>
      </c>
      <c r="I5675">
        <v>1</v>
      </c>
      <c r="J5675">
        <v>84581.865807161099</v>
      </c>
      <c r="K5675">
        <v>83564.235177083407</v>
      </c>
      <c r="L5675">
        <v>16.977</v>
      </c>
      <c r="M5675">
        <v>81.438000000000002</v>
      </c>
      <c r="N5675">
        <v>9.359</v>
      </c>
    </row>
    <row r="5676" spans="1:14" x14ac:dyDescent="0.45">
      <c r="A5676">
        <v>2007</v>
      </c>
      <c r="B5676" t="s">
        <v>60</v>
      </c>
      <c r="C5676">
        <v>0</v>
      </c>
      <c r="D5676">
        <v>1</v>
      </c>
      <c r="E5676">
        <v>0</v>
      </c>
      <c r="F5676">
        <v>0</v>
      </c>
      <c r="G5676">
        <v>1</v>
      </c>
      <c r="H5676">
        <v>0</v>
      </c>
      <c r="I5676">
        <v>0</v>
      </c>
      <c r="J5676">
        <v>26850.664593277099</v>
      </c>
      <c r="K5676">
        <v>22160.1163823317</v>
      </c>
      <c r="L5676">
        <v>9.6340000000000003</v>
      </c>
      <c r="M5676">
        <v>74.783000000000001</v>
      </c>
      <c r="N5676">
        <v>16.738</v>
      </c>
    </row>
    <row r="5677" spans="1:14" x14ac:dyDescent="0.45">
      <c r="A5677">
        <v>2007</v>
      </c>
      <c r="B5677" t="s">
        <v>61</v>
      </c>
      <c r="C5677">
        <v>1</v>
      </c>
      <c r="D5677">
        <v>0</v>
      </c>
      <c r="E5677">
        <v>0</v>
      </c>
      <c r="F5677">
        <v>1</v>
      </c>
      <c r="G5677">
        <v>0</v>
      </c>
      <c r="H5677">
        <v>0</v>
      </c>
      <c r="I5677">
        <v>0</v>
      </c>
      <c r="J5677">
        <v>10898.8483795634</v>
      </c>
      <c r="K5677">
        <v>9232.4278827167509</v>
      </c>
      <c r="L5677">
        <v>36.261000000000003</v>
      </c>
      <c r="M5677">
        <v>72.358999999999995</v>
      </c>
      <c r="N5677">
        <v>21.683</v>
      </c>
    </row>
    <row r="5678" spans="1:14" x14ac:dyDescent="0.45">
      <c r="A5678">
        <v>2007</v>
      </c>
      <c r="B5678" t="s">
        <v>62</v>
      </c>
      <c r="C5678">
        <v>0</v>
      </c>
      <c r="D5678">
        <v>0</v>
      </c>
      <c r="E5678">
        <v>0</v>
      </c>
      <c r="F5678">
        <v>0</v>
      </c>
      <c r="G5678">
        <v>1</v>
      </c>
      <c r="H5678">
        <v>0</v>
      </c>
      <c r="I5678">
        <v>0</v>
      </c>
      <c r="L5678">
        <v>12.1</v>
      </c>
      <c r="M5678">
        <v>72.364999999999995</v>
      </c>
      <c r="N5678">
        <v>11.565</v>
      </c>
    </row>
    <row r="5679" spans="1:14" x14ac:dyDescent="0.45">
      <c r="A5679">
        <v>2007</v>
      </c>
      <c r="B5679" t="s">
        <v>63</v>
      </c>
      <c r="C5679">
        <v>0</v>
      </c>
      <c r="D5679">
        <v>1</v>
      </c>
      <c r="E5679">
        <v>0</v>
      </c>
      <c r="F5679">
        <v>0</v>
      </c>
      <c r="G5679">
        <v>0</v>
      </c>
      <c r="H5679">
        <v>1</v>
      </c>
      <c r="I5679">
        <v>1</v>
      </c>
      <c r="J5679">
        <v>33245.267860676497</v>
      </c>
      <c r="K5679">
        <v>26183.867616166001</v>
      </c>
      <c r="L5679">
        <v>71.998000000000005</v>
      </c>
      <c r="M5679">
        <v>75.72</v>
      </c>
      <c r="N5679">
        <v>12.68</v>
      </c>
    </row>
    <row r="5680" spans="1:14" x14ac:dyDescent="0.45">
      <c r="A5680">
        <v>2007</v>
      </c>
      <c r="B5680" t="s">
        <v>64</v>
      </c>
      <c r="C5680">
        <v>0</v>
      </c>
      <c r="D5680">
        <v>0</v>
      </c>
      <c r="E5680">
        <v>0</v>
      </c>
      <c r="F5680">
        <v>0</v>
      </c>
      <c r="G5680">
        <v>0</v>
      </c>
      <c r="H5680">
        <v>1</v>
      </c>
      <c r="I5680">
        <v>1</v>
      </c>
      <c r="J5680">
        <v>51562.094012556001</v>
      </c>
      <c r="K5680">
        <v>44660.589761306102</v>
      </c>
      <c r="L5680">
        <v>15.178000000000001</v>
      </c>
      <c r="M5680">
        <v>81.231999999999999</v>
      </c>
      <c r="N5680">
        <v>5.1239999999999997</v>
      </c>
    </row>
    <row r="5681" spans="1:14" x14ac:dyDescent="0.45">
      <c r="A5681">
        <v>2007</v>
      </c>
      <c r="B5681" t="s">
        <v>65</v>
      </c>
      <c r="C5681">
        <v>1</v>
      </c>
      <c r="D5681">
        <v>0</v>
      </c>
      <c r="E5681">
        <v>0</v>
      </c>
      <c r="F5681">
        <v>0</v>
      </c>
      <c r="G5681">
        <v>0</v>
      </c>
      <c r="H5681">
        <v>1</v>
      </c>
      <c r="I5681">
        <v>1</v>
      </c>
      <c r="J5681">
        <v>60544.634044048398</v>
      </c>
      <c r="K5681">
        <v>51593.4449627957</v>
      </c>
      <c r="L5681">
        <v>41.750999999999998</v>
      </c>
      <c r="M5681">
        <v>80.165999999999997</v>
      </c>
      <c r="N5681">
        <v>4.3319999999999999</v>
      </c>
    </row>
    <row r="5682" spans="1:14" x14ac:dyDescent="0.45">
      <c r="A5682">
        <v>2007</v>
      </c>
      <c r="B5682" t="s">
        <v>66</v>
      </c>
      <c r="C5682">
        <v>1</v>
      </c>
      <c r="D5682">
        <v>0</v>
      </c>
      <c r="E5682">
        <v>0</v>
      </c>
      <c r="F5682">
        <v>1</v>
      </c>
      <c r="G5682">
        <v>0</v>
      </c>
      <c r="H5682">
        <v>0</v>
      </c>
      <c r="I5682">
        <v>0</v>
      </c>
      <c r="J5682">
        <v>16587.3657125149</v>
      </c>
      <c r="K5682">
        <v>12079.1246524404</v>
      </c>
      <c r="L5682">
        <v>47.21</v>
      </c>
      <c r="M5682">
        <v>68.659000000000006</v>
      </c>
      <c r="N5682">
        <v>46.268999999999998</v>
      </c>
    </row>
    <row r="5683" spans="1:14" x14ac:dyDescent="0.45">
      <c r="A5683">
        <v>2007</v>
      </c>
      <c r="B5683" t="s">
        <v>67</v>
      </c>
      <c r="C5683">
        <v>0</v>
      </c>
      <c r="D5683">
        <v>0</v>
      </c>
      <c r="E5683">
        <v>1</v>
      </c>
      <c r="F5683">
        <v>0</v>
      </c>
      <c r="G5683">
        <v>0</v>
      </c>
      <c r="H5683">
        <v>0</v>
      </c>
      <c r="I5683">
        <v>0</v>
      </c>
      <c r="J5683">
        <v>951.29008255663803</v>
      </c>
      <c r="K5683">
        <v>822.01284553309404</v>
      </c>
      <c r="L5683">
        <v>90.135999999999996</v>
      </c>
      <c r="M5683">
        <v>54.832000000000001</v>
      </c>
      <c r="N5683">
        <v>109.129</v>
      </c>
    </row>
    <row r="5684" spans="1:14" x14ac:dyDescent="0.45">
      <c r="A5684">
        <v>2007</v>
      </c>
      <c r="B5684" t="s">
        <v>68</v>
      </c>
      <c r="C5684">
        <v>1</v>
      </c>
      <c r="D5684">
        <v>0</v>
      </c>
      <c r="E5684">
        <v>0</v>
      </c>
      <c r="F5684">
        <v>0</v>
      </c>
      <c r="G5684">
        <v>0</v>
      </c>
      <c r="H5684">
        <v>1</v>
      </c>
      <c r="I5684">
        <v>1</v>
      </c>
      <c r="J5684">
        <v>57008.601385935901</v>
      </c>
      <c r="K5684">
        <v>47973.685918245297</v>
      </c>
      <c r="L5684">
        <v>2.4950000000000001</v>
      </c>
      <c r="M5684">
        <v>79.528000000000006</v>
      </c>
      <c r="N5684">
        <v>4.9649999999999999</v>
      </c>
    </row>
    <row r="5685" spans="1:14" x14ac:dyDescent="0.45">
      <c r="A5685">
        <v>2007</v>
      </c>
      <c r="B5685" t="s">
        <v>69</v>
      </c>
      <c r="C5685">
        <v>0</v>
      </c>
      <c r="D5685">
        <v>0</v>
      </c>
      <c r="E5685">
        <v>1</v>
      </c>
      <c r="F5685">
        <v>0</v>
      </c>
      <c r="G5685">
        <v>0</v>
      </c>
      <c r="H5685">
        <v>0</v>
      </c>
      <c r="I5685">
        <v>0</v>
      </c>
      <c r="J5685">
        <v>2729.1374139035202</v>
      </c>
      <c r="K5685">
        <v>2589.2742645806202</v>
      </c>
      <c r="L5685">
        <v>58.442</v>
      </c>
      <c r="M5685">
        <v>58.249000000000002</v>
      </c>
      <c r="N5685">
        <v>116.14400000000001</v>
      </c>
    </row>
    <row r="5686" spans="1:14" x14ac:dyDescent="0.45">
      <c r="A5686">
        <v>2007</v>
      </c>
      <c r="B5686" t="s">
        <v>70</v>
      </c>
      <c r="C5686">
        <v>0</v>
      </c>
      <c r="D5686">
        <v>0</v>
      </c>
      <c r="E5686">
        <v>1</v>
      </c>
      <c r="F5686">
        <v>0</v>
      </c>
      <c r="G5686">
        <v>0</v>
      </c>
      <c r="H5686">
        <v>0</v>
      </c>
      <c r="I5686">
        <v>0</v>
      </c>
      <c r="J5686">
        <v>1731.93046335077</v>
      </c>
      <c r="K5686">
        <v>1584.60741271186</v>
      </c>
      <c r="L5686">
        <v>77.004000000000005</v>
      </c>
      <c r="M5686">
        <v>54.377000000000002</v>
      </c>
      <c r="N5686">
        <v>140.244</v>
      </c>
    </row>
    <row r="5687" spans="1:14" x14ac:dyDescent="0.45">
      <c r="A5687">
        <v>2007</v>
      </c>
      <c r="B5687" t="s">
        <v>71</v>
      </c>
      <c r="C5687">
        <v>0</v>
      </c>
      <c r="D5687">
        <v>0</v>
      </c>
      <c r="E5687">
        <v>0</v>
      </c>
      <c r="F5687">
        <v>0</v>
      </c>
      <c r="G5687">
        <v>0</v>
      </c>
      <c r="H5687">
        <v>0</v>
      </c>
      <c r="I5687">
        <v>0</v>
      </c>
      <c r="J5687">
        <v>3608.9154381939902</v>
      </c>
      <c r="K5687">
        <v>2934.0286365163602</v>
      </c>
      <c r="L5687">
        <v>71.763000000000005</v>
      </c>
      <c r="M5687">
        <v>66.457999999999998</v>
      </c>
      <c r="N5687">
        <v>58.567999999999998</v>
      </c>
    </row>
    <row r="5688" spans="1:14" x14ac:dyDescent="0.45">
      <c r="A5688">
        <v>2007</v>
      </c>
      <c r="B5688" t="s">
        <v>72</v>
      </c>
      <c r="C5688">
        <v>1</v>
      </c>
      <c r="D5688">
        <v>0</v>
      </c>
      <c r="E5688">
        <v>0</v>
      </c>
      <c r="F5688">
        <v>0</v>
      </c>
      <c r="G5688">
        <v>1</v>
      </c>
      <c r="H5688">
        <v>0</v>
      </c>
      <c r="I5688">
        <v>0</v>
      </c>
      <c r="J5688">
        <v>20432.342844573799</v>
      </c>
      <c r="K5688">
        <v>16954.747319222301</v>
      </c>
      <c r="L5688">
        <v>28.722000000000001</v>
      </c>
      <c r="M5688">
        <v>73.007999999999996</v>
      </c>
      <c r="N5688">
        <v>11.348000000000001</v>
      </c>
    </row>
    <row r="5689" spans="1:14" x14ac:dyDescent="0.45">
      <c r="A5689">
        <v>2007</v>
      </c>
      <c r="B5689" t="s">
        <v>73</v>
      </c>
      <c r="C5689">
        <v>0</v>
      </c>
      <c r="D5689">
        <v>0</v>
      </c>
      <c r="E5689">
        <v>0</v>
      </c>
      <c r="F5689">
        <v>0</v>
      </c>
      <c r="G5689">
        <v>0</v>
      </c>
      <c r="H5689">
        <v>1</v>
      </c>
      <c r="I5689">
        <v>1</v>
      </c>
      <c r="J5689">
        <v>52731.792167261803</v>
      </c>
      <c r="K5689">
        <v>49133.493217458999</v>
      </c>
      <c r="L5689">
        <v>11.512</v>
      </c>
      <c r="M5689">
        <v>76.951999999999998</v>
      </c>
      <c r="N5689">
        <v>9.8339999999999996</v>
      </c>
    </row>
    <row r="5690" spans="1:14" x14ac:dyDescent="0.45">
      <c r="A5690">
        <v>2007</v>
      </c>
      <c r="B5690" t="s">
        <v>74</v>
      </c>
      <c r="C5690">
        <v>0</v>
      </c>
      <c r="D5690">
        <v>1</v>
      </c>
      <c r="E5690">
        <v>0</v>
      </c>
      <c r="F5690">
        <v>0</v>
      </c>
      <c r="G5690">
        <v>0</v>
      </c>
      <c r="H5690">
        <v>1</v>
      </c>
      <c r="I5690">
        <v>1</v>
      </c>
      <c r="J5690">
        <v>35797.029062921203</v>
      </c>
      <c r="K5690">
        <v>37131.7565462282</v>
      </c>
      <c r="L5690">
        <v>17.698</v>
      </c>
      <c r="M5690">
        <v>73.462999999999994</v>
      </c>
      <c r="N5690">
        <v>16.349</v>
      </c>
    </row>
    <row r="5691" spans="1:14" x14ac:dyDescent="0.45">
      <c r="A5691">
        <v>2007</v>
      </c>
      <c r="B5691" t="s">
        <v>75</v>
      </c>
      <c r="C5691">
        <v>1</v>
      </c>
      <c r="D5691">
        <v>0</v>
      </c>
      <c r="E5691">
        <v>0</v>
      </c>
      <c r="F5691">
        <v>1</v>
      </c>
      <c r="G5691">
        <v>0</v>
      </c>
      <c r="H5691">
        <v>0</v>
      </c>
      <c r="I5691">
        <v>0</v>
      </c>
      <c r="J5691">
        <v>11174.759468530299</v>
      </c>
      <c r="K5691">
        <v>9653.4421446210908</v>
      </c>
      <c r="L5691">
        <v>55.399000000000001</v>
      </c>
      <c r="M5691">
        <v>76.162000000000006</v>
      </c>
      <c r="N5691">
        <v>7.1920000000000002</v>
      </c>
    </row>
    <row r="5692" spans="1:14" x14ac:dyDescent="0.45">
      <c r="A5692">
        <v>2007</v>
      </c>
      <c r="B5692" t="s">
        <v>76</v>
      </c>
      <c r="C5692">
        <v>1</v>
      </c>
      <c r="D5692">
        <v>0</v>
      </c>
      <c r="E5692">
        <v>0</v>
      </c>
      <c r="F5692">
        <v>0</v>
      </c>
      <c r="G5692">
        <v>1</v>
      </c>
      <c r="H5692">
        <v>0</v>
      </c>
      <c r="I5692">
        <v>0</v>
      </c>
      <c r="J5692">
        <v>20019.611161422599</v>
      </c>
      <c r="K5692">
        <v>14454.0605273073</v>
      </c>
      <c r="L5692">
        <v>26.727</v>
      </c>
      <c r="M5692">
        <v>69.986000000000004</v>
      </c>
      <c r="N5692">
        <v>7.2960000000000003</v>
      </c>
    </row>
    <row r="5693" spans="1:14" x14ac:dyDescent="0.45">
      <c r="A5693">
        <v>2007</v>
      </c>
      <c r="B5693" t="s">
        <v>77</v>
      </c>
      <c r="C5693">
        <v>0</v>
      </c>
      <c r="D5693">
        <v>1</v>
      </c>
      <c r="E5693">
        <v>0</v>
      </c>
      <c r="F5693">
        <v>0</v>
      </c>
      <c r="G5693">
        <v>1</v>
      </c>
      <c r="H5693">
        <v>0</v>
      </c>
      <c r="I5693">
        <v>0</v>
      </c>
      <c r="J5693">
        <v>12962.4668939683</v>
      </c>
      <c r="K5693">
        <v>10215.6317198302</v>
      </c>
      <c r="L5693">
        <v>54.720999999999997</v>
      </c>
      <c r="M5693">
        <v>70.652000000000001</v>
      </c>
      <c r="N5693">
        <v>19.995000000000001</v>
      </c>
    </row>
    <row r="5694" spans="1:14" x14ac:dyDescent="0.45">
      <c r="A5694">
        <v>2007</v>
      </c>
      <c r="B5694" t="s">
        <v>78</v>
      </c>
      <c r="C5694">
        <v>0</v>
      </c>
      <c r="D5694">
        <v>0</v>
      </c>
      <c r="E5694">
        <v>0</v>
      </c>
      <c r="F5694">
        <v>0</v>
      </c>
      <c r="G5694">
        <v>0</v>
      </c>
      <c r="H5694">
        <v>1</v>
      </c>
      <c r="I5694">
        <v>1</v>
      </c>
      <c r="J5694">
        <v>118691.07002554501</v>
      </c>
      <c r="K5694">
        <v>105452.733136015</v>
      </c>
      <c r="L5694">
        <v>0</v>
      </c>
      <c r="M5694">
        <v>79.006</v>
      </c>
      <c r="N5694">
        <v>4.8209999999999997</v>
      </c>
    </row>
    <row r="5695" spans="1:14" x14ac:dyDescent="0.45">
      <c r="A5695">
        <v>2007</v>
      </c>
      <c r="B5695" t="s">
        <v>79</v>
      </c>
      <c r="C5695">
        <v>0</v>
      </c>
      <c r="D5695">
        <v>1</v>
      </c>
      <c r="E5695">
        <v>0</v>
      </c>
      <c r="F5695">
        <v>1</v>
      </c>
      <c r="G5695">
        <v>0</v>
      </c>
      <c r="H5695">
        <v>0</v>
      </c>
      <c r="I5695">
        <v>0</v>
      </c>
      <c r="J5695">
        <v>6967.56988043206</v>
      </c>
      <c r="K5695">
        <v>6149.2302800464504</v>
      </c>
      <c r="L5695">
        <v>34.917999999999999</v>
      </c>
      <c r="M5695">
        <v>64.938999999999993</v>
      </c>
      <c r="N5695">
        <v>70.924000000000007</v>
      </c>
    </row>
    <row r="5696" spans="1:14" x14ac:dyDescent="0.45">
      <c r="A5696">
        <v>2007</v>
      </c>
      <c r="B5696" t="s">
        <v>80</v>
      </c>
      <c r="C5696">
        <v>0</v>
      </c>
      <c r="D5696">
        <v>1</v>
      </c>
      <c r="E5696">
        <v>0</v>
      </c>
      <c r="F5696">
        <v>0</v>
      </c>
      <c r="G5696">
        <v>1</v>
      </c>
      <c r="H5696">
        <v>0</v>
      </c>
      <c r="I5696">
        <v>0</v>
      </c>
      <c r="J5696">
        <v>16440.583740032002</v>
      </c>
      <c r="K5696">
        <v>13504.4457737217</v>
      </c>
      <c r="L5696">
        <v>16.552</v>
      </c>
      <c r="M5696">
        <v>72.73</v>
      </c>
      <c r="N5696">
        <v>21.977</v>
      </c>
    </row>
    <row r="5697" spans="1:14" x14ac:dyDescent="0.45">
      <c r="A5697">
        <v>2007</v>
      </c>
      <c r="B5697" t="s">
        <v>81</v>
      </c>
      <c r="C5697">
        <v>0</v>
      </c>
      <c r="D5697">
        <v>1</v>
      </c>
      <c r="E5697">
        <v>0</v>
      </c>
      <c r="F5697">
        <v>0</v>
      </c>
      <c r="G5697">
        <v>0</v>
      </c>
      <c r="H5697">
        <v>1</v>
      </c>
      <c r="I5697">
        <v>1</v>
      </c>
      <c r="J5697">
        <v>20899.991126744801</v>
      </c>
      <c r="K5697">
        <v>19961.572526202199</v>
      </c>
      <c r="L5697">
        <v>67.549000000000007</v>
      </c>
      <c r="M5697">
        <v>75.263000000000005</v>
      </c>
      <c r="N5697">
        <v>14.975</v>
      </c>
    </row>
    <row r="5698" spans="1:14" x14ac:dyDescent="0.45">
      <c r="A5698">
        <v>2007</v>
      </c>
      <c r="B5698" t="s">
        <v>82</v>
      </c>
      <c r="C5698">
        <v>0</v>
      </c>
      <c r="D5698">
        <v>0</v>
      </c>
      <c r="E5698">
        <v>0</v>
      </c>
      <c r="F5698">
        <v>0</v>
      </c>
      <c r="G5698">
        <v>0</v>
      </c>
      <c r="H5698">
        <v>1</v>
      </c>
      <c r="I5698">
        <v>1</v>
      </c>
      <c r="J5698">
        <v>96752.620263051504</v>
      </c>
      <c r="K5698">
        <v>75544.878749015901</v>
      </c>
      <c r="L5698">
        <v>26.108000000000001</v>
      </c>
      <c r="M5698">
        <v>74.793000000000006</v>
      </c>
      <c r="N5698">
        <v>9.5839999999999996</v>
      </c>
    </row>
    <row r="5699" spans="1:14" x14ac:dyDescent="0.45">
      <c r="A5699">
        <v>2007</v>
      </c>
      <c r="B5699" t="s">
        <v>83</v>
      </c>
      <c r="C5699">
        <v>0</v>
      </c>
      <c r="D5699">
        <v>0</v>
      </c>
      <c r="E5699">
        <v>0</v>
      </c>
      <c r="F5699">
        <v>1</v>
      </c>
      <c r="G5699">
        <v>0</v>
      </c>
      <c r="H5699">
        <v>0</v>
      </c>
      <c r="I5699">
        <v>0</v>
      </c>
      <c r="J5699">
        <v>8195.0707447791192</v>
      </c>
      <c r="K5699">
        <v>7097.9676217548504</v>
      </c>
      <c r="L5699">
        <v>67.531000000000006</v>
      </c>
      <c r="M5699">
        <v>67.152000000000001</v>
      </c>
      <c r="N5699">
        <v>49.131999999999998</v>
      </c>
    </row>
    <row r="5700" spans="1:14" x14ac:dyDescent="0.45">
      <c r="A5700">
        <v>2007</v>
      </c>
      <c r="B5700" t="s">
        <v>84</v>
      </c>
      <c r="C5700">
        <v>0</v>
      </c>
      <c r="D5700">
        <v>0</v>
      </c>
      <c r="E5700">
        <v>1</v>
      </c>
      <c r="F5700">
        <v>0</v>
      </c>
      <c r="G5700">
        <v>1</v>
      </c>
      <c r="H5700">
        <v>0</v>
      </c>
      <c r="I5700">
        <v>0</v>
      </c>
      <c r="J5700">
        <v>15850.234348195099</v>
      </c>
      <c r="K5700">
        <v>14341.077029316901</v>
      </c>
      <c r="L5700">
        <v>42.072000000000003</v>
      </c>
      <c r="M5700">
        <v>56.734999999999999</v>
      </c>
      <c r="N5700">
        <v>64.59</v>
      </c>
    </row>
    <row r="5701" spans="1:14" x14ac:dyDescent="0.45">
      <c r="A5701">
        <v>2007</v>
      </c>
      <c r="B5701" t="s">
        <v>85</v>
      </c>
      <c r="C5701">
        <v>0</v>
      </c>
      <c r="D5701">
        <v>0</v>
      </c>
      <c r="E5701">
        <v>1</v>
      </c>
      <c r="F5701">
        <v>0</v>
      </c>
      <c r="G5701">
        <v>0</v>
      </c>
      <c r="H5701">
        <v>0</v>
      </c>
      <c r="I5701">
        <v>0</v>
      </c>
      <c r="J5701">
        <v>1284.55283590666</v>
      </c>
      <c r="K5701">
        <v>1028.4776439478701</v>
      </c>
      <c r="L5701">
        <v>61.661000000000001</v>
      </c>
      <c r="M5701">
        <v>49.326999999999998</v>
      </c>
      <c r="N5701">
        <v>140.37</v>
      </c>
    </row>
    <row r="5702" spans="1:14" x14ac:dyDescent="0.45">
      <c r="A5702">
        <v>2007</v>
      </c>
      <c r="B5702" t="s">
        <v>86</v>
      </c>
      <c r="C5702">
        <v>0</v>
      </c>
      <c r="D5702">
        <v>0</v>
      </c>
      <c r="E5702">
        <v>0</v>
      </c>
      <c r="F5702">
        <v>0</v>
      </c>
      <c r="G5702">
        <v>0</v>
      </c>
      <c r="H5702">
        <v>1</v>
      </c>
      <c r="I5702">
        <v>1</v>
      </c>
      <c r="J5702">
        <v>53761.862029811302</v>
      </c>
      <c r="K5702">
        <v>46537.158904991004</v>
      </c>
      <c r="L5702">
        <v>19.603999999999999</v>
      </c>
      <c r="M5702">
        <v>80.542000000000002</v>
      </c>
      <c r="N5702">
        <v>5.976</v>
      </c>
    </row>
    <row r="5703" spans="1:14" x14ac:dyDescent="0.45">
      <c r="A5703">
        <v>2007</v>
      </c>
      <c r="B5703" t="s">
        <v>87</v>
      </c>
      <c r="C5703">
        <v>1</v>
      </c>
      <c r="D5703">
        <v>0</v>
      </c>
      <c r="E5703">
        <v>0</v>
      </c>
      <c r="F5703">
        <v>0</v>
      </c>
      <c r="G5703">
        <v>0</v>
      </c>
      <c r="H5703">
        <v>1</v>
      </c>
      <c r="I5703">
        <v>1</v>
      </c>
      <c r="J5703">
        <v>74234.301099193093</v>
      </c>
      <c r="K5703">
        <v>64581.384915869399</v>
      </c>
      <c r="L5703">
        <v>26.47</v>
      </c>
      <c r="M5703">
        <v>81.703000000000003</v>
      </c>
      <c r="N5703">
        <v>4.6340000000000003</v>
      </c>
    </row>
    <row r="5704" spans="1:14" x14ac:dyDescent="0.45">
      <c r="A5704">
        <v>2007</v>
      </c>
      <c r="B5704" t="s">
        <v>88</v>
      </c>
      <c r="C5704">
        <v>1</v>
      </c>
      <c r="D5704">
        <v>0</v>
      </c>
      <c r="E5704">
        <v>0</v>
      </c>
      <c r="F5704">
        <v>0</v>
      </c>
      <c r="G5704">
        <v>0</v>
      </c>
      <c r="H5704">
        <v>1</v>
      </c>
      <c r="I5704">
        <v>1</v>
      </c>
      <c r="L5704">
        <v>69.132999999999996</v>
      </c>
      <c r="M5704">
        <v>80.602336799541604</v>
      </c>
      <c r="N5704">
        <v>9.1575474634438407</v>
      </c>
    </row>
    <row r="5705" spans="1:14" x14ac:dyDescent="0.45">
      <c r="A5705">
        <v>2007</v>
      </c>
      <c r="B5705" t="s">
        <v>89</v>
      </c>
      <c r="C5705">
        <v>0</v>
      </c>
      <c r="D5705">
        <v>1</v>
      </c>
      <c r="E5705">
        <v>0</v>
      </c>
      <c r="F5705">
        <v>0</v>
      </c>
      <c r="G5705">
        <v>1</v>
      </c>
      <c r="H5705">
        <v>0</v>
      </c>
      <c r="I5705">
        <v>0</v>
      </c>
      <c r="J5705">
        <v>22878.883442878901</v>
      </c>
      <c r="K5705">
        <v>19929.3823346836</v>
      </c>
      <c r="L5705">
        <v>13.1</v>
      </c>
      <c r="M5705">
        <v>78.652000000000001</v>
      </c>
      <c r="N5705">
        <v>9.4169999999999998</v>
      </c>
    </row>
    <row r="5706" spans="1:14" x14ac:dyDescent="0.45">
      <c r="A5706">
        <v>2007</v>
      </c>
      <c r="B5706" t="s">
        <v>90</v>
      </c>
      <c r="C5706">
        <v>0</v>
      </c>
      <c r="D5706">
        <v>0</v>
      </c>
      <c r="E5706">
        <v>0</v>
      </c>
      <c r="F5706">
        <v>1</v>
      </c>
      <c r="G5706">
        <v>0</v>
      </c>
      <c r="H5706">
        <v>0</v>
      </c>
      <c r="I5706">
        <v>0</v>
      </c>
      <c r="J5706">
        <v>8013.7156830224703</v>
      </c>
      <c r="K5706">
        <v>7183.7772248777801</v>
      </c>
      <c r="L5706">
        <v>54.801000000000002</v>
      </c>
      <c r="M5706">
        <v>74.789000000000001</v>
      </c>
      <c r="N5706">
        <v>20.378</v>
      </c>
    </row>
    <row r="5707" spans="1:14" x14ac:dyDescent="0.45">
      <c r="A5707">
        <v>2007</v>
      </c>
      <c r="B5707" t="s">
        <v>91</v>
      </c>
      <c r="C5707">
        <v>0</v>
      </c>
      <c r="D5707">
        <v>0</v>
      </c>
      <c r="E5707">
        <v>1</v>
      </c>
      <c r="F5707">
        <v>0</v>
      </c>
      <c r="G5707">
        <v>0</v>
      </c>
      <c r="H5707">
        <v>0</v>
      </c>
      <c r="I5707">
        <v>0</v>
      </c>
      <c r="J5707">
        <v>3999.6909568220799</v>
      </c>
      <c r="K5707">
        <v>3376.3282112152701</v>
      </c>
      <c r="L5707">
        <v>53.929000000000002</v>
      </c>
      <c r="M5707">
        <v>53.451999999999998</v>
      </c>
      <c r="N5707">
        <v>113.876</v>
      </c>
    </row>
    <row r="5708" spans="1:14" x14ac:dyDescent="0.45">
      <c r="A5708">
        <v>2007</v>
      </c>
      <c r="B5708" t="s">
        <v>92</v>
      </c>
      <c r="C5708">
        <v>0</v>
      </c>
      <c r="D5708">
        <v>0</v>
      </c>
      <c r="E5708">
        <v>1</v>
      </c>
      <c r="F5708">
        <v>1</v>
      </c>
      <c r="G5708">
        <v>0</v>
      </c>
      <c r="H5708">
        <v>0</v>
      </c>
      <c r="I5708">
        <v>0</v>
      </c>
      <c r="J5708">
        <v>4302.6192630846999</v>
      </c>
      <c r="K5708">
        <v>3378.4707072977899</v>
      </c>
      <c r="L5708">
        <v>50.253999999999998</v>
      </c>
      <c r="M5708">
        <v>55.71</v>
      </c>
      <c r="N5708">
        <v>120.889</v>
      </c>
    </row>
    <row r="5709" spans="1:14" x14ac:dyDescent="0.45">
      <c r="A5709">
        <v>2007</v>
      </c>
      <c r="B5709" t="s">
        <v>93</v>
      </c>
      <c r="C5709">
        <v>0</v>
      </c>
      <c r="D5709">
        <v>0</v>
      </c>
      <c r="E5709">
        <v>1</v>
      </c>
      <c r="F5709">
        <v>0</v>
      </c>
      <c r="G5709">
        <v>0</v>
      </c>
      <c r="H5709">
        <v>0</v>
      </c>
      <c r="I5709">
        <v>0</v>
      </c>
      <c r="J5709">
        <v>967.05415290954397</v>
      </c>
      <c r="K5709">
        <v>774.18923938429202</v>
      </c>
      <c r="L5709">
        <v>61.53</v>
      </c>
      <c r="M5709">
        <v>54.954000000000001</v>
      </c>
      <c r="N5709">
        <v>126.783</v>
      </c>
    </row>
    <row r="5710" spans="1:14" x14ac:dyDescent="0.45">
      <c r="A5710">
        <v>2007</v>
      </c>
      <c r="B5710" t="s">
        <v>94</v>
      </c>
      <c r="C5710">
        <v>0</v>
      </c>
      <c r="D5710">
        <v>0</v>
      </c>
      <c r="E5710">
        <v>1</v>
      </c>
      <c r="F5710">
        <v>1</v>
      </c>
      <c r="G5710">
        <v>0</v>
      </c>
      <c r="H5710">
        <v>0</v>
      </c>
      <c r="I5710">
        <v>0</v>
      </c>
      <c r="J5710">
        <v>7375.8245410014497</v>
      </c>
      <c r="K5710">
        <v>4446.4805066321896</v>
      </c>
      <c r="L5710">
        <v>38.106999999999999</v>
      </c>
      <c r="M5710">
        <v>60.05</v>
      </c>
      <c r="N5710">
        <v>75.091999999999999</v>
      </c>
    </row>
    <row r="5711" spans="1:14" x14ac:dyDescent="0.45">
      <c r="A5711">
        <v>2007</v>
      </c>
      <c r="B5711" t="s">
        <v>95</v>
      </c>
      <c r="C5711">
        <v>0</v>
      </c>
      <c r="D5711">
        <v>1</v>
      </c>
      <c r="E5711">
        <v>0</v>
      </c>
      <c r="F5711">
        <v>1</v>
      </c>
      <c r="G5711">
        <v>0</v>
      </c>
      <c r="H5711">
        <v>0</v>
      </c>
      <c r="I5711">
        <v>0</v>
      </c>
      <c r="J5711">
        <v>13318.303313816799</v>
      </c>
      <c r="K5711">
        <v>11088.945659564401</v>
      </c>
      <c r="L5711">
        <v>23.184000000000001</v>
      </c>
      <c r="M5711">
        <v>73.751000000000005</v>
      </c>
      <c r="N5711">
        <v>20.292000000000002</v>
      </c>
    </row>
    <row r="5712" spans="1:14" x14ac:dyDescent="0.45">
      <c r="A5712">
        <v>2007</v>
      </c>
      <c r="B5712" t="s">
        <v>96</v>
      </c>
      <c r="C5712">
        <v>0</v>
      </c>
      <c r="D5712">
        <v>0</v>
      </c>
      <c r="E5712">
        <v>1</v>
      </c>
      <c r="F5712">
        <v>0</v>
      </c>
      <c r="G5712">
        <v>0</v>
      </c>
      <c r="H5712">
        <v>0</v>
      </c>
      <c r="I5712">
        <v>0</v>
      </c>
      <c r="J5712">
        <v>2426.5151451954998</v>
      </c>
      <c r="K5712">
        <v>2509.3263351638798</v>
      </c>
      <c r="L5712">
        <v>72.132999999999996</v>
      </c>
      <c r="M5712">
        <v>61.475000000000001</v>
      </c>
      <c r="N5712">
        <v>80.013999999999996</v>
      </c>
    </row>
    <row r="5713" spans="1:14" x14ac:dyDescent="0.45">
      <c r="A5713">
        <v>2007</v>
      </c>
      <c r="B5713" t="s">
        <v>97</v>
      </c>
      <c r="C5713">
        <v>0</v>
      </c>
      <c r="D5713">
        <v>0</v>
      </c>
      <c r="E5713">
        <v>1</v>
      </c>
      <c r="F5713">
        <v>1</v>
      </c>
      <c r="G5713">
        <v>0</v>
      </c>
      <c r="H5713">
        <v>0</v>
      </c>
      <c r="I5713">
        <v>0</v>
      </c>
      <c r="J5713">
        <v>6767.4067738034701</v>
      </c>
      <c r="K5713">
        <v>6521.8453720871903</v>
      </c>
      <c r="L5713">
        <v>40.637</v>
      </c>
      <c r="M5713">
        <v>71.486999999999995</v>
      </c>
      <c r="N5713">
        <v>26.7</v>
      </c>
    </row>
    <row r="5714" spans="1:14" x14ac:dyDescent="0.45">
      <c r="A5714">
        <v>2007</v>
      </c>
      <c r="B5714" t="s">
        <v>98</v>
      </c>
      <c r="C5714">
        <v>0</v>
      </c>
      <c r="D5714">
        <v>1</v>
      </c>
      <c r="E5714">
        <v>0</v>
      </c>
      <c r="F5714">
        <v>0</v>
      </c>
      <c r="G5714">
        <v>1</v>
      </c>
      <c r="H5714">
        <v>0</v>
      </c>
      <c r="I5714">
        <v>0</v>
      </c>
      <c r="J5714">
        <v>17743.6227382465</v>
      </c>
      <c r="K5714">
        <v>15886.8314361303</v>
      </c>
      <c r="L5714">
        <v>31.826000000000001</v>
      </c>
      <c r="M5714">
        <v>79.097999999999999</v>
      </c>
      <c r="N5714">
        <v>11.028</v>
      </c>
    </row>
    <row r="5715" spans="1:14" x14ac:dyDescent="0.45">
      <c r="A5715">
        <v>2007</v>
      </c>
      <c r="B5715" t="s">
        <v>99</v>
      </c>
      <c r="C5715">
        <v>0</v>
      </c>
      <c r="D5715">
        <v>1</v>
      </c>
      <c r="E5715">
        <v>0</v>
      </c>
      <c r="F5715">
        <v>0</v>
      </c>
      <c r="G5715">
        <v>1</v>
      </c>
      <c r="H5715">
        <v>0</v>
      </c>
      <c r="I5715">
        <v>0</v>
      </c>
      <c r="L5715">
        <v>23.68</v>
      </c>
      <c r="M5715">
        <v>77.55</v>
      </c>
      <c r="N5715">
        <v>6.7190000000000003</v>
      </c>
    </row>
    <row r="5716" spans="1:14" x14ac:dyDescent="0.45">
      <c r="A5716">
        <v>2007</v>
      </c>
      <c r="B5716" t="s">
        <v>100</v>
      </c>
      <c r="C5716">
        <v>0</v>
      </c>
      <c r="D5716">
        <v>1</v>
      </c>
      <c r="E5716">
        <v>0</v>
      </c>
      <c r="F5716">
        <v>0</v>
      </c>
      <c r="G5716">
        <v>0</v>
      </c>
      <c r="H5716">
        <v>1</v>
      </c>
      <c r="I5716">
        <v>1</v>
      </c>
      <c r="J5716">
        <v>33490.254724362501</v>
      </c>
      <c r="K5716">
        <v>27398.792864800402</v>
      </c>
      <c r="L5716">
        <v>9.7129999999999903</v>
      </c>
      <c r="M5716">
        <v>74.137</v>
      </c>
      <c r="N5716">
        <v>15.372</v>
      </c>
    </row>
    <row r="5717" spans="1:14" x14ac:dyDescent="0.45">
      <c r="A5717">
        <v>2007</v>
      </c>
      <c r="B5717" t="s">
        <v>101</v>
      </c>
      <c r="C5717">
        <v>0</v>
      </c>
      <c r="D5717">
        <v>1</v>
      </c>
      <c r="E5717">
        <v>0</v>
      </c>
      <c r="F5717">
        <v>0</v>
      </c>
      <c r="G5717">
        <v>0</v>
      </c>
      <c r="H5717">
        <v>1</v>
      </c>
      <c r="I5717">
        <v>1</v>
      </c>
      <c r="J5717">
        <v>92300.472741343197</v>
      </c>
      <c r="K5717">
        <v>84196.147135447405</v>
      </c>
      <c r="L5717">
        <v>0</v>
      </c>
      <c r="M5717">
        <v>75.152000000000001</v>
      </c>
      <c r="N5717">
        <v>5.3890000000000002</v>
      </c>
    </row>
    <row r="5718" spans="1:14" x14ac:dyDescent="0.45">
      <c r="A5718">
        <v>2007</v>
      </c>
      <c r="B5718" t="s">
        <v>102</v>
      </c>
      <c r="C5718">
        <v>1</v>
      </c>
      <c r="D5718">
        <v>0</v>
      </c>
      <c r="E5718">
        <v>0</v>
      </c>
      <c r="F5718">
        <v>0</v>
      </c>
      <c r="G5718">
        <v>0</v>
      </c>
      <c r="H5718">
        <v>1</v>
      </c>
      <c r="I5718">
        <v>1</v>
      </c>
      <c r="J5718">
        <v>43825.01953125</v>
      </c>
      <c r="K5718">
        <v>39041.174721966498</v>
      </c>
      <c r="L5718">
        <v>32.018000000000001</v>
      </c>
      <c r="M5718">
        <v>79.798000000000002</v>
      </c>
      <c r="N5718">
        <v>4.1219999999999999</v>
      </c>
    </row>
    <row r="5719" spans="1:14" x14ac:dyDescent="0.45">
      <c r="A5719">
        <v>2007</v>
      </c>
      <c r="B5719" t="s">
        <v>103</v>
      </c>
      <c r="C5719">
        <v>1</v>
      </c>
      <c r="D5719">
        <v>0</v>
      </c>
      <c r="E5719">
        <v>0</v>
      </c>
      <c r="F5719">
        <v>0</v>
      </c>
      <c r="G5719">
        <v>0</v>
      </c>
      <c r="H5719">
        <v>1</v>
      </c>
      <c r="I5719">
        <v>1</v>
      </c>
      <c r="J5719">
        <v>39629.006132472801</v>
      </c>
      <c r="K5719">
        <v>32995.211281890697</v>
      </c>
      <c r="L5719">
        <v>26.536999999999999</v>
      </c>
      <c r="M5719">
        <v>76.918999999999997</v>
      </c>
      <c r="N5719">
        <v>4.0910000000000002</v>
      </c>
    </row>
    <row r="5720" spans="1:14" x14ac:dyDescent="0.45">
      <c r="A5720">
        <v>2007</v>
      </c>
      <c r="B5720" t="s">
        <v>104</v>
      </c>
      <c r="C5720">
        <v>1</v>
      </c>
      <c r="D5720">
        <v>0</v>
      </c>
      <c r="E5720">
        <v>0</v>
      </c>
      <c r="F5720">
        <v>0</v>
      </c>
      <c r="G5720">
        <v>0</v>
      </c>
      <c r="H5720">
        <v>1</v>
      </c>
      <c r="I5720">
        <v>1</v>
      </c>
      <c r="J5720">
        <v>54941.6017527234</v>
      </c>
      <c r="K5720">
        <v>47637.232993108897</v>
      </c>
      <c r="L5720">
        <v>23.622</v>
      </c>
      <c r="M5720">
        <v>79.730999999999995</v>
      </c>
      <c r="N5720">
        <v>4.6970000000000001</v>
      </c>
    </row>
    <row r="5721" spans="1:14" x14ac:dyDescent="0.45">
      <c r="A5721">
        <v>2007</v>
      </c>
      <c r="B5721" t="s">
        <v>105</v>
      </c>
      <c r="C5721">
        <v>0</v>
      </c>
      <c r="D5721">
        <v>0</v>
      </c>
      <c r="E5721">
        <v>0</v>
      </c>
      <c r="F5721">
        <v>1</v>
      </c>
      <c r="G5721">
        <v>0</v>
      </c>
      <c r="H5721">
        <v>0</v>
      </c>
      <c r="I5721">
        <v>0</v>
      </c>
      <c r="J5721">
        <v>3843.6116969374998</v>
      </c>
      <c r="K5721">
        <v>3315.3105178871701</v>
      </c>
      <c r="L5721">
        <v>23.146999999999998</v>
      </c>
      <c r="M5721">
        <v>59.362000000000002</v>
      </c>
      <c r="N5721">
        <v>83.245999999999995</v>
      </c>
    </row>
    <row r="5722" spans="1:14" x14ac:dyDescent="0.45">
      <c r="A5722">
        <v>2007</v>
      </c>
      <c r="B5722" t="s">
        <v>106</v>
      </c>
      <c r="C5722">
        <v>0</v>
      </c>
      <c r="D5722">
        <v>1</v>
      </c>
      <c r="E5722">
        <v>0</v>
      </c>
      <c r="F5722">
        <v>0</v>
      </c>
      <c r="G5722">
        <v>1</v>
      </c>
      <c r="H5722">
        <v>0</v>
      </c>
      <c r="I5722">
        <v>0</v>
      </c>
      <c r="J5722">
        <v>16560.5179009944</v>
      </c>
      <c r="K5722">
        <v>12887.864196236</v>
      </c>
      <c r="L5722">
        <v>32.796999999999997</v>
      </c>
      <c r="M5722">
        <v>71.900999999999996</v>
      </c>
      <c r="N5722">
        <v>21.378</v>
      </c>
    </row>
    <row r="5723" spans="1:14" x14ac:dyDescent="0.45">
      <c r="A5723">
        <v>2007</v>
      </c>
      <c r="B5723" t="s">
        <v>107</v>
      </c>
      <c r="C5723">
        <v>1</v>
      </c>
      <c r="D5723">
        <v>0</v>
      </c>
      <c r="E5723">
        <v>0</v>
      </c>
      <c r="F5723">
        <v>0</v>
      </c>
      <c r="G5723">
        <v>0</v>
      </c>
      <c r="H5723">
        <v>1</v>
      </c>
      <c r="I5723">
        <v>1</v>
      </c>
      <c r="J5723">
        <v>63082.247714165198</v>
      </c>
      <c r="K5723">
        <v>53313.777995410499</v>
      </c>
      <c r="L5723">
        <v>13.707000000000001</v>
      </c>
      <c r="M5723">
        <v>78.349000000000004</v>
      </c>
      <c r="N5723">
        <v>4.74</v>
      </c>
    </row>
    <row r="5724" spans="1:14" x14ac:dyDescent="0.45">
      <c r="A5724">
        <v>2007</v>
      </c>
      <c r="B5724" t="s">
        <v>108</v>
      </c>
      <c r="C5724">
        <v>0</v>
      </c>
      <c r="D5724">
        <v>1</v>
      </c>
      <c r="E5724">
        <v>0</v>
      </c>
      <c r="F5724">
        <v>1</v>
      </c>
      <c r="G5724">
        <v>0</v>
      </c>
      <c r="H5724">
        <v>0</v>
      </c>
      <c r="I5724">
        <v>0</v>
      </c>
      <c r="J5724">
        <v>13754.9212674095</v>
      </c>
      <c r="K5724">
        <v>11881.844820902301</v>
      </c>
      <c r="L5724">
        <v>29.98</v>
      </c>
      <c r="M5724">
        <v>71.096999999999994</v>
      </c>
      <c r="N5724">
        <v>36.037999999999997</v>
      </c>
    </row>
    <row r="5725" spans="1:14" x14ac:dyDescent="0.45">
      <c r="A5725">
        <v>2007</v>
      </c>
      <c r="B5725" t="s">
        <v>109</v>
      </c>
      <c r="C5725">
        <v>0</v>
      </c>
      <c r="D5725">
        <v>0</v>
      </c>
      <c r="E5725">
        <v>0</v>
      </c>
      <c r="F5725">
        <v>1</v>
      </c>
      <c r="G5725">
        <v>0</v>
      </c>
      <c r="H5725">
        <v>0</v>
      </c>
      <c r="I5725">
        <v>0</v>
      </c>
      <c r="J5725">
        <v>14114.674519268299</v>
      </c>
      <c r="K5725">
        <v>12345.175966668099</v>
      </c>
      <c r="L5725">
        <v>34.652000000000001</v>
      </c>
      <c r="M5725">
        <v>73.346000000000004</v>
      </c>
      <c r="N5725">
        <v>31.256</v>
      </c>
    </row>
    <row r="5726" spans="1:14" x14ac:dyDescent="0.45">
      <c r="A5726">
        <v>2007</v>
      </c>
      <c r="B5726" t="s">
        <v>110</v>
      </c>
      <c r="C5726">
        <v>0</v>
      </c>
      <c r="D5726">
        <v>1</v>
      </c>
      <c r="E5726">
        <v>0</v>
      </c>
      <c r="F5726">
        <v>1</v>
      </c>
      <c r="G5726">
        <v>0</v>
      </c>
      <c r="H5726">
        <v>0</v>
      </c>
      <c r="I5726">
        <v>0</v>
      </c>
      <c r="J5726">
        <v>10952.8226853948</v>
      </c>
      <c r="K5726">
        <v>9109.9859116109292</v>
      </c>
      <c r="L5726">
        <v>37.896000000000001</v>
      </c>
      <c r="M5726">
        <v>74.225999999999999</v>
      </c>
      <c r="N5726">
        <v>21.529</v>
      </c>
    </row>
    <row r="5727" spans="1:14" x14ac:dyDescent="0.45">
      <c r="A5727">
        <v>2007</v>
      </c>
      <c r="B5727" t="s">
        <v>111</v>
      </c>
      <c r="C5727">
        <v>0</v>
      </c>
      <c r="D5727">
        <v>0</v>
      </c>
      <c r="E5727">
        <v>0</v>
      </c>
      <c r="F5727">
        <v>1</v>
      </c>
      <c r="G5727">
        <v>0</v>
      </c>
      <c r="H5727">
        <v>0</v>
      </c>
      <c r="I5727">
        <v>0</v>
      </c>
      <c r="J5727">
        <v>11782.006071796601</v>
      </c>
      <c r="K5727">
        <v>9350.0015079561708</v>
      </c>
      <c r="L5727">
        <v>56.921999999999997</v>
      </c>
      <c r="M5727">
        <v>68.626999999999995</v>
      </c>
      <c r="N5727">
        <v>32.744</v>
      </c>
    </row>
    <row r="5728" spans="1:14" x14ac:dyDescent="0.45">
      <c r="A5728">
        <v>2007</v>
      </c>
      <c r="B5728" t="s">
        <v>112</v>
      </c>
      <c r="C5728">
        <v>0</v>
      </c>
      <c r="D5728">
        <v>0</v>
      </c>
      <c r="E5728">
        <v>1</v>
      </c>
      <c r="F5728">
        <v>0</v>
      </c>
      <c r="G5728">
        <v>0</v>
      </c>
      <c r="H5728">
        <v>0</v>
      </c>
      <c r="I5728">
        <v>0</v>
      </c>
      <c r="L5728">
        <v>66.983000000000004</v>
      </c>
      <c r="M5728">
        <v>61.997999999999998</v>
      </c>
      <c r="N5728">
        <v>62.366999999999997</v>
      </c>
    </row>
    <row r="5729" spans="1:14" x14ac:dyDescent="0.45">
      <c r="A5729">
        <v>2007</v>
      </c>
      <c r="B5729" t="s">
        <v>113</v>
      </c>
      <c r="C5729">
        <v>1</v>
      </c>
      <c r="D5729">
        <v>0</v>
      </c>
      <c r="E5729">
        <v>0</v>
      </c>
      <c r="F5729">
        <v>0</v>
      </c>
      <c r="G5729">
        <v>0</v>
      </c>
      <c r="H5729">
        <v>1</v>
      </c>
      <c r="I5729">
        <v>1</v>
      </c>
      <c r="J5729">
        <v>45301.284341637402</v>
      </c>
      <c r="K5729">
        <v>39866.335058590703</v>
      </c>
      <c r="L5729">
        <v>22.26</v>
      </c>
      <c r="M5729">
        <v>80.97</v>
      </c>
      <c r="N5729">
        <v>4.22</v>
      </c>
    </row>
    <row r="5730" spans="1:14" x14ac:dyDescent="0.45">
      <c r="A5730">
        <v>2007</v>
      </c>
      <c r="B5730" t="s">
        <v>114</v>
      </c>
      <c r="C5730">
        <v>1</v>
      </c>
      <c r="D5730">
        <v>0</v>
      </c>
      <c r="E5730">
        <v>0</v>
      </c>
      <c r="F5730">
        <v>0</v>
      </c>
      <c r="G5730">
        <v>0</v>
      </c>
      <c r="H5730">
        <v>1</v>
      </c>
      <c r="I5730">
        <v>1</v>
      </c>
      <c r="J5730">
        <v>36359.466630551302</v>
      </c>
      <c r="K5730">
        <v>30847.5851062742</v>
      </c>
      <c r="L5730">
        <v>31.521000000000001</v>
      </c>
      <c r="M5730">
        <v>73.153000000000006</v>
      </c>
      <c r="N5730">
        <v>6.4950000000000001</v>
      </c>
    </row>
    <row r="5731" spans="1:14" x14ac:dyDescent="0.45">
      <c r="A5731">
        <v>2007</v>
      </c>
      <c r="B5731" t="s">
        <v>115</v>
      </c>
      <c r="C5731">
        <v>0</v>
      </c>
      <c r="D5731">
        <v>0</v>
      </c>
      <c r="E5731">
        <v>1</v>
      </c>
      <c r="F5731">
        <v>0</v>
      </c>
      <c r="G5731">
        <v>0</v>
      </c>
      <c r="H5731">
        <v>0</v>
      </c>
      <c r="I5731">
        <v>0</v>
      </c>
      <c r="J5731">
        <v>1109.14330257095</v>
      </c>
      <c r="K5731">
        <v>1000.32570001299</v>
      </c>
      <c r="L5731">
        <v>83.884</v>
      </c>
      <c r="M5731">
        <v>56.566000000000003</v>
      </c>
      <c r="N5731">
        <v>97.835999999999999</v>
      </c>
    </row>
    <row r="5732" spans="1:14" x14ac:dyDescent="0.45">
      <c r="A5732">
        <v>2007</v>
      </c>
      <c r="B5732" t="s">
        <v>116</v>
      </c>
      <c r="C5732">
        <v>1</v>
      </c>
      <c r="D5732">
        <v>0</v>
      </c>
      <c r="E5732">
        <v>0</v>
      </c>
      <c r="F5732">
        <v>0</v>
      </c>
      <c r="G5732">
        <v>0</v>
      </c>
      <c r="H5732">
        <v>1</v>
      </c>
      <c r="I5732">
        <v>1</v>
      </c>
      <c r="J5732">
        <v>57313.291647447797</v>
      </c>
      <c r="K5732">
        <v>48182.299179022099</v>
      </c>
      <c r="L5732">
        <v>16.832000000000001</v>
      </c>
      <c r="M5732">
        <v>79.391000000000005</v>
      </c>
      <c r="N5732">
        <v>3.516</v>
      </c>
    </row>
    <row r="5733" spans="1:14" x14ac:dyDescent="0.45">
      <c r="A5733">
        <v>2007</v>
      </c>
      <c r="B5733" t="s">
        <v>117</v>
      </c>
      <c r="C5733">
        <v>0</v>
      </c>
      <c r="D5733">
        <v>0</v>
      </c>
      <c r="E5733">
        <v>0</v>
      </c>
      <c r="F5733">
        <v>0</v>
      </c>
      <c r="G5733">
        <v>1</v>
      </c>
      <c r="H5733">
        <v>0</v>
      </c>
      <c r="I5733">
        <v>0</v>
      </c>
      <c r="J5733">
        <v>10050.9510042278</v>
      </c>
      <c r="K5733">
        <v>9842.9234341513202</v>
      </c>
      <c r="L5733">
        <v>49.343000000000004</v>
      </c>
      <c r="M5733">
        <v>66.161000000000001</v>
      </c>
      <c r="N5733">
        <v>23.201000000000001</v>
      </c>
    </row>
    <row r="5734" spans="1:14" x14ac:dyDescent="0.45">
      <c r="A5734">
        <v>2007</v>
      </c>
      <c r="B5734" t="s">
        <v>118</v>
      </c>
      <c r="C5734">
        <v>1</v>
      </c>
      <c r="D5734">
        <v>0</v>
      </c>
      <c r="E5734">
        <v>0</v>
      </c>
      <c r="F5734">
        <v>0</v>
      </c>
      <c r="G5734">
        <v>0</v>
      </c>
      <c r="H5734">
        <v>1</v>
      </c>
      <c r="I5734">
        <v>1</v>
      </c>
      <c r="J5734">
        <v>50157.783747763402</v>
      </c>
      <c r="K5734">
        <v>41876.672849866802</v>
      </c>
      <c r="L5734">
        <v>22.379000000000001</v>
      </c>
      <c r="M5734">
        <v>80.959999999999994</v>
      </c>
      <c r="N5734">
        <v>4.4450000000000003</v>
      </c>
    </row>
    <row r="5735" spans="1:14" x14ac:dyDescent="0.45">
      <c r="A5735">
        <v>2007</v>
      </c>
      <c r="B5735" t="s">
        <v>119</v>
      </c>
      <c r="C5735">
        <v>1</v>
      </c>
      <c r="D5735">
        <v>0</v>
      </c>
      <c r="E5735">
        <v>0</v>
      </c>
      <c r="F5735">
        <v>0</v>
      </c>
      <c r="G5735">
        <v>0</v>
      </c>
      <c r="H5735">
        <v>1</v>
      </c>
      <c r="I5735">
        <v>1</v>
      </c>
      <c r="L5735">
        <v>59.658999999999999</v>
      </c>
      <c r="M5735">
        <v>78.438999999999993</v>
      </c>
      <c r="N5735">
        <v>8.7010000000000005</v>
      </c>
    </row>
    <row r="5736" spans="1:14" x14ac:dyDescent="0.45">
      <c r="A5736">
        <v>2007</v>
      </c>
      <c r="B5736" t="s">
        <v>120</v>
      </c>
      <c r="C5736">
        <v>0</v>
      </c>
      <c r="D5736">
        <v>0</v>
      </c>
      <c r="E5736">
        <v>0</v>
      </c>
      <c r="F5736">
        <v>1</v>
      </c>
      <c r="G5736">
        <v>0</v>
      </c>
      <c r="H5736">
        <v>0</v>
      </c>
      <c r="I5736">
        <v>0</v>
      </c>
      <c r="J5736">
        <v>3727.3373196675798</v>
      </c>
      <c r="K5736">
        <v>3373.7546119212998</v>
      </c>
      <c r="L5736">
        <v>77.683000000000007</v>
      </c>
      <c r="M5736">
        <v>64.843999999999994</v>
      </c>
      <c r="N5736">
        <v>34.905999999999999</v>
      </c>
    </row>
    <row r="5737" spans="1:14" x14ac:dyDescent="0.45">
      <c r="A5737">
        <v>2007</v>
      </c>
      <c r="B5737" t="s">
        <v>121</v>
      </c>
      <c r="C5737">
        <v>0</v>
      </c>
      <c r="D5737">
        <v>0</v>
      </c>
      <c r="E5737">
        <v>1</v>
      </c>
      <c r="F5737">
        <v>0</v>
      </c>
      <c r="G5737">
        <v>1</v>
      </c>
      <c r="H5737">
        <v>0</v>
      </c>
      <c r="I5737">
        <v>0</v>
      </c>
      <c r="J5737">
        <v>19751.876221580998</v>
      </c>
      <c r="K5737">
        <v>14945.0580046182</v>
      </c>
      <c r="L5737">
        <v>16.257999999999999</v>
      </c>
      <c r="M5737">
        <v>63.619</v>
      </c>
      <c r="N5737">
        <v>68.822999999999993</v>
      </c>
    </row>
    <row r="5738" spans="1:14" x14ac:dyDescent="0.45">
      <c r="A5738">
        <v>2007</v>
      </c>
      <c r="B5738" t="s">
        <v>122</v>
      </c>
      <c r="C5738">
        <v>1</v>
      </c>
      <c r="D5738">
        <v>0</v>
      </c>
      <c r="E5738">
        <v>0</v>
      </c>
      <c r="F5738">
        <v>0</v>
      </c>
      <c r="G5738">
        <v>0</v>
      </c>
      <c r="H5738">
        <v>1</v>
      </c>
      <c r="I5738">
        <v>1</v>
      </c>
      <c r="J5738">
        <v>49472.985983283397</v>
      </c>
      <c r="K5738">
        <v>42622.4693747364</v>
      </c>
      <c r="L5738">
        <v>19.521000000000001</v>
      </c>
      <c r="M5738">
        <v>79.534000000000006</v>
      </c>
      <c r="N5738">
        <v>5.7910000000000004</v>
      </c>
    </row>
    <row r="5739" spans="1:14" x14ac:dyDescent="0.45">
      <c r="A5739">
        <v>2007</v>
      </c>
      <c r="B5739" t="s">
        <v>123</v>
      </c>
      <c r="C5739">
        <v>1</v>
      </c>
      <c r="D5739">
        <v>0</v>
      </c>
      <c r="E5739">
        <v>0</v>
      </c>
      <c r="F5739">
        <v>1</v>
      </c>
      <c r="G5739">
        <v>0</v>
      </c>
      <c r="H5739">
        <v>0</v>
      </c>
      <c r="I5739">
        <v>0</v>
      </c>
      <c r="J5739">
        <v>10567.2747164758</v>
      </c>
      <c r="K5739">
        <v>8928.1390822783906</v>
      </c>
      <c r="L5739">
        <v>45.621000000000002</v>
      </c>
      <c r="M5739">
        <v>70.984999999999999</v>
      </c>
      <c r="N5739">
        <v>19.135999999999999</v>
      </c>
    </row>
    <row r="5740" spans="1:14" x14ac:dyDescent="0.45">
      <c r="A5740">
        <v>2007</v>
      </c>
      <c r="B5740" t="s">
        <v>124</v>
      </c>
      <c r="C5740">
        <v>0</v>
      </c>
      <c r="D5740">
        <v>0</v>
      </c>
      <c r="E5740">
        <v>1</v>
      </c>
      <c r="F5740">
        <v>0</v>
      </c>
      <c r="G5740">
        <v>0</v>
      </c>
      <c r="H5740">
        <v>0</v>
      </c>
      <c r="I5740">
        <v>0</v>
      </c>
      <c r="J5740">
        <v>3923.1256780372801</v>
      </c>
      <c r="K5740">
        <v>3384.6481439097201</v>
      </c>
      <c r="L5740">
        <v>51.331000000000003</v>
      </c>
      <c r="M5740">
        <v>60.281999999999996</v>
      </c>
      <c r="N5740">
        <v>78.099000000000004</v>
      </c>
    </row>
    <row r="5741" spans="1:14" x14ac:dyDescent="0.45">
      <c r="A5741">
        <v>2007</v>
      </c>
      <c r="B5741" t="s">
        <v>125</v>
      </c>
      <c r="C5741">
        <v>1</v>
      </c>
      <c r="D5741">
        <v>0</v>
      </c>
      <c r="E5741">
        <v>0</v>
      </c>
      <c r="F5741">
        <v>0</v>
      </c>
      <c r="G5741">
        <v>0</v>
      </c>
      <c r="H5741">
        <v>1</v>
      </c>
      <c r="I5741">
        <v>1</v>
      </c>
      <c r="L5741">
        <v>0</v>
      </c>
      <c r="M5741">
        <v>81.269000000000005</v>
      </c>
      <c r="N5741">
        <v>13.284000000000001</v>
      </c>
    </row>
    <row r="5742" spans="1:14" x14ac:dyDescent="0.45">
      <c r="A5742">
        <v>2007</v>
      </c>
      <c r="B5742" t="s">
        <v>126</v>
      </c>
      <c r="C5742">
        <v>0</v>
      </c>
      <c r="D5742">
        <v>0</v>
      </c>
      <c r="E5742">
        <v>1</v>
      </c>
      <c r="F5742">
        <v>0</v>
      </c>
      <c r="G5742">
        <v>0</v>
      </c>
      <c r="H5742">
        <v>0</v>
      </c>
      <c r="I5742">
        <v>0</v>
      </c>
      <c r="J5742">
        <v>2587.0048887647999</v>
      </c>
      <c r="K5742">
        <v>2085.8135957753798</v>
      </c>
      <c r="L5742">
        <v>67.177999999999997</v>
      </c>
      <c r="M5742">
        <v>55.232999999999997</v>
      </c>
      <c r="N5742">
        <v>131.38999999999999</v>
      </c>
    </row>
    <row r="5743" spans="1:14" x14ac:dyDescent="0.45">
      <c r="A5743">
        <v>2007</v>
      </c>
      <c r="B5743" t="s">
        <v>127</v>
      </c>
      <c r="C5743">
        <v>0</v>
      </c>
      <c r="D5743">
        <v>0</v>
      </c>
      <c r="E5743">
        <v>1</v>
      </c>
      <c r="F5743">
        <v>0</v>
      </c>
      <c r="G5743">
        <v>0</v>
      </c>
      <c r="H5743">
        <v>0</v>
      </c>
      <c r="I5743">
        <v>0</v>
      </c>
      <c r="J5743">
        <v>2567.1572880298199</v>
      </c>
      <c r="K5743">
        <v>2066.2971103458199</v>
      </c>
      <c r="L5743">
        <v>46.518999999999998</v>
      </c>
      <c r="M5743">
        <v>60.000999999999998</v>
      </c>
      <c r="N5743">
        <v>83.608999999999995</v>
      </c>
    </row>
    <row r="5744" spans="1:14" x14ac:dyDescent="0.45">
      <c r="A5744">
        <v>2007</v>
      </c>
      <c r="B5744" t="s">
        <v>128</v>
      </c>
      <c r="C5744">
        <v>0</v>
      </c>
      <c r="D5744">
        <v>0</v>
      </c>
      <c r="E5744">
        <v>1</v>
      </c>
      <c r="F5744">
        <v>0</v>
      </c>
      <c r="G5744">
        <v>0</v>
      </c>
      <c r="H5744">
        <v>0</v>
      </c>
      <c r="I5744">
        <v>0</v>
      </c>
      <c r="J5744">
        <v>2040.94007140034</v>
      </c>
      <c r="K5744">
        <v>1836.0265221253701</v>
      </c>
      <c r="L5744">
        <v>61.066000000000003</v>
      </c>
      <c r="M5744">
        <v>54.87</v>
      </c>
      <c r="N5744">
        <v>131.886</v>
      </c>
    </row>
    <row r="5745" spans="1:14" x14ac:dyDescent="0.45">
      <c r="A5745">
        <v>2007</v>
      </c>
      <c r="B5745" t="s">
        <v>129</v>
      </c>
      <c r="C5745">
        <v>0</v>
      </c>
      <c r="D5745">
        <v>0</v>
      </c>
      <c r="E5745">
        <v>1</v>
      </c>
      <c r="F5745">
        <v>0</v>
      </c>
      <c r="G5745">
        <v>0</v>
      </c>
      <c r="H5745">
        <v>1</v>
      </c>
      <c r="I5745">
        <v>1</v>
      </c>
      <c r="J5745">
        <v>35540.447756365698</v>
      </c>
      <c r="K5745">
        <v>29445.7144088678</v>
      </c>
      <c r="L5745">
        <v>38.9</v>
      </c>
      <c r="M5745">
        <v>56.856999999999999</v>
      </c>
      <c r="N5745">
        <v>123.78</v>
      </c>
    </row>
    <row r="5746" spans="1:14" x14ac:dyDescent="0.45">
      <c r="A5746">
        <v>2007</v>
      </c>
      <c r="B5746" t="s">
        <v>130</v>
      </c>
      <c r="C5746">
        <v>1</v>
      </c>
      <c r="D5746">
        <v>0</v>
      </c>
      <c r="E5746">
        <v>0</v>
      </c>
      <c r="F5746">
        <v>0</v>
      </c>
      <c r="G5746">
        <v>0</v>
      </c>
      <c r="H5746">
        <v>1</v>
      </c>
      <c r="I5746">
        <v>1</v>
      </c>
      <c r="J5746">
        <v>41796.233691830297</v>
      </c>
      <c r="K5746">
        <v>37415.742313462702</v>
      </c>
      <c r="L5746">
        <v>24.800999999999998</v>
      </c>
      <c r="M5746">
        <v>79.662000000000006</v>
      </c>
      <c r="N5746">
        <v>4.3689999999999998</v>
      </c>
    </row>
    <row r="5747" spans="1:14" x14ac:dyDescent="0.45">
      <c r="A5747">
        <v>2007</v>
      </c>
      <c r="B5747" t="s">
        <v>131</v>
      </c>
      <c r="C5747">
        <v>0</v>
      </c>
      <c r="D5747">
        <v>1</v>
      </c>
      <c r="E5747">
        <v>0</v>
      </c>
      <c r="F5747">
        <v>0</v>
      </c>
      <c r="G5747">
        <v>1</v>
      </c>
      <c r="H5747">
        <v>0</v>
      </c>
      <c r="I5747">
        <v>0</v>
      </c>
      <c r="J5747">
        <v>14385.091845237001</v>
      </c>
      <c r="K5747">
        <v>13273.197210140301</v>
      </c>
      <c r="L5747">
        <v>64.117000000000004</v>
      </c>
      <c r="M5747">
        <v>74.159000000000006</v>
      </c>
      <c r="N5747">
        <v>14.412000000000001</v>
      </c>
    </row>
    <row r="5748" spans="1:14" x14ac:dyDescent="0.45">
      <c r="A5748">
        <v>2007</v>
      </c>
      <c r="B5748" t="s">
        <v>132</v>
      </c>
      <c r="C5748">
        <v>1</v>
      </c>
      <c r="D5748">
        <v>0</v>
      </c>
      <c r="E5748">
        <v>0</v>
      </c>
      <c r="F5748">
        <v>0</v>
      </c>
      <c r="G5748">
        <v>0</v>
      </c>
      <c r="H5748">
        <v>1</v>
      </c>
      <c r="I5748">
        <v>1</v>
      </c>
      <c r="J5748">
        <v>56763.238728435899</v>
      </c>
      <c r="K5748">
        <v>51380.276932818801</v>
      </c>
      <c r="L5748">
        <v>16.518000000000001</v>
      </c>
      <c r="M5748">
        <v>68.337999999999994</v>
      </c>
      <c r="N5748">
        <v>13.321999999999999</v>
      </c>
    </row>
    <row r="5749" spans="1:14" x14ac:dyDescent="0.45">
      <c r="A5749">
        <v>2007</v>
      </c>
      <c r="B5749" t="s">
        <v>133</v>
      </c>
      <c r="C5749">
        <v>0</v>
      </c>
      <c r="D5749">
        <v>1</v>
      </c>
      <c r="E5749">
        <v>0</v>
      </c>
      <c r="F5749">
        <v>1</v>
      </c>
      <c r="G5749">
        <v>0</v>
      </c>
      <c r="H5749">
        <v>0</v>
      </c>
      <c r="I5749">
        <v>0</v>
      </c>
      <c r="J5749">
        <v>9772.8051121689005</v>
      </c>
      <c r="K5749">
        <v>8489.3979282096898</v>
      </c>
      <c r="L5749">
        <v>52.491999999999997</v>
      </c>
      <c r="M5749">
        <v>69.299000000000007</v>
      </c>
      <c r="N5749">
        <v>39.302999999999997</v>
      </c>
    </row>
    <row r="5750" spans="1:14" x14ac:dyDescent="0.45">
      <c r="A5750">
        <v>2007</v>
      </c>
      <c r="B5750" t="s">
        <v>134</v>
      </c>
      <c r="C5750">
        <v>0</v>
      </c>
      <c r="D5750">
        <v>0</v>
      </c>
      <c r="E5750">
        <v>0</v>
      </c>
      <c r="F5750">
        <v>0</v>
      </c>
      <c r="G5750">
        <v>0</v>
      </c>
      <c r="H5750">
        <v>1</v>
      </c>
      <c r="I5750">
        <v>1</v>
      </c>
      <c r="L5750">
        <v>6.1779999999999999</v>
      </c>
      <c r="M5750">
        <v>76.397000000000006</v>
      </c>
      <c r="N5750">
        <v>10.558999999999999</v>
      </c>
    </row>
    <row r="5751" spans="1:14" x14ac:dyDescent="0.45">
      <c r="A5751">
        <v>2007</v>
      </c>
      <c r="B5751" t="s">
        <v>135</v>
      </c>
      <c r="C5751">
        <v>0</v>
      </c>
      <c r="D5751">
        <v>1</v>
      </c>
      <c r="E5751">
        <v>0</v>
      </c>
      <c r="F5751">
        <v>1</v>
      </c>
      <c r="G5751">
        <v>0</v>
      </c>
      <c r="H5751">
        <v>0</v>
      </c>
      <c r="I5751">
        <v>0</v>
      </c>
      <c r="J5751">
        <v>9354.0801771653405</v>
      </c>
      <c r="K5751">
        <v>8946.0471395084296</v>
      </c>
      <c r="L5751">
        <v>72.656999999999996</v>
      </c>
      <c r="M5751">
        <v>65.462000000000003</v>
      </c>
      <c r="N5751">
        <v>39.652999999999999</v>
      </c>
    </row>
    <row r="5752" spans="1:14" x14ac:dyDescent="0.45">
      <c r="A5752">
        <v>2007</v>
      </c>
      <c r="B5752" t="s">
        <v>136</v>
      </c>
      <c r="C5752">
        <v>0</v>
      </c>
      <c r="D5752">
        <v>0</v>
      </c>
      <c r="E5752">
        <v>0</v>
      </c>
      <c r="F5752">
        <v>0</v>
      </c>
      <c r="G5752">
        <v>0</v>
      </c>
      <c r="H5752">
        <v>1</v>
      </c>
      <c r="I5752">
        <v>1</v>
      </c>
      <c r="J5752">
        <v>53813.0735414476</v>
      </c>
      <c r="K5752">
        <v>48566.484412596597</v>
      </c>
      <c r="L5752">
        <v>0</v>
      </c>
      <c r="M5752">
        <v>82.144000000000005</v>
      </c>
      <c r="N5752">
        <v>3.4889999999999999</v>
      </c>
    </row>
    <row r="5753" spans="1:14" x14ac:dyDescent="0.45">
      <c r="A5753">
        <v>2007</v>
      </c>
      <c r="B5753" t="s">
        <v>137</v>
      </c>
      <c r="C5753">
        <v>0</v>
      </c>
      <c r="D5753">
        <v>1</v>
      </c>
      <c r="E5753">
        <v>0</v>
      </c>
      <c r="F5753">
        <v>1</v>
      </c>
      <c r="G5753">
        <v>0</v>
      </c>
      <c r="H5753">
        <v>0</v>
      </c>
      <c r="I5753">
        <v>0</v>
      </c>
      <c r="J5753">
        <v>5461.9015188903104</v>
      </c>
      <c r="K5753">
        <v>5033.0222647553901</v>
      </c>
      <c r="L5753">
        <v>50.094999999999999</v>
      </c>
      <c r="M5753">
        <v>69.539000000000001</v>
      </c>
      <c r="N5753">
        <v>27.602</v>
      </c>
    </row>
    <row r="5754" spans="1:14" x14ac:dyDescent="0.45">
      <c r="A5754">
        <v>2007</v>
      </c>
      <c r="B5754" t="s">
        <v>138</v>
      </c>
      <c r="C5754">
        <v>1</v>
      </c>
      <c r="D5754">
        <v>0</v>
      </c>
      <c r="E5754">
        <v>0</v>
      </c>
      <c r="F5754">
        <v>0</v>
      </c>
      <c r="G5754">
        <v>1</v>
      </c>
      <c r="H5754">
        <v>0</v>
      </c>
      <c r="I5754">
        <v>0</v>
      </c>
      <c r="J5754">
        <v>30512.174077358301</v>
      </c>
      <c r="K5754">
        <v>26313.9778146957</v>
      </c>
      <c r="L5754">
        <v>45.348999999999997</v>
      </c>
      <c r="M5754">
        <v>75.885999999999996</v>
      </c>
      <c r="N5754">
        <v>6.1289999999999996</v>
      </c>
    </row>
    <row r="5755" spans="1:14" x14ac:dyDescent="0.45">
      <c r="A5755">
        <v>2007</v>
      </c>
      <c r="B5755" t="s">
        <v>139</v>
      </c>
      <c r="C5755">
        <v>0</v>
      </c>
      <c r="D5755">
        <v>1</v>
      </c>
      <c r="E5755">
        <v>0</v>
      </c>
      <c r="F5755">
        <v>0</v>
      </c>
      <c r="G5755">
        <v>0</v>
      </c>
      <c r="H5755">
        <v>0</v>
      </c>
      <c r="I5755">
        <v>0</v>
      </c>
      <c r="J5755">
        <v>3258.3663366329902</v>
      </c>
      <c r="K5755">
        <v>3131.7975722619399</v>
      </c>
      <c r="L5755">
        <v>55.426000000000002</v>
      </c>
      <c r="M5755">
        <v>61.09</v>
      </c>
      <c r="N5755">
        <v>85.025000000000006</v>
      </c>
    </row>
    <row r="5756" spans="1:14" x14ac:dyDescent="0.45">
      <c r="A5756">
        <v>2007</v>
      </c>
      <c r="B5756" t="s">
        <v>140</v>
      </c>
      <c r="C5756">
        <v>1</v>
      </c>
      <c r="D5756">
        <v>0</v>
      </c>
      <c r="E5756">
        <v>0</v>
      </c>
      <c r="F5756">
        <v>0</v>
      </c>
      <c r="G5756">
        <v>0</v>
      </c>
      <c r="H5756">
        <v>1</v>
      </c>
      <c r="I5756">
        <v>1</v>
      </c>
      <c r="J5756">
        <v>29044.0669021254</v>
      </c>
      <c r="K5756">
        <v>25309.507585883599</v>
      </c>
      <c r="L5756">
        <v>32.579000000000001</v>
      </c>
      <c r="M5756">
        <v>73.430999999999997</v>
      </c>
      <c r="N5756">
        <v>6.9930000000000003</v>
      </c>
    </row>
    <row r="5757" spans="1:14" x14ac:dyDescent="0.45">
      <c r="A5757">
        <v>2007</v>
      </c>
      <c r="B5757" t="s">
        <v>141</v>
      </c>
      <c r="C5757">
        <v>0</v>
      </c>
      <c r="D5757">
        <v>0</v>
      </c>
      <c r="E5757">
        <v>0</v>
      </c>
      <c r="F5757">
        <v>1</v>
      </c>
      <c r="G5757">
        <v>0</v>
      </c>
      <c r="H5757">
        <v>0</v>
      </c>
      <c r="I5757">
        <v>0</v>
      </c>
      <c r="J5757">
        <v>7802.4640690595397</v>
      </c>
      <c r="K5757">
        <v>7083.4076025559098</v>
      </c>
      <c r="L5757">
        <v>52.465000000000003</v>
      </c>
      <c r="M5757">
        <v>67.914000000000001</v>
      </c>
      <c r="N5757">
        <v>38.219000000000001</v>
      </c>
    </row>
    <row r="5758" spans="1:14" x14ac:dyDescent="0.45">
      <c r="A5758">
        <v>2007</v>
      </c>
      <c r="B5758" t="s">
        <v>142</v>
      </c>
      <c r="C5758">
        <v>1</v>
      </c>
      <c r="D5758">
        <v>0</v>
      </c>
      <c r="E5758">
        <v>0</v>
      </c>
      <c r="F5758">
        <v>0</v>
      </c>
      <c r="G5758">
        <v>0</v>
      </c>
      <c r="H5758">
        <v>1</v>
      </c>
      <c r="I5758">
        <v>1</v>
      </c>
      <c r="L5758">
        <v>48.06</v>
      </c>
      <c r="M5758">
        <v>78.450999999999993</v>
      </c>
      <c r="N5758">
        <v>17.259</v>
      </c>
    </row>
    <row r="5759" spans="1:14" x14ac:dyDescent="0.45">
      <c r="A5759">
        <v>2007</v>
      </c>
      <c r="B5759" t="s">
        <v>143</v>
      </c>
      <c r="C5759">
        <v>0</v>
      </c>
      <c r="D5759">
        <v>0</v>
      </c>
      <c r="E5759">
        <v>0</v>
      </c>
      <c r="F5759">
        <v>1</v>
      </c>
      <c r="G5759">
        <v>0</v>
      </c>
      <c r="H5759">
        <v>0</v>
      </c>
      <c r="I5759">
        <v>0</v>
      </c>
      <c r="J5759">
        <v>4379.6960436115096</v>
      </c>
      <c r="K5759">
        <v>3673.1868962020999</v>
      </c>
      <c r="L5759">
        <v>70.093999999999994</v>
      </c>
      <c r="M5759">
        <v>65.802999999999997</v>
      </c>
      <c r="N5759">
        <v>67.317999999999998</v>
      </c>
    </row>
    <row r="5760" spans="1:14" x14ac:dyDescent="0.45">
      <c r="A5760">
        <v>2007</v>
      </c>
      <c r="B5760" t="s">
        <v>144</v>
      </c>
      <c r="C5760">
        <v>1</v>
      </c>
      <c r="D5760">
        <v>0</v>
      </c>
      <c r="E5760">
        <v>0</v>
      </c>
      <c r="F5760">
        <v>0</v>
      </c>
      <c r="G5760">
        <v>0</v>
      </c>
      <c r="H5760">
        <v>1</v>
      </c>
      <c r="I5760">
        <v>1</v>
      </c>
      <c r="J5760">
        <v>66676.463263692305</v>
      </c>
      <c r="K5760">
        <v>61305.529302427203</v>
      </c>
      <c r="L5760">
        <v>39.06</v>
      </c>
      <c r="M5760">
        <v>79.563000000000002</v>
      </c>
      <c r="N5760">
        <v>4.2649999999999997</v>
      </c>
    </row>
    <row r="5761" spans="1:14" x14ac:dyDescent="0.45">
      <c r="A5761">
        <v>2007</v>
      </c>
      <c r="B5761" t="s">
        <v>145</v>
      </c>
      <c r="C5761">
        <v>0</v>
      </c>
      <c r="D5761">
        <v>0</v>
      </c>
      <c r="E5761">
        <v>0</v>
      </c>
      <c r="F5761">
        <v>1</v>
      </c>
      <c r="G5761">
        <v>0</v>
      </c>
      <c r="H5761">
        <v>0</v>
      </c>
      <c r="I5761">
        <v>0</v>
      </c>
      <c r="J5761">
        <v>14275.748798483401</v>
      </c>
      <c r="K5761">
        <v>14239.983364039799</v>
      </c>
      <c r="L5761">
        <v>31.135999999999999</v>
      </c>
      <c r="M5761">
        <v>73.299000000000007</v>
      </c>
      <c r="N5761">
        <v>23.294</v>
      </c>
    </row>
    <row r="5762" spans="1:14" x14ac:dyDescent="0.45">
      <c r="A5762">
        <v>2007</v>
      </c>
      <c r="B5762" t="s">
        <v>146</v>
      </c>
      <c r="C5762">
        <v>0</v>
      </c>
      <c r="D5762">
        <v>0</v>
      </c>
      <c r="E5762">
        <v>0</v>
      </c>
      <c r="F5762">
        <v>1</v>
      </c>
      <c r="G5762">
        <v>0</v>
      </c>
      <c r="H5762">
        <v>0</v>
      </c>
      <c r="I5762">
        <v>0</v>
      </c>
      <c r="J5762">
        <v>10853.8161022311</v>
      </c>
      <c r="K5762">
        <v>7672.4406831772303</v>
      </c>
      <c r="L5762">
        <v>31.126999999999999</v>
      </c>
      <c r="M5762">
        <v>64.427999999999997</v>
      </c>
      <c r="N5762">
        <v>37.860999999999997</v>
      </c>
    </row>
    <row r="5763" spans="1:14" x14ac:dyDescent="0.45">
      <c r="A5763">
        <v>2007</v>
      </c>
      <c r="B5763" t="s">
        <v>147</v>
      </c>
      <c r="C5763">
        <v>1</v>
      </c>
      <c r="D5763">
        <v>0</v>
      </c>
      <c r="E5763">
        <v>0</v>
      </c>
      <c r="F5763">
        <v>0</v>
      </c>
      <c r="G5763">
        <v>0</v>
      </c>
      <c r="H5763">
        <v>1</v>
      </c>
      <c r="I5763">
        <v>1</v>
      </c>
      <c r="J5763">
        <v>60765.203597303604</v>
      </c>
      <c r="K5763">
        <v>52579.455315779203</v>
      </c>
      <c r="L5763">
        <v>6.7219999999999898</v>
      </c>
      <c r="M5763">
        <v>81.093000000000004</v>
      </c>
      <c r="N5763">
        <v>3.5310000000000001</v>
      </c>
    </row>
    <row r="5764" spans="1:14" x14ac:dyDescent="0.45">
      <c r="A5764">
        <v>2007</v>
      </c>
      <c r="B5764" t="s">
        <v>148</v>
      </c>
      <c r="C5764">
        <v>0</v>
      </c>
      <c r="D5764">
        <v>0</v>
      </c>
      <c r="E5764">
        <v>0</v>
      </c>
      <c r="F5764">
        <v>0</v>
      </c>
      <c r="G5764">
        <v>0</v>
      </c>
      <c r="H5764">
        <v>1</v>
      </c>
      <c r="I5764">
        <v>1</v>
      </c>
      <c r="J5764">
        <v>36317.852509007098</v>
      </c>
      <c r="K5764">
        <v>33313.537135319297</v>
      </c>
      <c r="L5764">
        <v>8.3589999999999893</v>
      </c>
      <c r="M5764">
        <v>80.953000000000003</v>
      </c>
      <c r="N5764">
        <v>5.0209999999999999</v>
      </c>
    </row>
    <row r="5765" spans="1:14" x14ac:dyDescent="0.45">
      <c r="A5765">
        <v>2007</v>
      </c>
      <c r="B5765" t="s">
        <v>149</v>
      </c>
      <c r="C5765">
        <v>1</v>
      </c>
      <c r="D5765">
        <v>0</v>
      </c>
      <c r="E5765">
        <v>0</v>
      </c>
      <c r="F5765">
        <v>0</v>
      </c>
      <c r="G5765">
        <v>0</v>
      </c>
      <c r="H5765">
        <v>1</v>
      </c>
      <c r="I5765">
        <v>1</v>
      </c>
      <c r="J5765">
        <v>52747.190547680701</v>
      </c>
      <c r="K5765">
        <v>44928.322372496899</v>
      </c>
      <c r="L5765">
        <v>32.026000000000003</v>
      </c>
      <c r="M5765">
        <v>81.5</v>
      </c>
      <c r="N5765">
        <v>3.8860000000000001</v>
      </c>
    </row>
    <row r="5766" spans="1:14" x14ac:dyDescent="0.45">
      <c r="A5766">
        <v>2007</v>
      </c>
      <c r="B5766" t="s">
        <v>150</v>
      </c>
      <c r="C5766">
        <v>0</v>
      </c>
      <c r="D5766">
        <v>1</v>
      </c>
      <c r="E5766">
        <v>0</v>
      </c>
      <c r="F5766">
        <v>0</v>
      </c>
      <c r="G5766">
        <v>1</v>
      </c>
      <c r="H5766">
        <v>0</v>
      </c>
      <c r="I5766">
        <v>0</v>
      </c>
      <c r="J5766">
        <v>10457.972030237001</v>
      </c>
      <c r="K5766">
        <v>10306.6468223799</v>
      </c>
      <c r="L5766">
        <v>46.816000000000003</v>
      </c>
      <c r="M5766">
        <v>71.405000000000001</v>
      </c>
      <c r="N5766">
        <v>19.12</v>
      </c>
    </row>
    <row r="5767" spans="1:14" x14ac:dyDescent="0.45">
      <c r="A5767">
        <v>2007</v>
      </c>
      <c r="B5767" t="s">
        <v>151</v>
      </c>
      <c r="C5767">
        <v>0</v>
      </c>
      <c r="D5767">
        <v>0</v>
      </c>
      <c r="E5767">
        <v>0</v>
      </c>
      <c r="F5767">
        <v>1</v>
      </c>
      <c r="G5767">
        <v>0</v>
      </c>
      <c r="H5767">
        <v>0</v>
      </c>
      <c r="I5767">
        <v>0</v>
      </c>
      <c r="J5767">
        <v>10161.402119410301</v>
      </c>
      <c r="K5767">
        <v>10080.571123841801</v>
      </c>
      <c r="L5767">
        <v>17.629000000000001</v>
      </c>
      <c r="M5767">
        <v>73.406999999999996</v>
      </c>
      <c r="N5767">
        <v>22</v>
      </c>
    </row>
    <row r="5768" spans="1:14" x14ac:dyDescent="0.45">
      <c r="A5768">
        <v>2007</v>
      </c>
      <c r="B5768" t="s">
        <v>152</v>
      </c>
      <c r="C5768">
        <v>0</v>
      </c>
      <c r="D5768">
        <v>0</v>
      </c>
      <c r="E5768">
        <v>0</v>
      </c>
      <c r="F5768">
        <v>0</v>
      </c>
      <c r="G5768">
        <v>0</v>
      </c>
      <c r="H5768">
        <v>1</v>
      </c>
      <c r="I5768">
        <v>1</v>
      </c>
      <c r="J5768">
        <v>42182.1758636624</v>
      </c>
      <c r="K5768">
        <v>39074.712972342299</v>
      </c>
      <c r="L5768">
        <v>11.853999999999999</v>
      </c>
      <c r="M5768">
        <v>82.549000000000007</v>
      </c>
      <c r="N5768">
        <v>3.508</v>
      </c>
    </row>
    <row r="5769" spans="1:14" x14ac:dyDescent="0.45">
      <c r="A5769">
        <v>2007</v>
      </c>
      <c r="B5769" t="s">
        <v>153</v>
      </c>
      <c r="C5769">
        <v>1</v>
      </c>
      <c r="D5769">
        <v>0</v>
      </c>
      <c r="E5769">
        <v>0</v>
      </c>
      <c r="F5769">
        <v>0</v>
      </c>
      <c r="G5769">
        <v>1</v>
      </c>
      <c r="H5769">
        <v>0</v>
      </c>
      <c r="I5769">
        <v>0</v>
      </c>
      <c r="J5769">
        <v>24351.346410254198</v>
      </c>
      <c r="K5769">
        <v>18518.210568516399</v>
      </c>
      <c r="L5769">
        <v>43.390999999999998</v>
      </c>
      <c r="M5769">
        <v>66.180000000000007</v>
      </c>
      <c r="N5769">
        <v>26.452000000000002</v>
      </c>
    </row>
    <row r="5770" spans="1:14" x14ac:dyDescent="0.45">
      <c r="A5770">
        <v>2007</v>
      </c>
      <c r="B5770" t="s">
        <v>154</v>
      </c>
      <c r="C5770">
        <v>0</v>
      </c>
      <c r="D5770">
        <v>0</v>
      </c>
      <c r="E5770">
        <v>1</v>
      </c>
      <c r="F5770">
        <v>0</v>
      </c>
      <c r="G5770">
        <v>0</v>
      </c>
      <c r="H5770">
        <v>0</v>
      </c>
      <c r="I5770">
        <v>0</v>
      </c>
      <c r="J5770">
        <v>4116.4509472085601</v>
      </c>
      <c r="K5770">
        <v>3547.74776770071</v>
      </c>
      <c r="L5770">
        <v>77.58</v>
      </c>
      <c r="M5770">
        <v>59.406999999999996</v>
      </c>
      <c r="N5770">
        <v>62.991999999999997</v>
      </c>
    </row>
    <row r="5771" spans="1:14" x14ac:dyDescent="0.45">
      <c r="A5771">
        <v>2007</v>
      </c>
      <c r="B5771" t="s">
        <v>155</v>
      </c>
      <c r="C5771">
        <v>1</v>
      </c>
      <c r="D5771">
        <v>0</v>
      </c>
      <c r="E5771">
        <v>0</v>
      </c>
      <c r="F5771">
        <v>0</v>
      </c>
      <c r="G5771">
        <v>0</v>
      </c>
      <c r="H5771">
        <v>0</v>
      </c>
      <c r="I5771">
        <v>0</v>
      </c>
      <c r="J5771">
        <v>4558.7126789417198</v>
      </c>
      <c r="K5771">
        <v>3852.8782392633402</v>
      </c>
      <c r="L5771">
        <v>64.712999999999994</v>
      </c>
      <c r="M5771">
        <v>66.046999999999997</v>
      </c>
      <c r="N5771">
        <v>35.380000000000003</v>
      </c>
    </row>
    <row r="5772" spans="1:14" x14ac:dyDescent="0.45">
      <c r="A5772">
        <v>2007</v>
      </c>
      <c r="B5772" t="s">
        <v>156</v>
      </c>
      <c r="C5772">
        <v>0</v>
      </c>
      <c r="D5772">
        <v>0</v>
      </c>
      <c r="E5772">
        <v>0</v>
      </c>
      <c r="F5772">
        <v>0</v>
      </c>
      <c r="G5772">
        <v>0</v>
      </c>
      <c r="H5772">
        <v>0</v>
      </c>
      <c r="I5772">
        <v>0</v>
      </c>
      <c r="J5772">
        <v>3308.1574724643701</v>
      </c>
      <c r="K5772">
        <v>2966.3198944144201</v>
      </c>
      <c r="L5772">
        <v>80.587000000000003</v>
      </c>
      <c r="M5772">
        <v>65.549000000000007</v>
      </c>
      <c r="N5772">
        <v>55.713999999999999</v>
      </c>
    </row>
    <row r="5773" spans="1:14" x14ac:dyDescent="0.45">
      <c r="A5773">
        <v>2007</v>
      </c>
      <c r="B5773" t="s">
        <v>157</v>
      </c>
      <c r="C5773">
        <v>0</v>
      </c>
      <c r="D5773">
        <v>0</v>
      </c>
      <c r="E5773">
        <v>0</v>
      </c>
      <c r="F5773">
        <v>1</v>
      </c>
      <c r="G5773">
        <v>0</v>
      </c>
      <c r="H5773">
        <v>0</v>
      </c>
      <c r="I5773">
        <v>0</v>
      </c>
      <c r="J5773">
        <v>2286.4464773202099</v>
      </c>
      <c r="K5773">
        <v>2068.3178768798998</v>
      </c>
      <c r="L5773">
        <v>55.134</v>
      </c>
      <c r="M5773">
        <v>65.677000000000007</v>
      </c>
      <c r="N5773">
        <v>59.581000000000003</v>
      </c>
    </row>
    <row r="5774" spans="1:14" x14ac:dyDescent="0.45">
      <c r="A5774">
        <v>2007</v>
      </c>
      <c r="B5774" t="s">
        <v>158</v>
      </c>
      <c r="C5774">
        <v>0</v>
      </c>
      <c r="D5774">
        <v>1</v>
      </c>
      <c r="E5774">
        <v>0</v>
      </c>
      <c r="F5774">
        <v>0</v>
      </c>
      <c r="G5774">
        <v>1</v>
      </c>
      <c r="H5774">
        <v>0</v>
      </c>
      <c r="I5774">
        <v>0</v>
      </c>
      <c r="J5774">
        <v>23330.044240419498</v>
      </c>
      <c r="K5774">
        <v>23041.591998554301</v>
      </c>
      <c r="L5774">
        <v>68.256</v>
      </c>
      <c r="M5774">
        <v>71.436999999999998</v>
      </c>
      <c r="N5774">
        <v>18.687999999999999</v>
      </c>
    </row>
    <row r="5775" spans="1:14" x14ac:dyDescent="0.45">
      <c r="A5775">
        <v>2007</v>
      </c>
      <c r="B5775" t="s">
        <v>159</v>
      </c>
      <c r="C5775">
        <v>0</v>
      </c>
      <c r="D5775">
        <v>0</v>
      </c>
      <c r="E5775">
        <v>0</v>
      </c>
      <c r="F5775">
        <v>0</v>
      </c>
      <c r="G5775">
        <v>0</v>
      </c>
      <c r="H5775">
        <v>1</v>
      </c>
      <c r="I5775">
        <v>1</v>
      </c>
      <c r="J5775">
        <v>34522.268257413903</v>
      </c>
      <c r="K5775">
        <v>31471.276374853602</v>
      </c>
      <c r="L5775">
        <v>18.369</v>
      </c>
      <c r="M5775">
        <v>79.432000000000002</v>
      </c>
      <c r="N5775">
        <v>4.8979999999999997</v>
      </c>
    </row>
    <row r="5776" spans="1:14" x14ac:dyDescent="0.45">
      <c r="A5776">
        <v>2007</v>
      </c>
      <c r="B5776" t="s">
        <v>160</v>
      </c>
      <c r="C5776">
        <v>0</v>
      </c>
      <c r="D5776">
        <v>0</v>
      </c>
      <c r="E5776">
        <v>0</v>
      </c>
      <c r="F5776">
        <v>0</v>
      </c>
      <c r="G5776">
        <v>0</v>
      </c>
      <c r="H5776">
        <v>1</v>
      </c>
      <c r="I5776">
        <v>1</v>
      </c>
      <c r="J5776">
        <v>79474.761175961801</v>
      </c>
      <c r="K5776">
        <v>70780.232254689196</v>
      </c>
      <c r="L5776">
        <v>0</v>
      </c>
      <c r="M5776">
        <v>76.688000000000002</v>
      </c>
      <c r="N5776">
        <v>11.297000000000001</v>
      </c>
    </row>
    <row r="5777" spans="1:14" x14ac:dyDescent="0.45">
      <c r="A5777">
        <v>2007</v>
      </c>
      <c r="B5777" t="s">
        <v>161</v>
      </c>
      <c r="C5777">
        <v>0</v>
      </c>
      <c r="D5777">
        <v>0</v>
      </c>
      <c r="E5777">
        <v>0</v>
      </c>
      <c r="F5777">
        <v>0</v>
      </c>
      <c r="G5777">
        <v>0</v>
      </c>
      <c r="H5777">
        <v>0</v>
      </c>
      <c r="I5777">
        <v>0</v>
      </c>
      <c r="J5777">
        <v>4112.2530165975904</v>
      </c>
      <c r="K5777">
        <v>3951.49515835896</v>
      </c>
      <c r="L5777">
        <v>71.683999999999997</v>
      </c>
      <c r="M5777">
        <v>61.694000000000003</v>
      </c>
      <c r="N5777">
        <v>78.352999999999994</v>
      </c>
    </row>
    <row r="5778" spans="1:14" x14ac:dyDescent="0.45">
      <c r="A5778">
        <v>2007</v>
      </c>
      <c r="B5778" t="s">
        <v>162</v>
      </c>
      <c r="C5778">
        <v>0</v>
      </c>
      <c r="D5778">
        <v>0</v>
      </c>
      <c r="E5778">
        <v>0</v>
      </c>
      <c r="F5778">
        <v>0</v>
      </c>
      <c r="G5778">
        <v>1</v>
      </c>
      <c r="H5778">
        <v>0</v>
      </c>
      <c r="I5778">
        <v>0</v>
      </c>
      <c r="J5778">
        <v>13941.5614244767</v>
      </c>
      <c r="K5778">
        <v>18121.149644659999</v>
      </c>
      <c r="L5778">
        <v>13.099</v>
      </c>
      <c r="M5778">
        <v>76.731999999999999</v>
      </c>
      <c r="N5778">
        <v>13.891999999999999</v>
      </c>
    </row>
    <row r="5779" spans="1:14" x14ac:dyDescent="0.45">
      <c r="A5779">
        <v>2007</v>
      </c>
      <c r="B5779" t="s">
        <v>163</v>
      </c>
      <c r="C5779">
        <v>0</v>
      </c>
      <c r="D5779">
        <v>0</v>
      </c>
      <c r="E5779">
        <v>1</v>
      </c>
      <c r="F5779">
        <v>0</v>
      </c>
      <c r="G5779">
        <v>0</v>
      </c>
      <c r="H5779">
        <v>0</v>
      </c>
      <c r="I5779">
        <v>0</v>
      </c>
      <c r="J5779">
        <v>1422.10019670004</v>
      </c>
      <c r="K5779">
        <v>2101.0754623202602</v>
      </c>
      <c r="L5779">
        <v>53.258000000000003</v>
      </c>
      <c r="M5779">
        <v>58.146999999999998</v>
      </c>
      <c r="N5779">
        <v>117.158</v>
      </c>
    </row>
    <row r="5780" spans="1:14" x14ac:dyDescent="0.45">
      <c r="A5780">
        <v>2007</v>
      </c>
      <c r="B5780" t="s">
        <v>164</v>
      </c>
      <c r="C5780">
        <v>0</v>
      </c>
      <c r="D5780">
        <v>0</v>
      </c>
      <c r="E5780">
        <v>0</v>
      </c>
      <c r="F5780">
        <v>0</v>
      </c>
      <c r="G5780">
        <v>1</v>
      </c>
      <c r="H5780">
        <v>0</v>
      </c>
      <c r="I5780">
        <v>0</v>
      </c>
      <c r="J5780">
        <v>22416.109805161301</v>
      </c>
      <c r="K5780">
        <v>26197.5986839416</v>
      </c>
      <c r="L5780">
        <v>22.562999999999999</v>
      </c>
      <c r="M5780">
        <v>71.787999999999997</v>
      </c>
      <c r="N5780">
        <v>20.105</v>
      </c>
    </row>
    <row r="5781" spans="1:14" x14ac:dyDescent="0.45">
      <c r="A5781">
        <v>2007</v>
      </c>
      <c r="B5781" t="s">
        <v>165</v>
      </c>
      <c r="C5781">
        <v>0</v>
      </c>
      <c r="D5781">
        <v>1</v>
      </c>
      <c r="E5781">
        <v>0</v>
      </c>
      <c r="F5781">
        <v>0</v>
      </c>
      <c r="G5781">
        <v>1</v>
      </c>
      <c r="H5781">
        <v>0</v>
      </c>
      <c r="I5781">
        <v>0</v>
      </c>
      <c r="J5781">
        <v>20759.304387230499</v>
      </c>
      <c r="K5781">
        <v>14934.3890438135</v>
      </c>
      <c r="L5781">
        <v>78.915999999999997</v>
      </c>
      <c r="M5781">
        <v>72.86</v>
      </c>
      <c r="N5781">
        <v>18.065999999999999</v>
      </c>
    </row>
    <row r="5782" spans="1:14" x14ac:dyDescent="0.45">
      <c r="A5782">
        <v>2007</v>
      </c>
      <c r="B5782" t="s">
        <v>166</v>
      </c>
      <c r="C5782">
        <v>1</v>
      </c>
      <c r="D5782">
        <v>0</v>
      </c>
      <c r="E5782">
        <v>0</v>
      </c>
      <c r="F5782">
        <v>0</v>
      </c>
      <c r="G5782">
        <v>0</v>
      </c>
      <c r="H5782">
        <v>1</v>
      </c>
      <c r="I5782">
        <v>1</v>
      </c>
      <c r="L5782">
        <v>85.370999999999995</v>
      </c>
      <c r="M5782">
        <v>81.638999999999996</v>
      </c>
      <c r="N5782">
        <v>8.218</v>
      </c>
    </row>
    <row r="5783" spans="1:14" x14ac:dyDescent="0.45">
      <c r="A5783">
        <v>2007</v>
      </c>
      <c r="B5783" t="s">
        <v>167</v>
      </c>
      <c r="C5783">
        <v>0</v>
      </c>
      <c r="D5783">
        <v>0</v>
      </c>
      <c r="E5783">
        <v>0</v>
      </c>
      <c r="F5783">
        <v>1</v>
      </c>
      <c r="G5783">
        <v>0</v>
      </c>
      <c r="H5783">
        <v>0</v>
      </c>
      <c r="I5783">
        <v>0</v>
      </c>
      <c r="J5783">
        <v>8454.2067533326008</v>
      </c>
      <c r="K5783">
        <v>7896.0954880253603</v>
      </c>
      <c r="L5783">
        <v>81.727999999999994</v>
      </c>
      <c r="M5783">
        <v>72.983000000000004</v>
      </c>
      <c r="N5783">
        <v>12.721</v>
      </c>
    </row>
    <row r="5784" spans="1:14" x14ac:dyDescent="0.45">
      <c r="A5784">
        <v>2007</v>
      </c>
      <c r="B5784" t="s">
        <v>168</v>
      </c>
      <c r="C5784">
        <v>0</v>
      </c>
      <c r="D5784">
        <v>0</v>
      </c>
      <c r="E5784">
        <v>1</v>
      </c>
      <c r="F5784">
        <v>1</v>
      </c>
      <c r="G5784">
        <v>0</v>
      </c>
      <c r="H5784">
        <v>0</v>
      </c>
      <c r="I5784">
        <v>0</v>
      </c>
      <c r="J5784">
        <v>2470.3146212788502</v>
      </c>
      <c r="K5784">
        <v>2211.96960174587</v>
      </c>
      <c r="L5784">
        <v>76.695999999999998</v>
      </c>
      <c r="M5784">
        <v>43.66</v>
      </c>
      <c r="N5784">
        <v>109.004</v>
      </c>
    </row>
    <row r="5785" spans="1:14" x14ac:dyDescent="0.45">
      <c r="A5785">
        <v>2007</v>
      </c>
      <c r="B5785" t="s">
        <v>169</v>
      </c>
      <c r="C5785">
        <v>1</v>
      </c>
      <c r="D5785">
        <v>0</v>
      </c>
      <c r="E5785">
        <v>0</v>
      </c>
      <c r="F5785">
        <v>0</v>
      </c>
      <c r="G5785">
        <v>1</v>
      </c>
      <c r="H5785">
        <v>0</v>
      </c>
      <c r="I5785">
        <v>0</v>
      </c>
      <c r="J5785">
        <v>29370.773973717602</v>
      </c>
      <c r="K5785">
        <v>25128.655594209999</v>
      </c>
      <c r="L5785">
        <v>33.222999999999999</v>
      </c>
      <c r="M5785">
        <v>70.697999999999993</v>
      </c>
      <c r="N5785">
        <v>7.8650000000000002</v>
      </c>
    </row>
    <row r="5786" spans="1:14" x14ac:dyDescent="0.45">
      <c r="A5786">
        <v>2007</v>
      </c>
      <c r="B5786" t="s">
        <v>170</v>
      </c>
      <c r="C5786">
        <v>1</v>
      </c>
      <c r="D5786">
        <v>0</v>
      </c>
      <c r="E5786">
        <v>0</v>
      </c>
      <c r="F5786">
        <v>0</v>
      </c>
      <c r="G5786">
        <v>0</v>
      </c>
      <c r="H5786">
        <v>1</v>
      </c>
      <c r="I5786">
        <v>1</v>
      </c>
      <c r="J5786">
        <v>138677.96549187601</v>
      </c>
      <c r="K5786">
        <v>118508.824300226</v>
      </c>
      <c r="L5786">
        <v>12.590999999999999</v>
      </c>
      <c r="M5786">
        <v>79.116</v>
      </c>
      <c r="N5786">
        <v>3.7919999999999998</v>
      </c>
    </row>
    <row r="5787" spans="1:14" x14ac:dyDescent="0.45">
      <c r="A5787">
        <v>2007</v>
      </c>
      <c r="B5787" t="s">
        <v>171</v>
      </c>
      <c r="C5787">
        <v>1</v>
      </c>
      <c r="D5787">
        <v>0</v>
      </c>
      <c r="E5787">
        <v>0</v>
      </c>
      <c r="F5787">
        <v>0</v>
      </c>
      <c r="G5787">
        <v>1</v>
      </c>
      <c r="H5787">
        <v>0</v>
      </c>
      <c r="I5787">
        <v>0</v>
      </c>
      <c r="J5787">
        <v>29423.7371235063</v>
      </c>
      <c r="K5787">
        <v>25527.719022402998</v>
      </c>
      <c r="L5787">
        <v>32.1</v>
      </c>
      <c r="M5787">
        <v>70.789000000000001</v>
      </c>
      <c r="N5787">
        <v>10.227</v>
      </c>
    </row>
    <row r="5788" spans="1:14" x14ac:dyDescent="0.45">
      <c r="A5788">
        <v>2007</v>
      </c>
      <c r="B5788" t="s">
        <v>172</v>
      </c>
      <c r="C5788">
        <v>0</v>
      </c>
      <c r="D5788">
        <v>0</v>
      </c>
      <c r="E5788">
        <v>0</v>
      </c>
      <c r="F5788">
        <v>0</v>
      </c>
      <c r="G5788">
        <v>0</v>
      </c>
      <c r="H5788">
        <v>1</v>
      </c>
      <c r="I5788">
        <v>1</v>
      </c>
      <c r="J5788">
        <v>102761.60278236801</v>
      </c>
      <c r="K5788">
        <v>93126.827578014505</v>
      </c>
      <c r="L5788">
        <v>0</v>
      </c>
      <c r="M5788">
        <v>80.932000000000002</v>
      </c>
      <c r="N5788">
        <v>5.34</v>
      </c>
    </row>
    <row r="5789" spans="1:14" x14ac:dyDescent="0.45">
      <c r="A5789">
        <v>2007</v>
      </c>
      <c r="B5789" t="s">
        <v>173</v>
      </c>
      <c r="C5789">
        <v>0</v>
      </c>
      <c r="D5789">
        <v>1</v>
      </c>
      <c r="E5789">
        <v>0</v>
      </c>
      <c r="F5789">
        <v>0</v>
      </c>
      <c r="G5789">
        <v>0</v>
      </c>
      <c r="H5789">
        <v>1</v>
      </c>
      <c r="I5789">
        <v>1</v>
      </c>
      <c r="L5789">
        <v>0</v>
      </c>
      <c r="M5789">
        <v>78.16</v>
      </c>
      <c r="N5789">
        <v>12.196999999999999</v>
      </c>
    </row>
    <row r="5790" spans="1:14" x14ac:dyDescent="0.45">
      <c r="A5790">
        <v>2007</v>
      </c>
      <c r="B5790" t="s">
        <v>174</v>
      </c>
      <c r="C5790">
        <v>0</v>
      </c>
      <c r="D5790">
        <v>0</v>
      </c>
      <c r="E5790">
        <v>0</v>
      </c>
      <c r="F5790">
        <v>1</v>
      </c>
      <c r="G5790">
        <v>0</v>
      </c>
      <c r="H5790">
        <v>0</v>
      </c>
      <c r="I5790">
        <v>0</v>
      </c>
      <c r="J5790">
        <v>6620.59033203125</v>
      </c>
      <c r="K5790">
        <v>6358.2060069966301</v>
      </c>
      <c r="L5790">
        <v>43.683</v>
      </c>
      <c r="M5790">
        <v>69.62</v>
      </c>
      <c r="N5790">
        <v>36.628999999999998</v>
      </c>
    </row>
    <row r="5791" spans="1:14" x14ac:dyDescent="0.45">
      <c r="A5791">
        <v>2007</v>
      </c>
      <c r="B5791" t="s">
        <v>175</v>
      </c>
      <c r="C5791">
        <v>1</v>
      </c>
      <c r="D5791">
        <v>0</v>
      </c>
      <c r="E5791">
        <v>0</v>
      </c>
      <c r="F5791">
        <v>0</v>
      </c>
      <c r="G5791">
        <v>0</v>
      </c>
      <c r="H5791">
        <v>1</v>
      </c>
      <c r="I5791">
        <v>1</v>
      </c>
      <c r="L5791">
        <v>0</v>
      </c>
      <c r="M5791">
        <v>83.903000000000006</v>
      </c>
      <c r="N5791">
        <v>6.2530000000000001</v>
      </c>
    </row>
    <row r="5792" spans="1:14" x14ac:dyDescent="0.45">
      <c r="A5792">
        <v>2007</v>
      </c>
      <c r="B5792" t="s">
        <v>176</v>
      </c>
      <c r="C5792">
        <v>1</v>
      </c>
      <c r="D5792">
        <v>0</v>
      </c>
      <c r="E5792">
        <v>0</v>
      </c>
      <c r="F5792">
        <v>1</v>
      </c>
      <c r="G5792">
        <v>0</v>
      </c>
      <c r="H5792">
        <v>0</v>
      </c>
      <c r="I5792">
        <v>0</v>
      </c>
      <c r="J5792">
        <v>8854.8339761672396</v>
      </c>
      <c r="K5792">
        <v>7594.8587416750297</v>
      </c>
      <c r="L5792">
        <v>57.286999999999999</v>
      </c>
      <c r="M5792">
        <v>68.674000000000007</v>
      </c>
      <c r="N5792">
        <v>19.007000000000001</v>
      </c>
    </row>
    <row r="5793" spans="1:14" x14ac:dyDescent="0.45">
      <c r="A5793">
        <v>2007</v>
      </c>
      <c r="B5793" t="s">
        <v>177</v>
      </c>
      <c r="C5793">
        <v>0</v>
      </c>
      <c r="D5793">
        <v>0</v>
      </c>
      <c r="E5793">
        <v>1</v>
      </c>
      <c r="F5793">
        <v>0</v>
      </c>
      <c r="G5793">
        <v>0</v>
      </c>
      <c r="H5793">
        <v>0</v>
      </c>
      <c r="I5793">
        <v>0</v>
      </c>
      <c r="J5793">
        <v>1731.61751794713</v>
      </c>
      <c r="K5793">
        <v>1604.21643324811</v>
      </c>
      <c r="L5793">
        <v>69.956999999999994</v>
      </c>
      <c r="M5793">
        <v>61.533000000000001</v>
      </c>
      <c r="N5793">
        <v>78.400999999999996</v>
      </c>
    </row>
    <row r="5794" spans="1:14" x14ac:dyDescent="0.45">
      <c r="A5794">
        <v>2007</v>
      </c>
      <c r="B5794" t="s">
        <v>178</v>
      </c>
      <c r="C5794">
        <v>0</v>
      </c>
      <c r="D5794">
        <v>0</v>
      </c>
      <c r="E5794">
        <v>0</v>
      </c>
      <c r="F5794">
        <v>1</v>
      </c>
      <c r="G5794">
        <v>0</v>
      </c>
      <c r="H5794">
        <v>0</v>
      </c>
      <c r="I5794">
        <v>0</v>
      </c>
      <c r="J5794">
        <v>17439.9505021566</v>
      </c>
      <c r="K5794">
        <v>17205.9638921154</v>
      </c>
      <c r="L5794">
        <v>64.8</v>
      </c>
      <c r="M5794">
        <v>75.710999999999999</v>
      </c>
      <c r="N5794">
        <v>17.943000000000001</v>
      </c>
    </row>
    <row r="5795" spans="1:14" x14ac:dyDescent="0.45">
      <c r="A5795">
        <v>2007</v>
      </c>
      <c r="B5795" t="s">
        <v>179</v>
      </c>
      <c r="C5795">
        <v>0</v>
      </c>
      <c r="D5795">
        <v>1</v>
      </c>
      <c r="E5795">
        <v>0</v>
      </c>
      <c r="F5795">
        <v>0</v>
      </c>
      <c r="G5795">
        <v>1</v>
      </c>
      <c r="H5795">
        <v>0</v>
      </c>
      <c r="I5795">
        <v>0</v>
      </c>
      <c r="J5795">
        <v>21102.268831351899</v>
      </c>
      <c r="K5795">
        <v>19618.255814684599</v>
      </c>
      <c r="L5795">
        <v>23.08</v>
      </c>
      <c r="M5795">
        <v>73.796000000000006</v>
      </c>
      <c r="N5795">
        <v>21.241</v>
      </c>
    </row>
    <row r="5796" spans="1:14" x14ac:dyDescent="0.45">
      <c r="A5796">
        <v>2007</v>
      </c>
      <c r="B5796" t="s">
        <v>180</v>
      </c>
      <c r="C5796">
        <v>0</v>
      </c>
      <c r="D5796">
        <v>0</v>
      </c>
      <c r="E5796">
        <v>0</v>
      </c>
      <c r="F5796">
        <v>1</v>
      </c>
      <c r="G5796">
        <v>0</v>
      </c>
      <c r="H5796">
        <v>0</v>
      </c>
      <c r="I5796">
        <v>0</v>
      </c>
      <c r="J5796">
        <v>4222.4129227355497</v>
      </c>
      <c r="K5796">
        <v>3819.1086750141199</v>
      </c>
      <c r="L5796">
        <v>27.873999999999999</v>
      </c>
      <c r="M5796">
        <v>64.259</v>
      </c>
      <c r="N5796">
        <v>40.332999999999998</v>
      </c>
    </row>
    <row r="5797" spans="1:14" x14ac:dyDescent="0.45">
      <c r="A5797">
        <v>2007</v>
      </c>
      <c r="B5797" t="s">
        <v>181</v>
      </c>
      <c r="C5797">
        <v>1</v>
      </c>
      <c r="D5797">
        <v>0</v>
      </c>
      <c r="E5797">
        <v>0</v>
      </c>
      <c r="F5797">
        <v>1</v>
      </c>
      <c r="G5797">
        <v>0</v>
      </c>
      <c r="H5797">
        <v>0</v>
      </c>
      <c r="I5797">
        <v>0</v>
      </c>
      <c r="J5797">
        <v>15117.4110608027</v>
      </c>
      <c r="K5797">
        <v>12761.935175934501</v>
      </c>
      <c r="L5797">
        <v>42.735999999999997</v>
      </c>
      <c r="M5797">
        <v>73.742000000000004</v>
      </c>
      <c r="N5797">
        <v>11.618</v>
      </c>
    </row>
    <row r="5798" spans="1:14" x14ac:dyDescent="0.45">
      <c r="A5798">
        <v>2007</v>
      </c>
      <c r="B5798" t="s">
        <v>182</v>
      </c>
      <c r="C5798">
        <v>0</v>
      </c>
      <c r="D5798">
        <v>0</v>
      </c>
      <c r="E5798">
        <v>1</v>
      </c>
      <c r="F5798">
        <v>0</v>
      </c>
      <c r="G5798">
        <v>0</v>
      </c>
      <c r="H5798">
        <v>0</v>
      </c>
      <c r="I5798">
        <v>0</v>
      </c>
      <c r="J5798">
        <v>2400.6528685327198</v>
      </c>
      <c r="K5798">
        <v>2222.0677778177301</v>
      </c>
      <c r="L5798">
        <v>66.388000000000005</v>
      </c>
      <c r="M5798">
        <v>54.756</v>
      </c>
      <c r="N5798">
        <v>148.45699999999999</v>
      </c>
    </row>
    <row r="5799" spans="1:14" x14ac:dyDescent="0.45">
      <c r="A5799">
        <v>2007</v>
      </c>
      <c r="B5799" t="s">
        <v>183</v>
      </c>
      <c r="C5799">
        <v>0</v>
      </c>
      <c r="D5799">
        <v>0</v>
      </c>
      <c r="E5799">
        <v>0</v>
      </c>
      <c r="F5799">
        <v>0</v>
      </c>
      <c r="G5799">
        <v>0</v>
      </c>
      <c r="H5799">
        <v>1</v>
      </c>
      <c r="I5799">
        <v>1</v>
      </c>
      <c r="J5799">
        <v>34948.282711829503</v>
      </c>
      <c r="K5799">
        <v>30231.9751161477</v>
      </c>
      <c r="L5799">
        <v>6.1429999999999998</v>
      </c>
      <c r="M5799">
        <v>79.736999999999995</v>
      </c>
      <c r="N5799">
        <v>7.194</v>
      </c>
    </row>
    <row r="5800" spans="1:14" x14ac:dyDescent="0.45">
      <c r="A5800">
        <v>2007</v>
      </c>
      <c r="B5800" t="s">
        <v>184</v>
      </c>
      <c r="C5800">
        <v>0</v>
      </c>
      <c r="D5800">
        <v>0</v>
      </c>
      <c r="E5800">
        <v>0</v>
      </c>
      <c r="F5800">
        <v>0</v>
      </c>
      <c r="G5800">
        <v>0</v>
      </c>
      <c r="H5800">
        <v>0</v>
      </c>
      <c r="I5800">
        <v>0</v>
      </c>
      <c r="J5800">
        <v>2968.3033151236</v>
      </c>
      <c r="K5800">
        <v>2376.7297614398699</v>
      </c>
      <c r="L5800">
        <v>71.680999999999997</v>
      </c>
      <c r="M5800">
        <v>62.366999999999997</v>
      </c>
      <c r="N5800">
        <v>71.269000000000005</v>
      </c>
    </row>
    <row r="5801" spans="1:14" x14ac:dyDescent="0.45">
      <c r="A5801">
        <v>2007</v>
      </c>
      <c r="B5801" t="s">
        <v>185</v>
      </c>
      <c r="C5801">
        <v>1</v>
      </c>
      <c r="D5801">
        <v>0</v>
      </c>
      <c r="E5801">
        <v>0</v>
      </c>
      <c r="F5801">
        <v>0</v>
      </c>
      <c r="G5801">
        <v>1</v>
      </c>
      <c r="H5801">
        <v>0</v>
      </c>
      <c r="I5801">
        <v>0</v>
      </c>
      <c r="J5801">
        <v>18881.7622562467</v>
      </c>
      <c r="K5801">
        <v>15953.936428778999</v>
      </c>
      <c r="L5801">
        <v>36.860999999999997</v>
      </c>
      <c r="M5801">
        <v>74.674000000000007</v>
      </c>
      <c r="N5801">
        <v>9.5619999999999994</v>
      </c>
    </row>
    <row r="5802" spans="1:14" x14ac:dyDescent="0.45">
      <c r="A5802">
        <v>2007</v>
      </c>
      <c r="B5802" t="s">
        <v>186</v>
      </c>
      <c r="C5802">
        <v>0</v>
      </c>
      <c r="D5802">
        <v>0</v>
      </c>
      <c r="E5802">
        <v>0</v>
      </c>
      <c r="F5802">
        <v>1</v>
      </c>
      <c r="G5802">
        <v>0</v>
      </c>
      <c r="H5802">
        <v>0</v>
      </c>
      <c r="I5802">
        <v>0</v>
      </c>
      <c r="J5802">
        <v>8750.1340744229892</v>
      </c>
      <c r="K5802">
        <v>6741.7674396655602</v>
      </c>
      <c r="L5802">
        <v>35.436</v>
      </c>
      <c r="M5802">
        <v>66.471000000000004</v>
      </c>
      <c r="N5802">
        <v>34.270000000000003</v>
      </c>
    </row>
    <row r="5803" spans="1:14" x14ac:dyDescent="0.45">
      <c r="A5803">
        <v>2007</v>
      </c>
      <c r="B5803" t="s">
        <v>187</v>
      </c>
      <c r="C5803">
        <v>0</v>
      </c>
      <c r="D5803">
        <v>0</v>
      </c>
      <c r="E5803">
        <v>0</v>
      </c>
      <c r="F5803">
        <v>0</v>
      </c>
      <c r="G5803">
        <v>0</v>
      </c>
      <c r="H5803">
        <v>1</v>
      </c>
      <c r="I5803">
        <v>1</v>
      </c>
      <c r="L5803">
        <v>9.2840000000000096</v>
      </c>
      <c r="M5803">
        <v>77.863</v>
      </c>
      <c r="N5803">
        <v>6.867</v>
      </c>
    </row>
    <row r="5804" spans="1:14" x14ac:dyDescent="0.45">
      <c r="A5804">
        <v>2007</v>
      </c>
      <c r="B5804" t="s">
        <v>188</v>
      </c>
      <c r="C5804">
        <v>0</v>
      </c>
      <c r="D5804">
        <v>0</v>
      </c>
      <c r="E5804">
        <v>1</v>
      </c>
      <c r="F5804">
        <v>0</v>
      </c>
      <c r="G5804">
        <v>0</v>
      </c>
      <c r="H5804">
        <v>0</v>
      </c>
      <c r="I5804">
        <v>0</v>
      </c>
      <c r="J5804">
        <v>1095.12568701598</v>
      </c>
      <c r="K5804">
        <v>916.948634266775</v>
      </c>
      <c r="L5804">
        <v>69.635999999999996</v>
      </c>
      <c r="M5804">
        <v>53.255000000000003</v>
      </c>
      <c r="N5804">
        <v>120.42700000000001</v>
      </c>
    </row>
    <row r="5805" spans="1:14" x14ac:dyDescent="0.45">
      <c r="A5805">
        <v>2007</v>
      </c>
      <c r="B5805" t="s">
        <v>189</v>
      </c>
      <c r="C5805">
        <v>0</v>
      </c>
      <c r="D5805">
        <v>0</v>
      </c>
      <c r="E5805">
        <v>1</v>
      </c>
      <c r="F5805">
        <v>0</v>
      </c>
      <c r="G5805">
        <v>0</v>
      </c>
      <c r="H5805">
        <v>0</v>
      </c>
      <c r="I5805">
        <v>0</v>
      </c>
      <c r="J5805">
        <v>6002.7783270995897</v>
      </c>
      <c r="K5805">
        <v>5310.73824727805</v>
      </c>
      <c r="L5805">
        <v>56.11</v>
      </c>
      <c r="M5805">
        <v>64.885000000000005</v>
      </c>
      <c r="N5805">
        <v>64.831999999999994</v>
      </c>
    </row>
    <row r="5806" spans="1:14" x14ac:dyDescent="0.45">
      <c r="A5806">
        <v>2007</v>
      </c>
      <c r="B5806" t="s">
        <v>190</v>
      </c>
      <c r="C5806">
        <v>0</v>
      </c>
      <c r="D5806">
        <v>0</v>
      </c>
      <c r="E5806">
        <v>1</v>
      </c>
      <c r="F5806">
        <v>0</v>
      </c>
      <c r="G5806">
        <v>1</v>
      </c>
      <c r="H5806">
        <v>0</v>
      </c>
      <c r="I5806">
        <v>0</v>
      </c>
      <c r="J5806">
        <v>16703.9900458722</v>
      </c>
      <c r="K5806">
        <v>15678.777366677699</v>
      </c>
      <c r="L5806">
        <v>58.110999999999997</v>
      </c>
      <c r="M5806">
        <v>72.885999999999996</v>
      </c>
      <c r="N5806">
        <v>15.912000000000001</v>
      </c>
    </row>
    <row r="5807" spans="1:14" x14ac:dyDescent="0.45">
      <c r="A5807">
        <v>2007</v>
      </c>
      <c r="B5807" t="s">
        <v>191</v>
      </c>
      <c r="C5807">
        <v>0</v>
      </c>
      <c r="D5807">
        <v>0</v>
      </c>
      <c r="E5807">
        <v>1</v>
      </c>
      <c r="F5807">
        <v>0</v>
      </c>
      <c r="G5807">
        <v>0</v>
      </c>
      <c r="H5807">
        <v>0</v>
      </c>
      <c r="I5807">
        <v>0</v>
      </c>
      <c r="J5807">
        <v>1318.3319639721401</v>
      </c>
      <c r="K5807">
        <v>1128.0457327066399</v>
      </c>
      <c r="L5807">
        <v>84.765000000000001</v>
      </c>
      <c r="M5807">
        <v>54.686999999999998</v>
      </c>
      <c r="N5807">
        <v>98.284000000000006</v>
      </c>
    </row>
    <row r="5808" spans="1:14" x14ac:dyDescent="0.45">
      <c r="A5808">
        <v>2007</v>
      </c>
      <c r="B5808" t="s">
        <v>192</v>
      </c>
      <c r="C5808">
        <v>0</v>
      </c>
      <c r="D5808">
        <v>0</v>
      </c>
      <c r="E5808">
        <v>0</v>
      </c>
      <c r="F5808">
        <v>0</v>
      </c>
      <c r="G5808">
        <v>1</v>
      </c>
      <c r="H5808">
        <v>0</v>
      </c>
      <c r="I5808">
        <v>0</v>
      </c>
      <c r="J5808">
        <v>22305.118263117001</v>
      </c>
      <c r="K5808">
        <v>19938.143916606201</v>
      </c>
      <c r="L5808">
        <v>31.64</v>
      </c>
      <c r="M5808">
        <v>74.960999999999999</v>
      </c>
      <c r="N5808">
        <v>8.2390000000000008</v>
      </c>
    </row>
    <row r="5809" spans="1:14" x14ac:dyDescent="0.45">
      <c r="A5809">
        <v>2007</v>
      </c>
      <c r="B5809" t="s">
        <v>193</v>
      </c>
      <c r="C5809">
        <v>0</v>
      </c>
      <c r="D5809">
        <v>0</v>
      </c>
      <c r="E5809">
        <v>1</v>
      </c>
      <c r="F5809">
        <v>1</v>
      </c>
      <c r="G5809">
        <v>0</v>
      </c>
      <c r="H5809">
        <v>0</v>
      </c>
      <c r="I5809">
        <v>0</v>
      </c>
      <c r="J5809">
        <v>10162.240070874601</v>
      </c>
      <c r="K5809">
        <v>8807.6114817683592</v>
      </c>
      <c r="L5809">
        <v>61.402000000000001</v>
      </c>
      <c r="M5809">
        <v>54.026000000000003</v>
      </c>
      <c r="N5809">
        <v>60.792000000000002</v>
      </c>
    </row>
    <row r="5810" spans="1:14" x14ac:dyDescent="0.45">
      <c r="A5810">
        <v>2007</v>
      </c>
      <c r="B5810" t="s">
        <v>194</v>
      </c>
      <c r="C5810">
        <v>0</v>
      </c>
      <c r="D5810">
        <v>0</v>
      </c>
      <c r="E5810">
        <v>0</v>
      </c>
      <c r="F5810">
        <v>0</v>
      </c>
      <c r="G5810">
        <v>0</v>
      </c>
      <c r="H5810">
        <v>1</v>
      </c>
      <c r="I5810">
        <v>1</v>
      </c>
      <c r="L5810">
        <v>34.694000000000003</v>
      </c>
      <c r="M5810">
        <v>75.180999999999997</v>
      </c>
      <c r="N5810">
        <v>17.821000000000002</v>
      </c>
    </row>
    <row r="5811" spans="1:14" x14ac:dyDescent="0.45">
      <c r="A5811">
        <v>2007</v>
      </c>
      <c r="B5811" t="s">
        <v>195</v>
      </c>
      <c r="C5811">
        <v>0</v>
      </c>
      <c r="D5811">
        <v>0</v>
      </c>
      <c r="E5811">
        <v>1</v>
      </c>
      <c r="F5811">
        <v>0</v>
      </c>
      <c r="G5811">
        <v>0</v>
      </c>
      <c r="H5811">
        <v>0</v>
      </c>
      <c r="I5811">
        <v>0</v>
      </c>
      <c r="J5811">
        <v>1252.7482725293801</v>
      </c>
      <c r="K5811">
        <v>995.72464537648705</v>
      </c>
      <c r="L5811">
        <v>83.766000000000005</v>
      </c>
      <c r="M5811">
        <v>55.063000000000002</v>
      </c>
      <c r="N5811">
        <v>156.71199999999999</v>
      </c>
    </row>
    <row r="5812" spans="1:14" x14ac:dyDescent="0.45">
      <c r="A5812">
        <v>2007</v>
      </c>
      <c r="B5812" t="s">
        <v>196</v>
      </c>
      <c r="C5812">
        <v>0</v>
      </c>
      <c r="D5812">
        <v>0</v>
      </c>
      <c r="E5812">
        <v>1</v>
      </c>
      <c r="F5812">
        <v>0</v>
      </c>
      <c r="G5812">
        <v>0</v>
      </c>
      <c r="H5812">
        <v>0</v>
      </c>
      <c r="I5812">
        <v>0</v>
      </c>
      <c r="J5812">
        <v>4677.5418472088904</v>
      </c>
      <c r="K5812">
        <v>4135.5774226210297</v>
      </c>
      <c r="L5812">
        <v>59.180999999999997</v>
      </c>
      <c r="M5812">
        <v>50.381</v>
      </c>
      <c r="N5812">
        <v>146.19</v>
      </c>
    </row>
    <row r="5813" spans="1:14" x14ac:dyDescent="0.45">
      <c r="A5813">
        <v>2007</v>
      </c>
      <c r="B5813" t="s">
        <v>197</v>
      </c>
      <c r="C5813">
        <v>0</v>
      </c>
      <c r="D5813">
        <v>1</v>
      </c>
      <c r="E5813">
        <v>0</v>
      </c>
      <c r="F5813">
        <v>1</v>
      </c>
      <c r="G5813">
        <v>0</v>
      </c>
      <c r="H5813">
        <v>0</v>
      </c>
      <c r="I5813">
        <v>0</v>
      </c>
      <c r="J5813">
        <v>5697.2110954959098</v>
      </c>
      <c r="K5813">
        <v>4798.5623665659996</v>
      </c>
      <c r="L5813">
        <v>43.671999999999997</v>
      </c>
      <c r="M5813">
        <v>71.197000000000003</v>
      </c>
      <c r="N5813">
        <v>27.376999999999999</v>
      </c>
    </row>
    <row r="5814" spans="1:14" x14ac:dyDescent="0.45">
      <c r="A5814">
        <v>2007</v>
      </c>
      <c r="B5814" t="s">
        <v>198</v>
      </c>
      <c r="C5814">
        <v>1</v>
      </c>
      <c r="D5814">
        <v>0</v>
      </c>
      <c r="E5814">
        <v>0</v>
      </c>
      <c r="F5814">
        <v>0</v>
      </c>
      <c r="G5814">
        <v>0</v>
      </c>
      <c r="H5814">
        <v>1</v>
      </c>
      <c r="I5814">
        <v>1</v>
      </c>
      <c r="J5814">
        <v>62601.620571818297</v>
      </c>
      <c r="K5814">
        <v>52844.721358070099</v>
      </c>
      <c r="L5814">
        <v>15.461</v>
      </c>
      <c r="M5814">
        <v>80.254999999999995</v>
      </c>
      <c r="N5814">
        <v>4.78</v>
      </c>
    </row>
    <row r="5815" spans="1:14" x14ac:dyDescent="0.45">
      <c r="A5815">
        <v>2007</v>
      </c>
      <c r="B5815" t="s">
        <v>199</v>
      </c>
      <c r="C5815">
        <v>1</v>
      </c>
      <c r="D5815">
        <v>0</v>
      </c>
      <c r="E5815">
        <v>0</v>
      </c>
      <c r="F5815">
        <v>0</v>
      </c>
      <c r="G5815">
        <v>0</v>
      </c>
      <c r="H5815">
        <v>1</v>
      </c>
      <c r="I5815">
        <v>1</v>
      </c>
      <c r="J5815">
        <v>87043.497935759297</v>
      </c>
      <c r="K5815">
        <v>64315.3619200713</v>
      </c>
      <c r="L5815">
        <v>21.765999999999998</v>
      </c>
      <c r="M5815">
        <v>80.501999999999995</v>
      </c>
      <c r="N5815">
        <v>3.698</v>
      </c>
    </row>
    <row r="5816" spans="1:14" x14ac:dyDescent="0.45">
      <c r="A5816">
        <v>2007</v>
      </c>
      <c r="B5816" t="s">
        <v>200</v>
      </c>
      <c r="C5816">
        <v>0</v>
      </c>
      <c r="D5816">
        <v>0</v>
      </c>
      <c r="E5816">
        <v>0</v>
      </c>
      <c r="F5816">
        <v>0</v>
      </c>
      <c r="G5816">
        <v>0</v>
      </c>
      <c r="H5816">
        <v>0</v>
      </c>
      <c r="I5816">
        <v>0</v>
      </c>
      <c r="J5816">
        <v>2708.7143922588998</v>
      </c>
      <c r="K5816">
        <v>2398.0436030201399</v>
      </c>
      <c r="L5816">
        <v>84.218999999999994</v>
      </c>
      <c r="M5816">
        <v>66.168999999999997</v>
      </c>
      <c r="N5816">
        <v>55.246000000000002</v>
      </c>
    </row>
    <row r="5817" spans="1:14" x14ac:dyDescent="0.45">
      <c r="A5817">
        <v>2007</v>
      </c>
      <c r="B5817" t="s">
        <v>201</v>
      </c>
      <c r="C5817">
        <v>0</v>
      </c>
      <c r="D5817">
        <v>0</v>
      </c>
      <c r="E5817">
        <v>0</v>
      </c>
      <c r="F5817">
        <v>0</v>
      </c>
      <c r="G5817">
        <v>0</v>
      </c>
      <c r="H5817">
        <v>1</v>
      </c>
      <c r="I5817">
        <v>1</v>
      </c>
      <c r="J5817">
        <v>6157.9037592831</v>
      </c>
      <c r="K5817">
        <v>5571.1815796336004</v>
      </c>
      <c r="L5817">
        <v>0</v>
      </c>
      <c r="M5817">
        <v>59.49</v>
      </c>
      <c r="N5817">
        <v>38.183999999999997</v>
      </c>
    </row>
    <row r="5818" spans="1:14" x14ac:dyDescent="0.45">
      <c r="A5818">
        <v>2007</v>
      </c>
      <c r="B5818" t="s">
        <v>202</v>
      </c>
      <c r="C5818">
        <v>0</v>
      </c>
      <c r="D5818">
        <v>0</v>
      </c>
      <c r="E5818">
        <v>0</v>
      </c>
      <c r="F5818">
        <v>0</v>
      </c>
      <c r="G5818">
        <v>0</v>
      </c>
      <c r="H5818">
        <v>1</v>
      </c>
      <c r="I5818">
        <v>1</v>
      </c>
      <c r="J5818">
        <v>42346.089483872798</v>
      </c>
      <c r="K5818">
        <v>38515.970383925101</v>
      </c>
      <c r="L5818">
        <v>13.66</v>
      </c>
      <c r="M5818">
        <v>80.122</v>
      </c>
      <c r="N5818">
        <v>6.47</v>
      </c>
    </row>
    <row r="5819" spans="1:14" x14ac:dyDescent="0.45">
      <c r="A5819">
        <v>2007</v>
      </c>
      <c r="B5819" t="s">
        <v>203</v>
      </c>
      <c r="C5819">
        <v>0</v>
      </c>
      <c r="D5819">
        <v>0</v>
      </c>
      <c r="E5819">
        <v>0</v>
      </c>
      <c r="F5819">
        <v>0</v>
      </c>
      <c r="G5819">
        <v>0</v>
      </c>
      <c r="H5819">
        <v>1</v>
      </c>
      <c r="I5819">
        <v>1</v>
      </c>
      <c r="J5819">
        <v>43696.969144091701</v>
      </c>
      <c r="K5819">
        <v>37969.196049606602</v>
      </c>
      <c r="L5819">
        <v>26.472999999999999</v>
      </c>
      <c r="M5819">
        <v>75.596000000000004</v>
      </c>
      <c r="N5819">
        <v>12.818</v>
      </c>
    </row>
    <row r="5820" spans="1:14" x14ac:dyDescent="0.45">
      <c r="A5820">
        <v>2007</v>
      </c>
      <c r="B5820" t="s">
        <v>204</v>
      </c>
      <c r="C5820">
        <v>0</v>
      </c>
      <c r="D5820">
        <v>0</v>
      </c>
      <c r="E5820">
        <v>0</v>
      </c>
      <c r="F5820">
        <v>0</v>
      </c>
      <c r="G5820">
        <v>0</v>
      </c>
      <c r="H5820">
        <v>0</v>
      </c>
      <c r="I5820">
        <v>0</v>
      </c>
      <c r="J5820">
        <v>4257.9255687043196</v>
      </c>
      <c r="K5820">
        <v>4053.1141547844099</v>
      </c>
      <c r="L5820">
        <v>65.613</v>
      </c>
      <c r="M5820">
        <v>63.807000000000002</v>
      </c>
      <c r="N5820">
        <v>92.971999999999994</v>
      </c>
    </row>
    <row r="5821" spans="1:14" x14ac:dyDescent="0.45">
      <c r="A5821">
        <v>2007</v>
      </c>
      <c r="B5821" t="s">
        <v>205</v>
      </c>
      <c r="C5821">
        <v>0</v>
      </c>
      <c r="D5821">
        <v>1</v>
      </c>
      <c r="E5821">
        <v>0</v>
      </c>
      <c r="F5821">
        <v>0</v>
      </c>
      <c r="G5821">
        <v>1</v>
      </c>
      <c r="H5821">
        <v>0</v>
      </c>
      <c r="I5821">
        <v>0</v>
      </c>
      <c r="J5821">
        <v>20208.821572788002</v>
      </c>
      <c r="K5821">
        <v>21190.526346152499</v>
      </c>
      <c r="L5821">
        <v>35.731999999999999</v>
      </c>
      <c r="M5821">
        <v>75.674999999999997</v>
      </c>
      <c r="N5821">
        <v>20.277999999999999</v>
      </c>
    </row>
    <row r="5822" spans="1:14" x14ac:dyDescent="0.45">
      <c r="A5822">
        <v>2007</v>
      </c>
      <c r="B5822" t="s">
        <v>206</v>
      </c>
      <c r="C5822">
        <v>0</v>
      </c>
      <c r="D5822">
        <v>1</v>
      </c>
      <c r="E5822">
        <v>0</v>
      </c>
      <c r="F5822">
        <v>1</v>
      </c>
      <c r="G5822">
        <v>0</v>
      </c>
      <c r="H5822">
        <v>0</v>
      </c>
      <c r="I5822">
        <v>0</v>
      </c>
      <c r="J5822">
        <v>10286.354819362499</v>
      </c>
      <c r="K5822">
        <v>8595.1158052471692</v>
      </c>
      <c r="L5822">
        <v>24.196999999999999</v>
      </c>
      <c r="M5822">
        <v>72.745999999999995</v>
      </c>
      <c r="N5822">
        <v>23.899000000000001</v>
      </c>
    </row>
    <row r="5823" spans="1:14" x14ac:dyDescent="0.45">
      <c r="A5823">
        <v>2007</v>
      </c>
      <c r="B5823" t="s">
        <v>207</v>
      </c>
      <c r="C5823">
        <v>0</v>
      </c>
      <c r="D5823">
        <v>0</v>
      </c>
      <c r="E5823">
        <v>0</v>
      </c>
      <c r="F5823">
        <v>1</v>
      </c>
      <c r="G5823">
        <v>0</v>
      </c>
      <c r="H5823">
        <v>0</v>
      </c>
      <c r="I5823">
        <v>0</v>
      </c>
      <c r="J5823">
        <v>5840.0681016996496</v>
      </c>
      <c r="K5823">
        <v>5288.7690239754602</v>
      </c>
      <c r="L5823">
        <v>54.46</v>
      </c>
      <c r="M5823">
        <v>68.549000000000007</v>
      </c>
      <c r="N5823">
        <v>31.9</v>
      </c>
    </row>
    <row r="5824" spans="1:14" x14ac:dyDescent="0.45">
      <c r="A5824">
        <v>2007</v>
      </c>
      <c r="B5824" t="s">
        <v>208</v>
      </c>
      <c r="C5824">
        <v>0</v>
      </c>
      <c r="D5824">
        <v>0</v>
      </c>
      <c r="E5824">
        <v>0</v>
      </c>
      <c r="F5824">
        <v>0</v>
      </c>
      <c r="G5824">
        <v>1</v>
      </c>
      <c r="H5824">
        <v>0</v>
      </c>
      <c r="I5824">
        <v>0</v>
      </c>
      <c r="J5824">
        <v>18138.469342984801</v>
      </c>
      <c r="K5824">
        <v>16410.244498226799</v>
      </c>
      <c r="L5824">
        <v>27.344999999999999</v>
      </c>
      <c r="M5824">
        <v>67.113</v>
      </c>
      <c r="N5824">
        <v>20.84</v>
      </c>
    </row>
    <row r="5825" spans="1:14" x14ac:dyDescent="0.45">
      <c r="A5825">
        <v>2007</v>
      </c>
      <c r="B5825" t="s">
        <v>209</v>
      </c>
      <c r="C5825">
        <v>0</v>
      </c>
      <c r="D5825">
        <v>0</v>
      </c>
      <c r="E5825">
        <v>0</v>
      </c>
      <c r="F5825">
        <v>0</v>
      </c>
      <c r="G5825">
        <v>0</v>
      </c>
      <c r="H5825">
        <v>0</v>
      </c>
      <c r="I5825">
        <v>0</v>
      </c>
      <c r="J5825">
        <v>3345.85030363442</v>
      </c>
      <c r="K5825">
        <v>3026.6606878882599</v>
      </c>
      <c r="L5825">
        <v>86.927000000000007</v>
      </c>
      <c r="M5825">
        <v>62.210999999999999</v>
      </c>
      <c r="N5825">
        <v>62.843000000000004</v>
      </c>
    </row>
    <row r="5826" spans="1:14" x14ac:dyDescent="0.45">
      <c r="A5826">
        <v>2007</v>
      </c>
      <c r="B5826" t="s">
        <v>210</v>
      </c>
      <c r="C5826">
        <v>1</v>
      </c>
      <c r="D5826">
        <v>0</v>
      </c>
      <c r="E5826">
        <v>0</v>
      </c>
      <c r="F5826">
        <v>0</v>
      </c>
      <c r="G5826">
        <v>1</v>
      </c>
      <c r="H5826">
        <v>0</v>
      </c>
      <c r="I5826">
        <v>0</v>
      </c>
      <c r="J5826">
        <v>24484.065666375602</v>
      </c>
      <c r="K5826">
        <v>21133.9370004349</v>
      </c>
      <c r="L5826">
        <v>38.771000000000001</v>
      </c>
      <c r="M5826">
        <v>75.414000000000001</v>
      </c>
      <c r="N5826">
        <v>6.8250000000000002</v>
      </c>
    </row>
    <row r="5827" spans="1:14" x14ac:dyDescent="0.45">
      <c r="A5827">
        <v>2007</v>
      </c>
      <c r="B5827" t="s">
        <v>211</v>
      </c>
      <c r="C5827">
        <v>0</v>
      </c>
      <c r="D5827">
        <v>1</v>
      </c>
      <c r="E5827">
        <v>0</v>
      </c>
      <c r="F5827">
        <v>0</v>
      </c>
      <c r="G5827">
        <v>0</v>
      </c>
      <c r="H5827">
        <v>1</v>
      </c>
      <c r="I5827">
        <v>1</v>
      </c>
      <c r="J5827">
        <v>41888.623271647797</v>
      </c>
      <c r="K5827">
        <v>32180.546591460999</v>
      </c>
      <c r="L5827">
        <v>6.0010000000000003</v>
      </c>
      <c r="M5827">
        <v>77.659000000000006</v>
      </c>
      <c r="N5827">
        <v>9.7859999999999996</v>
      </c>
    </row>
    <row r="5828" spans="1:14" x14ac:dyDescent="0.45">
      <c r="A5828">
        <v>2007</v>
      </c>
      <c r="B5828" t="s">
        <v>212</v>
      </c>
      <c r="C5828">
        <v>0</v>
      </c>
      <c r="D5828">
        <v>0</v>
      </c>
      <c r="E5828">
        <v>0</v>
      </c>
      <c r="F5828">
        <v>0</v>
      </c>
      <c r="G5828">
        <v>0</v>
      </c>
      <c r="H5828">
        <v>0</v>
      </c>
      <c r="I5828">
        <v>0</v>
      </c>
      <c r="L5828">
        <v>40.037999999999997</v>
      </c>
      <c r="M5828">
        <v>69.021000000000001</v>
      </c>
      <c r="N5828">
        <v>32.493000000000002</v>
      </c>
    </row>
    <row r="5829" spans="1:14" x14ac:dyDescent="0.45">
      <c r="A5829">
        <v>2007</v>
      </c>
      <c r="B5829" t="s">
        <v>213</v>
      </c>
      <c r="C5829">
        <v>1</v>
      </c>
      <c r="D5829">
        <v>0</v>
      </c>
      <c r="E5829">
        <v>0</v>
      </c>
      <c r="F5829">
        <v>0</v>
      </c>
      <c r="G5829">
        <v>0</v>
      </c>
      <c r="H5829">
        <v>1</v>
      </c>
      <c r="I5829">
        <v>1</v>
      </c>
      <c r="J5829">
        <v>37226.470090859897</v>
      </c>
      <c r="K5829">
        <v>32177.931390592301</v>
      </c>
      <c r="L5829">
        <v>41.250999999999998</v>
      </c>
      <c r="M5829">
        <v>79.308999999999997</v>
      </c>
      <c r="N5829">
        <v>4.2069999999999999</v>
      </c>
    </row>
    <row r="5830" spans="1:14" x14ac:dyDescent="0.45">
      <c r="A5830">
        <v>2007</v>
      </c>
      <c r="B5830" t="s">
        <v>214</v>
      </c>
      <c r="C5830">
        <v>0</v>
      </c>
      <c r="D5830">
        <v>1</v>
      </c>
      <c r="E5830">
        <v>0</v>
      </c>
      <c r="F5830">
        <v>1</v>
      </c>
      <c r="G5830">
        <v>0</v>
      </c>
      <c r="H5830">
        <v>0</v>
      </c>
      <c r="I5830">
        <v>0</v>
      </c>
      <c r="J5830">
        <v>11141.870470186201</v>
      </c>
      <c r="K5830">
        <v>10165.163351683699</v>
      </c>
      <c r="L5830">
        <v>41.713999999999999</v>
      </c>
      <c r="M5830">
        <v>71.816999999999993</v>
      </c>
      <c r="N5830">
        <v>28.145</v>
      </c>
    </row>
    <row r="5831" spans="1:14" x14ac:dyDescent="0.45">
      <c r="A5831">
        <v>2007</v>
      </c>
      <c r="B5831" t="s">
        <v>215</v>
      </c>
      <c r="C5831">
        <v>0</v>
      </c>
      <c r="D5831">
        <v>0</v>
      </c>
      <c r="E5831">
        <v>0</v>
      </c>
      <c r="F5831">
        <v>1</v>
      </c>
      <c r="G5831">
        <v>0</v>
      </c>
      <c r="H5831">
        <v>0</v>
      </c>
      <c r="I5831">
        <v>0</v>
      </c>
      <c r="J5831">
        <v>4769.5232809680101</v>
      </c>
      <c r="K5831">
        <v>4066.9003300015702</v>
      </c>
      <c r="L5831">
        <v>26.509</v>
      </c>
      <c r="M5831">
        <v>72.063999999999993</v>
      </c>
      <c r="N5831">
        <v>23.992000000000001</v>
      </c>
    </row>
    <row r="5832" spans="1:14" x14ac:dyDescent="0.45">
      <c r="A5832">
        <v>2007</v>
      </c>
      <c r="B5832" t="s">
        <v>216</v>
      </c>
      <c r="C5832">
        <v>0</v>
      </c>
      <c r="D5832">
        <v>0</v>
      </c>
      <c r="E5832">
        <v>0</v>
      </c>
      <c r="F5832">
        <v>0</v>
      </c>
      <c r="G5832">
        <v>0</v>
      </c>
      <c r="H5832">
        <v>1</v>
      </c>
      <c r="I5832">
        <v>1</v>
      </c>
      <c r="L5832">
        <v>41.414999999999999</v>
      </c>
      <c r="M5832">
        <v>80.328000000000003</v>
      </c>
      <c r="N5832">
        <v>9.2759999999999998</v>
      </c>
    </row>
    <row r="5833" spans="1:14" x14ac:dyDescent="0.45">
      <c r="A5833">
        <v>2007</v>
      </c>
      <c r="B5833" t="s">
        <v>217</v>
      </c>
      <c r="C5833">
        <v>0</v>
      </c>
      <c r="D5833">
        <v>0</v>
      </c>
      <c r="E5833">
        <v>0</v>
      </c>
      <c r="F5833">
        <v>0</v>
      </c>
      <c r="G5833">
        <v>0</v>
      </c>
      <c r="H5833">
        <v>1</v>
      </c>
      <c r="I5833">
        <v>1</v>
      </c>
      <c r="J5833">
        <v>109579.78649568099</v>
      </c>
      <c r="K5833">
        <v>94621.911351709699</v>
      </c>
      <c r="L5833">
        <v>2.0830000000000002</v>
      </c>
      <c r="M5833">
        <v>77.741</v>
      </c>
      <c r="N5833">
        <v>9.8919999999999995</v>
      </c>
    </row>
    <row r="5834" spans="1:14" x14ac:dyDescent="0.45">
      <c r="A5834">
        <v>2007</v>
      </c>
      <c r="B5834" t="s">
        <v>218</v>
      </c>
      <c r="C5834">
        <v>1</v>
      </c>
      <c r="D5834">
        <v>0</v>
      </c>
      <c r="E5834">
        <v>0</v>
      </c>
      <c r="F5834">
        <v>0</v>
      </c>
      <c r="G5834">
        <v>1</v>
      </c>
      <c r="H5834">
        <v>0</v>
      </c>
      <c r="I5834">
        <v>0</v>
      </c>
      <c r="J5834">
        <v>24325.7806625167</v>
      </c>
      <c r="K5834">
        <v>19772.871835065602</v>
      </c>
      <c r="L5834">
        <v>46.564</v>
      </c>
      <c r="M5834">
        <v>72.792000000000002</v>
      </c>
      <c r="N5834">
        <v>14.628</v>
      </c>
    </row>
    <row r="5835" spans="1:14" x14ac:dyDescent="0.45">
      <c r="A5835">
        <v>2007</v>
      </c>
      <c r="B5835" t="s">
        <v>219</v>
      </c>
      <c r="C5835">
        <v>1</v>
      </c>
      <c r="D5835">
        <v>0</v>
      </c>
      <c r="E5835">
        <v>0</v>
      </c>
      <c r="F5835">
        <v>0</v>
      </c>
      <c r="G5835">
        <v>1</v>
      </c>
      <c r="H5835">
        <v>0</v>
      </c>
      <c r="I5835">
        <v>0</v>
      </c>
      <c r="J5835">
        <v>32630.369140625</v>
      </c>
      <c r="K5835">
        <v>23647.266444094399</v>
      </c>
      <c r="L5835">
        <v>26.446999999999999</v>
      </c>
      <c r="M5835">
        <v>67.468999999999994</v>
      </c>
      <c r="N5835">
        <v>12.242000000000001</v>
      </c>
    </row>
    <row r="5836" spans="1:14" x14ac:dyDescent="0.45">
      <c r="A5836">
        <v>2007</v>
      </c>
      <c r="B5836" t="s">
        <v>220</v>
      </c>
      <c r="C5836">
        <v>0</v>
      </c>
      <c r="D5836">
        <v>0</v>
      </c>
      <c r="E5836">
        <v>1</v>
      </c>
      <c r="F5836">
        <v>0</v>
      </c>
      <c r="G5836">
        <v>0</v>
      </c>
      <c r="H5836">
        <v>0</v>
      </c>
      <c r="I5836">
        <v>0</v>
      </c>
      <c r="J5836">
        <v>1516.2675060932299</v>
      </c>
      <c r="K5836">
        <v>1268.89431083912</v>
      </c>
      <c r="L5836">
        <v>83.078999999999994</v>
      </c>
      <c r="M5836">
        <v>59.503999999999998</v>
      </c>
      <c r="N5836">
        <v>85.662999999999997</v>
      </c>
    </row>
    <row r="5837" spans="1:14" x14ac:dyDescent="0.45">
      <c r="A5837">
        <v>2007</v>
      </c>
      <c r="B5837" t="s">
        <v>221</v>
      </c>
      <c r="C5837">
        <v>0</v>
      </c>
      <c r="D5837">
        <v>0</v>
      </c>
      <c r="E5837">
        <v>0</v>
      </c>
      <c r="F5837">
        <v>0</v>
      </c>
      <c r="G5837">
        <v>0</v>
      </c>
      <c r="H5837">
        <v>1</v>
      </c>
      <c r="I5837">
        <v>1</v>
      </c>
      <c r="J5837">
        <v>53318.419160183403</v>
      </c>
      <c r="K5837">
        <v>48881.155851623</v>
      </c>
      <c r="L5837">
        <v>18.573</v>
      </c>
      <c r="M5837">
        <v>75.066000000000003</v>
      </c>
      <c r="N5837">
        <v>14.651999999999999</v>
      </c>
    </row>
    <row r="5838" spans="1:14" x14ac:dyDescent="0.45">
      <c r="A5838">
        <v>2007</v>
      </c>
      <c r="B5838" t="s">
        <v>222</v>
      </c>
      <c r="C5838">
        <v>0</v>
      </c>
      <c r="D5838">
        <v>0</v>
      </c>
      <c r="E5838">
        <v>1</v>
      </c>
      <c r="F5838">
        <v>1</v>
      </c>
      <c r="G5838">
        <v>0</v>
      </c>
      <c r="H5838">
        <v>0</v>
      </c>
      <c r="I5838">
        <v>0</v>
      </c>
      <c r="J5838">
        <v>4415.78515625</v>
      </c>
      <c r="K5838">
        <v>4623.9093869667004</v>
      </c>
      <c r="L5838">
        <v>67.134</v>
      </c>
      <c r="M5838">
        <v>61.442</v>
      </c>
      <c r="N5838">
        <v>83.632000000000005</v>
      </c>
    </row>
    <row r="5839" spans="1:14" x14ac:dyDescent="0.45">
      <c r="A5839">
        <v>2007</v>
      </c>
      <c r="B5839" t="s">
        <v>223</v>
      </c>
      <c r="C5839">
        <v>0</v>
      </c>
      <c r="D5839">
        <v>0</v>
      </c>
      <c r="E5839">
        <v>1</v>
      </c>
      <c r="F5839">
        <v>0</v>
      </c>
      <c r="G5839">
        <v>0</v>
      </c>
      <c r="H5839">
        <v>0</v>
      </c>
      <c r="I5839">
        <v>0</v>
      </c>
      <c r="J5839">
        <v>3316.4203783477401</v>
      </c>
      <c r="K5839">
        <v>2770.6669540068701</v>
      </c>
      <c r="L5839">
        <v>57.465000000000003</v>
      </c>
      <c r="M5839">
        <v>62.652999999999999</v>
      </c>
      <c r="N5839">
        <v>80.346000000000004</v>
      </c>
    </row>
    <row r="5840" spans="1:14" x14ac:dyDescent="0.45">
      <c r="A5840">
        <v>2007</v>
      </c>
      <c r="B5840" t="s">
        <v>224</v>
      </c>
      <c r="C5840">
        <v>0</v>
      </c>
      <c r="D5840">
        <v>0</v>
      </c>
      <c r="E5840">
        <v>0</v>
      </c>
      <c r="F5840">
        <v>0</v>
      </c>
      <c r="G5840">
        <v>0</v>
      </c>
      <c r="H5840">
        <v>1</v>
      </c>
      <c r="I5840">
        <v>1</v>
      </c>
      <c r="J5840">
        <v>90417.807384996704</v>
      </c>
      <c r="K5840">
        <v>74326.811444917097</v>
      </c>
      <c r="L5840">
        <v>0</v>
      </c>
      <c r="M5840">
        <v>80.885000000000005</v>
      </c>
      <c r="N5840">
        <v>2.8980000000000001</v>
      </c>
    </row>
    <row r="5841" spans="1:14" x14ac:dyDescent="0.45">
      <c r="A5841">
        <v>2007</v>
      </c>
      <c r="B5841" t="s">
        <v>225</v>
      </c>
      <c r="C5841">
        <v>0</v>
      </c>
      <c r="D5841">
        <v>0</v>
      </c>
      <c r="E5841">
        <v>0</v>
      </c>
      <c r="F5841">
        <v>0</v>
      </c>
      <c r="G5841">
        <v>0</v>
      </c>
      <c r="H5841">
        <v>0</v>
      </c>
      <c r="I5841">
        <v>0</v>
      </c>
      <c r="J5841">
        <v>2384.3254850052099</v>
      </c>
      <c r="K5841">
        <v>2156.7963614085702</v>
      </c>
      <c r="L5841">
        <v>81.305999999999997</v>
      </c>
      <c r="M5841">
        <v>67.844999999999999</v>
      </c>
      <c r="N5841">
        <v>29.143999999999998</v>
      </c>
    </row>
    <row r="5842" spans="1:14" x14ac:dyDescent="0.45">
      <c r="A5842">
        <v>2007</v>
      </c>
      <c r="B5842" t="s">
        <v>226</v>
      </c>
      <c r="C5842">
        <v>0</v>
      </c>
      <c r="D5842">
        <v>0</v>
      </c>
      <c r="E5842">
        <v>1</v>
      </c>
      <c r="F5842">
        <v>0</v>
      </c>
      <c r="G5842">
        <v>0</v>
      </c>
      <c r="H5842">
        <v>0</v>
      </c>
      <c r="I5842">
        <v>0</v>
      </c>
      <c r="J5842">
        <v>2379.9444677464699</v>
      </c>
      <c r="K5842">
        <v>2160.2055767806601</v>
      </c>
      <c r="L5842">
        <v>62.311</v>
      </c>
      <c r="M5842">
        <v>50.024000000000001</v>
      </c>
      <c r="N5842">
        <v>182.053</v>
      </c>
    </row>
    <row r="5843" spans="1:14" x14ac:dyDescent="0.45">
      <c r="A5843">
        <v>2007</v>
      </c>
      <c r="B5843" t="s">
        <v>227</v>
      </c>
      <c r="C5843">
        <v>0</v>
      </c>
      <c r="D5843">
        <v>1</v>
      </c>
      <c r="E5843">
        <v>0</v>
      </c>
      <c r="F5843">
        <v>1</v>
      </c>
      <c r="G5843">
        <v>0</v>
      </c>
      <c r="H5843">
        <v>0</v>
      </c>
      <c r="I5843">
        <v>0</v>
      </c>
      <c r="J5843">
        <v>8548.8347611860499</v>
      </c>
      <c r="K5843">
        <v>7614.8779435864299</v>
      </c>
      <c r="L5843">
        <v>37.225999999999999</v>
      </c>
      <c r="M5843">
        <v>69.819999999999993</v>
      </c>
      <c r="N5843">
        <v>22.495999999999999</v>
      </c>
    </row>
    <row r="5844" spans="1:14" x14ac:dyDescent="0.45">
      <c r="A5844">
        <v>2007</v>
      </c>
      <c r="B5844" t="s">
        <v>228</v>
      </c>
      <c r="C5844">
        <v>1</v>
      </c>
      <c r="D5844">
        <v>0</v>
      </c>
      <c r="E5844">
        <v>0</v>
      </c>
      <c r="F5844">
        <v>0</v>
      </c>
      <c r="G5844">
        <v>0</v>
      </c>
      <c r="H5844">
        <v>1</v>
      </c>
      <c r="I5844">
        <v>1</v>
      </c>
      <c r="J5844">
        <v>86785.018114765902</v>
      </c>
      <c r="K5844">
        <v>76490.087331232702</v>
      </c>
      <c r="L5844">
        <v>4.9929999999999897</v>
      </c>
      <c r="M5844">
        <v>82.605000000000004</v>
      </c>
      <c r="N5844">
        <v>3.1789999999999998</v>
      </c>
    </row>
    <row r="5845" spans="1:14" x14ac:dyDescent="0.45">
      <c r="A5845">
        <v>2007</v>
      </c>
      <c r="B5845" t="s">
        <v>229</v>
      </c>
      <c r="C5845">
        <v>0</v>
      </c>
      <c r="D5845">
        <v>0</v>
      </c>
      <c r="E5845">
        <v>1</v>
      </c>
      <c r="F5845">
        <v>0</v>
      </c>
      <c r="G5845">
        <v>0</v>
      </c>
      <c r="H5845">
        <v>0</v>
      </c>
      <c r="I5845">
        <v>0</v>
      </c>
      <c r="J5845">
        <v>887.05095922610803</v>
      </c>
      <c r="K5845">
        <v>822.77017569483496</v>
      </c>
      <c r="L5845">
        <v>65.596000000000004</v>
      </c>
      <c r="M5845">
        <v>50.884999999999998</v>
      </c>
      <c r="N5845">
        <v>168.04900000000001</v>
      </c>
    </row>
    <row r="5846" spans="1:14" x14ac:dyDescent="0.45">
      <c r="A5846">
        <v>2007</v>
      </c>
      <c r="B5846" t="s">
        <v>230</v>
      </c>
      <c r="C5846">
        <v>1</v>
      </c>
      <c r="D5846">
        <v>0</v>
      </c>
      <c r="E5846">
        <v>0</v>
      </c>
      <c r="F5846">
        <v>0</v>
      </c>
      <c r="G5846">
        <v>1</v>
      </c>
      <c r="H5846">
        <v>0</v>
      </c>
      <c r="I5846">
        <v>0</v>
      </c>
      <c r="J5846">
        <v>17027.135715759501</v>
      </c>
      <c r="K5846">
        <v>14972.365037810499</v>
      </c>
      <c r="L5846">
        <v>45.671999999999997</v>
      </c>
      <c r="M5846">
        <v>73.724000000000004</v>
      </c>
      <c r="N5846">
        <v>8.1289999999999996</v>
      </c>
    </row>
    <row r="5847" spans="1:14" x14ac:dyDescent="0.45">
      <c r="A5847">
        <v>2007</v>
      </c>
      <c r="B5847" t="s">
        <v>231</v>
      </c>
      <c r="C5847">
        <v>0</v>
      </c>
      <c r="D5847">
        <v>0</v>
      </c>
      <c r="E5847">
        <v>1</v>
      </c>
      <c r="F5847">
        <v>1</v>
      </c>
      <c r="G5847">
        <v>0</v>
      </c>
      <c r="H5847">
        <v>0</v>
      </c>
      <c r="I5847">
        <v>0</v>
      </c>
      <c r="L5847">
        <v>82.58</v>
      </c>
      <c r="M5847">
        <v>55.424999999999997</v>
      </c>
      <c r="N5847">
        <v>128.017</v>
      </c>
    </row>
    <row r="5848" spans="1:14" x14ac:dyDescent="0.45">
      <c r="A5848">
        <v>2007</v>
      </c>
      <c r="B5848" t="s">
        <v>232</v>
      </c>
      <c r="C5848">
        <v>0</v>
      </c>
      <c r="D5848">
        <v>0</v>
      </c>
      <c r="E5848">
        <v>1</v>
      </c>
      <c r="F5848">
        <v>0</v>
      </c>
      <c r="G5848">
        <v>0</v>
      </c>
      <c r="H5848">
        <v>0</v>
      </c>
      <c r="I5848">
        <v>0</v>
      </c>
      <c r="J5848">
        <v>4698.0841696183898</v>
      </c>
      <c r="K5848">
        <v>2924.0137411668702</v>
      </c>
      <c r="L5848">
        <v>38.479999999999997</v>
      </c>
      <c r="M5848">
        <v>63.335999999999999</v>
      </c>
      <c r="N5848">
        <v>46.573</v>
      </c>
    </row>
    <row r="5849" spans="1:14" x14ac:dyDescent="0.45">
      <c r="A5849">
        <v>2007</v>
      </c>
      <c r="B5849" t="s">
        <v>233</v>
      </c>
      <c r="C5849">
        <v>0</v>
      </c>
      <c r="D5849">
        <v>1</v>
      </c>
      <c r="E5849">
        <v>0</v>
      </c>
      <c r="F5849">
        <v>0</v>
      </c>
      <c r="G5849">
        <v>1</v>
      </c>
      <c r="H5849">
        <v>0</v>
      </c>
      <c r="I5849">
        <v>0</v>
      </c>
      <c r="J5849">
        <v>20902.139158927901</v>
      </c>
      <c r="K5849">
        <v>16637.676918102199</v>
      </c>
      <c r="L5849">
        <v>33.453000000000003</v>
      </c>
      <c r="M5849">
        <v>68.307000000000002</v>
      </c>
      <c r="N5849">
        <v>25.053999999999998</v>
      </c>
    </row>
    <row r="5850" spans="1:14" x14ac:dyDescent="0.45">
      <c r="A5850">
        <v>2007</v>
      </c>
      <c r="B5850" t="s">
        <v>234</v>
      </c>
      <c r="C5850">
        <v>1</v>
      </c>
      <c r="D5850">
        <v>0</v>
      </c>
      <c r="E5850">
        <v>0</v>
      </c>
      <c r="F5850">
        <v>0</v>
      </c>
      <c r="G5850">
        <v>0</v>
      </c>
      <c r="H5850">
        <v>1</v>
      </c>
      <c r="I5850">
        <v>1</v>
      </c>
      <c r="J5850">
        <v>28064.190749576101</v>
      </c>
      <c r="K5850">
        <v>24171.2057543056</v>
      </c>
      <c r="L5850">
        <v>44.738999999999997</v>
      </c>
      <c r="M5850">
        <v>74.495000000000005</v>
      </c>
      <c r="N5850">
        <v>7.54</v>
      </c>
    </row>
    <row r="5851" spans="1:14" x14ac:dyDescent="0.45">
      <c r="A5851">
        <v>2007</v>
      </c>
      <c r="B5851" t="s">
        <v>235</v>
      </c>
      <c r="C5851">
        <v>1</v>
      </c>
      <c r="D5851">
        <v>0</v>
      </c>
      <c r="E5851">
        <v>0</v>
      </c>
      <c r="F5851">
        <v>0</v>
      </c>
      <c r="G5851">
        <v>0</v>
      </c>
      <c r="H5851">
        <v>1</v>
      </c>
      <c r="I5851">
        <v>1</v>
      </c>
      <c r="J5851">
        <v>40005.246744485899</v>
      </c>
      <c r="K5851">
        <v>34436.704079687501</v>
      </c>
      <c r="L5851">
        <v>48.017000000000003</v>
      </c>
      <c r="M5851">
        <v>78.284999999999997</v>
      </c>
      <c r="N5851">
        <v>3.702</v>
      </c>
    </row>
    <row r="5852" spans="1:14" x14ac:dyDescent="0.45">
      <c r="A5852">
        <v>2007</v>
      </c>
      <c r="B5852" t="s">
        <v>236</v>
      </c>
      <c r="C5852">
        <v>1</v>
      </c>
      <c r="D5852">
        <v>0</v>
      </c>
      <c r="E5852">
        <v>0</v>
      </c>
      <c r="F5852">
        <v>0</v>
      </c>
      <c r="G5852">
        <v>0</v>
      </c>
      <c r="H5852">
        <v>1</v>
      </c>
      <c r="I5852">
        <v>1</v>
      </c>
      <c r="J5852">
        <v>56745.038257996202</v>
      </c>
      <c r="K5852">
        <v>48472.658731401702</v>
      </c>
      <c r="L5852">
        <v>15.412000000000001</v>
      </c>
      <c r="M5852">
        <v>80.97</v>
      </c>
      <c r="N5852">
        <v>3.16</v>
      </c>
    </row>
    <row r="5853" spans="1:14" x14ac:dyDescent="0.45">
      <c r="A5853">
        <v>2007</v>
      </c>
      <c r="B5853" t="s">
        <v>237</v>
      </c>
      <c r="C5853">
        <v>0</v>
      </c>
      <c r="D5853">
        <v>0</v>
      </c>
      <c r="E5853">
        <v>1</v>
      </c>
      <c r="F5853">
        <v>1</v>
      </c>
      <c r="G5853">
        <v>0</v>
      </c>
      <c r="H5853">
        <v>0</v>
      </c>
      <c r="I5853">
        <v>0</v>
      </c>
      <c r="J5853">
        <v>7873.5651707274101</v>
      </c>
      <c r="K5853">
        <v>6972.0434011093002</v>
      </c>
      <c r="L5853">
        <v>78.171000000000006</v>
      </c>
      <c r="M5853">
        <v>45.16</v>
      </c>
      <c r="N5853">
        <v>105.378</v>
      </c>
    </row>
    <row r="5854" spans="1:14" x14ac:dyDescent="0.45">
      <c r="A5854">
        <v>2007</v>
      </c>
      <c r="B5854" t="s">
        <v>238</v>
      </c>
      <c r="C5854">
        <v>0</v>
      </c>
      <c r="D5854">
        <v>1</v>
      </c>
      <c r="E5854">
        <v>0</v>
      </c>
      <c r="F5854">
        <v>0</v>
      </c>
      <c r="G5854">
        <v>0</v>
      </c>
      <c r="H5854">
        <v>1</v>
      </c>
      <c r="I5854">
        <v>1</v>
      </c>
      <c r="L5854">
        <v>0</v>
      </c>
      <c r="M5854">
        <v>74.811999999999998</v>
      </c>
      <c r="N5854">
        <v>18.513000000000002</v>
      </c>
    </row>
    <row r="5855" spans="1:14" x14ac:dyDescent="0.45">
      <c r="A5855">
        <v>2007</v>
      </c>
      <c r="B5855" t="s">
        <v>239</v>
      </c>
      <c r="C5855">
        <v>0</v>
      </c>
      <c r="D5855">
        <v>0</v>
      </c>
      <c r="E5855">
        <v>1</v>
      </c>
      <c r="F5855">
        <v>0</v>
      </c>
      <c r="G5855">
        <v>1</v>
      </c>
      <c r="H5855">
        <v>0</v>
      </c>
      <c r="I5855">
        <v>0</v>
      </c>
      <c r="J5855">
        <v>23117.855522477101</v>
      </c>
      <c r="K5855">
        <v>22443.9672590716</v>
      </c>
      <c r="L5855">
        <v>47.715000000000003</v>
      </c>
      <c r="M5855">
        <v>72.162000000000006</v>
      </c>
      <c r="N5855">
        <v>14.005000000000001</v>
      </c>
    </row>
    <row r="5856" spans="1:14" x14ac:dyDescent="0.45">
      <c r="A5856">
        <v>2007</v>
      </c>
      <c r="B5856" t="s">
        <v>240</v>
      </c>
      <c r="C5856">
        <v>0</v>
      </c>
      <c r="D5856">
        <v>0</v>
      </c>
      <c r="E5856">
        <v>0</v>
      </c>
      <c r="F5856">
        <v>1</v>
      </c>
      <c r="G5856">
        <v>0</v>
      </c>
      <c r="H5856">
        <v>0</v>
      </c>
      <c r="I5856">
        <v>0</v>
      </c>
      <c r="J5856">
        <v>8829.3090636742509</v>
      </c>
      <c r="K5856">
        <v>5791.38598930233</v>
      </c>
      <c r="L5856">
        <v>45.488999999999997</v>
      </c>
      <c r="M5856">
        <v>73.256</v>
      </c>
      <c r="N5856">
        <v>19.577999999999999</v>
      </c>
    </row>
    <row r="5857" spans="1:14" x14ac:dyDescent="0.45">
      <c r="A5857">
        <v>2007</v>
      </c>
      <c r="B5857" t="s">
        <v>241</v>
      </c>
      <c r="C5857">
        <v>0</v>
      </c>
      <c r="D5857">
        <v>1</v>
      </c>
      <c r="E5857">
        <v>0</v>
      </c>
      <c r="F5857">
        <v>0</v>
      </c>
      <c r="G5857">
        <v>0</v>
      </c>
      <c r="H5857">
        <v>1</v>
      </c>
      <c r="I5857">
        <v>1</v>
      </c>
      <c r="J5857">
        <v>21878.820601307099</v>
      </c>
      <c r="K5857">
        <v>34061.762600028502</v>
      </c>
      <c r="L5857">
        <v>11.202999999999999</v>
      </c>
      <c r="M5857">
        <v>76.427000000000007</v>
      </c>
      <c r="N5857">
        <v>8.19</v>
      </c>
    </row>
    <row r="5858" spans="1:14" x14ac:dyDescent="0.45">
      <c r="A5858">
        <v>2007</v>
      </c>
      <c r="B5858" t="s">
        <v>242</v>
      </c>
      <c r="C5858">
        <v>0</v>
      </c>
      <c r="D5858">
        <v>0</v>
      </c>
      <c r="E5858">
        <v>1</v>
      </c>
      <c r="F5858">
        <v>0</v>
      </c>
      <c r="G5858">
        <v>0</v>
      </c>
      <c r="H5858">
        <v>0</v>
      </c>
      <c r="I5858">
        <v>0</v>
      </c>
      <c r="J5858">
        <v>2608.2686409016401</v>
      </c>
      <c r="K5858">
        <v>2191.0400219203302</v>
      </c>
      <c r="L5858">
        <v>78.132000000000005</v>
      </c>
      <c r="M5858">
        <v>49.21</v>
      </c>
      <c r="N5858">
        <v>159.46600000000001</v>
      </c>
    </row>
    <row r="5859" spans="1:14" x14ac:dyDescent="0.45">
      <c r="A5859">
        <v>2007</v>
      </c>
      <c r="B5859" t="s">
        <v>243</v>
      </c>
      <c r="C5859">
        <v>0</v>
      </c>
      <c r="D5859">
        <v>0</v>
      </c>
      <c r="E5859">
        <v>1</v>
      </c>
      <c r="F5859">
        <v>0</v>
      </c>
      <c r="G5859">
        <v>0</v>
      </c>
      <c r="H5859">
        <v>0</v>
      </c>
      <c r="I5859">
        <v>0</v>
      </c>
      <c r="J5859">
        <v>1863.28302167894</v>
      </c>
      <c r="K5859">
        <v>1548.4585170954799</v>
      </c>
      <c r="L5859">
        <v>63.884</v>
      </c>
      <c r="M5859">
        <v>56.381999999999998</v>
      </c>
      <c r="N5859">
        <v>97.552999999999997</v>
      </c>
    </row>
    <row r="5860" spans="1:14" x14ac:dyDescent="0.45">
      <c r="A5860">
        <v>2007</v>
      </c>
      <c r="B5860" t="s">
        <v>244</v>
      </c>
      <c r="C5860">
        <v>0</v>
      </c>
      <c r="D5860">
        <v>0</v>
      </c>
      <c r="E5860">
        <v>0</v>
      </c>
      <c r="F5860">
        <v>1</v>
      </c>
      <c r="G5860">
        <v>0</v>
      </c>
      <c r="H5860">
        <v>0</v>
      </c>
      <c r="I5860">
        <v>0</v>
      </c>
      <c r="J5860">
        <v>15742.655289178099</v>
      </c>
      <c r="K5860">
        <v>13767.378282175299</v>
      </c>
      <c r="L5860">
        <v>60.05</v>
      </c>
      <c r="M5860">
        <v>73.778999999999996</v>
      </c>
      <c r="N5860">
        <v>14.59</v>
      </c>
    </row>
    <row r="5861" spans="1:14" x14ac:dyDescent="0.45">
      <c r="A5861">
        <v>2007</v>
      </c>
      <c r="B5861" t="s">
        <v>245</v>
      </c>
      <c r="C5861">
        <v>1</v>
      </c>
      <c r="D5861">
        <v>0</v>
      </c>
      <c r="E5861">
        <v>0</v>
      </c>
      <c r="F5861">
        <v>0</v>
      </c>
      <c r="G5861">
        <v>0</v>
      </c>
      <c r="H5861">
        <v>0</v>
      </c>
      <c r="I5861">
        <v>0</v>
      </c>
      <c r="J5861">
        <v>2181.8979805653598</v>
      </c>
      <c r="K5861">
        <v>1987.1312992110099</v>
      </c>
      <c r="L5861">
        <v>73.486000000000004</v>
      </c>
      <c r="M5861">
        <v>67.405000000000001</v>
      </c>
      <c r="N5861">
        <v>50.186</v>
      </c>
    </row>
    <row r="5862" spans="1:14" x14ac:dyDescent="0.45">
      <c r="A5862">
        <v>2007</v>
      </c>
      <c r="B5862" t="s">
        <v>246</v>
      </c>
      <c r="C5862">
        <v>1</v>
      </c>
      <c r="D5862">
        <v>0</v>
      </c>
      <c r="E5862">
        <v>0</v>
      </c>
      <c r="F5862">
        <v>1</v>
      </c>
      <c r="G5862">
        <v>0</v>
      </c>
      <c r="H5862">
        <v>0</v>
      </c>
      <c r="I5862">
        <v>0</v>
      </c>
      <c r="J5862">
        <v>7060.1484499304297</v>
      </c>
      <c r="K5862">
        <v>6645.1453171552203</v>
      </c>
      <c r="L5862">
        <v>52.418999999999997</v>
      </c>
      <c r="M5862">
        <v>67.02</v>
      </c>
      <c r="N5862">
        <v>47.898000000000003</v>
      </c>
    </row>
    <row r="5863" spans="1:14" x14ac:dyDescent="0.45">
      <c r="A5863">
        <v>2007</v>
      </c>
      <c r="B5863" t="s">
        <v>247</v>
      </c>
      <c r="C5863">
        <v>0</v>
      </c>
      <c r="D5863">
        <v>0</v>
      </c>
      <c r="E5863">
        <v>0</v>
      </c>
      <c r="F5863">
        <v>1</v>
      </c>
      <c r="G5863">
        <v>0</v>
      </c>
      <c r="H5863">
        <v>0</v>
      </c>
      <c r="I5863">
        <v>0</v>
      </c>
      <c r="J5863">
        <v>3258.1267571800799</v>
      </c>
      <c r="K5863">
        <v>2628.86077196527</v>
      </c>
      <c r="L5863">
        <v>73.290999999999997</v>
      </c>
      <c r="M5863">
        <v>62.396000000000001</v>
      </c>
      <c r="N5863">
        <v>80.558999999999997</v>
      </c>
    </row>
    <row r="5864" spans="1:14" x14ac:dyDescent="0.45">
      <c r="A5864">
        <v>2007</v>
      </c>
      <c r="B5864" t="s">
        <v>248</v>
      </c>
      <c r="C5864">
        <v>0</v>
      </c>
      <c r="D5864">
        <v>0</v>
      </c>
      <c r="E5864">
        <v>0</v>
      </c>
      <c r="F5864">
        <v>1</v>
      </c>
      <c r="G5864">
        <v>0</v>
      </c>
      <c r="H5864">
        <v>0</v>
      </c>
      <c r="I5864">
        <v>0</v>
      </c>
      <c r="J5864">
        <v>5506.6517783375502</v>
      </c>
      <c r="K5864">
        <v>4984.7933853602099</v>
      </c>
      <c r="L5864">
        <v>76.772999999999996</v>
      </c>
      <c r="M5864">
        <v>70.887</v>
      </c>
      <c r="N5864">
        <v>14.109</v>
      </c>
    </row>
    <row r="5865" spans="1:14" x14ac:dyDescent="0.45">
      <c r="A5865">
        <v>2007</v>
      </c>
      <c r="B5865" t="s">
        <v>249</v>
      </c>
      <c r="C5865">
        <v>0</v>
      </c>
      <c r="D5865">
        <v>1</v>
      </c>
      <c r="E5865">
        <v>0</v>
      </c>
      <c r="F5865">
        <v>0</v>
      </c>
      <c r="G5865">
        <v>0</v>
      </c>
      <c r="H5865">
        <v>1</v>
      </c>
      <c r="I5865">
        <v>1</v>
      </c>
      <c r="J5865">
        <v>34838.286103493199</v>
      </c>
      <c r="K5865">
        <v>29075.7905886511</v>
      </c>
      <c r="L5865">
        <v>45.41</v>
      </c>
      <c r="M5865">
        <v>70.796999999999997</v>
      </c>
      <c r="N5865">
        <v>24.341999999999999</v>
      </c>
    </row>
    <row r="5866" spans="1:14" x14ac:dyDescent="0.45">
      <c r="A5866">
        <v>2007</v>
      </c>
      <c r="B5866" t="s">
        <v>250</v>
      </c>
      <c r="C5866">
        <v>0</v>
      </c>
      <c r="D5866">
        <v>0</v>
      </c>
      <c r="E5866">
        <v>0</v>
      </c>
      <c r="F5866">
        <v>1</v>
      </c>
      <c r="G5866">
        <v>0</v>
      </c>
      <c r="H5866">
        <v>0</v>
      </c>
      <c r="I5866">
        <v>0</v>
      </c>
      <c r="J5866">
        <v>11613.911995935699</v>
      </c>
      <c r="K5866">
        <v>10121.330301619801</v>
      </c>
      <c r="L5866">
        <v>34.191000000000003</v>
      </c>
      <c r="M5866">
        <v>74.039000000000001</v>
      </c>
      <c r="N5866">
        <v>20.437999999999999</v>
      </c>
    </row>
    <row r="5867" spans="1:14" x14ac:dyDescent="0.45">
      <c r="A5867">
        <v>2007</v>
      </c>
      <c r="B5867" t="s">
        <v>251</v>
      </c>
      <c r="C5867">
        <v>1</v>
      </c>
      <c r="D5867">
        <v>0</v>
      </c>
      <c r="E5867">
        <v>0</v>
      </c>
      <c r="F5867">
        <v>0</v>
      </c>
      <c r="G5867">
        <v>1</v>
      </c>
      <c r="H5867">
        <v>0</v>
      </c>
      <c r="I5867">
        <v>0</v>
      </c>
      <c r="J5867">
        <v>19605.167902055699</v>
      </c>
      <c r="K5867">
        <v>19657.614872812799</v>
      </c>
      <c r="L5867">
        <v>30.946999999999999</v>
      </c>
      <c r="M5867">
        <v>74.129000000000005</v>
      </c>
      <c r="N5867">
        <v>22.248000000000001</v>
      </c>
    </row>
    <row r="5868" spans="1:14" x14ac:dyDescent="0.45">
      <c r="A5868">
        <v>2007</v>
      </c>
      <c r="B5868" t="s">
        <v>252</v>
      </c>
      <c r="C5868">
        <v>0</v>
      </c>
      <c r="D5868">
        <v>0</v>
      </c>
      <c r="E5868">
        <v>0</v>
      </c>
      <c r="F5868">
        <v>1</v>
      </c>
      <c r="G5868">
        <v>0</v>
      </c>
      <c r="H5868">
        <v>0</v>
      </c>
      <c r="I5868">
        <v>0</v>
      </c>
      <c r="J5868">
        <v>3737.8786751002999</v>
      </c>
      <c r="K5868">
        <v>3381.4884495042802</v>
      </c>
      <c r="L5868">
        <v>48.256999999999998</v>
      </c>
      <c r="M5868">
        <v>64.402000000000001</v>
      </c>
      <c r="N5868">
        <v>35.222000000000001</v>
      </c>
    </row>
    <row r="5869" spans="1:14" x14ac:dyDescent="0.45">
      <c r="A5869">
        <v>2007</v>
      </c>
      <c r="B5869" t="s">
        <v>253</v>
      </c>
      <c r="C5869">
        <v>0</v>
      </c>
      <c r="D5869">
        <v>0</v>
      </c>
      <c r="E5869">
        <v>0</v>
      </c>
      <c r="F5869">
        <v>0</v>
      </c>
      <c r="G5869">
        <v>0</v>
      </c>
      <c r="H5869">
        <v>1</v>
      </c>
      <c r="I5869">
        <v>1</v>
      </c>
      <c r="L5869">
        <v>54.801000000000002</v>
      </c>
      <c r="M5869">
        <v>78.046000000000006</v>
      </c>
      <c r="N5869">
        <v>6.242</v>
      </c>
    </row>
    <row r="5870" spans="1:14" x14ac:dyDescent="0.45">
      <c r="A5870">
        <v>2007</v>
      </c>
      <c r="B5870" t="s">
        <v>254</v>
      </c>
      <c r="C5870">
        <v>0</v>
      </c>
      <c r="D5870">
        <v>0</v>
      </c>
      <c r="E5870">
        <v>1</v>
      </c>
      <c r="F5870">
        <v>0</v>
      </c>
      <c r="G5870">
        <v>0</v>
      </c>
      <c r="H5870">
        <v>0</v>
      </c>
      <c r="I5870">
        <v>0</v>
      </c>
      <c r="J5870">
        <v>2423.61596679688</v>
      </c>
      <c r="K5870">
        <v>1805.27091658053</v>
      </c>
      <c r="L5870">
        <v>73.879000000000005</v>
      </c>
      <c r="M5870">
        <v>59.26</v>
      </c>
      <c r="N5870">
        <v>82.215000000000003</v>
      </c>
    </row>
    <row r="5871" spans="1:14" x14ac:dyDescent="0.45">
      <c r="A5871">
        <v>2007</v>
      </c>
      <c r="B5871" t="s">
        <v>255</v>
      </c>
      <c r="C5871">
        <v>0</v>
      </c>
      <c r="D5871">
        <v>0</v>
      </c>
      <c r="E5871">
        <v>1</v>
      </c>
      <c r="F5871">
        <v>0</v>
      </c>
      <c r="G5871">
        <v>0</v>
      </c>
      <c r="H5871">
        <v>0</v>
      </c>
      <c r="I5871">
        <v>0</v>
      </c>
      <c r="J5871">
        <v>1999.0624896434001</v>
      </c>
      <c r="K5871">
        <v>1695.81380651326</v>
      </c>
      <c r="L5871">
        <v>82.100999999999999</v>
      </c>
      <c r="M5871">
        <v>57.247999999999998</v>
      </c>
      <c r="N5871">
        <v>93.126999999999995</v>
      </c>
    </row>
    <row r="5872" spans="1:14" x14ac:dyDescent="0.45">
      <c r="A5872">
        <v>2007</v>
      </c>
      <c r="B5872" t="s">
        <v>256</v>
      </c>
      <c r="C5872">
        <v>1</v>
      </c>
      <c r="D5872">
        <v>0</v>
      </c>
      <c r="E5872">
        <v>0</v>
      </c>
      <c r="F5872">
        <v>1</v>
      </c>
      <c r="G5872">
        <v>0</v>
      </c>
      <c r="H5872">
        <v>0</v>
      </c>
      <c r="I5872">
        <v>0</v>
      </c>
      <c r="J5872">
        <v>18374.013671875</v>
      </c>
      <c r="K5872">
        <v>12995.6740567364</v>
      </c>
      <c r="L5872">
        <v>31.853000000000002</v>
      </c>
      <c r="M5872">
        <v>67.715000000000003</v>
      </c>
      <c r="N5872">
        <v>12.981999999999999</v>
      </c>
    </row>
    <row r="5873" spans="1:14" x14ac:dyDescent="0.45">
      <c r="A5873">
        <v>2007</v>
      </c>
      <c r="B5873" t="s">
        <v>257</v>
      </c>
      <c r="C5873">
        <v>0</v>
      </c>
      <c r="D5873">
        <v>1</v>
      </c>
      <c r="E5873">
        <v>0</v>
      </c>
      <c r="F5873">
        <v>0</v>
      </c>
      <c r="G5873">
        <v>1</v>
      </c>
      <c r="H5873">
        <v>0</v>
      </c>
      <c r="I5873">
        <v>0</v>
      </c>
      <c r="J5873">
        <v>20803.893182055999</v>
      </c>
      <c r="K5873">
        <v>16500.994393583998</v>
      </c>
      <c r="L5873">
        <v>6.2210000000000001</v>
      </c>
      <c r="M5873">
        <v>76.150000000000006</v>
      </c>
      <c r="N5873">
        <v>12.263</v>
      </c>
    </row>
    <row r="5874" spans="1:14" x14ac:dyDescent="0.45">
      <c r="A5874">
        <v>2007</v>
      </c>
      <c r="B5874" t="s">
        <v>258</v>
      </c>
      <c r="C5874">
        <v>0</v>
      </c>
      <c r="D5874">
        <v>0</v>
      </c>
      <c r="E5874">
        <v>0</v>
      </c>
      <c r="F5874">
        <v>0</v>
      </c>
      <c r="G5874">
        <v>0</v>
      </c>
      <c r="H5874">
        <v>1</v>
      </c>
      <c r="I5874">
        <v>1</v>
      </c>
      <c r="J5874">
        <v>61306.596939242998</v>
      </c>
      <c r="K5874">
        <v>55646.441302099403</v>
      </c>
      <c r="L5874">
        <v>19.731000000000002</v>
      </c>
      <c r="M5874">
        <v>78.046999999999997</v>
      </c>
      <c r="N5874">
        <v>8.1859999999999999</v>
      </c>
    </row>
    <row r="5875" spans="1:14" x14ac:dyDescent="0.45">
      <c r="A5875">
        <v>2007</v>
      </c>
      <c r="B5875" t="s">
        <v>259</v>
      </c>
      <c r="C5875">
        <v>1</v>
      </c>
      <c r="D5875">
        <v>0</v>
      </c>
      <c r="E5875">
        <v>0</v>
      </c>
      <c r="F5875">
        <v>0</v>
      </c>
      <c r="G5875">
        <v>0</v>
      </c>
      <c r="H5875">
        <v>0</v>
      </c>
      <c r="I5875">
        <v>0</v>
      </c>
      <c r="J5875">
        <v>4764.5639142752898</v>
      </c>
      <c r="K5875">
        <v>4628.9501406241898</v>
      </c>
      <c r="L5875">
        <v>50.494999999999997</v>
      </c>
      <c r="M5875">
        <v>68.483000000000004</v>
      </c>
      <c r="N5875">
        <v>38.981999999999999</v>
      </c>
    </row>
    <row r="5876" spans="1:14" x14ac:dyDescent="0.45">
      <c r="A5876">
        <v>2007</v>
      </c>
      <c r="B5876" t="s">
        <v>260</v>
      </c>
      <c r="C5876">
        <v>0</v>
      </c>
      <c r="D5876">
        <v>1</v>
      </c>
      <c r="E5876">
        <v>0</v>
      </c>
      <c r="F5876">
        <v>0</v>
      </c>
      <c r="G5876">
        <v>1</v>
      </c>
      <c r="H5876">
        <v>0</v>
      </c>
      <c r="I5876">
        <v>0</v>
      </c>
      <c r="J5876">
        <v>13732.3622591495</v>
      </c>
      <c r="K5876">
        <v>12001.5515026708</v>
      </c>
      <c r="L5876">
        <v>52.206000000000003</v>
      </c>
      <c r="M5876">
        <v>70.445999999999998</v>
      </c>
      <c r="N5876">
        <v>25.11</v>
      </c>
    </row>
    <row r="5877" spans="1:14" x14ac:dyDescent="0.45">
      <c r="A5877">
        <v>2007</v>
      </c>
      <c r="B5877" t="s">
        <v>261</v>
      </c>
      <c r="C5877">
        <v>0</v>
      </c>
      <c r="D5877">
        <v>1</v>
      </c>
      <c r="E5877">
        <v>0</v>
      </c>
      <c r="F5877">
        <v>0</v>
      </c>
      <c r="G5877">
        <v>1</v>
      </c>
      <c r="H5877">
        <v>0</v>
      </c>
      <c r="I5877">
        <v>0</v>
      </c>
      <c r="L5877">
        <v>11.994</v>
      </c>
      <c r="M5877">
        <v>73.347999999999999</v>
      </c>
      <c r="N5877">
        <v>17.931000000000001</v>
      </c>
    </row>
    <row r="5878" spans="1:14" x14ac:dyDescent="0.45">
      <c r="A5878">
        <v>2007</v>
      </c>
      <c r="B5878" t="s">
        <v>262</v>
      </c>
      <c r="C5878">
        <v>0</v>
      </c>
      <c r="D5878">
        <v>1</v>
      </c>
      <c r="E5878">
        <v>0</v>
      </c>
      <c r="F5878">
        <v>0</v>
      </c>
      <c r="G5878">
        <v>0</v>
      </c>
      <c r="H5878">
        <v>1</v>
      </c>
      <c r="I5878">
        <v>1</v>
      </c>
      <c r="L5878">
        <v>56.168999999999997</v>
      </c>
      <c r="M5878">
        <v>75.893000000000001</v>
      </c>
      <c r="N5878">
        <v>15.77</v>
      </c>
    </row>
    <row r="5879" spans="1:14" x14ac:dyDescent="0.45">
      <c r="A5879">
        <v>2007</v>
      </c>
      <c r="B5879" t="s">
        <v>263</v>
      </c>
      <c r="C5879">
        <v>0</v>
      </c>
      <c r="D5879">
        <v>1</v>
      </c>
      <c r="E5879">
        <v>0</v>
      </c>
      <c r="F5879">
        <v>0</v>
      </c>
      <c r="G5879">
        <v>0</v>
      </c>
      <c r="H5879">
        <v>1</v>
      </c>
      <c r="I5879">
        <v>1</v>
      </c>
      <c r="J5879">
        <v>62332.944537134703</v>
      </c>
      <c r="K5879">
        <v>48817.554939616399</v>
      </c>
      <c r="L5879">
        <v>5.9470000000000001</v>
      </c>
      <c r="M5879">
        <v>72.587000000000003</v>
      </c>
      <c r="N5879">
        <v>10.846</v>
      </c>
    </row>
    <row r="5880" spans="1:14" x14ac:dyDescent="0.45">
      <c r="A5880">
        <v>2007</v>
      </c>
      <c r="B5880" t="s">
        <v>264</v>
      </c>
      <c r="C5880">
        <v>0</v>
      </c>
      <c r="D5880">
        <v>0</v>
      </c>
      <c r="E5880">
        <v>0</v>
      </c>
      <c r="F5880">
        <v>0</v>
      </c>
      <c r="G5880">
        <v>0</v>
      </c>
      <c r="H5880">
        <v>0</v>
      </c>
      <c r="I5880">
        <v>0</v>
      </c>
      <c r="J5880">
        <v>6418.5438140287797</v>
      </c>
      <c r="K5880">
        <v>5719.4545781124298</v>
      </c>
      <c r="L5880">
        <v>71.495999999999995</v>
      </c>
      <c r="M5880">
        <v>73.385000000000005</v>
      </c>
      <c r="N5880">
        <v>24.399000000000001</v>
      </c>
    </row>
    <row r="5881" spans="1:14" x14ac:dyDescent="0.45">
      <c r="A5881">
        <v>2007</v>
      </c>
      <c r="B5881" t="s">
        <v>265</v>
      </c>
      <c r="C5881">
        <v>0</v>
      </c>
      <c r="D5881">
        <v>0</v>
      </c>
      <c r="E5881">
        <v>0</v>
      </c>
      <c r="F5881">
        <v>1</v>
      </c>
      <c r="G5881">
        <v>0</v>
      </c>
      <c r="H5881">
        <v>0</v>
      </c>
      <c r="I5881">
        <v>0</v>
      </c>
      <c r="J5881">
        <v>3283.3655331950099</v>
      </c>
      <c r="K5881">
        <v>2970.1368804497602</v>
      </c>
      <c r="L5881">
        <v>76.313000000000002</v>
      </c>
      <c r="M5881">
        <v>69.144000000000005</v>
      </c>
      <c r="N5881">
        <v>25.893999999999998</v>
      </c>
    </row>
    <row r="5882" spans="1:14" x14ac:dyDescent="0.45">
      <c r="A5882">
        <v>2007</v>
      </c>
      <c r="B5882" t="s">
        <v>266</v>
      </c>
      <c r="C5882">
        <v>0</v>
      </c>
      <c r="D5882">
        <v>0</v>
      </c>
      <c r="E5882">
        <v>0</v>
      </c>
      <c r="F5882">
        <v>1</v>
      </c>
      <c r="G5882">
        <v>0</v>
      </c>
      <c r="H5882">
        <v>0</v>
      </c>
      <c r="I5882">
        <v>0</v>
      </c>
      <c r="J5882">
        <v>6013.2762882765801</v>
      </c>
      <c r="K5882">
        <v>5439.6178237165896</v>
      </c>
      <c r="L5882">
        <v>79.25</v>
      </c>
      <c r="M5882">
        <v>71.605000000000004</v>
      </c>
      <c r="N5882">
        <v>19.280999999999999</v>
      </c>
    </row>
    <row r="5883" spans="1:14" x14ac:dyDescent="0.45">
      <c r="A5883">
        <v>2007</v>
      </c>
      <c r="B5883" t="s">
        <v>267</v>
      </c>
      <c r="C5883">
        <v>1</v>
      </c>
      <c r="D5883">
        <v>0</v>
      </c>
      <c r="E5883">
        <v>0</v>
      </c>
      <c r="F5883">
        <v>0</v>
      </c>
      <c r="G5883">
        <v>1</v>
      </c>
      <c r="H5883">
        <v>0</v>
      </c>
      <c r="I5883">
        <v>0</v>
      </c>
      <c r="J5883">
        <v>6529.8359724560796</v>
      </c>
      <c r="K5883">
        <v>5926.9560410181402</v>
      </c>
      <c r="L5883">
        <v>45.671999999999997</v>
      </c>
      <c r="M5883">
        <v>74.421999999999997</v>
      </c>
      <c r="N5883">
        <v>25.76</v>
      </c>
    </row>
    <row r="5884" spans="1:14" x14ac:dyDescent="0.45">
      <c r="A5884">
        <v>2007</v>
      </c>
      <c r="B5884" t="s">
        <v>268</v>
      </c>
      <c r="C5884">
        <v>0</v>
      </c>
      <c r="D5884">
        <v>0</v>
      </c>
      <c r="E5884">
        <v>0</v>
      </c>
      <c r="F5884">
        <v>0</v>
      </c>
      <c r="G5884">
        <v>0</v>
      </c>
      <c r="H5884">
        <v>0</v>
      </c>
      <c r="I5884">
        <v>0</v>
      </c>
      <c r="L5884">
        <v>69.948999999999998</v>
      </c>
      <c r="M5884">
        <v>66.23</v>
      </c>
      <c r="N5884">
        <v>64.381</v>
      </c>
    </row>
    <row r="5885" spans="1:14" x14ac:dyDescent="0.45">
      <c r="A5885">
        <v>2007</v>
      </c>
      <c r="B5885" t="s">
        <v>269</v>
      </c>
      <c r="C5885">
        <v>0</v>
      </c>
      <c r="D5885">
        <v>0</v>
      </c>
      <c r="E5885">
        <v>1</v>
      </c>
      <c r="F5885">
        <v>0</v>
      </c>
      <c r="G5885">
        <v>1</v>
      </c>
      <c r="H5885">
        <v>0</v>
      </c>
      <c r="I5885">
        <v>0</v>
      </c>
      <c r="J5885">
        <v>14033.4008432554</v>
      </c>
      <c r="K5885">
        <v>13213.0241327</v>
      </c>
      <c r="L5885">
        <v>39.384</v>
      </c>
      <c r="M5885">
        <v>54.948</v>
      </c>
      <c r="N5885">
        <v>70.661000000000001</v>
      </c>
    </row>
    <row r="5886" spans="1:14" x14ac:dyDescent="0.45">
      <c r="A5886">
        <v>2007</v>
      </c>
      <c r="B5886" t="s">
        <v>270</v>
      </c>
      <c r="C5886">
        <v>0</v>
      </c>
      <c r="D5886">
        <v>0</v>
      </c>
      <c r="E5886">
        <v>1</v>
      </c>
      <c r="F5886">
        <v>0</v>
      </c>
      <c r="G5886">
        <v>0</v>
      </c>
      <c r="H5886">
        <v>0</v>
      </c>
      <c r="I5886">
        <v>0</v>
      </c>
      <c r="J5886">
        <v>2796.3529332183998</v>
      </c>
      <c r="K5886">
        <v>2625.3762724292201</v>
      </c>
      <c r="L5886">
        <v>62.119</v>
      </c>
      <c r="M5886">
        <v>53.73</v>
      </c>
      <c r="N5886">
        <v>94.06</v>
      </c>
    </row>
    <row r="5887" spans="1:14" x14ac:dyDescent="0.45">
      <c r="A5887">
        <v>2007</v>
      </c>
      <c r="B5887" t="s">
        <v>271</v>
      </c>
      <c r="C5887">
        <v>0</v>
      </c>
      <c r="D5887">
        <v>0</v>
      </c>
      <c r="E5887">
        <v>1</v>
      </c>
      <c r="F5887">
        <v>0</v>
      </c>
      <c r="G5887">
        <v>0</v>
      </c>
      <c r="H5887">
        <v>0</v>
      </c>
      <c r="I5887">
        <v>0</v>
      </c>
      <c r="J5887">
        <v>2395.9888431510999</v>
      </c>
      <c r="K5887">
        <v>1595.3353573844499</v>
      </c>
      <c r="L5887">
        <v>66.257000000000005</v>
      </c>
      <c r="M5887">
        <v>47.576000000000001</v>
      </c>
      <c r="N5887">
        <v>91.308999999999997</v>
      </c>
    </row>
    <row r="5888" spans="1:14" x14ac:dyDescent="0.45">
      <c r="A5888">
        <v>2008</v>
      </c>
      <c r="B5888" t="s">
        <v>54</v>
      </c>
      <c r="C5888">
        <v>0</v>
      </c>
      <c r="D5888">
        <v>1</v>
      </c>
      <c r="E5888">
        <v>0</v>
      </c>
      <c r="F5888">
        <v>0</v>
      </c>
      <c r="G5888">
        <v>0</v>
      </c>
      <c r="H5888">
        <v>1</v>
      </c>
      <c r="I5888">
        <v>1</v>
      </c>
      <c r="J5888">
        <v>41710.4970441525</v>
      </c>
      <c r="K5888">
        <v>40592.960163989301</v>
      </c>
      <c r="L5888">
        <v>56.216999999999999</v>
      </c>
      <c r="M5888">
        <v>73.783000000000001</v>
      </c>
      <c r="N5888">
        <v>18.736999999999998</v>
      </c>
    </row>
    <row r="5889" spans="1:14" x14ac:dyDescent="0.45">
      <c r="A5889">
        <v>2008</v>
      </c>
      <c r="B5889" t="s">
        <v>55</v>
      </c>
      <c r="C5889">
        <v>0</v>
      </c>
      <c r="D5889">
        <v>0</v>
      </c>
      <c r="E5889">
        <v>0</v>
      </c>
      <c r="F5889">
        <v>0</v>
      </c>
      <c r="G5889">
        <v>0</v>
      </c>
      <c r="H5889">
        <v>0</v>
      </c>
      <c r="I5889">
        <v>0</v>
      </c>
      <c r="J5889">
        <v>2191.50435559062</v>
      </c>
      <c r="K5889">
        <v>1733.46049464312</v>
      </c>
      <c r="L5889">
        <v>76.680000000000007</v>
      </c>
      <c r="M5889">
        <v>59.707999999999998</v>
      </c>
      <c r="N5889">
        <v>96.257000000000005</v>
      </c>
    </row>
    <row r="5890" spans="1:14" x14ac:dyDescent="0.45">
      <c r="A5890">
        <v>2008</v>
      </c>
      <c r="B5890" t="s">
        <v>56</v>
      </c>
      <c r="C5890">
        <v>0</v>
      </c>
      <c r="D5890">
        <v>0</v>
      </c>
      <c r="E5890">
        <v>1</v>
      </c>
      <c r="F5890">
        <v>1</v>
      </c>
      <c r="G5890">
        <v>0</v>
      </c>
      <c r="H5890">
        <v>0</v>
      </c>
      <c r="I5890">
        <v>0</v>
      </c>
      <c r="J5890">
        <v>9916.9093505913097</v>
      </c>
      <c r="K5890">
        <v>7669.2497348040697</v>
      </c>
      <c r="L5890">
        <v>41.718000000000004</v>
      </c>
      <c r="M5890">
        <v>55.280999999999999</v>
      </c>
      <c r="N5890">
        <v>136.17500000000001</v>
      </c>
    </row>
    <row r="5891" spans="1:14" x14ac:dyDescent="0.45">
      <c r="A5891">
        <v>2008</v>
      </c>
      <c r="B5891" t="s">
        <v>57</v>
      </c>
      <c r="C5891">
        <v>1</v>
      </c>
      <c r="D5891">
        <v>0</v>
      </c>
      <c r="E5891">
        <v>0</v>
      </c>
      <c r="F5891">
        <v>1</v>
      </c>
      <c r="G5891">
        <v>0</v>
      </c>
      <c r="H5891">
        <v>0</v>
      </c>
      <c r="I5891">
        <v>0</v>
      </c>
      <c r="J5891">
        <v>11055.717757381</v>
      </c>
      <c r="K5891">
        <v>10015.973188088999</v>
      </c>
      <c r="L5891">
        <v>50.009</v>
      </c>
      <c r="M5891">
        <v>78.248000000000005</v>
      </c>
      <c r="N5891">
        <v>15.709</v>
      </c>
    </row>
    <row r="5892" spans="1:14" x14ac:dyDescent="0.45">
      <c r="A5892">
        <v>2008</v>
      </c>
      <c r="B5892" t="s">
        <v>58</v>
      </c>
      <c r="C5892">
        <v>1</v>
      </c>
      <c r="D5892">
        <v>0</v>
      </c>
      <c r="E5892">
        <v>0</v>
      </c>
      <c r="F5892">
        <v>0</v>
      </c>
      <c r="G5892">
        <v>0</v>
      </c>
      <c r="H5892">
        <v>1</v>
      </c>
      <c r="I5892">
        <v>1</v>
      </c>
      <c r="J5892">
        <v>60691.605153063698</v>
      </c>
      <c r="K5892">
        <v>50945.967723341601</v>
      </c>
      <c r="L5892">
        <v>10.996</v>
      </c>
      <c r="M5892">
        <v>83.855000000000004</v>
      </c>
      <c r="N5892">
        <v>6.1379999999999999</v>
      </c>
    </row>
    <row r="5893" spans="1:14" x14ac:dyDescent="0.45">
      <c r="A5893">
        <v>2008</v>
      </c>
      <c r="B5893" t="s">
        <v>59</v>
      </c>
      <c r="C5893">
        <v>0</v>
      </c>
      <c r="D5893">
        <v>0</v>
      </c>
      <c r="E5893">
        <v>0</v>
      </c>
      <c r="F5893">
        <v>0</v>
      </c>
      <c r="G5893">
        <v>0</v>
      </c>
      <c r="H5893">
        <v>1</v>
      </c>
      <c r="I5893">
        <v>1</v>
      </c>
      <c r="J5893">
        <v>77891.988598272597</v>
      </c>
      <c r="K5893">
        <v>76954.845953347001</v>
      </c>
      <c r="L5893">
        <v>16.613</v>
      </c>
      <c r="M5893">
        <v>81.590999999999994</v>
      </c>
      <c r="N5893">
        <v>9.1219999999999999</v>
      </c>
    </row>
    <row r="5894" spans="1:14" x14ac:dyDescent="0.45">
      <c r="A5894">
        <v>2008</v>
      </c>
      <c r="B5894" t="s">
        <v>60</v>
      </c>
      <c r="C5894">
        <v>0</v>
      </c>
      <c r="D5894">
        <v>1</v>
      </c>
      <c r="E5894">
        <v>0</v>
      </c>
      <c r="F5894">
        <v>0</v>
      </c>
      <c r="G5894">
        <v>1</v>
      </c>
      <c r="H5894">
        <v>0</v>
      </c>
      <c r="I5894">
        <v>0</v>
      </c>
      <c r="J5894">
        <v>27658.4853446831</v>
      </c>
      <c r="K5894">
        <v>22826.818757799199</v>
      </c>
      <c r="L5894">
        <v>9.4700000000000006</v>
      </c>
      <c r="M5894">
        <v>75.427999999999997</v>
      </c>
      <c r="N5894">
        <v>16.184999999999999</v>
      </c>
    </row>
    <row r="5895" spans="1:14" x14ac:dyDescent="0.45">
      <c r="A5895">
        <v>2008</v>
      </c>
      <c r="B5895" t="s">
        <v>61</v>
      </c>
      <c r="C5895">
        <v>1</v>
      </c>
      <c r="D5895">
        <v>0</v>
      </c>
      <c r="E5895">
        <v>0</v>
      </c>
      <c r="F5895">
        <v>1</v>
      </c>
      <c r="G5895">
        <v>0</v>
      </c>
      <c r="H5895">
        <v>0</v>
      </c>
      <c r="I5895">
        <v>0</v>
      </c>
      <c r="J5895">
        <v>11727.482127294899</v>
      </c>
      <c r="K5895">
        <v>9934.3645507652309</v>
      </c>
      <c r="L5895">
        <v>36.36</v>
      </c>
      <c r="M5895">
        <v>72.519000000000005</v>
      </c>
      <c r="N5895">
        <v>20.62</v>
      </c>
    </row>
    <row r="5896" spans="1:14" x14ac:dyDescent="0.45">
      <c r="A5896">
        <v>2008</v>
      </c>
      <c r="B5896" t="s">
        <v>62</v>
      </c>
      <c r="C5896">
        <v>0</v>
      </c>
      <c r="D5896">
        <v>0</v>
      </c>
      <c r="E5896">
        <v>0</v>
      </c>
      <c r="F5896">
        <v>0</v>
      </c>
      <c r="G5896">
        <v>1</v>
      </c>
      <c r="H5896">
        <v>0</v>
      </c>
      <c r="I5896">
        <v>0</v>
      </c>
      <c r="L5896">
        <v>12.201000000000001</v>
      </c>
      <c r="M5896">
        <v>72.430000000000007</v>
      </c>
      <c r="N5896">
        <v>11.343999999999999</v>
      </c>
    </row>
    <row r="5897" spans="1:14" x14ac:dyDescent="0.45">
      <c r="A5897">
        <v>2008</v>
      </c>
      <c r="B5897" t="s">
        <v>63</v>
      </c>
      <c r="C5897">
        <v>0</v>
      </c>
      <c r="D5897">
        <v>1</v>
      </c>
      <c r="E5897">
        <v>0</v>
      </c>
      <c r="F5897">
        <v>0</v>
      </c>
      <c r="G5897">
        <v>0</v>
      </c>
      <c r="H5897">
        <v>1</v>
      </c>
      <c r="I5897">
        <v>1</v>
      </c>
      <c r="J5897">
        <v>32756.306783975298</v>
      </c>
      <c r="K5897">
        <v>25798.763421624499</v>
      </c>
      <c r="L5897">
        <v>72.594999999999999</v>
      </c>
      <c r="M5897">
        <v>76.075000000000003</v>
      </c>
      <c r="N5897">
        <v>12.414</v>
      </c>
    </row>
    <row r="5898" spans="1:14" x14ac:dyDescent="0.45">
      <c r="A5898">
        <v>2008</v>
      </c>
      <c r="B5898" t="s">
        <v>64</v>
      </c>
      <c r="C5898">
        <v>0</v>
      </c>
      <c r="D5898">
        <v>0</v>
      </c>
      <c r="E5898">
        <v>0</v>
      </c>
      <c r="F5898">
        <v>0</v>
      </c>
      <c r="G5898">
        <v>0</v>
      </c>
      <c r="H5898">
        <v>1</v>
      </c>
      <c r="I5898">
        <v>1</v>
      </c>
      <c r="J5898">
        <v>52351.587049581402</v>
      </c>
      <c r="K5898">
        <v>45344.410411363802</v>
      </c>
      <c r="L5898">
        <v>15.057</v>
      </c>
      <c r="M5898">
        <v>81.427000000000007</v>
      </c>
      <c r="N5898">
        <v>5.0519999999999996</v>
      </c>
    </row>
    <row r="5899" spans="1:14" x14ac:dyDescent="0.45">
      <c r="A5899">
        <v>2008</v>
      </c>
      <c r="B5899" t="s">
        <v>65</v>
      </c>
      <c r="C5899">
        <v>1</v>
      </c>
      <c r="D5899">
        <v>0</v>
      </c>
      <c r="E5899">
        <v>0</v>
      </c>
      <c r="F5899">
        <v>0</v>
      </c>
      <c r="G5899">
        <v>0</v>
      </c>
      <c r="H5899">
        <v>1</v>
      </c>
      <c r="I5899">
        <v>1</v>
      </c>
      <c r="J5899">
        <v>61232.5490249797</v>
      </c>
      <c r="K5899">
        <v>52179.655520810498</v>
      </c>
      <c r="L5899">
        <v>42.033999999999999</v>
      </c>
      <c r="M5899">
        <v>80.363</v>
      </c>
      <c r="N5899">
        <v>4.5060000000000002</v>
      </c>
    </row>
    <row r="5900" spans="1:14" x14ac:dyDescent="0.45">
      <c r="A5900">
        <v>2008</v>
      </c>
      <c r="B5900" t="s">
        <v>66</v>
      </c>
      <c r="C5900">
        <v>1</v>
      </c>
      <c r="D5900">
        <v>0</v>
      </c>
      <c r="E5900">
        <v>0</v>
      </c>
      <c r="F5900">
        <v>1</v>
      </c>
      <c r="G5900">
        <v>0</v>
      </c>
      <c r="H5900">
        <v>0</v>
      </c>
      <c r="I5900">
        <v>0</v>
      </c>
      <c r="J5900">
        <v>17963.020772920299</v>
      </c>
      <c r="K5900">
        <v>13080.8936639514</v>
      </c>
      <c r="L5900">
        <v>47.01</v>
      </c>
      <c r="M5900">
        <v>69.355000000000004</v>
      </c>
      <c r="N5900">
        <v>43.323999999999998</v>
      </c>
    </row>
    <row r="5901" spans="1:14" x14ac:dyDescent="0.45">
      <c r="A5901">
        <v>2008</v>
      </c>
      <c r="B5901" t="s">
        <v>67</v>
      </c>
      <c r="C5901">
        <v>0</v>
      </c>
      <c r="D5901">
        <v>0</v>
      </c>
      <c r="E5901">
        <v>1</v>
      </c>
      <c r="F5901">
        <v>0</v>
      </c>
      <c r="G5901">
        <v>0</v>
      </c>
      <c r="H5901">
        <v>0</v>
      </c>
      <c r="I5901">
        <v>0</v>
      </c>
      <c r="J5901">
        <v>957.222664357035</v>
      </c>
      <c r="K5901">
        <v>827.13920870719096</v>
      </c>
      <c r="L5901">
        <v>89.882000000000005</v>
      </c>
      <c r="M5901">
        <v>55.581000000000003</v>
      </c>
      <c r="N5901">
        <v>102.86499999999999</v>
      </c>
    </row>
    <row r="5902" spans="1:14" x14ac:dyDescent="0.45">
      <c r="A5902">
        <v>2008</v>
      </c>
      <c r="B5902" t="s">
        <v>68</v>
      </c>
      <c r="C5902">
        <v>1</v>
      </c>
      <c r="D5902">
        <v>0</v>
      </c>
      <c r="E5902">
        <v>0</v>
      </c>
      <c r="F5902">
        <v>0</v>
      </c>
      <c r="G5902">
        <v>0</v>
      </c>
      <c r="H5902">
        <v>1</v>
      </c>
      <c r="I5902">
        <v>1</v>
      </c>
      <c r="J5902">
        <v>56812.790444190097</v>
      </c>
      <c r="K5902">
        <v>47808.907755120803</v>
      </c>
      <c r="L5902">
        <v>2.4449999999999901</v>
      </c>
      <c r="M5902">
        <v>79.578999999999994</v>
      </c>
      <c r="N5902">
        <v>4.556</v>
      </c>
    </row>
    <row r="5903" spans="1:14" x14ac:dyDescent="0.45">
      <c r="A5903">
        <v>2008</v>
      </c>
      <c r="B5903" t="s">
        <v>69</v>
      </c>
      <c r="C5903">
        <v>0</v>
      </c>
      <c r="D5903">
        <v>0</v>
      </c>
      <c r="E5903">
        <v>1</v>
      </c>
      <c r="F5903">
        <v>0</v>
      </c>
      <c r="G5903">
        <v>0</v>
      </c>
      <c r="H5903">
        <v>0</v>
      </c>
      <c r="I5903">
        <v>0</v>
      </c>
      <c r="J5903">
        <v>2777.6197403176502</v>
      </c>
      <c r="K5903">
        <v>2635.2719631323898</v>
      </c>
      <c r="L5903">
        <v>57.930999999999997</v>
      </c>
      <c r="M5903">
        <v>58.098999999999997</v>
      </c>
      <c r="N5903">
        <v>113.605</v>
      </c>
    </row>
    <row r="5904" spans="1:14" x14ac:dyDescent="0.45">
      <c r="A5904">
        <v>2008</v>
      </c>
      <c r="B5904" t="s">
        <v>70</v>
      </c>
      <c r="C5904">
        <v>0</v>
      </c>
      <c r="D5904">
        <v>0</v>
      </c>
      <c r="E5904">
        <v>1</v>
      </c>
      <c r="F5904">
        <v>0</v>
      </c>
      <c r="G5904">
        <v>0</v>
      </c>
      <c r="H5904">
        <v>0</v>
      </c>
      <c r="I5904">
        <v>0</v>
      </c>
      <c r="J5904">
        <v>1779.3271091157101</v>
      </c>
      <c r="K5904">
        <v>1627.9723617130401</v>
      </c>
      <c r="L5904">
        <v>76.465999999999994</v>
      </c>
      <c r="M5904">
        <v>55.198999999999998</v>
      </c>
      <c r="N5904">
        <v>133.434</v>
      </c>
    </row>
    <row r="5905" spans="1:14" x14ac:dyDescent="0.45">
      <c r="A5905">
        <v>2008</v>
      </c>
      <c r="B5905" t="s">
        <v>71</v>
      </c>
      <c r="C5905">
        <v>0</v>
      </c>
      <c r="D5905">
        <v>0</v>
      </c>
      <c r="E5905">
        <v>0</v>
      </c>
      <c r="F5905">
        <v>0</v>
      </c>
      <c r="G5905">
        <v>0</v>
      </c>
      <c r="H5905">
        <v>0</v>
      </c>
      <c r="I5905">
        <v>0</v>
      </c>
      <c r="J5905">
        <v>3787.9382761854999</v>
      </c>
      <c r="K5905">
        <v>3079.5732308004399</v>
      </c>
      <c r="L5905">
        <v>71.031999999999996</v>
      </c>
      <c r="M5905">
        <v>67.046999999999997</v>
      </c>
      <c r="N5905">
        <v>55.036000000000001</v>
      </c>
    </row>
    <row r="5906" spans="1:14" x14ac:dyDescent="0.45">
      <c r="A5906">
        <v>2008</v>
      </c>
      <c r="B5906" t="s">
        <v>72</v>
      </c>
      <c r="C5906">
        <v>1</v>
      </c>
      <c r="D5906">
        <v>0</v>
      </c>
      <c r="E5906">
        <v>0</v>
      </c>
      <c r="F5906">
        <v>0</v>
      </c>
      <c r="G5906">
        <v>1</v>
      </c>
      <c r="H5906">
        <v>0</v>
      </c>
      <c r="I5906">
        <v>0</v>
      </c>
      <c r="J5906">
        <v>21837.500994085902</v>
      </c>
      <c r="K5906">
        <v>18120.7468108004</v>
      </c>
      <c r="L5906">
        <v>28.378</v>
      </c>
      <c r="M5906">
        <v>73.337999999999994</v>
      </c>
      <c r="N5906">
        <v>10.688000000000001</v>
      </c>
    </row>
    <row r="5907" spans="1:14" x14ac:dyDescent="0.45">
      <c r="A5907">
        <v>2008</v>
      </c>
      <c r="B5907" t="s">
        <v>73</v>
      </c>
      <c r="C5907">
        <v>0</v>
      </c>
      <c r="D5907">
        <v>0</v>
      </c>
      <c r="E5907">
        <v>0</v>
      </c>
      <c r="F5907">
        <v>0</v>
      </c>
      <c r="G5907">
        <v>0</v>
      </c>
      <c r="H5907">
        <v>1</v>
      </c>
      <c r="I5907">
        <v>1</v>
      </c>
      <c r="J5907">
        <v>52765.389945554598</v>
      </c>
      <c r="K5907">
        <v>49164.798358893197</v>
      </c>
      <c r="L5907">
        <v>11.47</v>
      </c>
      <c r="M5907">
        <v>77.456999999999994</v>
      </c>
      <c r="N5907">
        <v>9.4619999999999997</v>
      </c>
    </row>
    <row r="5908" spans="1:14" x14ac:dyDescent="0.45">
      <c r="A5908">
        <v>2008</v>
      </c>
      <c r="B5908" t="s">
        <v>74</v>
      </c>
      <c r="C5908">
        <v>0</v>
      </c>
      <c r="D5908">
        <v>1</v>
      </c>
      <c r="E5908">
        <v>0</v>
      </c>
      <c r="F5908">
        <v>0</v>
      </c>
      <c r="G5908">
        <v>0</v>
      </c>
      <c r="H5908">
        <v>1</v>
      </c>
      <c r="I5908">
        <v>1</v>
      </c>
      <c r="J5908">
        <v>34497.948493584699</v>
      </c>
      <c r="K5908">
        <v>35784.2384784647</v>
      </c>
      <c r="L5908">
        <v>17.657</v>
      </c>
      <c r="M5908">
        <v>73.444999999999993</v>
      </c>
      <c r="N5908">
        <v>16.062000000000001</v>
      </c>
    </row>
    <row r="5909" spans="1:14" x14ac:dyDescent="0.45">
      <c r="A5909">
        <v>2008</v>
      </c>
      <c r="B5909" t="s">
        <v>75</v>
      </c>
      <c r="C5909">
        <v>1</v>
      </c>
      <c r="D5909">
        <v>0</v>
      </c>
      <c r="E5909">
        <v>0</v>
      </c>
      <c r="F5909">
        <v>0</v>
      </c>
      <c r="G5909">
        <v>1</v>
      </c>
      <c r="H5909">
        <v>0</v>
      </c>
      <c r="I5909">
        <v>0</v>
      </c>
      <c r="J5909">
        <v>11979.740879520001</v>
      </c>
      <c r="K5909">
        <v>10348.834425803399</v>
      </c>
      <c r="L5909">
        <v>55.08</v>
      </c>
      <c r="M5909">
        <v>76.3</v>
      </c>
      <c r="N5909">
        <v>7.0179999999999998</v>
      </c>
    </row>
    <row r="5910" spans="1:14" x14ac:dyDescent="0.45">
      <c r="A5910">
        <v>2008</v>
      </c>
      <c r="B5910" t="s">
        <v>76</v>
      </c>
      <c r="C5910">
        <v>1</v>
      </c>
      <c r="D5910">
        <v>0</v>
      </c>
      <c r="E5910">
        <v>0</v>
      </c>
      <c r="F5910">
        <v>0</v>
      </c>
      <c r="G5910">
        <v>1</v>
      </c>
      <c r="H5910">
        <v>0</v>
      </c>
      <c r="I5910">
        <v>0</v>
      </c>
      <c r="J5910">
        <v>22137.9472928215</v>
      </c>
      <c r="K5910">
        <v>15983.488767123599</v>
      </c>
      <c r="L5910">
        <v>26.274000000000001</v>
      </c>
      <c r="M5910">
        <v>70.349000000000004</v>
      </c>
      <c r="N5910">
        <v>6.718</v>
      </c>
    </row>
    <row r="5911" spans="1:14" x14ac:dyDescent="0.45">
      <c r="A5911">
        <v>2008</v>
      </c>
      <c r="B5911" t="s">
        <v>77</v>
      </c>
      <c r="C5911">
        <v>0</v>
      </c>
      <c r="D5911">
        <v>1</v>
      </c>
      <c r="E5911">
        <v>0</v>
      </c>
      <c r="F5911">
        <v>1</v>
      </c>
      <c r="G5911">
        <v>0</v>
      </c>
      <c r="H5911">
        <v>0</v>
      </c>
      <c r="I5911">
        <v>0</v>
      </c>
      <c r="J5911">
        <v>12398.5125618524</v>
      </c>
      <c r="K5911">
        <v>9771.1831583932308</v>
      </c>
      <c r="L5911">
        <v>54.738</v>
      </c>
      <c r="M5911">
        <v>70.665000000000006</v>
      </c>
      <c r="N5911">
        <v>19.879000000000001</v>
      </c>
    </row>
    <row r="5912" spans="1:14" x14ac:dyDescent="0.45">
      <c r="A5912">
        <v>2008</v>
      </c>
      <c r="B5912" t="s">
        <v>78</v>
      </c>
      <c r="C5912">
        <v>0</v>
      </c>
      <c r="D5912">
        <v>0</v>
      </c>
      <c r="E5912">
        <v>0</v>
      </c>
      <c r="F5912">
        <v>0</v>
      </c>
      <c r="G5912">
        <v>0</v>
      </c>
      <c r="H5912">
        <v>1</v>
      </c>
      <c r="I5912">
        <v>1</v>
      </c>
      <c r="J5912">
        <v>115942.72717347</v>
      </c>
      <c r="K5912">
        <v>103010.92967697</v>
      </c>
      <c r="L5912">
        <v>0</v>
      </c>
      <c r="M5912">
        <v>79.100999999999999</v>
      </c>
      <c r="N5912">
        <v>4.7510000000000003</v>
      </c>
    </row>
    <row r="5913" spans="1:14" x14ac:dyDescent="0.45">
      <c r="A5913">
        <v>2008</v>
      </c>
      <c r="B5913" t="s">
        <v>79</v>
      </c>
      <c r="C5913">
        <v>0</v>
      </c>
      <c r="D5913">
        <v>1</v>
      </c>
      <c r="E5913">
        <v>0</v>
      </c>
      <c r="F5913">
        <v>1</v>
      </c>
      <c r="G5913">
        <v>0</v>
      </c>
      <c r="H5913">
        <v>0</v>
      </c>
      <c r="I5913">
        <v>0</v>
      </c>
      <c r="J5913">
        <v>7272.1662422642003</v>
      </c>
      <c r="K5913">
        <v>6418.0518639720704</v>
      </c>
      <c r="L5913">
        <v>34.465000000000003</v>
      </c>
      <c r="M5913">
        <v>65.299000000000007</v>
      </c>
      <c r="N5913">
        <v>67.728999999999999</v>
      </c>
    </row>
    <row r="5914" spans="1:14" x14ac:dyDescent="0.45">
      <c r="A5914">
        <v>2008</v>
      </c>
      <c r="B5914" t="s">
        <v>80</v>
      </c>
      <c r="C5914">
        <v>0</v>
      </c>
      <c r="D5914">
        <v>1</v>
      </c>
      <c r="E5914">
        <v>0</v>
      </c>
      <c r="F5914">
        <v>0</v>
      </c>
      <c r="G5914">
        <v>1</v>
      </c>
      <c r="H5914">
        <v>0</v>
      </c>
      <c r="I5914">
        <v>0</v>
      </c>
      <c r="J5914">
        <v>17113.367982264299</v>
      </c>
      <c r="K5914">
        <v>14057.076900469199</v>
      </c>
      <c r="L5914">
        <v>16.251000000000001</v>
      </c>
      <c r="M5914">
        <v>73.111000000000004</v>
      </c>
      <c r="N5914">
        <v>20.814</v>
      </c>
    </row>
    <row r="5915" spans="1:14" x14ac:dyDescent="0.45">
      <c r="A5915">
        <v>2008</v>
      </c>
      <c r="B5915" t="s">
        <v>81</v>
      </c>
      <c r="C5915">
        <v>0</v>
      </c>
      <c r="D5915">
        <v>1</v>
      </c>
      <c r="E5915">
        <v>0</v>
      </c>
      <c r="F5915">
        <v>0</v>
      </c>
      <c r="G5915">
        <v>0</v>
      </c>
      <c r="H5915">
        <v>1</v>
      </c>
      <c r="I5915">
        <v>1</v>
      </c>
      <c r="J5915">
        <v>20922.407654939601</v>
      </c>
      <c r="K5915">
        <v>19982.982542629099</v>
      </c>
      <c r="L5915">
        <v>67.744</v>
      </c>
      <c r="M5915">
        <v>75.3</v>
      </c>
      <c r="N5915">
        <v>14.805</v>
      </c>
    </row>
    <row r="5916" spans="1:14" x14ac:dyDescent="0.45">
      <c r="A5916">
        <v>2008</v>
      </c>
      <c r="B5916" t="s">
        <v>82</v>
      </c>
      <c r="C5916">
        <v>0</v>
      </c>
      <c r="D5916">
        <v>0</v>
      </c>
      <c r="E5916">
        <v>0</v>
      </c>
      <c r="F5916">
        <v>0</v>
      </c>
      <c r="G5916">
        <v>0</v>
      </c>
      <c r="H5916">
        <v>1</v>
      </c>
      <c r="I5916">
        <v>1</v>
      </c>
      <c r="J5916">
        <v>91275.500140495293</v>
      </c>
      <c r="K5916">
        <v>71268.318854024401</v>
      </c>
      <c r="L5916">
        <v>25.748000000000001</v>
      </c>
      <c r="M5916">
        <v>74.813999999999993</v>
      </c>
      <c r="N5916">
        <v>9.5990000000000002</v>
      </c>
    </row>
    <row r="5917" spans="1:14" x14ac:dyDescent="0.45">
      <c r="A5917">
        <v>2008</v>
      </c>
      <c r="B5917" t="s">
        <v>83</v>
      </c>
      <c r="C5917">
        <v>0</v>
      </c>
      <c r="D5917">
        <v>0</v>
      </c>
      <c r="E5917">
        <v>0</v>
      </c>
      <c r="F5917">
        <v>1</v>
      </c>
      <c r="G5917">
        <v>0</v>
      </c>
      <c r="H5917">
        <v>0</v>
      </c>
      <c r="I5917">
        <v>0</v>
      </c>
      <c r="J5917">
        <v>8470.0347162285507</v>
      </c>
      <c r="K5917">
        <v>7336.1211932466604</v>
      </c>
      <c r="L5917">
        <v>66.763999999999996</v>
      </c>
      <c r="M5917">
        <v>67.733000000000004</v>
      </c>
      <c r="N5917">
        <v>45.832999999999998</v>
      </c>
    </row>
    <row r="5918" spans="1:14" x14ac:dyDescent="0.45">
      <c r="A5918">
        <v>2008</v>
      </c>
      <c r="B5918" t="s">
        <v>84</v>
      </c>
      <c r="C5918">
        <v>0</v>
      </c>
      <c r="D5918">
        <v>0</v>
      </c>
      <c r="E5918">
        <v>1</v>
      </c>
      <c r="F5918">
        <v>0</v>
      </c>
      <c r="G5918">
        <v>1</v>
      </c>
      <c r="H5918">
        <v>0</v>
      </c>
      <c r="I5918">
        <v>0</v>
      </c>
      <c r="J5918">
        <v>16040.315322164701</v>
      </c>
      <c r="K5918">
        <v>14513.0597161102</v>
      </c>
      <c r="L5918">
        <v>40.555999999999997</v>
      </c>
      <c r="M5918">
        <v>57.661000000000001</v>
      </c>
      <c r="N5918">
        <v>62.616999999999997</v>
      </c>
    </row>
    <row r="5919" spans="1:14" x14ac:dyDescent="0.45">
      <c r="A5919">
        <v>2008</v>
      </c>
      <c r="B5919" t="s">
        <v>85</v>
      </c>
      <c r="C5919">
        <v>0</v>
      </c>
      <c r="D5919">
        <v>0</v>
      </c>
      <c r="E5919">
        <v>1</v>
      </c>
      <c r="F5919">
        <v>0</v>
      </c>
      <c r="G5919">
        <v>0</v>
      </c>
      <c r="H5919">
        <v>0</v>
      </c>
      <c r="I5919">
        <v>0</v>
      </c>
      <c r="J5919">
        <v>1283.2728263106001</v>
      </c>
      <c r="K5919">
        <v>1027.4528038503699</v>
      </c>
      <c r="L5919">
        <v>61.494</v>
      </c>
      <c r="M5919">
        <v>49.872999999999998</v>
      </c>
      <c r="N5919">
        <v>136.38399999999999</v>
      </c>
    </row>
    <row r="5920" spans="1:14" x14ac:dyDescent="0.45">
      <c r="A5920">
        <v>2008</v>
      </c>
      <c r="B5920" t="s">
        <v>86</v>
      </c>
      <c r="C5920">
        <v>0</v>
      </c>
      <c r="D5920">
        <v>0</v>
      </c>
      <c r="E5920">
        <v>0</v>
      </c>
      <c r="F5920">
        <v>0</v>
      </c>
      <c r="G5920">
        <v>0</v>
      </c>
      <c r="H5920">
        <v>1</v>
      </c>
      <c r="I5920">
        <v>1</v>
      </c>
      <c r="J5920">
        <v>53711.679206497502</v>
      </c>
      <c r="K5920">
        <v>46493.719821323</v>
      </c>
      <c r="L5920">
        <v>19.422000000000001</v>
      </c>
      <c r="M5920">
        <v>80.73</v>
      </c>
      <c r="N5920">
        <v>5.8609999999999998</v>
      </c>
    </row>
    <row r="5921" spans="1:14" x14ac:dyDescent="0.45">
      <c r="A5921">
        <v>2008</v>
      </c>
      <c r="B5921" t="s">
        <v>87</v>
      </c>
      <c r="C5921">
        <v>1</v>
      </c>
      <c r="D5921">
        <v>0</v>
      </c>
      <c r="E5921">
        <v>0</v>
      </c>
      <c r="F5921">
        <v>0</v>
      </c>
      <c r="G5921">
        <v>0</v>
      </c>
      <c r="H5921">
        <v>1</v>
      </c>
      <c r="I5921">
        <v>1</v>
      </c>
      <c r="J5921">
        <v>75355.202488789</v>
      </c>
      <c r="K5921">
        <v>65556.532024717293</v>
      </c>
      <c r="L5921">
        <v>26.443999999999999</v>
      </c>
      <c r="M5921">
        <v>81.971000000000004</v>
      </c>
      <c r="N5921">
        <v>4.585</v>
      </c>
    </row>
    <row r="5922" spans="1:14" x14ac:dyDescent="0.45">
      <c r="A5922">
        <v>2008</v>
      </c>
      <c r="B5922" t="s">
        <v>88</v>
      </c>
      <c r="C5922">
        <v>1</v>
      </c>
      <c r="D5922">
        <v>0</v>
      </c>
      <c r="E5922">
        <v>0</v>
      </c>
      <c r="F5922">
        <v>0</v>
      </c>
      <c r="G5922">
        <v>0</v>
      </c>
      <c r="H5922">
        <v>1</v>
      </c>
      <c r="I5922">
        <v>1</v>
      </c>
      <c r="L5922">
        <v>69.070999999999998</v>
      </c>
      <c r="M5922">
        <v>80.781290164186004</v>
      </c>
      <c r="N5922">
        <v>8.9785464170630593</v>
      </c>
    </row>
    <row r="5923" spans="1:14" x14ac:dyDescent="0.45">
      <c r="A5923">
        <v>2008</v>
      </c>
      <c r="B5923" t="s">
        <v>89</v>
      </c>
      <c r="C5923">
        <v>0</v>
      </c>
      <c r="D5923">
        <v>1</v>
      </c>
      <c r="E5923">
        <v>0</v>
      </c>
      <c r="F5923">
        <v>0</v>
      </c>
      <c r="G5923">
        <v>1</v>
      </c>
      <c r="H5923">
        <v>0</v>
      </c>
      <c r="I5923">
        <v>0</v>
      </c>
      <c r="J5923">
        <v>23509.781693144101</v>
      </c>
      <c r="K5923">
        <v>20478.946410885601</v>
      </c>
      <c r="L5923">
        <v>13.041</v>
      </c>
      <c r="M5923">
        <v>78.751999999999995</v>
      </c>
      <c r="N5923">
        <v>9.2810000000000006</v>
      </c>
    </row>
    <row r="5924" spans="1:14" x14ac:dyDescent="0.45">
      <c r="A5924">
        <v>2008</v>
      </c>
      <c r="B5924" t="s">
        <v>90</v>
      </c>
      <c r="C5924">
        <v>0</v>
      </c>
      <c r="D5924">
        <v>0</v>
      </c>
      <c r="E5924">
        <v>0</v>
      </c>
      <c r="F5924">
        <v>1</v>
      </c>
      <c r="G5924">
        <v>0</v>
      </c>
      <c r="H5924">
        <v>0</v>
      </c>
      <c r="I5924">
        <v>0</v>
      </c>
      <c r="J5924">
        <v>8743.7449123218794</v>
      </c>
      <c r="K5924">
        <v>7838.2011598380204</v>
      </c>
      <c r="L5924">
        <v>53.460999999999999</v>
      </c>
      <c r="M5924">
        <v>74.832999999999998</v>
      </c>
      <c r="N5924">
        <v>19.164999999999999</v>
      </c>
    </row>
    <row r="5925" spans="1:14" x14ac:dyDescent="0.45">
      <c r="A5925">
        <v>2008</v>
      </c>
      <c r="B5925" t="s">
        <v>91</v>
      </c>
      <c r="C5925">
        <v>0</v>
      </c>
      <c r="D5925">
        <v>0</v>
      </c>
      <c r="E5925">
        <v>1</v>
      </c>
      <c r="F5925">
        <v>1</v>
      </c>
      <c r="G5925">
        <v>0</v>
      </c>
      <c r="H5925">
        <v>0</v>
      </c>
      <c r="I5925">
        <v>0</v>
      </c>
      <c r="J5925">
        <v>4096.72346918931</v>
      </c>
      <c r="K5925">
        <v>3458.2379418537798</v>
      </c>
      <c r="L5925">
        <v>53.509</v>
      </c>
      <c r="M5925">
        <v>54.179000000000002</v>
      </c>
      <c r="N5925">
        <v>110.066</v>
      </c>
    </row>
    <row r="5926" spans="1:14" x14ac:dyDescent="0.45">
      <c r="A5926">
        <v>2008</v>
      </c>
      <c r="B5926" t="s">
        <v>92</v>
      </c>
      <c r="C5926">
        <v>0</v>
      </c>
      <c r="D5926">
        <v>0</v>
      </c>
      <c r="E5926">
        <v>1</v>
      </c>
      <c r="F5926">
        <v>1</v>
      </c>
      <c r="G5926">
        <v>0</v>
      </c>
      <c r="H5926">
        <v>0</v>
      </c>
      <c r="I5926">
        <v>0</v>
      </c>
      <c r="J5926">
        <v>4300.2664035246398</v>
      </c>
      <c r="K5926">
        <v>3376.6232124078201</v>
      </c>
      <c r="L5926">
        <v>49.65</v>
      </c>
      <c r="M5926">
        <v>56.116</v>
      </c>
      <c r="N5926">
        <v>117.43</v>
      </c>
    </row>
    <row r="5927" spans="1:14" x14ac:dyDescent="0.45">
      <c r="A5927">
        <v>2008</v>
      </c>
      <c r="B5927" t="s">
        <v>93</v>
      </c>
      <c r="C5927">
        <v>0</v>
      </c>
      <c r="D5927">
        <v>0</v>
      </c>
      <c r="E5927">
        <v>1</v>
      </c>
      <c r="F5927">
        <v>0</v>
      </c>
      <c r="G5927">
        <v>0</v>
      </c>
      <c r="H5927">
        <v>0</v>
      </c>
      <c r="I5927">
        <v>0</v>
      </c>
      <c r="J5927">
        <v>996.744118078631</v>
      </c>
      <c r="K5927">
        <v>797.95797196503202</v>
      </c>
      <c r="L5927">
        <v>61.024000000000001</v>
      </c>
      <c r="M5927">
        <v>55.387999999999998</v>
      </c>
      <c r="N5927">
        <v>122.557</v>
      </c>
    </row>
    <row r="5928" spans="1:14" x14ac:dyDescent="0.45">
      <c r="A5928">
        <v>2008</v>
      </c>
      <c r="B5928" t="s">
        <v>94</v>
      </c>
      <c r="C5928">
        <v>0</v>
      </c>
      <c r="D5928">
        <v>0</v>
      </c>
      <c r="E5928">
        <v>1</v>
      </c>
      <c r="F5928">
        <v>1</v>
      </c>
      <c r="G5928">
        <v>0</v>
      </c>
      <c r="H5928">
        <v>0</v>
      </c>
      <c r="I5928">
        <v>0</v>
      </c>
      <c r="J5928">
        <v>7587.2882616349198</v>
      </c>
      <c r="K5928">
        <v>4573.9603980571801</v>
      </c>
      <c r="L5928">
        <v>37.654000000000003</v>
      </c>
      <c r="M5928">
        <v>60.79</v>
      </c>
      <c r="N5928">
        <v>70.233999999999995</v>
      </c>
    </row>
    <row r="5929" spans="1:14" x14ac:dyDescent="0.45">
      <c r="A5929">
        <v>2008</v>
      </c>
      <c r="B5929" t="s">
        <v>95</v>
      </c>
      <c r="C5929">
        <v>0</v>
      </c>
      <c r="D5929">
        <v>1</v>
      </c>
      <c r="E5929">
        <v>0</v>
      </c>
      <c r="F5929">
        <v>0</v>
      </c>
      <c r="G5929">
        <v>1</v>
      </c>
      <c r="H5929">
        <v>0</v>
      </c>
      <c r="I5929">
        <v>0</v>
      </c>
      <c r="J5929">
        <v>13591.0609028567</v>
      </c>
      <c r="K5929">
        <v>11316.046215230501</v>
      </c>
      <c r="L5929">
        <v>22.795999999999999</v>
      </c>
      <c r="M5929">
        <v>74.206000000000003</v>
      </c>
      <c r="N5929">
        <v>19.600000000000001</v>
      </c>
    </row>
    <row r="5930" spans="1:14" x14ac:dyDescent="0.45">
      <c r="A5930">
        <v>2008</v>
      </c>
      <c r="B5930" t="s">
        <v>96</v>
      </c>
      <c r="C5930">
        <v>0</v>
      </c>
      <c r="D5930">
        <v>0</v>
      </c>
      <c r="E5930">
        <v>1</v>
      </c>
      <c r="F5930">
        <v>0</v>
      </c>
      <c r="G5930">
        <v>0</v>
      </c>
      <c r="H5930">
        <v>0</v>
      </c>
      <c r="I5930">
        <v>0</v>
      </c>
      <c r="J5930">
        <v>2473.0890534404002</v>
      </c>
      <c r="K5930">
        <v>2557.4897001120999</v>
      </c>
      <c r="L5930">
        <v>72.114000000000004</v>
      </c>
      <c r="M5930">
        <v>61.954999999999998</v>
      </c>
      <c r="N5930">
        <v>77.204999999999998</v>
      </c>
    </row>
    <row r="5931" spans="1:14" x14ac:dyDescent="0.45">
      <c r="A5931">
        <v>2008</v>
      </c>
      <c r="B5931" t="s">
        <v>97</v>
      </c>
      <c r="C5931">
        <v>0</v>
      </c>
      <c r="D5931">
        <v>0</v>
      </c>
      <c r="E5931">
        <v>1</v>
      </c>
      <c r="F5931">
        <v>1</v>
      </c>
      <c r="G5931">
        <v>0</v>
      </c>
      <c r="H5931">
        <v>0</v>
      </c>
      <c r="I5931">
        <v>0</v>
      </c>
      <c r="J5931">
        <v>7169.1394415536697</v>
      </c>
      <c r="K5931">
        <v>6909.0008110250501</v>
      </c>
      <c r="L5931">
        <v>39.805999999999997</v>
      </c>
      <c r="M5931">
        <v>71.888000000000005</v>
      </c>
      <c r="N5931">
        <v>26.251000000000001</v>
      </c>
    </row>
    <row r="5932" spans="1:14" x14ac:dyDescent="0.45">
      <c r="A5932">
        <v>2008</v>
      </c>
      <c r="B5932" t="s">
        <v>98</v>
      </c>
      <c r="C5932">
        <v>0</v>
      </c>
      <c r="D5932">
        <v>1</v>
      </c>
      <c r="E5932">
        <v>0</v>
      </c>
      <c r="F5932">
        <v>0</v>
      </c>
      <c r="G5932">
        <v>1</v>
      </c>
      <c r="H5932">
        <v>0</v>
      </c>
      <c r="I5932">
        <v>0</v>
      </c>
      <c r="J5932">
        <v>18334.0135988728</v>
      </c>
      <c r="K5932">
        <v>16415.4405157172</v>
      </c>
      <c r="L5932">
        <v>30.61</v>
      </c>
      <c r="M5932">
        <v>79.180000000000007</v>
      </c>
      <c r="N5932">
        <v>10.840999999999999</v>
      </c>
    </row>
    <row r="5933" spans="1:14" x14ac:dyDescent="0.45">
      <c r="A5933">
        <v>2008</v>
      </c>
      <c r="B5933" t="s">
        <v>99</v>
      </c>
      <c r="C5933">
        <v>0</v>
      </c>
      <c r="D5933">
        <v>1</v>
      </c>
      <c r="E5933">
        <v>0</v>
      </c>
      <c r="F5933">
        <v>0</v>
      </c>
      <c r="G5933">
        <v>1</v>
      </c>
      <c r="H5933">
        <v>0</v>
      </c>
      <c r="I5933">
        <v>0</v>
      </c>
      <c r="L5933">
        <v>23.587</v>
      </c>
      <c r="M5933">
        <v>77.588999999999999</v>
      </c>
      <c r="N5933">
        <v>6.5439999999999996</v>
      </c>
    </row>
    <row r="5934" spans="1:14" x14ac:dyDescent="0.45">
      <c r="A5934">
        <v>2008</v>
      </c>
      <c r="B5934" t="s">
        <v>100</v>
      </c>
      <c r="C5934">
        <v>0</v>
      </c>
      <c r="D5934">
        <v>1</v>
      </c>
      <c r="E5934">
        <v>0</v>
      </c>
      <c r="F5934">
        <v>0</v>
      </c>
      <c r="G5934">
        <v>0</v>
      </c>
      <c r="H5934">
        <v>1</v>
      </c>
      <c r="I5934">
        <v>1</v>
      </c>
      <c r="J5934">
        <v>33795.130677742403</v>
      </c>
      <c r="K5934">
        <v>27648.215664503401</v>
      </c>
      <c r="L5934">
        <v>9.8390000000000004</v>
      </c>
      <c r="M5934">
        <v>74.313999999999993</v>
      </c>
      <c r="N5934">
        <v>14.917999999999999</v>
      </c>
    </row>
    <row r="5935" spans="1:14" x14ac:dyDescent="0.45">
      <c r="A5935">
        <v>2008</v>
      </c>
      <c r="B5935" t="s">
        <v>101</v>
      </c>
      <c r="C5935">
        <v>0</v>
      </c>
      <c r="D5935">
        <v>1</v>
      </c>
      <c r="E5935">
        <v>0</v>
      </c>
      <c r="F5935">
        <v>0</v>
      </c>
      <c r="G5935">
        <v>0</v>
      </c>
      <c r="H5935">
        <v>1</v>
      </c>
      <c r="I5935">
        <v>1</v>
      </c>
      <c r="J5935">
        <v>89338.286496216097</v>
      </c>
      <c r="K5935">
        <v>81494.051885770401</v>
      </c>
      <c r="L5935">
        <v>0</v>
      </c>
      <c r="M5935">
        <v>75.385999999999996</v>
      </c>
      <c r="N5935">
        <v>5.0609999999999999</v>
      </c>
    </row>
    <row r="5936" spans="1:14" x14ac:dyDescent="0.45">
      <c r="A5936">
        <v>2008</v>
      </c>
      <c r="B5936" t="s">
        <v>102</v>
      </c>
      <c r="C5936">
        <v>1</v>
      </c>
      <c r="D5936">
        <v>0</v>
      </c>
      <c r="E5936">
        <v>0</v>
      </c>
      <c r="F5936">
        <v>0</v>
      </c>
      <c r="G5936">
        <v>0</v>
      </c>
      <c r="H5936">
        <v>1</v>
      </c>
      <c r="I5936">
        <v>1</v>
      </c>
      <c r="J5936">
        <v>44296.90234375</v>
      </c>
      <c r="K5936">
        <v>39461.547822267603</v>
      </c>
      <c r="L5936">
        <v>32.161000000000001</v>
      </c>
      <c r="M5936">
        <v>79.906000000000006</v>
      </c>
      <c r="N5936">
        <v>3.86</v>
      </c>
    </row>
    <row r="5937" spans="1:14" x14ac:dyDescent="0.45">
      <c r="A5937">
        <v>2008</v>
      </c>
      <c r="B5937" t="s">
        <v>103</v>
      </c>
      <c r="C5937">
        <v>1</v>
      </c>
      <c r="D5937">
        <v>0</v>
      </c>
      <c r="E5937">
        <v>0</v>
      </c>
      <c r="F5937">
        <v>0</v>
      </c>
      <c r="G5937">
        <v>0</v>
      </c>
      <c r="H5937">
        <v>1</v>
      </c>
      <c r="I5937">
        <v>1</v>
      </c>
      <c r="J5937">
        <v>40328.342663009498</v>
      </c>
      <c r="K5937">
        <v>33577.480655618303</v>
      </c>
      <c r="L5937">
        <v>26.606000000000002</v>
      </c>
      <c r="M5937">
        <v>77.171999999999997</v>
      </c>
      <c r="N5937">
        <v>3.528</v>
      </c>
    </row>
    <row r="5938" spans="1:14" x14ac:dyDescent="0.45">
      <c r="A5938">
        <v>2008</v>
      </c>
      <c r="B5938" t="s">
        <v>104</v>
      </c>
      <c r="C5938">
        <v>1</v>
      </c>
      <c r="D5938">
        <v>0</v>
      </c>
      <c r="E5938">
        <v>0</v>
      </c>
      <c r="F5938">
        <v>0</v>
      </c>
      <c r="G5938">
        <v>0</v>
      </c>
      <c r="H5938">
        <v>1</v>
      </c>
      <c r="I5938">
        <v>1</v>
      </c>
      <c r="J5938">
        <v>55547.310747697302</v>
      </c>
      <c r="K5938">
        <v>48162.414269211098</v>
      </c>
      <c r="L5938">
        <v>23.425000000000001</v>
      </c>
      <c r="M5938">
        <v>79.816000000000003</v>
      </c>
      <c r="N5938">
        <v>4.2679999999999998</v>
      </c>
    </row>
    <row r="5939" spans="1:14" x14ac:dyDescent="0.45">
      <c r="A5939">
        <v>2008</v>
      </c>
      <c r="B5939" t="s">
        <v>105</v>
      </c>
      <c r="C5939">
        <v>0</v>
      </c>
      <c r="D5939">
        <v>0</v>
      </c>
      <c r="E5939">
        <v>0</v>
      </c>
      <c r="F5939">
        <v>1</v>
      </c>
      <c r="G5939">
        <v>0</v>
      </c>
      <c r="H5939">
        <v>0</v>
      </c>
      <c r="I5939">
        <v>0</v>
      </c>
      <c r="J5939">
        <v>3947.63972014716</v>
      </c>
      <c r="K5939">
        <v>3405.0399772331298</v>
      </c>
      <c r="L5939">
        <v>23.100999999999999</v>
      </c>
      <c r="M5939">
        <v>59.814999999999998</v>
      </c>
      <c r="N5939">
        <v>80.673000000000002</v>
      </c>
    </row>
    <row r="5940" spans="1:14" x14ac:dyDescent="0.45">
      <c r="A5940">
        <v>2008</v>
      </c>
      <c r="B5940" t="s">
        <v>106</v>
      </c>
      <c r="C5940">
        <v>0</v>
      </c>
      <c r="D5940">
        <v>1</v>
      </c>
      <c r="E5940">
        <v>0</v>
      </c>
      <c r="F5940">
        <v>0</v>
      </c>
      <c r="G5940">
        <v>1</v>
      </c>
      <c r="H5940">
        <v>0</v>
      </c>
      <c r="I5940">
        <v>0</v>
      </c>
      <c r="J5940">
        <v>17738.040568504799</v>
      </c>
      <c r="K5940">
        <v>13804.2456957513</v>
      </c>
      <c r="L5940">
        <v>32.497999999999998</v>
      </c>
      <c r="M5940">
        <v>71.944999999999993</v>
      </c>
      <c r="N5940">
        <v>21.681999999999999</v>
      </c>
    </row>
    <row r="5941" spans="1:14" x14ac:dyDescent="0.45">
      <c r="A5941">
        <v>2008</v>
      </c>
      <c r="B5941" t="s">
        <v>107</v>
      </c>
      <c r="C5941">
        <v>1</v>
      </c>
      <c r="D5941">
        <v>0</v>
      </c>
      <c r="E5941">
        <v>0</v>
      </c>
      <c r="F5941">
        <v>0</v>
      </c>
      <c r="G5941">
        <v>0</v>
      </c>
      <c r="H5941">
        <v>1</v>
      </c>
      <c r="I5941">
        <v>1</v>
      </c>
      <c r="J5941">
        <v>62451.072348802598</v>
      </c>
      <c r="K5941">
        <v>52780.3419730038</v>
      </c>
      <c r="L5941">
        <v>13.513</v>
      </c>
      <c r="M5941">
        <v>78.713999999999999</v>
      </c>
      <c r="N5941">
        <v>4.6820000000000004</v>
      </c>
    </row>
    <row r="5942" spans="1:14" x14ac:dyDescent="0.45">
      <c r="A5942">
        <v>2008</v>
      </c>
      <c r="B5942" t="s">
        <v>108</v>
      </c>
      <c r="C5942">
        <v>0</v>
      </c>
      <c r="D5942">
        <v>1</v>
      </c>
      <c r="E5942">
        <v>0</v>
      </c>
      <c r="F5942">
        <v>0</v>
      </c>
      <c r="G5942">
        <v>1</v>
      </c>
      <c r="H5942">
        <v>0</v>
      </c>
      <c r="I5942">
        <v>0</v>
      </c>
      <c r="J5942">
        <v>14030.1411084465</v>
      </c>
      <c r="K5942">
        <v>12119.586599227299</v>
      </c>
      <c r="L5942">
        <v>28.7</v>
      </c>
      <c r="M5942">
        <v>71.331000000000003</v>
      </c>
      <c r="N5942">
        <v>35.392000000000003</v>
      </c>
    </row>
    <row r="5943" spans="1:14" x14ac:dyDescent="0.45">
      <c r="A5943">
        <v>2008</v>
      </c>
      <c r="B5943" t="s">
        <v>109</v>
      </c>
      <c r="C5943">
        <v>0</v>
      </c>
      <c r="D5943">
        <v>0</v>
      </c>
      <c r="E5943">
        <v>0</v>
      </c>
      <c r="F5943">
        <v>0</v>
      </c>
      <c r="G5943">
        <v>1</v>
      </c>
      <c r="H5943">
        <v>0</v>
      </c>
      <c r="I5943">
        <v>0</v>
      </c>
      <c r="J5943">
        <v>14206.776714703899</v>
      </c>
      <c r="K5943">
        <v>12425.7316895802</v>
      </c>
      <c r="L5943">
        <v>33.902999999999999</v>
      </c>
      <c r="M5943">
        <v>73.617999999999995</v>
      </c>
      <c r="N5943">
        <v>30.082000000000001</v>
      </c>
    </row>
    <row r="5944" spans="1:14" x14ac:dyDescent="0.45">
      <c r="A5944">
        <v>2008</v>
      </c>
      <c r="B5944" t="s">
        <v>110</v>
      </c>
      <c r="C5944">
        <v>0</v>
      </c>
      <c r="D5944">
        <v>1</v>
      </c>
      <c r="E5944">
        <v>0</v>
      </c>
      <c r="F5944">
        <v>1</v>
      </c>
      <c r="G5944">
        <v>0</v>
      </c>
      <c r="H5944">
        <v>0</v>
      </c>
      <c r="I5944">
        <v>0</v>
      </c>
      <c r="J5944">
        <v>11474.5257023541</v>
      </c>
      <c r="K5944">
        <v>9543.9112357998893</v>
      </c>
      <c r="L5944">
        <v>37.700000000000003</v>
      </c>
      <c r="M5944">
        <v>74.709000000000003</v>
      </c>
      <c r="N5944">
        <v>20.7</v>
      </c>
    </row>
    <row r="5945" spans="1:14" x14ac:dyDescent="0.45">
      <c r="A5945">
        <v>2008</v>
      </c>
      <c r="B5945" t="s">
        <v>111</v>
      </c>
      <c r="C5945">
        <v>0</v>
      </c>
      <c r="D5945">
        <v>0</v>
      </c>
      <c r="E5945">
        <v>0</v>
      </c>
      <c r="F5945">
        <v>1</v>
      </c>
      <c r="G5945">
        <v>0</v>
      </c>
      <c r="H5945">
        <v>0</v>
      </c>
      <c r="I5945">
        <v>0</v>
      </c>
      <c r="J5945">
        <v>12391.5847624705</v>
      </c>
      <c r="K5945">
        <v>9833.7528863111893</v>
      </c>
      <c r="L5945">
        <v>56.942</v>
      </c>
      <c r="M5945">
        <v>68.760999999999996</v>
      </c>
      <c r="N5945">
        <v>31.329000000000001</v>
      </c>
    </row>
    <row r="5946" spans="1:14" x14ac:dyDescent="0.45">
      <c r="A5946">
        <v>2008</v>
      </c>
      <c r="B5946" t="s">
        <v>112</v>
      </c>
      <c r="C5946">
        <v>0</v>
      </c>
      <c r="D5946">
        <v>0</v>
      </c>
      <c r="E5946">
        <v>1</v>
      </c>
      <c r="F5946">
        <v>0</v>
      </c>
      <c r="G5946">
        <v>0</v>
      </c>
      <c r="H5946">
        <v>0</v>
      </c>
      <c r="I5946">
        <v>0</v>
      </c>
      <c r="L5946">
        <v>66</v>
      </c>
      <c r="M5946">
        <v>62.421999999999997</v>
      </c>
      <c r="N5946">
        <v>60.417000000000002</v>
      </c>
    </row>
    <row r="5947" spans="1:14" x14ac:dyDescent="0.45">
      <c r="A5947">
        <v>2008</v>
      </c>
      <c r="B5947" t="s">
        <v>113</v>
      </c>
      <c r="C5947">
        <v>1</v>
      </c>
      <c r="D5947">
        <v>0</v>
      </c>
      <c r="E5947">
        <v>0</v>
      </c>
      <c r="F5947">
        <v>0</v>
      </c>
      <c r="G5947">
        <v>0</v>
      </c>
      <c r="H5947">
        <v>1</v>
      </c>
      <c r="I5947">
        <v>1</v>
      </c>
      <c r="J5947">
        <v>44926.348951811997</v>
      </c>
      <c r="K5947">
        <v>39536.381943721397</v>
      </c>
      <c r="L5947">
        <v>22.024000000000001</v>
      </c>
      <c r="M5947">
        <v>81.278000000000006</v>
      </c>
      <c r="N5947">
        <v>4.0529999999999999</v>
      </c>
    </row>
    <row r="5948" spans="1:14" x14ac:dyDescent="0.45">
      <c r="A5948">
        <v>2008</v>
      </c>
      <c r="B5948" t="s">
        <v>114</v>
      </c>
      <c r="C5948">
        <v>1</v>
      </c>
      <c r="D5948">
        <v>0</v>
      </c>
      <c r="E5948">
        <v>0</v>
      </c>
      <c r="F5948">
        <v>0</v>
      </c>
      <c r="G5948">
        <v>0</v>
      </c>
      <c r="H5948">
        <v>1</v>
      </c>
      <c r="I5948">
        <v>1</v>
      </c>
      <c r="J5948">
        <v>34588.550028728198</v>
      </c>
      <c r="K5948">
        <v>29345.1290569066</v>
      </c>
      <c r="L5948">
        <v>31.649000000000001</v>
      </c>
      <c r="M5948">
        <v>74.278999999999996</v>
      </c>
      <c r="N5948">
        <v>6.0810000000000004</v>
      </c>
    </row>
    <row r="5949" spans="1:14" x14ac:dyDescent="0.45">
      <c r="A5949">
        <v>2008</v>
      </c>
      <c r="B5949" t="s">
        <v>115</v>
      </c>
      <c r="C5949">
        <v>0</v>
      </c>
      <c r="D5949">
        <v>0</v>
      </c>
      <c r="E5949">
        <v>1</v>
      </c>
      <c r="F5949">
        <v>0</v>
      </c>
      <c r="G5949">
        <v>0</v>
      </c>
      <c r="H5949">
        <v>0</v>
      </c>
      <c r="I5949">
        <v>0</v>
      </c>
      <c r="J5949">
        <v>1193.7472832672099</v>
      </c>
      <c r="K5949">
        <v>1076.6292182488201</v>
      </c>
      <c r="L5949">
        <v>83.49</v>
      </c>
      <c r="M5949">
        <v>57.732999999999997</v>
      </c>
      <c r="N5949">
        <v>92.403999999999996</v>
      </c>
    </row>
    <row r="5950" spans="1:14" x14ac:dyDescent="0.45">
      <c r="A5950">
        <v>2008</v>
      </c>
      <c r="B5950" t="s">
        <v>116</v>
      </c>
      <c r="C5950">
        <v>1</v>
      </c>
      <c r="D5950">
        <v>0</v>
      </c>
      <c r="E5950">
        <v>0</v>
      </c>
      <c r="F5950">
        <v>0</v>
      </c>
      <c r="G5950">
        <v>0</v>
      </c>
      <c r="H5950">
        <v>1</v>
      </c>
      <c r="I5950">
        <v>1</v>
      </c>
      <c r="J5950">
        <v>57494.585352886003</v>
      </c>
      <c r="K5950">
        <v>48334.709681082</v>
      </c>
      <c r="L5950">
        <v>16.701000000000001</v>
      </c>
      <c r="M5950">
        <v>79.694999999999993</v>
      </c>
      <c r="N5950">
        <v>3.3450000000000002</v>
      </c>
    </row>
    <row r="5951" spans="1:14" x14ac:dyDescent="0.45">
      <c r="A5951">
        <v>2008</v>
      </c>
      <c r="B5951" t="s">
        <v>117</v>
      </c>
      <c r="C5951">
        <v>0</v>
      </c>
      <c r="D5951">
        <v>0</v>
      </c>
      <c r="E5951">
        <v>0</v>
      </c>
      <c r="F5951">
        <v>0</v>
      </c>
      <c r="G5951">
        <v>1</v>
      </c>
      <c r="H5951">
        <v>0</v>
      </c>
      <c r="I5951">
        <v>0</v>
      </c>
      <c r="J5951">
        <v>10092.1801644075</v>
      </c>
      <c r="K5951">
        <v>9883.2992619443794</v>
      </c>
      <c r="L5951">
        <v>48.853999999999999</v>
      </c>
      <c r="M5951">
        <v>66.319999999999993</v>
      </c>
      <c r="N5951">
        <v>22.946000000000002</v>
      </c>
    </row>
    <row r="5952" spans="1:14" x14ac:dyDescent="0.45">
      <c r="A5952">
        <v>2008</v>
      </c>
      <c r="B5952" t="s">
        <v>118</v>
      </c>
      <c r="C5952">
        <v>1</v>
      </c>
      <c r="D5952">
        <v>0</v>
      </c>
      <c r="E5952">
        <v>0</v>
      </c>
      <c r="F5952">
        <v>0</v>
      </c>
      <c r="G5952">
        <v>0</v>
      </c>
      <c r="H5952">
        <v>1</v>
      </c>
      <c r="I5952">
        <v>1</v>
      </c>
      <c r="J5952">
        <v>50068.2969141379</v>
      </c>
      <c r="K5952">
        <v>41801.960400948497</v>
      </c>
      <c r="L5952">
        <v>22.132000000000001</v>
      </c>
      <c r="M5952">
        <v>81.039000000000001</v>
      </c>
      <c r="N5952">
        <v>4.508</v>
      </c>
    </row>
    <row r="5953" spans="1:14" x14ac:dyDescent="0.45">
      <c r="A5953">
        <v>2008</v>
      </c>
      <c r="B5953" t="s">
        <v>119</v>
      </c>
      <c r="C5953">
        <v>1</v>
      </c>
      <c r="D5953">
        <v>0</v>
      </c>
      <c r="E5953">
        <v>0</v>
      </c>
      <c r="F5953">
        <v>0</v>
      </c>
      <c r="G5953">
        <v>0</v>
      </c>
      <c r="H5953">
        <v>1</v>
      </c>
      <c r="I5953">
        <v>1</v>
      </c>
      <c r="J5953">
        <v>53528.7838011243</v>
      </c>
      <c r="K5953">
        <v>46766.029661963097</v>
      </c>
      <c r="L5953">
        <v>59.463999999999999</v>
      </c>
      <c r="M5953">
        <v>78.518000000000001</v>
      </c>
      <c r="N5953">
        <v>8.6489999999999991</v>
      </c>
    </row>
    <row r="5954" spans="1:14" x14ac:dyDescent="0.45">
      <c r="A5954">
        <v>2008</v>
      </c>
      <c r="B5954" t="s">
        <v>120</v>
      </c>
      <c r="C5954">
        <v>0</v>
      </c>
      <c r="D5954">
        <v>0</v>
      </c>
      <c r="E5954">
        <v>0</v>
      </c>
      <c r="F5954">
        <v>1</v>
      </c>
      <c r="G5954">
        <v>0</v>
      </c>
      <c r="H5954">
        <v>0</v>
      </c>
      <c r="I5954">
        <v>0</v>
      </c>
      <c r="J5954">
        <v>3669.08649729737</v>
      </c>
      <c r="K5954">
        <v>3321.0295796086298</v>
      </c>
      <c r="L5954">
        <v>77.688999999999993</v>
      </c>
      <c r="M5954">
        <v>64.849000000000004</v>
      </c>
      <c r="N5954">
        <v>34.563000000000002</v>
      </c>
    </row>
    <row r="5955" spans="1:14" x14ac:dyDescent="0.45">
      <c r="A5955">
        <v>2008</v>
      </c>
      <c r="B5955" t="s">
        <v>121</v>
      </c>
      <c r="C5955">
        <v>0</v>
      </c>
      <c r="D5955">
        <v>0</v>
      </c>
      <c r="E5955">
        <v>1</v>
      </c>
      <c r="F5955">
        <v>0</v>
      </c>
      <c r="G5955">
        <v>1</v>
      </c>
      <c r="H5955">
        <v>0</v>
      </c>
      <c r="I5955">
        <v>0</v>
      </c>
      <c r="J5955">
        <v>18493.0921102783</v>
      </c>
      <c r="K5955">
        <v>13992.611697864</v>
      </c>
      <c r="L5955">
        <v>15.641</v>
      </c>
      <c r="M5955">
        <v>64.010999999999996</v>
      </c>
      <c r="N5955">
        <v>66.373000000000005</v>
      </c>
    </row>
    <row r="5956" spans="1:14" x14ac:dyDescent="0.45">
      <c r="A5956">
        <v>2008</v>
      </c>
      <c r="B5956" t="s">
        <v>122</v>
      </c>
      <c r="C5956">
        <v>1</v>
      </c>
      <c r="D5956">
        <v>0</v>
      </c>
      <c r="E5956">
        <v>0</v>
      </c>
      <c r="F5956">
        <v>0</v>
      </c>
      <c r="G5956">
        <v>0</v>
      </c>
      <c r="H5956">
        <v>1</v>
      </c>
      <c r="I5956">
        <v>1</v>
      </c>
      <c r="J5956">
        <v>48963.023163410697</v>
      </c>
      <c r="K5956">
        <v>42183.121026536399</v>
      </c>
      <c r="L5956">
        <v>19.242999999999999</v>
      </c>
      <c r="M5956">
        <v>79.655000000000001</v>
      </c>
      <c r="N5956">
        <v>5.5839999999999996</v>
      </c>
    </row>
    <row r="5957" spans="1:14" x14ac:dyDescent="0.45">
      <c r="A5957">
        <v>2008</v>
      </c>
      <c r="B5957" t="s">
        <v>123</v>
      </c>
      <c r="C5957">
        <v>1</v>
      </c>
      <c r="D5957">
        <v>0</v>
      </c>
      <c r="E5957">
        <v>0</v>
      </c>
      <c r="F5957">
        <v>1</v>
      </c>
      <c r="G5957">
        <v>0</v>
      </c>
      <c r="H5957">
        <v>0</v>
      </c>
      <c r="I5957">
        <v>0</v>
      </c>
      <c r="J5957">
        <v>10856.103132800299</v>
      </c>
      <c r="K5957">
        <v>9172.1660751452291</v>
      </c>
      <c r="L5957">
        <v>45.234999999999999</v>
      </c>
      <c r="M5957">
        <v>70.948999999999998</v>
      </c>
      <c r="N5957">
        <v>17.324999999999999</v>
      </c>
    </row>
    <row r="5958" spans="1:14" x14ac:dyDescent="0.45">
      <c r="A5958">
        <v>2008</v>
      </c>
      <c r="B5958" t="s">
        <v>124</v>
      </c>
      <c r="C5958">
        <v>0</v>
      </c>
      <c r="D5958">
        <v>0</v>
      </c>
      <c r="E5958">
        <v>1</v>
      </c>
      <c r="F5958">
        <v>0</v>
      </c>
      <c r="G5958">
        <v>0</v>
      </c>
      <c r="H5958">
        <v>0</v>
      </c>
      <c r="I5958">
        <v>0</v>
      </c>
      <c r="J5958">
        <v>4174.7812410336401</v>
      </c>
      <c r="K5958">
        <v>3601.7621504705098</v>
      </c>
      <c r="L5958">
        <v>50.649000000000001</v>
      </c>
      <c r="M5958">
        <v>60.578000000000003</v>
      </c>
      <c r="N5958">
        <v>75.275999999999996</v>
      </c>
    </row>
    <row r="5959" spans="1:14" x14ac:dyDescent="0.45">
      <c r="A5959">
        <v>2008</v>
      </c>
      <c r="B5959" t="s">
        <v>125</v>
      </c>
      <c r="C5959">
        <v>1</v>
      </c>
      <c r="D5959">
        <v>0</v>
      </c>
      <c r="E5959">
        <v>0</v>
      </c>
      <c r="F5959">
        <v>0</v>
      </c>
      <c r="G5959">
        <v>0</v>
      </c>
      <c r="H5959">
        <v>1</v>
      </c>
      <c r="I5959">
        <v>1</v>
      </c>
      <c r="L5959">
        <v>0</v>
      </c>
      <c r="M5959">
        <v>81.540999999999997</v>
      </c>
      <c r="N5959">
        <v>12.928000000000001</v>
      </c>
    </row>
    <row r="5960" spans="1:14" x14ac:dyDescent="0.45">
      <c r="A5960">
        <v>2008</v>
      </c>
      <c r="B5960" t="s">
        <v>126</v>
      </c>
      <c r="C5960">
        <v>0</v>
      </c>
      <c r="D5960">
        <v>0</v>
      </c>
      <c r="E5960">
        <v>1</v>
      </c>
      <c r="F5960">
        <v>0</v>
      </c>
      <c r="G5960">
        <v>0</v>
      </c>
      <c r="H5960">
        <v>0</v>
      </c>
      <c r="I5960">
        <v>0</v>
      </c>
      <c r="J5960">
        <v>2629.5397474637002</v>
      </c>
      <c r="K5960">
        <v>2120.1079981376902</v>
      </c>
      <c r="L5960">
        <v>66.894000000000005</v>
      </c>
      <c r="M5960">
        <v>55.703000000000003</v>
      </c>
      <c r="N5960">
        <v>127.85</v>
      </c>
    </row>
    <row r="5961" spans="1:14" x14ac:dyDescent="0.45">
      <c r="A5961">
        <v>2008</v>
      </c>
      <c r="B5961" t="s">
        <v>127</v>
      </c>
      <c r="C5961">
        <v>0</v>
      </c>
      <c r="D5961">
        <v>0</v>
      </c>
      <c r="E5961">
        <v>1</v>
      </c>
      <c r="F5961">
        <v>0</v>
      </c>
      <c r="G5961">
        <v>0</v>
      </c>
      <c r="H5961">
        <v>0</v>
      </c>
      <c r="I5961">
        <v>0</v>
      </c>
      <c r="J5961">
        <v>2649.61119865306</v>
      </c>
      <c r="K5961">
        <v>2132.6640127759601</v>
      </c>
      <c r="L5961">
        <v>45.789000000000001</v>
      </c>
      <c r="M5961">
        <v>60.472999999999999</v>
      </c>
      <c r="N5961">
        <v>79.956999999999994</v>
      </c>
    </row>
    <row r="5962" spans="1:14" x14ac:dyDescent="0.45">
      <c r="A5962">
        <v>2008</v>
      </c>
      <c r="B5962" t="s">
        <v>128</v>
      </c>
      <c r="C5962">
        <v>0</v>
      </c>
      <c r="D5962">
        <v>0</v>
      </c>
      <c r="E5962">
        <v>1</v>
      </c>
      <c r="F5962">
        <v>0</v>
      </c>
      <c r="G5962">
        <v>0</v>
      </c>
      <c r="H5962">
        <v>0</v>
      </c>
      <c r="I5962">
        <v>0</v>
      </c>
      <c r="J5962">
        <v>2080.1430115837502</v>
      </c>
      <c r="K5962">
        <v>1871.2934262989199</v>
      </c>
      <c r="L5962">
        <v>60.674999999999997</v>
      </c>
      <c r="M5962">
        <v>55.3</v>
      </c>
      <c r="N5962">
        <v>127.04</v>
      </c>
    </row>
    <row r="5963" spans="1:14" x14ac:dyDescent="0.45">
      <c r="A5963">
        <v>2008</v>
      </c>
      <c r="B5963" t="s">
        <v>129</v>
      </c>
      <c r="C5963">
        <v>0</v>
      </c>
      <c r="D5963">
        <v>0</v>
      </c>
      <c r="E5963">
        <v>1</v>
      </c>
      <c r="F5963">
        <v>0</v>
      </c>
      <c r="G5963">
        <v>0</v>
      </c>
      <c r="H5963">
        <v>1</v>
      </c>
      <c r="I5963">
        <v>1</v>
      </c>
      <c r="J5963">
        <v>39994.6159790647</v>
      </c>
      <c r="K5963">
        <v>33136.0496098687</v>
      </c>
      <c r="L5963">
        <v>37.255000000000003</v>
      </c>
      <c r="M5963">
        <v>57.384</v>
      </c>
      <c r="N5963">
        <v>119.396</v>
      </c>
    </row>
    <row r="5964" spans="1:14" x14ac:dyDescent="0.45">
      <c r="A5964">
        <v>2008</v>
      </c>
      <c r="B5964" t="s">
        <v>130</v>
      </c>
      <c r="C5964">
        <v>1</v>
      </c>
      <c r="D5964">
        <v>0</v>
      </c>
      <c r="E5964">
        <v>0</v>
      </c>
      <c r="F5964">
        <v>0</v>
      </c>
      <c r="G5964">
        <v>0</v>
      </c>
      <c r="H5964">
        <v>1</v>
      </c>
      <c r="I5964">
        <v>1</v>
      </c>
      <c r="J5964">
        <v>41709.387742031198</v>
      </c>
      <c r="K5964">
        <v>37337.998330533301</v>
      </c>
      <c r="L5964">
        <v>24.431999999999999</v>
      </c>
      <c r="M5964">
        <v>80.105000000000004</v>
      </c>
      <c r="N5964">
        <v>4.2389999999999999</v>
      </c>
    </row>
    <row r="5965" spans="1:14" x14ac:dyDescent="0.45">
      <c r="A5965">
        <v>2008</v>
      </c>
      <c r="B5965" t="s">
        <v>131</v>
      </c>
      <c r="C5965">
        <v>0</v>
      </c>
      <c r="D5965">
        <v>1</v>
      </c>
      <c r="E5965">
        <v>0</v>
      </c>
      <c r="F5965">
        <v>0</v>
      </c>
      <c r="G5965">
        <v>1</v>
      </c>
      <c r="H5965">
        <v>0</v>
      </c>
      <c r="I5965">
        <v>0</v>
      </c>
      <c r="J5965">
        <v>14472.4228873921</v>
      </c>
      <c r="K5965">
        <v>13353.7780057002</v>
      </c>
      <c r="L5965">
        <v>64.123000000000005</v>
      </c>
      <c r="M5965">
        <v>74.373999999999995</v>
      </c>
      <c r="N5965">
        <v>14.395</v>
      </c>
    </row>
    <row r="5966" spans="1:14" x14ac:dyDescent="0.45">
      <c r="A5966">
        <v>2008</v>
      </c>
      <c r="B5966" t="s">
        <v>132</v>
      </c>
      <c r="C5966">
        <v>1</v>
      </c>
      <c r="D5966">
        <v>0</v>
      </c>
      <c r="E5966">
        <v>0</v>
      </c>
      <c r="F5966">
        <v>0</v>
      </c>
      <c r="G5966">
        <v>0</v>
      </c>
      <c r="H5966">
        <v>1</v>
      </c>
      <c r="I5966">
        <v>1</v>
      </c>
      <c r="J5966">
        <v>60506.194627232799</v>
      </c>
      <c r="K5966">
        <v>54768.281474764903</v>
      </c>
      <c r="L5966">
        <v>16.213000000000001</v>
      </c>
      <c r="M5966">
        <v>68.400000000000006</v>
      </c>
      <c r="N5966">
        <v>12.778</v>
      </c>
    </row>
    <row r="5967" spans="1:14" x14ac:dyDescent="0.45">
      <c r="A5967">
        <v>2008</v>
      </c>
      <c r="B5967" t="s">
        <v>133</v>
      </c>
      <c r="C5967">
        <v>0</v>
      </c>
      <c r="D5967">
        <v>1</v>
      </c>
      <c r="E5967">
        <v>0</v>
      </c>
      <c r="F5967">
        <v>1</v>
      </c>
      <c r="G5967">
        <v>0</v>
      </c>
      <c r="H5967">
        <v>0</v>
      </c>
      <c r="I5967">
        <v>0</v>
      </c>
      <c r="J5967">
        <v>9889.5718184226098</v>
      </c>
      <c r="K5967">
        <v>8590.8303237989403</v>
      </c>
      <c r="L5967">
        <v>52.192999999999998</v>
      </c>
      <c r="M5967">
        <v>69.492999999999995</v>
      </c>
      <c r="N5967">
        <v>37.808999999999997</v>
      </c>
    </row>
    <row r="5968" spans="1:14" x14ac:dyDescent="0.45">
      <c r="A5968">
        <v>2008</v>
      </c>
      <c r="B5968" t="s">
        <v>134</v>
      </c>
      <c r="C5968">
        <v>0</v>
      </c>
      <c r="D5968">
        <v>0</v>
      </c>
      <c r="E5968">
        <v>0</v>
      </c>
      <c r="F5968">
        <v>0</v>
      </c>
      <c r="G5968">
        <v>0</v>
      </c>
      <c r="H5968">
        <v>1</v>
      </c>
      <c r="I5968">
        <v>1</v>
      </c>
      <c r="L5968">
        <v>6.0839999999999996</v>
      </c>
      <c r="M5968">
        <v>76.233000000000004</v>
      </c>
      <c r="N5968">
        <v>11.087</v>
      </c>
    </row>
    <row r="5969" spans="1:14" x14ac:dyDescent="0.45">
      <c r="A5969">
        <v>2008</v>
      </c>
      <c r="B5969" t="s">
        <v>135</v>
      </c>
      <c r="C5969">
        <v>0</v>
      </c>
      <c r="D5969">
        <v>1</v>
      </c>
      <c r="E5969">
        <v>0</v>
      </c>
      <c r="F5969">
        <v>1</v>
      </c>
      <c r="G5969">
        <v>0</v>
      </c>
      <c r="H5969">
        <v>0</v>
      </c>
      <c r="I5969">
        <v>0</v>
      </c>
      <c r="J5969">
        <v>9546.7087594943605</v>
      </c>
      <c r="K5969">
        <v>9130.2730970898992</v>
      </c>
      <c r="L5969">
        <v>72.894999999999996</v>
      </c>
      <c r="M5969">
        <v>65.721000000000004</v>
      </c>
      <c r="N5969">
        <v>39.133000000000003</v>
      </c>
    </row>
    <row r="5970" spans="1:14" x14ac:dyDescent="0.45">
      <c r="A5970">
        <v>2008</v>
      </c>
      <c r="B5970" t="s">
        <v>136</v>
      </c>
      <c r="C5970">
        <v>0</v>
      </c>
      <c r="D5970">
        <v>0</v>
      </c>
      <c r="E5970">
        <v>0</v>
      </c>
      <c r="F5970">
        <v>0</v>
      </c>
      <c r="G5970">
        <v>0</v>
      </c>
      <c r="H5970">
        <v>1</v>
      </c>
      <c r="I5970">
        <v>1</v>
      </c>
      <c r="J5970">
        <v>54630.373580863103</v>
      </c>
      <c r="K5970">
        <v>49304.100516127903</v>
      </c>
      <c r="L5970">
        <v>0</v>
      </c>
      <c r="M5970">
        <v>82.34</v>
      </c>
      <c r="N5970">
        <v>3.403</v>
      </c>
    </row>
    <row r="5971" spans="1:14" x14ac:dyDescent="0.45">
      <c r="A5971">
        <v>2008</v>
      </c>
      <c r="B5971" t="s">
        <v>137</v>
      </c>
      <c r="C5971">
        <v>0</v>
      </c>
      <c r="D5971">
        <v>1</v>
      </c>
      <c r="E5971">
        <v>0</v>
      </c>
      <c r="F5971">
        <v>1</v>
      </c>
      <c r="G5971">
        <v>0</v>
      </c>
      <c r="H5971">
        <v>0</v>
      </c>
      <c r="I5971">
        <v>0</v>
      </c>
      <c r="J5971">
        <v>5566.7063948772202</v>
      </c>
      <c r="K5971">
        <v>5129.5976556650803</v>
      </c>
      <c r="L5971">
        <v>49.433999999999997</v>
      </c>
      <c r="M5971">
        <v>69.656999999999996</v>
      </c>
      <c r="N5971">
        <v>26.724</v>
      </c>
    </row>
    <row r="5972" spans="1:14" x14ac:dyDescent="0.45">
      <c r="A5972">
        <v>2008</v>
      </c>
      <c r="B5972" t="s">
        <v>138</v>
      </c>
      <c r="C5972">
        <v>1</v>
      </c>
      <c r="D5972">
        <v>0</v>
      </c>
      <c r="E5972">
        <v>0</v>
      </c>
      <c r="F5972">
        <v>0</v>
      </c>
      <c r="G5972">
        <v>0</v>
      </c>
      <c r="H5972">
        <v>1</v>
      </c>
      <c r="I5972">
        <v>1</v>
      </c>
      <c r="J5972">
        <v>31116.529968860901</v>
      </c>
      <c r="K5972">
        <v>26835.179859520798</v>
      </c>
      <c r="L5972">
        <v>45.180999999999997</v>
      </c>
      <c r="M5972">
        <v>76.001000000000005</v>
      </c>
      <c r="N5972">
        <v>6.17</v>
      </c>
    </row>
    <row r="5973" spans="1:14" x14ac:dyDescent="0.45">
      <c r="A5973">
        <v>2008</v>
      </c>
      <c r="B5973" t="s">
        <v>139</v>
      </c>
      <c r="C5973">
        <v>0</v>
      </c>
      <c r="D5973">
        <v>1</v>
      </c>
      <c r="E5973">
        <v>0</v>
      </c>
      <c r="F5973">
        <v>0</v>
      </c>
      <c r="G5973">
        <v>0</v>
      </c>
      <c r="H5973">
        <v>0</v>
      </c>
      <c r="I5973">
        <v>0</v>
      </c>
      <c r="J5973">
        <v>3289.7053901089198</v>
      </c>
      <c r="K5973">
        <v>3161.9192840196001</v>
      </c>
      <c r="L5973">
        <v>54.448999999999998</v>
      </c>
      <c r="M5973">
        <v>61.28</v>
      </c>
      <c r="N5973">
        <v>83.59</v>
      </c>
    </row>
    <row r="5974" spans="1:14" x14ac:dyDescent="0.45">
      <c r="A5974">
        <v>2008</v>
      </c>
      <c r="B5974" t="s">
        <v>140</v>
      </c>
      <c r="C5974">
        <v>1</v>
      </c>
      <c r="D5974">
        <v>0</v>
      </c>
      <c r="E5974">
        <v>0</v>
      </c>
      <c r="F5974">
        <v>0</v>
      </c>
      <c r="G5974">
        <v>0</v>
      </c>
      <c r="H5974">
        <v>1</v>
      </c>
      <c r="I5974">
        <v>1</v>
      </c>
      <c r="J5974">
        <v>29384.0070385818</v>
      </c>
      <c r="K5974">
        <v>25605.737362911099</v>
      </c>
      <c r="L5974">
        <v>32.057000000000002</v>
      </c>
      <c r="M5974">
        <v>73.956999999999994</v>
      </c>
      <c r="N5974">
        <v>6.6040000000000001</v>
      </c>
    </row>
    <row r="5975" spans="1:14" x14ac:dyDescent="0.45">
      <c r="A5975">
        <v>2008</v>
      </c>
      <c r="B5975" t="s">
        <v>141</v>
      </c>
      <c r="C5975">
        <v>0</v>
      </c>
      <c r="D5975">
        <v>0</v>
      </c>
      <c r="E5975">
        <v>0</v>
      </c>
      <c r="F5975">
        <v>1</v>
      </c>
      <c r="G5975">
        <v>0</v>
      </c>
      <c r="H5975">
        <v>0</v>
      </c>
      <c r="I5975">
        <v>0</v>
      </c>
      <c r="J5975">
        <v>8165.06155116624</v>
      </c>
      <c r="K5975">
        <v>7412.5889661212004</v>
      </c>
      <c r="L5975">
        <v>51.664999999999999</v>
      </c>
      <c r="M5975">
        <v>68.084999999999994</v>
      </c>
      <c r="N5975">
        <v>36.6</v>
      </c>
    </row>
    <row r="5976" spans="1:14" x14ac:dyDescent="0.45">
      <c r="A5976">
        <v>2008</v>
      </c>
      <c r="B5976" t="s">
        <v>142</v>
      </c>
      <c r="C5976">
        <v>1</v>
      </c>
      <c r="D5976">
        <v>0</v>
      </c>
      <c r="E5976">
        <v>0</v>
      </c>
      <c r="F5976">
        <v>0</v>
      </c>
      <c r="G5976">
        <v>0</v>
      </c>
      <c r="H5976">
        <v>1</v>
      </c>
      <c r="I5976">
        <v>1</v>
      </c>
      <c r="L5976">
        <v>48.042000000000002</v>
      </c>
      <c r="M5976">
        <v>78.899000000000001</v>
      </c>
      <c r="N5976">
        <v>16.539000000000001</v>
      </c>
    </row>
    <row r="5977" spans="1:14" x14ac:dyDescent="0.45">
      <c r="A5977">
        <v>2008</v>
      </c>
      <c r="B5977" t="s">
        <v>143</v>
      </c>
      <c r="C5977">
        <v>0</v>
      </c>
      <c r="D5977">
        <v>0</v>
      </c>
      <c r="E5977">
        <v>0</v>
      </c>
      <c r="F5977">
        <v>1</v>
      </c>
      <c r="G5977">
        <v>0</v>
      </c>
      <c r="H5977">
        <v>0</v>
      </c>
      <c r="I5977">
        <v>0</v>
      </c>
      <c r="J5977">
        <v>4450.3902291923796</v>
      </c>
      <c r="K5977">
        <v>3732.4770737686699</v>
      </c>
      <c r="L5977">
        <v>69.754000000000005</v>
      </c>
      <c r="M5977">
        <v>66.247</v>
      </c>
      <c r="N5977">
        <v>64.078999999999994</v>
      </c>
    </row>
    <row r="5978" spans="1:14" x14ac:dyDescent="0.45">
      <c r="A5978">
        <v>2008</v>
      </c>
      <c r="B5978" t="s">
        <v>144</v>
      </c>
      <c r="C5978">
        <v>1</v>
      </c>
      <c r="D5978">
        <v>0</v>
      </c>
      <c r="E5978">
        <v>0</v>
      </c>
      <c r="F5978">
        <v>0</v>
      </c>
      <c r="G5978">
        <v>0</v>
      </c>
      <c r="H5978">
        <v>1</v>
      </c>
      <c r="I5978">
        <v>1</v>
      </c>
      <c r="J5978">
        <v>62401.405198565197</v>
      </c>
      <c r="K5978">
        <v>57374.836451417199</v>
      </c>
      <c r="L5978">
        <v>38.859000000000002</v>
      </c>
      <c r="M5978">
        <v>79.787999999999997</v>
      </c>
      <c r="N5978">
        <v>4.7169999999999996</v>
      </c>
    </row>
    <row r="5979" spans="1:14" x14ac:dyDescent="0.45">
      <c r="A5979">
        <v>2008</v>
      </c>
      <c r="B5979" t="s">
        <v>145</v>
      </c>
      <c r="C5979">
        <v>0</v>
      </c>
      <c r="D5979">
        <v>0</v>
      </c>
      <c r="E5979">
        <v>0</v>
      </c>
      <c r="F5979">
        <v>1</v>
      </c>
      <c r="G5979">
        <v>0</v>
      </c>
      <c r="H5979">
        <v>0</v>
      </c>
      <c r="I5979">
        <v>0</v>
      </c>
      <c r="J5979">
        <v>14138.8010468136</v>
      </c>
      <c r="K5979">
        <v>14103.3787114189</v>
      </c>
      <c r="L5979">
        <v>30.542000000000002</v>
      </c>
      <c r="M5979">
        <v>73.683000000000007</v>
      </c>
      <c r="N5979">
        <v>21.890999999999998</v>
      </c>
    </row>
    <row r="5980" spans="1:14" x14ac:dyDescent="0.45">
      <c r="A5980">
        <v>2008</v>
      </c>
      <c r="B5980" t="s">
        <v>146</v>
      </c>
      <c r="C5980">
        <v>0</v>
      </c>
      <c r="D5980">
        <v>0</v>
      </c>
      <c r="E5980">
        <v>0</v>
      </c>
      <c r="F5980">
        <v>1</v>
      </c>
      <c r="G5980">
        <v>0</v>
      </c>
      <c r="H5980">
        <v>0</v>
      </c>
      <c r="I5980">
        <v>0</v>
      </c>
      <c r="J5980">
        <v>11511.938764366399</v>
      </c>
      <c r="K5980">
        <v>8137.6602004352999</v>
      </c>
      <c r="L5980">
        <v>31.073</v>
      </c>
      <c r="M5980">
        <v>66.465000000000003</v>
      </c>
      <c r="N5980">
        <v>36.877000000000002</v>
      </c>
    </row>
    <row r="5981" spans="1:14" x14ac:dyDescent="0.45">
      <c r="A5981">
        <v>2008</v>
      </c>
      <c r="B5981" t="s">
        <v>147</v>
      </c>
      <c r="C5981">
        <v>1</v>
      </c>
      <c r="D5981">
        <v>0</v>
      </c>
      <c r="E5981">
        <v>0</v>
      </c>
      <c r="F5981">
        <v>0</v>
      </c>
      <c r="G5981">
        <v>0</v>
      </c>
      <c r="H5981">
        <v>1</v>
      </c>
      <c r="I5981">
        <v>1</v>
      </c>
      <c r="J5981">
        <v>60963.541279115401</v>
      </c>
      <c r="K5981">
        <v>52751.074707485102</v>
      </c>
      <c r="L5981">
        <v>6.6050000000000004</v>
      </c>
      <c r="M5981">
        <v>81.244</v>
      </c>
      <c r="N5981">
        <v>3.8010000000000002</v>
      </c>
    </row>
    <row r="5982" spans="1:14" x14ac:dyDescent="0.45">
      <c r="A5982">
        <v>2008</v>
      </c>
      <c r="B5982" t="s">
        <v>148</v>
      </c>
      <c r="C5982">
        <v>0</v>
      </c>
      <c r="D5982">
        <v>0</v>
      </c>
      <c r="E5982">
        <v>0</v>
      </c>
      <c r="F5982">
        <v>0</v>
      </c>
      <c r="G5982">
        <v>0</v>
      </c>
      <c r="H5982">
        <v>1</v>
      </c>
      <c r="I5982">
        <v>1</v>
      </c>
      <c r="J5982">
        <v>36827.924915606403</v>
      </c>
      <c r="K5982">
        <v>33781.414911262502</v>
      </c>
      <c r="L5982">
        <v>8.298</v>
      </c>
      <c r="M5982">
        <v>81.283000000000001</v>
      </c>
      <c r="N5982">
        <v>4.9969999999999999</v>
      </c>
    </row>
    <row r="5983" spans="1:14" x14ac:dyDescent="0.45">
      <c r="A5983">
        <v>2008</v>
      </c>
      <c r="B5983" t="s">
        <v>149</v>
      </c>
      <c r="C5983">
        <v>1</v>
      </c>
      <c r="D5983">
        <v>0</v>
      </c>
      <c r="E5983">
        <v>0</v>
      </c>
      <c r="F5983">
        <v>0</v>
      </c>
      <c r="G5983">
        <v>0</v>
      </c>
      <c r="H5983">
        <v>1</v>
      </c>
      <c r="I5983">
        <v>1</v>
      </c>
      <c r="J5983">
        <v>51806.390617639103</v>
      </c>
      <c r="K5983">
        <v>44126.979929305999</v>
      </c>
      <c r="L5983">
        <v>31.908000000000001</v>
      </c>
      <c r="M5983">
        <v>81.644999999999996</v>
      </c>
      <c r="N5983">
        <v>3.952</v>
      </c>
    </row>
    <row r="5984" spans="1:14" x14ac:dyDescent="0.45">
      <c r="A5984">
        <v>2008</v>
      </c>
      <c r="B5984" t="s">
        <v>150</v>
      </c>
      <c r="C5984">
        <v>0</v>
      </c>
      <c r="D5984">
        <v>1</v>
      </c>
      <c r="E5984">
        <v>0</v>
      </c>
      <c r="F5984">
        <v>0</v>
      </c>
      <c r="G5984">
        <v>1</v>
      </c>
      <c r="H5984">
        <v>0</v>
      </c>
      <c r="I5984">
        <v>0</v>
      </c>
      <c r="J5984">
        <v>10328.039801435199</v>
      </c>
      <c r="K5984">
        <v>10178.594692461</v>
      </c>
      <c r="L5984">
        <v>46.628999999999998</v>
      </c>
      <c r="M5984">
        <v>71.501999999999995</v>
      </c>
      <c r="N5984">
        <v>19.135000000000002</v>
      </c>
    </row>
    <row r="5985" spans="1:14" x14ac:dyDescent="0.45">
      <c r="A5985">
        <v>2008</v>
      </c>
      <c r="B5985" t="s">
        <v>151</v>
      </c>
      <c r="C5985">
        <v>0</v>
      </c>
      <c r="D5985">
        <v>0</v>
      </c>
      <c r="E5985">
        <v>0</v>
      </c>
      <c r="F5985">
        <v>1</v>
      </c>
      <c r="G5985">
        <v>0</v>
      </c>
      <c r="H5985">
        <v>0</v>
      </c>
      <c r="I5985">
        <v>0</v>
      </c>
      <c r="J5985">
        <v>10641.5894255558</v>
      </c>
      <c r="K5985">
        <v>10556.9386797639</v>
      </c>
      <c r="L5985">
        <v>16.308</v>
      </c>
      <c r="M5985">
        <v>73.563000000000002</v>
      </c>
      <c r="N5985">
        <v>21.391999999999999</v>
      </c>
    </row>
    <row r="5986" spans="1:14" x14ac:dyDescent="0.45">
      <c r="A5986">
        <v>2008</v>
      </c>
      <c r="B5986" t="s">
        <v>152</v>
      </c>
      <c r="C5986">
        <v>0</v>
      </c>
      <c r="D5986">
        <v>0</v>
      </c>
      <c r="E5986">
        <v>0</v>
      </c>
      <c r="F5986">
        <v>0</v>
      </c>
      <c r="G5986">
        <v>0</v>
      </c>
      <c r="H5986">
        <v>1</v>
      </c>
      <c r="I5986">
        <v>1</v>
      </c>
      <c r="J5986">
        <v>41645.572207897501</v>
      </c>
      <c r="K5986">
        <v>38577.639661171903</v>
      </c>
      <c r="L5986">
        <v>10.897</v>
      </c>
      <c r="M5986">
        <v>82.632999999999996</v>
      </c>
      <c r="N5986">
        <v>3.4609999999999999</v>
      </c>
    </row>
    <row r="5987" spans="1:14" x14ac:dyDescent="0.45">
      <c r="A5987">
        <v>2008</v>
      </c>
      <c r="B5987" t="s">
        <v>153</v>
      </c>
      <c r="C5987">
        <v>1</v>
      </c>
      <c r="D5987">
        <v>0</v>
      </c>
      <c r="E5987">
        <v>0</v>
      </c>
      <c r="F5987">
        <v>0</v>
      </c>
      <c r="G5987">
        <v>1</v>
      </c>
      <c r="H5987">
        <v>0</v>
      </c>
      <c r="I5987">
        <v>0</v>
      </c>
      <c r="J5987">
        <v>24895.664568324501</v>
      </c>
      <c r="K5987">
        <v>18932.1424348533</v>
      </c>
      <c r="L5987">
        <v>43.317999999999998</v>
      </c>
      <c r="M5987">
        <v>66.759</v>
      </c>
      <c r="N5987">
        <v>24.324999999999999</v>
      </c>
    </row>
    <row r="5988" spans="1:14" x14ac:dyDescent="0.45">
      <c r="A5988">
        <v>2008</v>
      </c>
      <c r="B5988" t="s">
        <v>154</v>
      </c>
      <c r="C5988">
        <v>0</v>
      </c>
      <c r="D5988">
        <v>0</v>
      </c>
      <c r="E5988">
        <v>1</v>
      </c>
      <c r="F5988">
        <v>0</v>
      </c>
      <c r="G5988">
        <v>0</v>
      </c>
      <c r="H5988">
        <v>0</v>
      </c>
      <c r="I5988">
        <v>0</v>
      </c>
      <c r="J5988">
        <v>4002.8836407379199</v>
      </c>
      <c r="K5988">
        <v>3449.87021172298</v>
      </c>
      <c r="L5988">
        <v>77.2</v>
      </c>
      <c r="M5988">
        <v>59.954999999999998</v>
      </c>
      <c r="N5988">
        <v>59.671999999999997</v>
      </c>
    </row>
    <row r="5989" spans="1:14" x14ac:dyDescent="0.45">
      <c r="A5989">
        <v>2008</v>
      </c>
      <c r="B5989" t="s">
        <v>155</v>
      </c>
      <c r="C5989">
        <v>1</v>
      </c>
      <c r="D5989">
        <v>0</v>
      </c>
      <c r="E5989">
        <v>0</v>
      </c>
      <c r="F5989">
        <v>0</v>
      </c>
      <c r="G5989">
        <v>0</v>
      </c>
      <c r="H5989">
        <v>0</v>
      </c>
      <c r="I5989">
        <v>0</v>
      </c>
      <c r="J5989">
        <v>4894.9427801375996</v>
      </c>
      <c r="K5989">
        <v>4137.0491733665303</v>
      </c>
      <c r="L5989">
        <v>64.715000000000003</v>
      </c>
      <c r="M5989">
        <v>66.616</v>
      </c>
      <c r="N5989">
        <v>33.554000000000002</v>
      </c>
    </row>
    <row r="5990" spans="1:14" x14ac:dyDescent="0.45">
      <c r="A5990">
        <v>2008</v>
      </c>
      <c r="B5990" t="s">
        <v>156</v>
      </c>
      <c r="C5990">
        <v>0</v>
      </c>
      <c r="D5990">
        <v>0</v>
      </c>
      <c r="E5990">
        <v>0</v>
      </c>
      <c r="F5990">
        <v>0</v>
      </c>
      <c r="G5990">
        <v>0</v>
      </c>
      <c r="H5990">
        <v>0</v>
      </c>
      <c r="I5990">
        <v>0</v>
      </c>
      <c r="J5990">
        <v>3501.9257021920598</v>
      </c>
      <c r="K5990">
        <v>3140.0657210659401</v>
      </c>
      <c r="L5990">
        <v>80.429000000000002</v>
      </c>
      <c r="M5990">
        <v>66.147000000000006</v>
      </c>
      <c r="N5990">
        <v>51.345999999999997</v>
      </c>
    </row>
    <row r="5991" spans="1:14" x14ac:dyDescent="0.45">
      <c r="A5991">
        <v>2008</v>
      </c>
      <c r="B5991" t="s">
        <v>157</v>
      </c>
      <c r="C5991">
        <v>0</v>
      </c>
      <c r="D5991">
        <v>0</v>
      </c>
      <c r="E5991">
        <v>0</v>
      </c>
      <c r="F5991">
        <v>1</v>
      </c>
      <c r="G5991">
        <v>0</v>
      </c>
      <c r="H5991">
        <v>0</v>
      </c>
      <c r="I5991">
        <v>0</v>
      </c>
      <c r="J5991">
        <v>2172.3576758952599</v>
      </c>
      <c r="K5991">
        <v>1965.1132272720099</v>
      </c>
      <c r="L5991">
        <v>54.293999999999997</v>
      </c>
      <c r="M5991">
        <v>65.745999999999995</v>
      </c>
      <c r="N5991">
        <v>59.158000000000001</v>
      </c>
    </row>
    <row r="5992" spans="1:14" x14ac:dyDescent="0.45">
      <c r="A5992">
        <v>2008</v>
      </c>
      <c r="B5992" t="s">
        <v>158</v>
      </c>
      <c r="C5992">
        <v>0</v>
      </c>
      <c r="D5992">
        <v>1</v>
      </c>
      <c r="E5992">
        <v>0</v>
      </c>
      <c r="F5992">
        <v>0</v>
      </c>
      <c r="G5992">
        <v>1</v>
      </c>
      <c r="H5992">
        <v>0</v>
      </c>
      <c r="I5992">
        <v>0</v>
      </c>
      <c r="J5992">
        <v>25898.7823620981</v>
      </c>
      <c r="K5992">
        <v>25578.570288904401</v>
      </c>
      <c r="L5992">
        <v>68.397000000000006</v>
      </c>
      <c r="M5992">
        <v>71.478999999999999</v>
      </c>
      <c r="N5992">
        <v>18.448</v>
      </c>
    </row>
    <row r="5993" spans="1:14" x14ac:dyDescent="0.45">
      <c r="A5993">
        <v>2008</v>
      </c>
      <c r="B5993" t="s">
        <v>159</v>
      </c>
      <c r="C5993">
        <v>0</v>
      </c>
      <c r="D5993">
        <v>0</v>
      </c>
      <c r="E5993">
        <v>0</v>
      </c>
      <c r="F5993">
        <v>0</v>
      </c>
      <c r="G5993">
        <v>0</v>
      </c>
      <c r="H5993">
        <v>1</v>
      </c>
      <c r="I5993">
        <v>1</v>
      </c>
      <c r="J5993">
        <v>35293.4102047384</v>
      </c>
      <c r="K5993">
        <v>32174.266722055901</v>
      </c>
      <c r="L5993">
        <v>18.266999999999999</v>
      </c>
      <c r="M5993">
        <v>79.995999999999995</v>
      </c>
      <c r="N5993">
        <v>4.6180000000000003</v>
      </c>
    </row>
    <row r="5994" spans="1:14" x14ac:dyDescent="0.45">
      <c r="A5994">
        <v>2008</v>
      </c>
      <c r="B5994" t="s">
        <v>160</v>
      </c>
      <c r="C5994">
        <v>0</v>
      </c>
      <c r="D5994">
        <v>0</v>
      </c>
      <c r="E5994">
        <v>0</v>
      </c>
      <c r="F5994">
        <v>0</v>
      </c>
      <c r="G5994">
        <v>0</v>
      </c>
      <c r="H5994">
        <v>1</v>
      </c>
      <c r="I5994">
        <v>1</v>
      </c>
      <c r="J5994">
        <v>77036.508423361796</v>
      </c>
      <c r="K5994">
        <v>68608.724047919502</v>
      </c>
      <c r="L5994">
        <v>0</v>
      </c>
      <c r="M5994">
        <v>76.888999999999996</v>
      </c>
      <c r="N5994">
        <v>11.06</v>
      </c>
    </row>
    <row r="5995" spans="1:14" x14ac:dyDescent="0.45">
      <c r="A5995">
        <v>2008</v>
      </c>
      <c r="B5995" t="s">
        <v>161</v>
      </c>
      <c r="C5995">
        <v>0</v>
      </c>
      <c r="D5995">
        <v>0</v>
      </c>
      <c r="E5995">
        <v>0</v>
      </c>
      <c r="F5995">
        <v>0</v>
      </c>
      <c r="G5995">
        <v>0</v>
      </c>
      <c r="H5995">
        <v>0</v>
      </c>
      <c r="I5995">
        <v>0</v>
      </c>
      <c r="J5995">
        <v>4367.1628802570003</v>
      </c>
      <c r="K5995">
        <v>4196.4399825228902</v>
      </c>
      <c r="L5995">
        <v>71.106999999999999</v>
      </c>
      <c r="M5995">
        <v>62.247999999999998</v>
      </c>
      <c r="N5995">
        <v>74.730999999999995</v>
      </c>
    </row>
    <row r="5996" spans="1:14" x14ac:dyDescent="0.45">
      <c r="A5996">
        <v>2008</v>
      </c>
      <c r="B5996" t="s">
        <v>162</v>
      </c>
      <c r="C5996">
        <v>0</v>
      </c>
      <c r="D5996">
        <v>0</v>
      </c>
      <c r="E5996">
        <v>0</v>
      </c>
      <c r="F5996">
        <v>0</v>
      </c>
      <c r="G5996">
        <v>1</v>
      </c>
      <c r="H5996">
        <v>0</v>
      </c>
      <c r="I5996">
        <v>0</v>
      </c>
      <c r="J5996">
        <v>14955.141356325201</v>
      </c>
      <c r="K5996">
        <v>19438.594159132001</v>
      </c>
      <c r="L5996">
        <v>12.958</v>
      </c>
      <c r="M5996">
        <v>76.956000000000003</v>
      </c>
      <c r="N5996">
        <v>13.465999999999999</v>
      </c>
    </row>
    <row r="5997" spans="1:14" x14ac:dyDescent="0.45">
      <c r="A5997">
        <v>2008</v>
      </c>
      <c r="B5997" t="s">
        <v>163</v>
      </c>
      <c r="C5997">
        <v>0</v>
      </c>
      <c r="D5997">
        <v>0</v>
      </c>
      <c r="E5997">
        <v>1</v>
      </c>
      <c r="F5997">
        <v>0</v>
      </c>
      <c r="G5997">
        <v>0</v>
      </c>
      <c r="H5997">
        <v>0</v>
      </c>
      <c r="I5997">
        <v>0</v>
      </c>
      <c r="J5997">
        <v>1463.12408187297</v>
      </c>
      <c r="K5997">
        <v>2161.68601473133</v>
      </c>
      <c r="L5997">
        <v>52.911999999999999</v>
      </c>
      <c r="M5997">
        <v>58.674999999999997</v>
      </c>
      <c r="N5997">
        <v>111.09699999999999</v>
      </c>
    </row>
    <row r="5998" spans="1:14" x14ac:dyDescent="0.45">
      <c r="A5998">
        <v>2008</v>
      </c>
      <c r="B5998" t="s">
        <v>164</v>
      </c>
      <c r="C5998">
        <v>0</v>
      </c>
      <c r="D5998">
        <v>0</v>
      </c>
      <c r="E5998">
        <v>0</v>
      </c>
      <c r="F5998">
        <v>0</v>
      </c>
      <c r="G5998">
        <v>1</v>
      </c>
      <c r="H5998">
        <v>0</v>
      </c>
      <c r="I5998">
        <v>0</v>
      </c>
      <c r="J5998">
        <v>21909.429070861999</v>
      </c>
      <c r="K5998">
        <v>25605.4433700431</v>
      </c>
      <c r="L5998">
        <v>22.367999999999999</v>
      </c>
      <c r="M5998">
        <v>71.936000000000007</v>
      </c>
      <c r="N5998">
        <v>18.940999999999999</v>
      </c>
    </row>
    <row r="5999" spans="1:14" x14ac:dyDescent="0.45">
      <c r="A5999">
        <v>2008</v>
      </c>
      <c r="B5999" t="s">
        <v>165</v>
      </c>
      <c r="C5999">
        <v>0</v>
      </c>
      <c r="D5999">
        <v>1</v>
      </c>
      <c r="E5999">
        <v>0</v>
      </c>
      <c r="F5999">
        <v>0</v>
      </c>
      <c r="G5999">
        <v>1</v>
      </c>
      <c r="H5999">
        <v>0</v>
      </c>
      <c r="I5999">
        <v>0</v>
      </c>
      <c r="J5999">
        <v>21651.233776083998</v>
      </c>
      <c r="K5999">
        <v>15576.049296212999</v>
      </c>
      <c r="L5999">
        <v>79.869</v>
      </c>
      <c r="M5999">
        <v>72.962999999999994</v>
      </c>
      <c r="N5999">
        <v>17.972000000000001</v>
      </c>
    </row>
    <row r="6000" spans="1:14" x14ac:dyDescent="0.45">
      <c r="A6000">
        <v>2008</v>
      </c>
      <c r="B6000" t="s">
        <v>166</v>
      </c>
      <c r="C6000">
        <v>1</v>
      </c>
      <c r="D6000">
        <v>0</v>
      </c>
      <c r="E6000">
        <v>0</v>
      </c>
      <c r="F6000">
        <v>0</v>
      </c>
      <c r="G6000">
        <v>0</v>
      </c>
      <c r="H6000">
        <v>1</v>
      </c>
      <c r="I6000">
        <v>1</v>
      </c>
      <c r="L6000">
        <v>85.426000000000002</v>
      </c>
      <c r="M6000">
        <v>81.855000000000004</v>
      </c>
      <c r="N6000">
        <v>8.0180000000000007</v>
      </c>
    </row>
    <row r="6001" spans="1:14" x14ac:dyDescent="0.45">
      <c r="A6001">
        <v>2008</v>
      </c>
      <c r="B6001" t="s">
        <v>167</v>
      </c>
      <c r="C6001">
        <v>0</v>
      </c>
      <c r="D6001">
        <v>0</v>
      </c>
      <c r="E6001">
        <v>0</v>
      </c>
      <c r="F6001">
        <v>1</v>
      </c>
      <c r="G6001">
        <v>0</v>
      </c>
      <c r="H6001">
        <v>0</v>
      </c>
      <c r="I6001">
        <v>0</v>
      </c>
      <c r="J6001">
        <v>8897.8268600686406</v>
      </c>
      <c r="K6001">
        <v>8310.4296562564505</v>
      </c>
      <c r="L6001">
        <v>81.742999999999995</v>
      </c>
      <c r="M6001">
        <v>72.555999999999997</v>
      </c>
      <c r="N6001">
        <v>12.194000000000001</v>
      </c>
    </row>
    <row r="6002" spans="1:14" x14ac:dyDescent="0.45">
      <c r="A6002">
        <v>2008</v>
      </c>
      <c r="B6002" t="s">
        <v>168</v>
      </c>
      <c r="C6002">
        <v>0</v>
      </c>
      <c r="D6002">
        <v>0</v>
      </c>
      <c r="E6002">
        <v>1</v>
      </c>
      <c r="F6002">
        <v>1</v>
      </c>
      <c r="G6002">
        <v>0</v>
      </c>
      <c r="H6002">
        <v>0</v>
      </c>
      <c r="I6002">
        <v>0</v>
      </c>
      <c r="J6002">
        <v>2589.16635854686</v>
      </c>
      <c r="K6002">
        <v>2318.3918475954401</v>
      </c>
      <c r="L6002">
        <v>76.203999999999994</v>
      </c>
      <c r="M6002">
        <v>44.304000000000002</v>
      </c>
      <c r="N6002">
        <v>104.82299999999999</v>
      </c>
    </row>
    <row r="6003" spans="1:14" x14ac:dyDescent="0.45">
      <c r="A6003">
        <v>2008</v>
      </c>
      <c r="B6003" t="s">
        <v>169</v>
      </c>
      <c r="C6003">
        <v>1</v>
      </c>
      <c r="D6003">
        <v>0</v>
      </c>
      <c r="E6003">
        <v>0</v>
      </c>
      <c r="F6003">
        <v>0</v>
      </c>
      <c r="G6003">
        <v>1</v>
      </c>
      <c r="H6003">
        <v>0</v>
      </c>
      <c r="I6003">
        <v>0</v>
      </c>
      <c r="J6003">
        <v>30445.7809464936</v>
      </c>
      <c r="K6003">
        <v>26048.395741488301</v>
      </c>
      <c r="L6003">
        <v>33.152000000000001</v>
      </c>
      <c r="M6003">
        <v>71.695999999999998</v>
      </c>
      <c r="N6003">
        <v>7.2009999999999996</v>
      </c>
    </row>
    <row r="6004" spans="1:14" x14ac:dyDescent="0.45">
      <c r="A6004">
        <v>2008</v>
      </c>
      <c r="B6004" t="s">
        <v>170</v>
      </c>
      <c r="C6004">
        <v>1</v>
      </c>
      <c r="D6004">
        <v>0</v>
      </c>
      <c r="E6004">
        <v>0</v>
      </c>
      <c r="F6004">
        <v>0</v>
      </c>
      <c r="G6004">
        <v>0</v>
      </c>
      <c r="H6004">
        <v>1</v>
      </c>
      <c r="I6004">
        <v>1</v>
      </c>
      <c r="J6004">
        <v>135812.22230327001</v>
      </c>
      <c r="K6004">
        <v>116059.871037727</v>
      </c>
      <c r="L6004">
        <v>12.2</v>
      </c>
      <c r="M6004">
        <v>80.106999999999999</v>
      </c>
      <c r="N6004">
        <v>3.0659999999999998</v>
      </c>
    </row>
    <row r="6005" spans="1:14" x14ac:dyDescent="0.45">
      <c r="A6005">
        <v>2008</v>
      </c>
      <c r="B6005" t="s">
        <v>171</v>
      </c>
      <c r="C6005">
        <v>1</v>
      </c>
      <c r="D6005">
        <v>0</v>
      </c>
      <c r="E6005">
        <v>0</v>
      </c>
      <c r="F6005">
        <v>0</v>
      </c>
      <c r="G6005">
        <v>1</v>
      </c>
      <c r="H6005">
        <v>0</v>
      </c>
      <c r="I6005">
        <v>0</v>
      </c>
      <c r="J6005">
        <v>28726.972286952201</v>
      </c>
      <c r="K6005">
        <v>24923.213316768699</v>
      </c>
      <c r="L6005">
        <v>32.165999999999997</v>
      </c>
      <c r="M6005">
        <v>71.998999999999995</v>
      </c>
      <c r="N6005">
        <v>7.9790000000000001</v>
      </c>
    </row>
    <row r="6006" spans="1:14" x14ac:dyDescent="0.45">
      <c r="A6006">
        <v>2008</v>
      </c>
      <c r="B6006" t="s">
        <v>172</v>
      </c>
      <c r="C6006">
        <v>0</v>
      </c>
      <c r="D6006">
        <v>0</v>
      </c>
      <c r="E6006">
        <v>0</v>
      </c>
      <c r="F6006">
        <v>0</v>
      </c>
      <c r="G6006">
        <v>0</v>
      </c>
      <c r="H6006">
        <v>1</v>
      </c>
      <c r="I6006">
        <v>1</v>
      </c>
      <c r="J6006">
        <v>102355.889927866</v>
      </c>
      <c r="K6006">
        <v>92759.153757984503</v>
      </c>
      <c r="L6006">
        <v>0</v>
      </c>
      <c r="M6006">
        <v>81.162000000000006</v>
      </c>
      <c r="N6006">
        <v>5.0890000000000004</v>
      </c>
    </row>
    <row r="6007" spans="1:14" x14ac:dyDescent="0.45">
      <c r="A6007">
        <v>2008</v>
      </c>
      <c r="B6007" t="s">
        <v>173</v>
      </c>
      <c r="C6007">
        <v>0</v>
      </c>
      <c r="D6007">
        <v>1</v>
      </c>
      <c r="E6007">
        <v>0</v>
      </c>
      <c r="F6007">
        <v>0</v>
      </c>
      <c r="G6007">
        <v>0</v>
      </c>
      <c r="H6007">
        <v>1</v>
      </c>
      <c r="I6007">
        <v>1</v>
      </c>
      <c r="L6007">
        <v>0</v>
      </c>
      <c r="M6007">
        <v>78.325999999999993</v>
      </c>
      <c r="N6007">
        <v>11.929</v>
      </c>
    </row>
    <row r="6008" spans="1:14" x14ac:dyDescent="0.45">
      <c r="A6008">
        <v>2008</v>
      </c>
      <c r="B6008" t="s">
        <v>174</v>
      </c>
      <c r="C6008">
        <v>0</v>
      </c>
      <c r="D6008">
        <v>0</v>
      </c>
      <c r="E6008">
        <v>0</v>
      </c>
      <c r="F6008">
        <v>1</v>
      </c>
      <c r="G6008">
        <v>0</v>
      </c>
      <c r="H6008">
        <v>0</v>
      </c>
      <c r="I6008">
        <v>0</v>
      </c>
      <c r="J6008">
        <v>6901.95068359375</v>
      </c>
      <c r="K6008">
        <v>6628.4156088172103</v>
      </c>
      <c r="L6008">
        <v>43.113999999999997</v>
      </c>
      <c r="M6008">
        <v>70.051000000000002</v>
      </c>
      <c r="N6008">
        <v>34.564999999999998</v>
      </c>
    </row>
    <row r="6009" spans="1:14" x14ac:dyDescent="0.45">
      <c r="A6009">
        <v>2008</v>
      </c>
      <c r="B6009" t="s">
        <v>175</v>
      </c>
      <c r="C6009">
        <v>1</v>
      </c>
      <c r="D6009">
        <v>0</v>
      </c>
      <c r="E6009">
        <v>0</v>
      </c>
      <c r="F6009">
        <v>0</v>
      </c>
      <c r="G6009">
        <v>0</v>
      </c>
      <c r="H6009">
        <v>1</v>
      </c>
      <c r="I6009">
        <v>1</v>
      </c>
      <c r="L6009">
        <v>0</v>
      </c>
      <c r="M6009">
        <v>83.826999999999998</v>
      </c>
      <c r="N6009">
        <v>6.2930000000000001</v>
      </c>
    </row>
    <row r="6010" spans="1:14" x14ac:dyDescent="0.45">
      <c r="A6010">
        <v>2008</v>
      </c>
      <c r="B6010" t="s">
        <v>176</v>
      </c>
      <c r="C6010">
        <v>1</v>
      </c>
      <c r="D6010">
        <v>0</v>
      </c>
      <c r="E6010">
        <v>0</v>
      </c>
      <c r="F6010">
        <v>1</v>
      </c>
      <c r="G6010">
        <v>0</v>
      </c>
      <c r="H6010">
        <v>0</v>
      </c>
      <c r="I6010">
        <v>0</v>
      </c>
      <c r="J6010">
        <v>9563.6981429093903</v>
      </c>
      <c r="K6010">
        <v>8202.8569523622209</v>
      </c>
      <c r="L6010">
        <v>57.317999999999998</v>
      </c>
      <c r="M6010">
        <v>69</v>
      </c>
      <c r="N6010">
        <v>18.294</v>
      </c>
    </row>
    <row r="6011" spans="1:14" x14ac:dyDescent="0.45">
      <c r="A6011">
        <v>2008</v>
      </c>
      <c r="B6011" t="s">
        <v>177</v>
      </c>
      <c r="C6011">
        <v>0</v>
      </c>
      <c r="D6011">
        <v>0</v>
      </c>
      <c r="E6011">
        <v>1</v>
      </c>
      <c r="F6011">
        <v>0</v>
      </c>
      <c r="G6011">
        <v>0</v>
      </c>
      <c r="H6011">
        <v>0</v>
      </c>
      <c r="I6011">
        <v>0</v>
      </c>
      <c r="J6011">
        <v>1794.40235887057</v>
      </c>
      <c r="K6011">
        <v>1662.38197646094</v>
      </c>
      <c r="L6011">
        <v>69.33</v>
      </c>
      <c r="M6011">
        <v>61.991999999999997</v>
      </c>
      <c r="N6011">
        <v>75.616</v>
      </c>
    </row>
    <row r="6012" spans="1:14" x14ac:dyDescent="0.45">
      <c r="A6012">
        <v>2008</v>
      </c>
      <c r="B6012" t="s">
        <v>178</v>
      </c>
      <c r="C6012">
        <v>0</v>
      </c>
      <c r="D6012">
        <v>0</v>
      </c>
      <c r="E6012">
        <v>0</v>
      </c>
      <c r="F6012">
        <v>1</v>
      </c>
      <c r="G6012">
        <v>0</v>
      </c>
      <c r="H6012">
        <v>0</v>
      </c>
      <c r="I6012">
        <v>0</v>
      </c>
      <c r="J6012">
        <v>18344.486664775799</v>
      </c>
      <c r="K6012">
        <v>18098.364163045801</v>
      </c>
      <c r="L6012">
        <v>64.39</v>
      </c>
      <c r="M6012">
        <v>75.998999999999995</v>
      </c>
      <c r="N6012">
        <v>16.411999999999999</v>
      </c>
    </row>
    <row r="6013" spans="1:14" x14ac:dyDescent="0.45">
      <c r="A6013">
        <v>2008</v>
      </c>
      <c r="B6013" t="s">
        <v>179</v>
      </c>
      <c r="C6013">
        <v>0</v>
      </c>
      <c r="D6013">
        <v>1</v>
      </c>
      <c r="E6013">
        <v>0</v>
      </c>
      <c r="F6013">
        <v>0</v>
      </c>
      <c r="G6013">
        <v>1</v>
      </c>
      <c r="H6013">
        <v>0</v>
      </c>
      <c r="I6013">
        <v>0</v>
      </c>
      <c r="J6013">
        <v>20992.5602637663</v>
      </c>
      <c r="K6013">
        <v>19516.262481116599</v>
      </c>
      <c r="L6013">
        <v>22.777999999999999</v>
      </c>
      <c r="M6013">
        <v>73.694999999999993</v>
      </c>
      <c r="N6013">
        <v>20.507999999999999</v>
      </c>
    </row>
    <row r="6014" spans="1:14" x14ac:dyDescent="0.45">
      <c r="A6014">
        <v>2008</v>
      </c>
      <c r="B6014" t="s">
        <v>180</v>
      </c>
      <c r="C6014">
        <v>0</v>
      </c>
      <c r="D6014">
        <v>0</v>
      </c>
      <c r="E6014">
        <v>0</v>
      </c>
      <c r="F6014">
        <v>1</v>
      </c>
      <c r="G6014">
        <v>0</v>
      </c>
      <c r="H6014">
        <v>0</v>
      </c>
      <c r="I6014">
        <v>0</v>
      </c>
      <c r="J6014">
        <v>3903.3055874287602</v>
      </c>
      <c r="K6014">
        <v>3530.4809129189698</v>
      </c>
      <c r="L6014">
        <v>27.387</v>
      </c>
      <c r="M6014">
        <v>64.3</v>
      </c>
      <c r="N6014">
        <v>39.914999999999999</v>
      </c>
    </row>
    <row r="6015" spans="1:14" x14ac:dyDescent="0.45">
      <c r="A6015">
        <v>2008</v>
      </c>
      <c r="B6015" t="s">
        <v>181</v>
      </c>
      <c r="C6015">
        <v>1</v>
      </c>
      <c r="D6015">
        <v>0</v>
      </c>
      <c r="E6015">
        <v>0</v>
      </c>
      <c r="F6015">
        <v>0</v>
      </c>
      <c r="G6015">
        <v>1</v>
      </c>
      <c r="H6015">
        <v>0</v>
      </c>
      <c r="I6015">
        <v>0</v>
      </c>
      <c r="J6015">
        <v>16037.1580856371</v>
      </c>
      <c r="K6015">
        <v>13538.374465835799</v>
      </c>
      <c r="L6015">
        <v>42.825000000000003</v>
      </c>
      <c r="M6015">
        <v>74.436000000000007</v>
      </c>
      <c r="N6015">
        <v>11.000999999999999</v>
      </c>
    </row>
    <row r="6016" spans="1:14" x14ac:dyDescent="0.45">
      <c r="A6016">
        <v>2008</v>
      </c>
      <c r="B6016" t="s">
        <v>182</v>
      </c>
      <c r="C6016">
        <v>0</v>
      </c>
      <c r="D6016">
        <v>0</v>
      </c>
      <c r="E6016">
        <v>1</v>
      </c>
      <c r="F6016">
        <v>0</v>
      </c>
      <c r="G6016">
        <v>0</v>
      </c>
      <c r="H6016">
        <v>0</v>
      </c>
      <c r="I6016">
        <v>0</v>
      </c>
      <c r="J6016">
        <v>2474.9099685431102</v>
      </c>
      <c r="K6016">
        <v>2290.80087595537</v>
      </c>
      <c r="L6016">
        <v>65.596999999999994</v>
      </c>
      <c r="M6016">
        <v>55.186999999999998</v>
      </c>
      <c r="N6016">
        <v>143.56299999999999</v>
      </c>
    </row>
    <row r="6017" spans="1:14" x14ac:dyDescent="0.45">
      <c r="A6017">
        <v>2008</v>
      </c>
      <c r="B6017" t="s">
        <v>183</v>
      </c>
      <c r="C6017">
        <v>0</v>
      </c>
      <c r="D6017">
        <v>0</v>
      </c>
      <c r="E6017">
        <v>0</v>
      </c>
      <c r="F6017">
        <v>0</v>
      </c>
      <c r="G6017">
        <v>0</v>
      </c>
      <c r="H6017">
        <v>1</v>
      </c>
      <c r="I6017">
        <v>1</v>
      </c>
      <c r="J6017">
        <v>36252.895593369103</v>
      </c>
      <c r="K6017">
        <v>31360.529113954301</v>
      </c>
      <c r="L6017">
        <v>6.0709999999999997</v>
      </c>
      <c r="M6017">
        <v>79.69</v>
      </c>
      <c r="N6017">
        <v>10.371</v>
      </c>
    </row>
    <row r="6018" spans="1:14" x14ac:dyDescent="0.45">
      <c r="A6018">
        <v>2008</v>
      </c>
      <c r="B6018" t="s">
        <v>184</v>
      </c>
      <c r="C6018">
        <v>0</v>
      </c>
      <c r="D6018">
        <v>0</v>
      </c>
      <c r="E6018">
        <v>0</v>
      </c>
      <c r="F6018">
        <v>0</v>
      </c>
      <c r="G6018">
        <v>0</v>
      </c>
      <c r="H6018">
        <v>0</v>
      </c>
      <c r="I6018">
        <v>0</v>
      </c>
      <c r="J6018">
        <v>3254.7389788810001</v>
      </c>
      <c r="K6018">
        <v>2606.0796945553302</v>
      </c>
      <c r="L6018">
        <v>71.492999999999995</v>
      </c>
      <c r="M6018">
        <v>56.363999999999997</v>
      </c>
      <c r="N6018">
        <v>101.459</v>
      </c>
    </row>
    <row r="6019" spans="1:14" x14ac:dyDescent="0.45">
      <c r="A6019">
        <v>2008</v>
      </c>
      <c r="B6019" t="s">
        <v>185</v>
      </c>
      <c r="C6019">
        <v>1</v>
      </c>
      <c r="D6019">
        <v>0</v>
      </c>
      <c r="E6019">
        <v>0</v>
      </c>
      <c r="F6019">
        <v>0</v>
      </c>
      <c r="G6019">
        <v>1</v>
      </c>
      <c r="H6019">
        <v>0</v>
      </c>
      <c r="I6019">
        <v>0</v>
      </c>
      <c r="J6019">
        <v>20209.646137715801</v>
      </c>
      <c r="K6019">
        <v>17075.917245095501</v>
      </c>
      <c r="L6019">
        <v>36.524999999999999</v>
      </c>
      <c r="M6019">
        <v>75.001000000000005</v>
      </c>
      <c r="N6019">
        <v>8.8970000000000002</v>
      </c>
    </row>
    <row r="6020" spans="1:14" x14ac:dyDescent="0.45">
      <c r="A6020">
        <v>2008</v>
      </c>
      <c r="B6020" t="s">
        <v>186</v>
      </c>
      <c r="C6020">
        <v>0</v>
      </c>
      <c r="D6020">
        <v>0</v>
      </c>
      <c r="E6020">
        <v>0</v>
      </c>
      <c r="F6020">
        <v>1</v>
      </c>
      <c r="G6020">
        <v>0</v>
      </c>
      <c r="H6020">
        <v>0</v>
      </c>
      <c r="I6020">
        <v>0</v>
      </c>
      <c r="J6020">
        <v>9379.8548968776504</v>
      </c>
      <c r="K6020">
        <v>7226.9521580704904</v>
      </c>
      <c r="L6020">
        <v>34.418999999999997</v>
      </c>
      <c r="M6020">
        <v>67.085999999999999</v>
      </c>
      <c r="N6020">
        <v>31.74</v>
      </c>
    </row>
    <row r="6021" spans="1:14" x14ac:dyDescent="0.45">
      <c r="A6021">
        <v>2008</v>
      </c>
      <c r="B6021" t="s">
        <v>187</v>
      </c>
      <c r="C6021">
        <v>0</v>
      </c>
      <c r="D6021">
        <v>0</v>
      </c>
      <c r="E6021">
        <v>0</v>
      </c>
      <c r="F6021">
        <v>0</v>
      </c>
      <c r="G6021">
        <v>0</v>
      </c>
      <c r="H6021">
        <v>1</v>
      </c>
      <c r="I6021">
        <v>1</v>
      </c>
      <c r="L6021">
        <v>9.2050000000000001</v>
      </c>
      <c r="M6021">
        <v>77.938000000000002</v>
      </c>
      <c r="N6021">
        <v>7.0119999999999996</v>
      </c>
    </row>
    <row r="6022" spans="1:14" x14ac:dyDescent="0.45">
      <c r="A6022">
        <v>2008</v>
      </c>
      <c r="B6022" t="s">
        <v>188</v>
      </c>
      <c r="C6022">
        <v>0</v>
      </c>
      <c r="D6022">
        <v>0</v>
      </c>
      <c r="E6022">
        <v>1</v>
      </c>
      <c r="F6022">
        <v>0</v>
      </c>
      <c r="G6022">
        <v>0</v>
      </c>
      <c r="H6022">
        <v>0</v>
      </c>
      <c r="I6022">
        <v>0</v>
      </c>
      <c r="J6022">
        <v>1141.9425616101901</v>
      </c>
      <c r="K6022">
        <v>956.14839894106694</v>
      </c>
      <c r="L6022">
        <v>69.168000000000006</v>
      </c>
      <c r="M6022">
        <v>53.798999999999999</v>
      </c>
      <c r="N6022">
        <v>114.77</v>
      </c>
    </row>
    <row r="6023" spans="1:14" x14ac:dyDescent="0.45">
      <c r="A6023">
        <v>2008</v>
      </c>
      <c r="B6023" t="s">
        <v>189</v>
      </c>
      <c r="C6023">
        <v>0</v>
      </c>
      <c r="D6023">
        <v>0</v>
      </c>
      <c r="E6023">
        <v>1</v>
      </c>
      <c r="F6023">
        <v>0</v>
      </c>
      <c r="G6023">
        <v>0</v>
      </c>
      <c r="H6023">
        <v>0</v>
      </c>
      <c r="I6023">
        <v>0</v>
      </c>
      <c r="J6023">
        <v>5813.3560889589899</v>
      </c>
      <c r="K6023">
        <v>5143.1538604888801</v>
      </c>
      <c r="L6023">
        <v>55.212000000000003</v>
      </c>
      <c r="M6023">
        <v>65.233000000000004</v>
      </c>
      <c r="N6023">
        <v>61.69</v>
      </c>
    </row>
    <row r="6024" spans="1:14" x14ac:dyDescent="0.45">
      <c r="A6024">
        <v>2008</v>
      </c>
      <c r="B6024" t="s">
        <v>190</v>
      </c>
      <c r="C6024">
        <v>0</v>
      </c>
      <c r="D6024">
        <v>0</v>
      </c>
      <c r="E6024">
        <v>1</v>
      </c>
      <c r="F6024">
        <v>0</v>
      </c>
      <c r="G6024">
        <v>1</v>
      </c>
      <c r="H6024">
        <v>0</v>
      </c>
      <c r="I6024">
        <v>0</v>
      </c>
      <c r="J6024">
        <v>17540.2818313137</v>
      </c>
      <c r="K6024">
        <v>16463.741478935299</v>
      </c>
      <c r="L6024">
        <v>58.222999999999999</v>
      </c>
      <c r="M6024">
        <v>73.123999999999995</v>
      </c>
      <c r="N6024">
        <v>15.577</v>
      </c>
    </row>
    <row r="6025" spans="1:14" x14ac:dyDescent="0.45">
      <c r="A6025">
        <v>2008</v>
      </c>
      <c r="B6025" t="s">
        <v>191</v>
      </c>
      <c r="C6025">
        <v>0</v>
      </c>
      <c r="D6025">
        <v>0</v>
      </c>
      <c r="E6025">
        <v>1</v>
      </c>
      <c r="F6025">
        <v>0</v>
      </c>
      <c r="G6025">
        <v>0</v>
      </c>
      <c r="H6025">
        <v>0</v>
      </c>
      <c r="I6025">
        <v>0</v>
      </c>
      <c r="J6025">
        <v>1378.42886690465</v>
      </c>
      <c r="K6025">
        <v>1179.46833092511</v>
      </c>
      <c r="L6025">
        <v>84.674000000000007</v>
      </c>
      <c r="M6025">
        <v>55.715000000000003</v>
      </c>
      <c r="N6025">
        <v>92.334999999999994</v>
      </c>
    </row>
    <row r="6026" spans="1:14" x14ac:dyDescent="0.45">
      <c r="A6026">
        <v>2008</v>
      </c>
      <c r="B6026" t="s">
        <v>192</v>
      </c>
      <c r="C6026">
        <v>0</v>
      </c>
      <c r="D6026">
        <v>0</v>
      </c>
      <c r="E6026">
        <v>0</v>
      </c>
      <c r="F6026">
        <v>0</v>
      </c>
      <c r="G6026">
        <v>1</v>
      </c>
      <c r="H6026">
        <v>0</v>
      </c>
      <c r="I6026">
        <v>0</v>
      </c>
      <c r="J6026">
        <v>22898.0027575442</v>
      </c>
      <c r="K6026">
        <v>20468.112699392699</v>
      </c>
      <c r="L6026">
        <v>30.774999999999999</v>
      </c>
      <c r="M6026">
        <v>75.150999999999996</v>
      </c>
      <c r="N6026">
        <v>8.1509999999999998</v>
      </c>
    </row>
    <row r="6027" spans="1:14" x14ac:dyDescent="0.45">
      <c r="A6027">
        <v>2008</v>
      </c>
      <c r="B6027" t="s">
        <v>193</v>
      </c>
      <c r="C6027">
        <v>0</v>
      </c>
      <c r="D6027">
        <v>0</v>
      </c>
      <c r="E6027">
        <v>1</v>
      </c>
      <c r="F6027">
        <v>0</v>
      </c>
      <c r="G6027">
        <v>1</v>
      </c>
      <c r="H6027">
        <v>0</v>
      </c>
      <c r="I6027">
        <v>0</v>
      </c>
      <c r="J6027">
        <v>10286.512406760499</v>
      </c>
      <c r="K6027">
        <v>8915.3182909739207</v>
      </c>
      <c r="L6027">
        <v>60.402999999999999</v>
      </c>
      <c r="M6027">
        <v>54.74</v>
      </c>
      <c r="N6027">
        <v>57.494999999999997</v>
      </c>
    </row>
    <row r="6028" spans="1:14" x14ac:dyDescent="0.45">
      <c r="A6028">
        <v>2008</v>
      </c>
      <c r="B6028" t="s">
        <v>194</v>
      </c>
      <c r="C6028">
        <v>0</v>
      </c>
      <c r="D6028">
        <v>0</v>
      </c>
      <c r="E6028">
        <v>0</v>
      </c>
      <c r="F6028">
        <v>0</v>
      </c>
      <c r="G6028">
        <v>0</v>
      </c>
      <c r="H6028">
        <v>1</v>
      </c>
      <c r="I6028">
        <v>1</v>
      </c>
      <c r="L6028">
        <v>34.030999999999999</v>
      </c>
      <c r="M6028">
        <v>75.397999999999996</v>
      </c>
      <c r="N6028">
        <v>17.297000000000001</v>
      </c>
    </row>
    <row r="6029" spans="1:14" x14ac:dyDescent="0.45">
      <c r="A6029">
        <v>2008</v>
      </c>
      <c r="B6029" t="s">
        <v>195</v>
      </c>
      <c r="C6029">
        <v>0</v>
      </c>
      <c r="D6029">
        <v>0</v>
      </c>
      <c r="E6029">
        <v>1</v>
      </c>
      <c r="F6029">
        <v>0</v>
      </c>
      <c r="G6029">
        <v>0</v>
      </c>
      <c r="H6029">
        <v>0</v>
      </c>
      <c r="I6029">
        <v>0</v>
      </c>
      <c r="J6029">
        <v>1300.5541850017701</v>
      </c>
      <c r="K6029">
        <v>1033.72232319197</v>
      </c>
      <c r="L6029">
        <v>83.771000000000001</v>
      </c>
      <c r="M6029">
        <v>55.851999999999997</v>
      </c>
      <c r="N6029">
        <v>149.58099999999999</v>
      </c>
    </row>
    <row r="6030" spans="1:14" x14ac:dyDescent="0.45">
      <c r="A6030">
        <v>2008</v>
      </c>
      <c r="B6030" t="s">
        <v>196</v>
      </c>
      <c r="C6030">
        <v>0</v>
      </c>
      <c r="D6030">
        <v>0</v>
      </c>
      <c r="E6030">
        <v>1</v>
      </c>
      <c r="F6030">
        <v>1</v>
      </c>
      <c r="G6030">
        <v>0</v>
      </c>
      <c r="H6030">
        <v>0</v>
      </c>
      <c r="I6030">
        <v>0</v>
      </c>
      <c r="J6030">
        <v>4856.8128008183503</v>
      </c>
      <c r="K6030">
        <v>4294.0771073905798</v>
      </c>
      <c r="L6030">
        <v>58.298000000000002</v>
      </c>
      <c r="M6030">
        <v>50.747999999999998</v>
      </c>
      <c r="N6030">
        <v>142.363</v>
      </c>
    </row>
    <row r="6031" spans="1:14" x14ac:dyDescent="0.45">
      <c r="A6031">
        <v>2008</v>
      </c>
      <c r="B6031" t="s">
        <v>197</v>
      </c>
      <c r="C6031">
        <v>0</v>
      </c>
      <c r="D6031">
        <v>1</v>
      </c>
      <c r="E6031">
        <v>0</v>
      </c>
      <c r="F6031">
        <v>1</v>
      </c>
      <c r="G6031">
        <v>0</v>
      </c>
      <c r="H6031">
        <v>0</v>
      </c>
      <c r="I6031">
        <v>0</v>
      </c>
      <c r="J6031">
        <v>5809.0996446461704</v>
      </c>
      <c r="K6031">
        <v>4892.8021923689403</v>
      </c>
      <c r="L6031">
        <v>43.475000000000001</v>
      </c>
      <c r="M6031">
        <v>71.403999999999996</v>
      </c>
      <c r="N6031">
        <v>25.852</v>
      </c>
    </row>
    <row r="6032" spans="1:14" x14ac:dyDescent="0.45">
      <c r="A6032">
        <v>2008</v>
      </c>
      <c r="B6032" t="s">
        <v>198</v>
      </c>
      <c r="C6032">
        <v>1</v>
      </c>
      <c r="D6032">
        <v>0</v>
      </c>
      <c r="E6032">
        <v>0</v>
      </c>
      <c r="F6032">
        <v>0</v>
      </c>
      <c r="G6032">
        <v>0</v>
      </c>
      <c r="H6032">
        <v>1</v>
      </c>
      <c r="I6032">
        <v>1</v>
      </c>
      <c r="J6032">
        <v>63678.403283499603</v>
      </c>
      <c r="K6032">
        <v>53753.679973553597</v>
      </c>
      <c r="L6032">
        <v>14.598000000000001</v>
      </c>
      <c r="M6032">
        <v>80.387</v>
      </c>
      <c r="N6032">
        <v>4.5999999999999996</v>
      </c>
    </row>
    <row r="6033" spans="1:14" x14ac:dyDescent="0.45">
      <c r="A6033">
        <v>2008</v>
      </c>
      <c r="B6033" t="s">
        <v>199</v>
      </c>
      <c r="C6033">
        <v>1</v>
      </c>
      <c r="D6033">
        <v>0</v>
      </c>
      <c r="E6033">
        <v>0</v>
      </c>
      <c r="F6033">
        <v>0</v>
      </c>
      <c r="G6033">
        <v>0</v>
      </c>
      <c r="H6033">
        <v>1</v>
      </c>
      <c r="I6033">
        <v>1</v>
      </c>
      <c r="J6033">
        <v>86379.662483229098</v>
      </c>
      <c r="K6033">
        <v>63824.862130915702</v>
      </c>
      <c r="L6033">
        <v>21.474</v>
      </c>
      <c r="M6033">
        <v>80.677000000000007</v>
      </c>
      <c r="N6033">
        <v>3.4039999999999999</v>
      </c>
    </row>
    <row r="6034" spans="1:14" x14ac:dyDescent="0.45">
      <c r="A6034">
        <v>2008</v>
      </c>
      <c r="B6034" t="s">
        <v>200</v>
      </c>
      <c r="C6034">
        <v>0</v>
      </c>
      <c r="D6034">
        <v>0</v>
      </c>
      <c r="E6034">
        <v>0</v>
      </c>
      <c r="F6034">
        <v>0</v>
      </c>
      <c r="G6034">
        <v>0</v>
      </c>
      <c r="H6034">
        <v>0</v>
      </c>
      <c r="I6034">
        <v>0</v>
      </c>
      <c r="J6034">
        <v>2852.6098316796501</v>
      </c>
      <c r="K6034">
        <v>2525.4352316809</v>
      </c>
      <c r="L6034">
        <v>83.894999999999996</v>
      </c>
      <c r="M6034">
        <v>66.441999999999993</v>
      </c>
      <c r="N6034">
        <v>52.707000000000001</v>
      </c>
    </row>
    <row r="6035" spans="1:14" x14ac:dyDescent="0.45">
      <c r="A6035">
        <v>2008</v>
      </c>
      <c r="B6035" t="s">
        <v>201</v>
      </c>
      <c r="C6035">
        <v>0</v>
      </c>
      <c r="D6035">
        <v>0</v>
      </c>
      <c r="E6035">
        <v>0</v>
      </c>
      <c r="F6035">
        <v>0</v>
      </c>
      <c r="G6035">
        <v>0</v>
      </c>
      <c r="H6035">
        <v>1</v>
      </c>
      <c r="I6035">
        <v>1</v>
      </c>
      <c r="J6035">
        <v>7421.0873363599203</v>
      </c>
      <c r="K6035">
        <v>6714.0096184279901</v>
      </c>
      <c r="L6035">
        <v>0</v>
      </c>
      <c r="M6035">
        <v>59.674999999999997</v>
      </c>
      <c r="N6035">
        <v>37.789000000000001</v>
      </c>
    </row>
    <row r="6036" spans="1:14" x14ac:dyDescent="0.45">
      <c r="A6036">
        <v>2008</v>
      </c>
      <c r="B6036" t="s">
        <v>202</v>
      </c>
      <c r="C6036">
        <v>0</v>
      </c>
      <c r="D6036">
        <v>0</v>
      </c>
      <c r="E6036">
        <v>0</v>
      </c>
      <c r="F6036">
        <v>0</v>
      </c>
      <c r="G6036">
        <v>0</v>
      </c>
      <c r="H6036">
        <v>1</v>
      </c>
      <c r="I6036">
        <v>1</v>
      </c>
      <c r="J6036">
        <v>41561.182071315103</v>
      </c>
      <c r="K6036">
        <v>37802.056276987103</v>
      </c>
      <c r="L6036">
        <v>13.72</v>
      </c>
      <c r="M6036">
        <v>80.245999999999995</v>
      </c>
      <c r="N6036">
        <v>5.9539999999999997</v>
      </c>
    </row>
    <row r="6037" spans="1:14" x14ac:dyDescent="0.45">
      <c r="A6037">
        <v>2008</v>
      </c>
      <c r="B6037" t="s">
        <v>203</v>
      </c>
      <c r="C6037">
        <v>0</v>
      </c>
      <c r="D6037">
        <v>0</v>
      </c>
      <c r="E6037">
        <v>0</v>
      </c>
      <c r="F6037">
        <v>0</v>
      </c>
      <c r="G6037">
        <v>0</v>
      </c>
      <c r="H6037">
        <v>1</v>
      </c>
      <c r="I6037">
        <v>1</v>
      </c>
      <c r="J6037">
        <v>46586.395592676701</v>
      </c>
      <c r="K6037">
        <v>40479.878173473699</v>
      </c>
      <c r="L6037">
        <v>25.92</v>
      </c>
      <c r="M6037">
        <v>76.123999999999995</v>
      </c>
      <c r="N6037">
        <v>12.153</v>
      </c>
    </row>
    <row r="6038" spans="1:14" x14ac:dyDescent="0.45">
      <c r="A6038">
        <v>2008</v>
      </c>
      <c r="B6038" t="s">
        <v>204</v>
      </c>
      <c r="C6038">
        <v>0</v>
      </c>
      <c r="D6038">
        <v>0</v>
      </c>
      <c r="E6038">
        <v>0</v>
      </c>
      <c r="F6038">
        <v>1</v>
      </c>
      <c r="G6038">
        <v>0</v>
      </c>
      <c r="H6038">
        <v>0</v>
      </c>
      <c r="I6038">
        <v>0</v>
      </c>
      <c r="J6038">
        <v>4233.3483071549699</v>
      </c>
      <c r="K6038">
        <v>4029.7190894963601</v>
      </c>
      <c r="L6038">
        <v>65.41</v>
      </c>
      <c r="M6038">
        <v>64.001999999999995</v>
      </c>
      <c r="N6038">
        <v>90.989000000000004</v>
      </c>
    </row>
    <row r="6039" spans="1:14" x14ac:dyDescent="0.45">
      <c r="A6039">
        <v>2008</v>
      </c>
      <c r="B6039" t="s">
        <v>205</v>
      </c>
      <c r="C6039">
        <v>0</v>
      </c>
      <c r="D6039">
        <v>1</v>
      </c>
      <c r="E6039">
        <v>0</v>
      </c>
      <c r="F6039">
        <v>0</v>
      </c>
      <c r="G6039">
        <v>1</v>
      </c>
      <c r="H6039">
        <v>0</v>
      </c>
      <c r="I6039">
        <v>0</v>
      </c>
      <c r="J6039">
        <v>21867.8187584359</v>
      </c>
      <c r="K6039">
        <v>22930.1143495422</v>
      </c>
      <c r="L6039">
        <v>35.44</v>
      </c>
      <c r="M6039">
        <v>75.936999999999998</v>
      </c>
      <c r="N6039">
        <v>19.817</v>
      </c>
    </row>
    <row r="6040" spans="1:14" x14ac:dyDescent="0.45">
      <c r="A6040">
        <v>2008</v>
      </c>
      <c r="B6040" t="s">
        <v>206</v>
      </c>
      <c r="C6040">
        <v>0</v>
      </c>
      <c r="D6040">
        <v>1</v>
      </c>
      <c r="E6040">
        <v>0</v>
      </c>
      <c r="F6040">
        <v>0</v>
      </c>
      <c r="G6040">
        <v>1</v>
      </c>
      <c r="H6040">
        <v>0</v>
      </c>
      <c r="I6040">
        <v>0</v>
      </c>
      <c r="J6040">
        <v>11151.530521564</v>
      </c>
      <c r="K6040">
        <v>9318.0429726349994</v>
      </c>
      <c r="L6040">
        <v>23.948</v>
      </c>
      <c r="M6040">
        <v>72.742999999999995</v>
      </c>
      <c r="N6040">
        <v>22.535</v>
      </c>
    </row>
    <row r="6041" spans="1:14" x14ac:dyDescent="0.45">
      <c r="A6041">
        <v>2008</v>
      </c>
      <c r="B6041" t="s">
        <v>207</v>
      </c>
      <c r="C6041">
        <v>0</v>
      </c>
      <c r="D6041">
        <v>0</v>
      </c>
      <c r="E6041">
        <v>0</v>
      </c>
      <c r="F6041">
        <v>1</v>
      </c>
      <c r="G6041">
        <v>0</v>
      </c>
      <c r="H6041">
        <v>0</v>
      </c>
      <c r="I6041">
        <v>0</v>
      </c>
      <c r="J6041">
        <v>5987.0375786183504</v>
      </c>
      <c r="K6041">
        <v>5421.86466660526</v>
      </c>
      <c r="L6041">
        <v>54.545000000000002</v>
      </c>
      <c r="M6041">
        <v>68.643000000000001</v>
      </c>
      <c r="N6041">
        <v>31.239000000000001</v>
      </c>
    </row>
    <row r="6042" spans="1:14" x14ac:dyDescent="0.45">
      <c r="A6042">
        <v>2008</v>
      </c>
      <c r="B6042" t="s">
        <v>208</v>
      </c>
      <c r="C6042">
        <v>0</v>
      </c>
      <c r="D6042">
        <v>0</v>
      </c>
      <c r="E6042">
        <v>0</v>
      </c>
      <c r="F6042">
        <v>0</v>
      </c>
      <c r="G6042">
        <v>1</v>
      </c>
      <c r="H6042">
        <v>0</v>
      </c>
      <c r="I6042">
        <v>0</v>
      </c>
      <c r="J6042">
        <v>17406.167765943199</v>
      </c>
      <c r="K6042">
        <v>15747.7162717016</v>
      </c>
      <c r="L6042">
        <v>26.611000000000001</v>
      </c>
      <c r="M6042">
        <v>67.561999999999998</v>
      </c>
      <c r="N6042">
        <v>20.376999999999999</v>
      </c>
    </row>
    <row r="6043" spans="1:14" x14ac:dyDescent="0.45">
      <c r="A6043">
        <v>2008</v>
      </c>
      <c r="B6043" t="s">
        <v>209</v>
      </c>
      <c r="C6043">
        <v>0</v>
      </c>
      <c r="D6043">
        <v>0</v>
      </c>
      <c r="E6043">
        <v>0</v>
      </c>
      <c r="F6043">
        <v>1</v>
      </c>
      <c r="G6043">
        <v>0</v>
      </c>
      <c r="H6043">
        <v>0</v>
      </c>
      <c r="I6043">
        <v>0</v>
      </c>
      <c r="J6043">
        <v>3233.9181187281201</v>
      </c>
      <c r="K6043">
        <v>2925.4066827711299</v>
      </c>
      <c r="L6043">
        <v>86.944999999999993</v>
      </c>
      <c r="M6043">
        <v>62.511000000000003</v>
      </c>
      <c r="N6043">
        <v>61.183</v>
      </c>
    </row>
    <row r="6044" spans="1:14" x14ac:dyDescent="0.45">
      <c r="A6044">
        <v>2008</v>
      </c>
      <c r="B6044" t="s">
        <v>210</v>
      </c>
      <c r="C6044">
        <v>1</v>
      </c>
      <c r="D6044">
        <v>0</v>
      </c>
      <c r="E6044">
        <v>0</v>
      </c>
      <c r="F6044">
        <v>0</v>
      </c>
      <c r="G6044">
        <v>1</v>
      </c>
      <c r="H6044">
        <v>0</v>
      </c>
      <c r="I6044">
        <v>0</v>
      </c>
      <c r="J6044">
        <v>25553.905840653399</v>
      </c>
      <c r="K6044">
        <v>22057.392081458202</v>
      </c>
      <c r="L6044">
        <v>38.884</v>
      </c>
      <c r="M6044">
        <v>75.582999999999998</v>
      </c>
      <c r="N6044">
        <v>6.5419999999999998</v>
      </c>
    </row>
    <row r="6045" spans="1:14" x14ac:dyDescent="0.45">
      <c r="A6045">
        <v>2008</v>
      </c>
      <c r="B6045" t="s">
        <v>211</v>
      </c>
      <c r="C6045">
        <v>0</v>
      </c>
      <c r="D6045">
        <v>1</v>
      </c>
      <c r="E6045">
        <v>0</v>
      </c>
      <c r="F6045">
        <v>0</v>
      </c>
      <c r="G6045">
        <v>0</v>
      </c>
      <c r="H6045">
        <v>1</v>
      </c>
      <c r="I6045">
        <v>1</v>
      </c>
      <c r="J6045">
        <v>41358.068913666801</v>
      </c>
      <c r="K6045">
        <v>31772.953123287301</v>
      </c>
      <c r="L6045">
        <v>6.0580000000000096</v>
      </c>
      <c r="M6045">
        <v>78.111000000000004</v>
      </c>
      <c r="N6045">
        <v>9.4450000000000003</v>
      </c>
    </row>
    <row r="6046" spans="1:14" x14ac:dyDescent="0.45">
      <c r="A6046">
        <v>2008</v>
      </c>
      <c r="B6046" t="s">
        <v>212</v>
      </c>
      <c r="C6046">
        <v>0</v>
      </c>
      <c r="D6046">
        <v>0</v>
      </c>
      <c r="E6046">
        <v>0</v>
      </c>
      <c r="F6046">
        <v>0</v>
      </c>
      <c r="G6046">
        <v>0</v>
      </c>
      <c r="H6046">
        <v>0</v>
      </c>
      <c r="I6046">
        <v>0</v>
      </c>
      <c r="L6046">
        <v>39.96</v>
      </c>
      <c r="M6046">
        <v>69.302999999999997</v>
      </c>
      <c r="N6046">
        <v>31.117000000000001</v>
      </c>
    </row>
    <row r="6047" spans="1:14" x14ac:dyDescent="0.45">
      <c r="A6047">
        <v>2008</v>
      </c>
      <c r="B6047" t="s">
        <v>213</v>
      </c>
      <c r="C6047">
        <v>1</v>
      </c>
      <c r="D6047">
        <v>0</v>
      </c>
      <c r="E6047">
        <v>0</v>
      </c>
      <c r="F6047">
        <v>0</v>
      </c>
      <c r="G6047">
        <v>0</v>
      </c>
      <c r="H6047">
        <v>1</v>
      </c>
      <c r="I6047">
        <v>1</v>
      </c>
      <c r="J6047">
        <v>37291.504724284998</v>
      </c>
      <c r="K6047">
        <v>32234.146228240199</v>
      </c>
      <c r="L6047">
        <v>40.640999999999998</v>
      </c>
      <c r="M6047">
        <v>79.602999999999994</v>
      </c>
      <c r="N6047">
        <v>4.0449999999999999</v>
      </c>
    </row>
    <row r="6048" spans="1:14" x14ac:dyDescent="0.45">
      <c r="A6048">
        <v>2008</v>
      </c>
      <c r="B6048" t="s">
        <v>214</v>
      </c>
      <c r="C6048">
        <v>0</v>
      </c>
      <c r="D6048">
        <v>1</v>
      </c>
      <c r="E6048">
        <v>0</v>
      </c>
      <c r="F6048">
        <v>1</v>
      </c>
      <c r="G6048">
        <v>0</v>
      </c>
      <c r="H6048">
        <v>0</v>
      </c>
      <c r="I6048">
        <v>0</v>
      </c>
      <c r="J6048">
        <v>11751.1391651669</v>
      </c>
      <c r="K6048">
        <v>10721.022964853501</v>
      </c>
      <c r="L6048">
        <v>41.387999999999998</v>
      </c>
      <c r="M6048">
        <v>72.046999999999997</v>
      </c>
      <c r="N6048">
        <v>27.37</v>
      </c>
    </row>
    <row r="6049" spans="1:14" x14ac:dyDescent="0.45">
      <c r="A6049">
        <v>2008</v>
      </c>
      <c r="B6049" t="s">
        <v>215</v>
      </c>
      <c r="C6049">
        <v>0</v>
      </c>
      <c r="D6049">
        <v>0</v>
      </c>
      <c r="E6049">
        <v>0</v>
      </c>
      <c r="F6049">
        <v>1</v>
      </c>
      <c r="G6049">
        <v>0</v>
      </c>
      <c r="H6049">
        <v>0</v>
      </c>
      <c r="I6049">
        <v>0</v>
      </c>
      <c r="J6049">
        <v>4984.8057989069503</v>
      </c>
      <c r="K6049">
        <v>4250.46847542673</v>
      </c>
      <c r="L6049">
        <v>26.295999999999999</v>
      </c>
      <c r="M6049">
        <v>72.203999999999994</v>
      </c>
      <c r="N6049">
        <v>24.94</v>
      </c>
    </row>
    <row r="6050" spans="1:14" x14ac:dyDescent="0.45">
      <c r="A6050">
        <v>2008</v>
      </c>
      <c r="B6050" t="s">
        <v>216</v>
      </c>
      <c r="C6050">
        <v>0</v>
      </c>
      <c r="D6050">
        <v>0</v>
      </c>
      <c r="E6050">
        <v>0</v>
      </c>
      <c r="F6050">
        <v>0</v>
      </c>
      <c r="G6050">
        <v>0</v>
      </c>
      <c r="H6050">
        <v>1</v>
      </c>
      <c r="I6050">
        <v>1</v>
      </c>
      <c r="L6050">
        <v>40.834000000000003</v>
      </c>
      <c r="M6050">
        <v>80.587000000000003</v>
      </c>
      <c r="N6050">
        <v>9.0120000000000005</v>
      </c>
    </row>
    <row r="6051" spans="1:14" x14ac:dyDescent="0.45">
      <c r="A6051">
        <v>2008</v>
      </c>
      <c r="B6051" t="s">
        <v>217</v>
      </c>
      <c r="C6051">
        <v>0</v>
      </c>
      <c r="D6051">
        <v>0</v>
      </c>
      <c r="E6051">
        <v>0</v>
      </c>
      <c r="F6051">
        <v>0</v>
      </c>
      <c r="G6051">
        <v>0</v>
      </c>
      <c r="H6051">
        <v>1</v>
      </c>
      <c r="I6051">
        <v>1</v>
      </c>
      <c r="J6051">
        <v>109206.40491188</v>
      </c>
      <c r="K6051">
        <v>94299.497152406897</v>
      </c>
      <c r="L6051">
        <v>1.861</v>
      </c>
      <c r="M6051">
        <v>78.262</v>
      </c>
      <c r="N6051">
        <v>9.6210000000000004</v>
      </c>
    </row>
    <row r="6052" spans="1:14" x14ac:dyDescent="0.45">
      <c r="A6052">
        <v>2008</v>
      </c>
      <c r="B6052" t="s">
        <v>218</v>
      </c>
      <c r="C6052">
        <v>1</v>
      </c>
      <c r="D6052">
        <v>0</v>
      </c>
      <c r="E6052">
        <v>0</v>
      </c>
      <c r="F6052">
        <v>0</v>
      </c>
      <c r="G6052">
        <v>1</v>
      </c>
      <c r="H6052">
        <v>0</v>
      </c>
      <c r="I6052">
        <v>0</v>
      </c>
      <c r="J6052">
        <v>27036.696476467801</v>
      </c>
      <c r="K6052">
        <v>21976.401978190799</v>
      </c>
      <c r="L6052">
        <v>46.433</v>
      </c>
      <c r="M6052">
        <v>73.215999999999994</v>
      </c>
      <c r="N6052">
        <v>14.079000000000001</v>
      </c>
    </row>
    <row r="6053" spans="1:14" x14ac:dyDescent="0.45">
      <c r="A6053">
        <v>2008</v>
      </c>
      <c r="B6053" t="s">
        <v>219</v>
      </c>
      <c r="C6053">
        <v>1</v>
      </c>
      <c r="D6053">
        <v>0</v>
      </c>
      <c r="E6053">
        <v>0</v>
      </c>
      <c r="F6053">
        <v>0</v>
      </c>
      <c r="G6053">
        <v>1</v>
      </c>
      <c r="H6053">
        <v>0</v>
      </c>
      <c r="I6053">
        <v>0</v>
      </c>
      <c r="J6053">
        <v>34342.2265625</v>
      </c>
      <c r="K6053">
        <v>24887.851507503299</v>
      </c>
      <c r="L6053">
        <v>26.402000000000001</v>
      </c>
      <c r="M6053">
        <v>67.861999999999995</v>
      </c>
      <c r="N6053">
        <v>11.003</v>
      </c>
    </row>
    <row r="6054" spans="1:14" x14ac:dyDescent="0.45">
      <c r="A6054">
        <v>2008</v>
      </c>
      <c r="B6054" t="s">
        <v>220</v>
      </c>
      <c r="C6054">
        <v>0</v>
      </c>
      <c r="D6054">
        <v>0</v>
      </c>
      <c r="E6054">
        <v>1</v>
      </c>
      <c r="F6054">
        <v>0</v>
      </c>
      <c r="G6054">
        <v>0</v>
      </c>
      <c r="H6054">
        <v>0</v>
      </c>
      <c r="I6054">
        <v>0</v>
      </c>
      <c r="J6054">
        <v>1641.7776740167201</v>
      </c>
      <c r="K6054">
        <v>1373.92797896864</v>
      </c>
      <c r="L6054">
        <v>83.075000000000003</v>
      </c>
      <c r="M6054">
        <v>60.640999999999998</v>
      </c>
      <c r="N6054">
        <v>77.372</v>
      </c>
    </row>
    <row r="6055" spans="1:14" x14ac:dyDescent="0.45">
      <c r="A6055">
        <v>2008</v>
      </c>
      <c r="B6055" t="s">
        <v>221</v>
      </c>
      <c r="C6055">
        <v>0</v>
      </c>
      <c r="D6055">
        <v>0</v>
      </c>
      <c r="E6055">
        <v>0</v>
      </c>
      <c r="F6055">
        <v>0</v>
      </c>
      <c r="G6055">
        <v>0</v>
      </c>
      <c r="H6055">
        <v>1</v>
      </c>
      <c r="I6055">
        <v>1</v>
      </c>
      <c r="J6055">
        <v>54407.708167324701</v>
      </c>
      <c r="K6055">
        <v>49879.792093360898</v>
      </c>
      <c r="L6055">
        <v>18.350999999999999</v>
      </c>
      <c r="M6055">
        <v>75.301000000000002</v>
      </c>
      <c r="N6055">
        <v>13.803000000000001</v>
      </c>
    </row>
    <row r="6056" spans="1:14" x14ac:dyDescent="0.45">
      <c r="A6056">
        <v>2008</v>
      </c>
      <c r="B6056" t="s">
        <v>222</v>
      </c>
      <c r="C6056">
        <v>0</v>
      </c>
      <c r="D6056">
        <v>0</v>
      </c>
      <c r="E6056">
        <v>1</v>
      </c>
      <c r="F6056">
        <v>1</v>
      </c>
      <c r="G6056">
        <v>0</v>
      </c>
      <c r="H6056">
        <v>0</v>
      </c>
      <c r="I6056">
        <v>0</v>
      </c>
      <c r="J6056">
        <v>4446.40966796875</v>
      </c>
      <c r="K6056">
        <v>4655.9772893208701</v>
      </c>
      <c r="L6056">
        <v>67.081000000000003</v>
      </c>
      <c r="M6056">
        <v>61.261000000000003</v>
      </c>
      <c r="N6056">
        <v>82.724000000000004</v>
      </c>
    </row>
    <row r="6057" spans="1:14" x14ac:dyDescent="0.45">
      <c r="A6057">
        <v>2008</v>
      </c>
      <c r="B6057" t="s">
        <v>223</v>
      </c>
      <c r="C6057">
        <v>0</v>
      </c>
      <c r="D6057">
        <v>0</v>
      </c>
      <c r="E6057">
        <v>1</v>
      </c>
      <c r="F6057">
        <v>0</v>
      </c>
      <c r="G6057">
        <v>0</v>
      </c>
      <c r="H6057">
        <v>0</v>
      </c>
      <c r="I6057">
        <v>0</v>
      </c>
      <c r="J6057">
        <v>3359.7056709031099</v>
      </c>
      <c r="K6057">
        <v>2806.8291759195899</v>
      </c>
      <c r="L6057">
        <v>57.052999999999997</v>
      </c>
      <c r="M6057">
        <v>63.201000000000001</v>
      </c>
      <c r="N6057">
        <v>75.239999999999995</v>
      </c>
    </row>
    <row r="6058" spans="1:14" x14ac:dyDescent="0.45">
      <c r="A6058">
        <v>2008</v>
      </c>
      <c r="B6058" t="s">
        <v>224</v>
      </c>
      <c r="C6058">
        <v>0</v>
      </c>
      <c r="D6058">
        <v>0</v>
      </c>
      <c r="E6058">
        <v>0</v>
      </c>
      <c r="F6058">
        <v>0</v>
      </c>
      <c r="G6058">
        <v>0</v>
      </c>
      <c r="H6058">
        <v>1</v>
      </c>
      <c r="I6058">
        <v>1</v>
      </c>
      <c r="J6058">
        <v>87329.593779268602</v>
      </c>
      <c r="K6058">
        <v>71788.184629988798</v>
      </c>
      <c r="L6058">
        <v>0</v>
      </c>
      <c r="M6058">
        <v>81.099000000000004</v>
      </c>
      <c r="N6058">
        <v>2.8580000000000001</v>
      </c>
    </row>
    <row r="6059" spans="1:14" x14ac:dyDescent="0.45">
      <c r="A6059">
        <v>2008</v>
      </c>
      <c r="B6059" t="s">
        <v>225</v>
      </c>
      <c r="C6059">
        <v>0</v>
      </c>
      <c r="D6059">
        <v>0</v>
      </c>
      <c r="E6059">
        <v>0</v>
      </c>
      <c r="F6059">
        <v>1</v>
      </c>
      <c r="G6059">
        <v>0</v>
      </c>
      <c r="H6059">
        <v>0</v>
      </c>
      <c r="I6059">
        <v>0</v>
      </c>
      <c r="J6059">
        <v>2489.7925358784601</v>
      </c>
      <c r="K6059">
        <v>2252.19900379211</v>
      </c>
      <c r="L6059">
        <v>80.861999999999995</v>
      </c>
      <c r="M6059">
        <v>68.335999999999999</v>
      </c>
      <c r="N6059">
        <v>27.706</v>
      </c>
    </row>
    <row r="6060" spans="1:14" x14ac:dyDescent="0.45">
      <c r="A6060">
        <v>2008</v>
      </c>
      <c r="B6060" t="s">
        <v>226</v>
      </c>
      <c r="C6060">
        <v>0</v>
      </c>
      <c r="D6060">
        <v>0</v>
      </c>
      <c r="E6060">
        <v>1</v>
      </c>
      <c r="F6060">
        <v>0</v>
      </c>
      <c r="G6060">
        <v>0</v>
      </c>
      <c r="H6060">
        <v>0</v>
      </c>
      <c r="I6060">
        <v>0</v>
      </c>
      <c r="J6060">
        <v>2406.81530678537</v>
      </c>
      <c r="K6060">
        <v>2184.5954468516902</v>
      </c>
      <c r="L6060">
        <v>61.923000000000002</v>
      </c>
      <c r="M6060">
        <v>50.692999999999998</v>
      </c>
      <c r="N6060">
        <v>174.98099999999999</v>
      </c>
    </row>
    <row r="6061" spans="1:14" x14ac:dyDescent="0.45">
      <c r="A6061">
        <v>2008</v>
      </c>
      <c r="B6061" t="s">
        <v>227</v>
      </c>
      <c r="C6061">
        <v>0</v>
      </c>
      <c r="D6061">
        <v>1</v>
      </c>
      <c r="E6061">
        <v>0</v>
      </c>
      <c r="F6061">
        <v>1</v>
      </c>
      <c r="G6061">
        <v>0</v>
      </c>
      <c r="H6061">
        <v>0</v>
      </c>
      <c r="I6061">
        <v>0</v>
      </c>
      <c r="J6061">
        <v>8704.8058463259094</v>
      </c>
      <c r="K6061">
        <v>7753.8092493430104</v>
      </c>
      <c r="L6061">
        <v>36.322000000000003</v>
      </c>
      <c r="M6061">
        <v>70.138000000000005</v>
      </c>
      <c r="N6061">
        <v>21.454000000000001</v>
      </c>
    </row>
    <row r="6062" spans="1:14" x14ac:dyDescent="0.45">
      <c r="A6062">
        <v>2008</v>
      </c>
      <c r="B6062" t="s">
        <v>228</v>
      </c>
      <c r="C6062">
        <v>1</v>
      </c>
      <c r="D6062">
        <v>0</v>
      </c>
      <c r="E6062">
        <v>0</v>
      </c>
      <c r="F6062">
        <v>0</v>
      </c>
      <c r="G6062">
        <v>0</v>
      </c>
      <c r="H6062">
        <v>1</v>
      </c>
      <c r="I6062">
        <v>1</v>
      </c>
      <c r="J6062">
        <v>85120.286877271603</v>
      </c>
      <c r="K6062">
        <v>75022.835949541695</v>
      </c>
      <c r="L6062">
        <v>4.7359999999999998</v>
      </c>
      <c r="M6062">
        <v>82.894000000000005</v>
      </c>
      <c r="N6062">
        <v>2.9870000000000001</v>
      </c>
    </row>
    <row r="6063" spans="1:14" x14ac:dyDescent="0.45">
      <c r="A6063">
        <v>2008</v>
      </c>
      <c r="B6063" t="s">
        <v>229</v>
      </c>
      <c r="C6063">
        <v>0</v>
      </c>
      <c r="D6063">
        <v>0</v>
      </c>
      <c r="E6063">
        <v>1</v>
      </c>
      <c r="F6063">
        <v>0</v>
      </c>
      <c r="G6063">
        <v>0</v>
      </c>
      <c r="H6063">
        <v>0</v>
      </c>
      <c r="I6063">
        <v>0</v>
      </c>
      <c r="J6063">
        <v>918.80229379971297</v>
      </c>
      <c r="K6063">
        <v>852.22062705161102</v>
      </c>
      <c r="L6063">
        <v>63.988999999999997</v>
      </c>
      <c r="M6063">
        <v>51.456000000000003</v>
      </c>
      <c r="N6063">
        <v>164.035</v>
      </c>
    </row>
    <row r="6064" spans="1:14" x14ac:dyDescent="0.45">
      <c r="A6064">
        <v>2008</v>
      </c>
      <c r="B6064" t="s">
        <v>230</v>
      </c>
      <c r="C6064">
        <v>1</v>
      </c>
      <c r="D6064">
        <v>0</v>
      </c>
      <c r="E6064">
        <v>0</v>
      </c>
      <c r="F6064">
        <v>0</v>
      </c>
      <c r="G6064">
        <v>1</v>
      </c>
      <c r="H6064">
        <v>0</v>
      </c>
      <c r="I6064">
        <v>0</v>
      </c>
      <c r="J6064">
        <v>17982.276771747402</v>
      </c>
      <c r="K6064">
        <v>15812.243264634901</v>
      </c>
      <c r="L6064">
        <v>45.45</v>
      </c>
      <c r="M6064">
        <v>73.903999999999996</v>
      </c>
      <c r="N6064">
        <v>7.9660000000000002</v>
      </c>
    </row>
    <row r="6065" spans="1:14" x14ac:dyDescent="0.45">
      <c r="A6065">
        <v>2008</v>
      </c>
      <c r="B6065" t="s">
        <v>231</v>
      </c>
      <c r="C6065">
        <v>0</v>
      </c>
      <c r="D6065">
        <v>0</v>
      </c>
      <c r="E6065">
        <v>1</v>
      </c>
      <c r="F6065">
        <v>1</v>
      </c>
      <c r="G6065">
        <v>0</v>
      </c>
      <c r="H6065">
        <v>0</v>
      </c>
      <c r="I6065">
        <v>0</v>
      </c>
      <c r="L6065">
        <v>82.444999999999993</v>
      </c>
      <c r="M6065">
        <v>56.28</v>
      </c>
      <c r="N6065">
        <v>121.572</v>
      </c>
    </row>
    <row r="6066" spans="1:14" x14ac:dyDescent="0.45">
      <c r="A6066">
        <v>2008</v>
      </c>
      <c r="B6066" t="s">
        <v>232</v>
      </c>
      <c r="C6066">
        <v>0</v>
      </c>
      <c r="D6066">
        <v>0</v>
      </c>
      <c r="E6066">
        <v>1</v>
      </c>
      <c r="F6066">
        <v>1</v>
      </c>
      <c r="G6066">
        <v>0</v>
      </c>
      <c r="H6066">
        <v>0</v>
      </c>
      <c r="I6066">
        <v>0</v>
      </c>
      <c r="J6066">
        <v>4873.1813112046002</v>
      </c>
      <c r="K6066">
        <v>3032.99144985673</v>
      </c>
      <c r="L6066">
        <v>37.32</v>
      </c>
      <c r="M6066">
        <v>63.448</v>
      </c>
      <c r="N6066">
        <v>42.953000000000003</v>
      </c>
    </row>
    <row r="6067" spans="1:14" x14ac:dyDescent="0.45">
      <c r="A6067">
        <v>2008</v>
      </c>
      <c r="B6067" t="s">
        <v>233</v>
      </c>
      <c r="C6067">
        <v>0</v>
      </c>
      <c r="D6067">
        <v>1</v>
      </c>
      <c r="E6067">
        <v>0</v>
      </c>
      <c r="F6067">
        <v>0</v>
      </c>
      <c r="G6067">
        <v>1</v>
      </c>
      <c r="H6067">
        <v>0</v>
      </c>
      <c r="I6067">
        <v>0</v>
      </c>
      <c r="J6067">
        <v>21515.8119551093</v>
      </c>
      <c r="K6067">
        <v>17126.147961121402</v>
      </c>
      <c r="L6067">
        <v>33.521000000000001</v>
      </c>
      <c r="M6067">
        <v>68.873000000000005</v>
      </c>
      <c r="N6067">
        <v>24.471</v>
      </c>
    </row>
    <row r="6068" spans="1:14" x14ac:dyDescent="0.45">
      <c r="A6068">
        <v>2008</v>
      </c>
      <c r="B6068" t="s">
        <v>234</v>
      </c>
      <c r="C6068">
        <v>1</v>
      </c>
      <c r="D6068">
        <v>0</v>
      </c>
      <c r="E6068">
        <v>0</v>
      </c>
      <c r="F6068">
        <v>0</v>
      </c>
      <c r="G6068">
        <v>0</v>
      </c>
      <c r="H6068">
        <v>1</v>
      </c>
      <c r="I6068">
        <v>1</v>
      </c>
      <c r="J6068">
        <v>29544.032720906202</v>
      </c>
      <c r="K6068">
        <v>25445.768241856302</v>
      </c>
      <c r="L6068">
        <v>44.889000000000003</v>
      </c>
      <c r="M6068">
        <v>74.864000000000004</v>
      </c>
      <c r="N6068">
        <v>7.2309999999999999</v>
      </c>
    </row>
    <row r="6069" spans="1:14" x14ac:dyDescent="0.45">
      <c r="A6069">
        <v>2008</v>
      </c>
      <c r="B6069" t="s">
        <v>235</v>
      </c>
      <c r="C6069">
        <v>1</v>
      </c>
      <c r="D6069">
        <v>0</v>
      </c>
      <c r="E6069">
        <v>0</v>
      </c>
      <c r="F6069">
        <v>0</v>
      </c>
      <c r="G6069">
        <v>0</v>
      </c>
      <c r="H6069">
        <v>1</v>
      </c>
      <c r="I6069">
        <v>1</v>
      </c>
      <c r="J6069">
        <v>41288.972755799899</v>
      </c>
      <c r="K6069">
        <v>35541.741452744303</v>
      </c>
      <c r="L6069">
        <v>47.790999999999997</v>
      </c>
      <c r="M6069">
        <v>78.594999999999999</v>
      </c>
      <c r="N6069">
        <v>3.3130000000000002</v>
      </c>
    </row>
    <row r="6070" spans="1:14" x14ac:dyDescent="0.45">
      <c r="A6070">
        <v>2008</v>
      </c>
      <c r="B6070" t="s">
        <v>236</v>
      </c>
      <c r="C6070">
        <v>1</v>
      </c>
      <c r="D6070">
        <v>0</v>
      </c>
      <c r="E6070">
        <v>0</v>
      </c>
      <c r="F6070">
        <v>0</v>
      </c>
      <c r="G6070">
        <v>0</v>
      </c>
      <c r="H6070">
        <v>1</v>
      </c>
      <c r="I6070">
        <v>1</v>
      </c>
      <c r="J6070">
        <v>55784.931345308702</v>
      </c>
      <c r="K6070">
        <v>47652.517690827</v>
      </c>
      <c r="L6070">
        <v>15.254</v>
      </c>
      <c r="M6070">
        <v>81.137</v>
      </c>
      <c r="N6070">
        <v>3.0329999999999999</v>
      </c>
    </row>
    <row r="6071" spans="1:14" x14ac:dyDescent="0.45">
      <c r="A6071">
        <v>2008</v>
      </c>
      <c r="B6071" t="s">
        <v>237</v>
      </c>
      <c r="C6071">
        <v>0</v>
      </c>
      <c r="D6071">
        <v>0</v>
      </c>
      <c r="E6071">
        <v>1</v>
      </c>
      <c r="F6071">
        <v>1</v>
      </c>
      <c r="G6071">
        <v>0</v>
      </c>
      <c r="H6071">
        <v>0</v>
      </c>
      <c r="I6071">
        <v>0</v>
      </c>
      <c r="J6071">
        <v>7884.8649488197698</v>
      </c>
      <c r="K6071">
        <v>6982.0493566801897</v>
      </c>
      <c r="L6071">
        <v>77.954999999999998</v>
      </c>
      <c r="M6071">
        <v>45.853000000000002</v>
      </c>
      <c r="N6071">
        <v>99.415999999999997</v>
      </c>
    </row>
    <row r="6072" spans="1:14" x14ac:dyDescent="0.45">
      <c r="A6072">
        <v>2008</v>
      </c>
      <c r="B6072" t="s">
        <v>238</v>
      </c>
      <c r="C6072">
        <v>0</v>
      </c>
      <c r="D6072">
        <v>1</v>
      </c>
      <c r="E6072">
        <v>0</v>
      </c>
      <c r="F6072">
        <v>0</v>
      </c>
      <c r="G6072">
        <v>0</v>
      </c>
      <c r="H6072">
        <v>1</v>
      </c>
      <c r="I6072">
        <v>1</v>
      </c>
      <c r="L6072">
        <v>0</v>
      </c>
      <c r="M6072">
        <v>74.852000000000004</v>
      </c>
      <c r="N6072">
        <v>18.471</v>
      </c>
    </row>
    <row r="6073" spans="1:14" x14ac:dyDescent="0.45">
      <c r="A6073">
        <v>2008</v>
      </c>
      <c r="B6073" t="s">
        <v>239</v>
      </c>
      <c r="C6073">
        <v>0</v>
      </c>
      <c r="D6073">
        <v>0</v>
      </c>
      <c r="E6073">
        <v>1</v>
      </c>
      <c r="F6073">
        <v>0</v>
      </c>
      <c r="G6073">
        <v>1</v>
      </c>
      <c r="H6073">
        <v>0</v>
      </c>
      <c r="I6073">
        <v>0</v>
      </c>
      <c r="J6073">
        <v>21990.368526970498</v>
      </c>
      <c r="K6073">
        <v>21349.346644820602</v>
      </c>
      <c r="L6073">
        <v>47.381</v>
      </c>
      <c r="M6073">
        <v>72.322999999999993</v>
      </c>
      <c r="N6073">
        <v>13.962</v>
      </c>
    </row>
    <row r="6074" spans="1:14" x14ac:dyDescent="0.45">
      <c r="A6074">
        <v>2008</v>
      </c>
      <c r="B6074" t="s">
        <v>240</v>
      </c>
      <c r="C6074">
        <v>0</v>
      </c>
      <c r="D6074">
        <v>0</v>
      </c>
      <c r="E6074">
        <v>0</v>
      </c>
      <c r="F6074">
        <v>1</v>
      </c>
      <c r="G6074">
        <v>0</v>
      </c>
      <c r="H6074">
        <v>0</v>
      </c>
      <c r="I6074">
        <v>0</v>
      </c>
      <c r="J6074">
        <v>8903.7722526413108</v>
      </c>
      <c r="K6074">
        <v>5840.2284373571702</v>
      </c>
      <c r="L6074">
        <v>45.125</v>
      </c>
      <c r="M6074">
        <v>73.367999999999995</v>
      </c>
      <c r="N6074">
        <v>19.423999999999999</v>
      </c>
    </row>
    <row r="6075" spans="1:14" x14ac:dyDescent="0.45">
      <c r="A6075">
        <v>2008</v>
      </c>
      <c r="B6075" t="s">
        <v>241</v>
      </c>
      <c r="C6075">
        <v>0</v>
      </c>
      <c r="D6075">
        <v>1</v>
      </c>
      <c r="E6075">
        <v>0</v>
      </c>
      <c r="F6075">
        <v>0</v>
      </c>
      <c r="G6075">
        <v>0</v>
      </c>
      <c r="H6075">
        <v>1</v>
      </c>
      <c r="I6075">
        <v>1</v>
      </c>
      <c r="J6075">
        <v>22689.316013376902</v>
      </c>
      <c r="K6075">
        <v>35323.572037447797</v>
      </c>
      <c r="L6075">
        <v>10.706</v>
      </c>
      <c r="M6075">
        <v>76.084000000000003</v>
      </c>
      <c r="N6075">
        <v>9.8710000000000004</v>
      </c>
    </row>
    <row r="6076" spans="1:14" x14ac:dyDescent="0.45">
      <c r="A6076">
        <v>2008</v>
      </c>
      <c r="B6076" t="s">
        <v>242</v>
      </c>
      <c r="C6076">
        <v>0</v>
      </c>
      <c r="D6076">
        <v>0</v>
      </c>
      <c r="E6076">
        <v>1</v>
      </c>
      <c r="F6076">
        <v>0</v>
      </c>
      <c r="G6076">
        <v>0</v>
      </c>
      <c r="H6076">
        <v>0</v>
      </c>
      <c r="I6076">
        <v>0</v>
      </c>
      <c r="J6076">
        <v>2596.8644946036202</v>
      </c>
      <c r="K6076">
        <v>2181.4601264437101</v>
      </c>
      <c r="L6076">
        <v>78.099000000000004</v>
      </c>
      <c r="M6076">
        <v>49.503</v>
      </c>
      <c r="N6076">
        <v>155.53399999999999</v>
      </c>
    </row>
    <row r="6077" spans="1:14" x14ac:dyDescent="0.45">
      <c r="A6077">
        <v>2008</v>
      </c>
      <c r="B6077" t="s">
        <v>243</v>
      </c>
      <c r="C6077">
        <v>0</v>
      </c>
      <c r="D6077">
        <v>0</v>
      </c>
      <c r="E6077">
        <v>1</v>
      </c>
      <c r="F6077">
        <v>0</v>
      </c>
      <c r="G6077">
        <v>0</v>
      </c>
      <c r="H6077">
        <v>0</v>
      </c>
      <c r="I6077">
        <v>0</v>
      </c>
      <c r="J6077">
        <v>1883.54937890364</v>
      </c>
      <c r="K6077">
        <v>1565.3006248643901</v>
      </c>
      <c r="L6077">
        <v>63.412999999999997</v>
      </c>
      <c r="M6077">
        <v>56.651000000000003</v>
      </c>
      <c r="N6077">
        <v>94.558000000000007</v>
      </c>
    </row>
    <row r="6078" spans="1:14" x14ac:dyDescent="0.45">
      <c r="A6078">
        <v>2008</v>
      </c>
      <c r="B6078" t="s">
        <v>244</v>
      </c>
      <c r="C6078">
        <v>0</v>
      </c>
      <c r="D6078">
        <v>0</v>
      </c>
      <c r="E6078">
        <v>0</v>
      </c>
      <c r="F6078">
        <v>1</v>
      </c>
      <c r="G6078">
        <v>0</v>
      </c>
      <c r="H6078">
        <v>0</v>
      </c>
      <c r="I6078">
        <v>0</v>
      </c>
      <c r="J6078">
        <v>15891.7823409885</v>
      </c>
      <c r="K6078">
        <v>13897.7939265927</v>
      </c>
      <c r="L6078">
        <v>58.758000000000003</v>
      </c>
      <c r="M6078">
        <v>74.221000000000004</v>
      </c>
      <c r="N6078">
        <v>13.868</v>
      </c>
    </row>
    <row r="6079" spans="1:14" x14ac:dyDescent="0.45">
      <c r="A6079">
        <v>2008</v>
      </c>
      <c r="B6079" t="s">
        <v>245</v>
      </c>
      <c r="C6079">
        <v>1</v>
      </c>
      <c r="D6079">
        <v>0</v>
      </c>
      <c r="E6079">
        <v>0</v>
      </c>
      <c r="F6079">
        <v>0</v>
      </c>
      <c r="G6079">
        <v>0</v>
      </c>
      <c r="H6079">
        <v>0</v>
      </c>
      <c r="I6079">
        <v>0</v>
      </c>
      <c r="J6079">
        <v>2308.0943004033402</v>
      </c>
      <c r="K6079">
        <v>2102.0627301160898</v>
      </c>
      <c r="L6079">
        <v>73.483999999999995</v>
      </c>
      <c r="M6079">
        <v>67.924000000000007</v>
      </c>
      <c r="N6079">
        <v>47.603999999999999</v>
      </c>
    </row>
    <row r="6080" spans="1:14" x14ac:dyDescent="0.45">
      <c r="A6080">
        <v>2008</v>
      </c>
      <c r="B6080" t="s">
        <v>246</v>
      </c>
      <c r="C6080">
        <v>1</v>
      </c>
      <c r="D6080">
        <v>0</v>
      </c>
      <c r="E6080">
        <v>0</v>
      </c>
      <c r="F6080">
        <v>1</v>
      </c>
      <c r="G6080">
        <v>0</v>
      </c>
      <c r="H6080">
        <v>0</v>
      </c>
      <c r="I6080">
        <v>0</v>
      </c>
      <c r="J6080">
        <v>7944.9959007310599</v>
      </c>
      <c r="K6080">
        <v>7477.9804814275103</v>
      </c>
      <c r="L6080">
        <v>52.131999999999998</v>
      </c>
      <c r="M6080">
        <v>67.584000000000003</v>
      </c>
      <c r="N6080">
        <v>46.171999999999997</v>
      </c>
    </row>
    <row r="6081" spans="1:14" x14ac:dyDescent="0.45">
      <c r="A6081">
        <v>2008</v>
      </c>
      <c r="B6081" t="s">
        <v>247</v>
      </c>
      <c r="C6081">
        <v>0</v>
      </c>
      <c r="D6081">
        <v>0</v>
      </c>
      <c r="E6081">
        <v>0</v>
      </c>
      <c r="F6081">
        <v>1</v>
      </c>
      <c r="G6081">
        <v>0</v>
      </c>
      <c r="H6081">
        <v>0</v>
      </c>
      <c r="I6081">
        <v>0</v>
      </c>
      <c r="J6081">
        <v>3532.5702786910701</v>
      </c>
      <c r="K6081">
        <v>2850.29899754392</v>
      </c>
      <c r="L6081">
        <v>72.951999999999998</v>
      </c>
      <c r="M6081">
        <v>62.857999999999997</v>
      </c>
      <c r="N6081">
        <v>77.364000000000004</v>
      </c>
    </row>
    <row r="6082" spans="1:14" x14ac:dyDescent="0.45">
      <c r="A6082">
        <v>2008</v>
      </c>
      <c r="B6082" t="s">
        <v>248</v>
      </c>
      <c r="C6082">
        <v>0</v>
      </c>
      <c r="D6082">
        <v>0</v>
      </c>
      <c r="E6082">
        <v>0</v>
      </c>
      <c r="F6082">
        <v>1</v>
      </c>
      <c r="G6082">
        <v>0</v>
      </c>
      <c r="H6082">
        <v>0</v>
      </c>
      <c r="I6082">
        <v>0</v>
      </c>
      <c r="J6082">
        <v>5758.5682866522202</v>
      </c>
      <c r="K6082">
        <v>5212.8360862351701</v>
      </c>
      <c r="L6082">
        <v>76.718999999999994</v>
      </c>
      <c r="M6082">
        <v>71.040999999999997</v>
      </c>
      <c r="N6082">
        <v>13.811999999999999</v>
      </c>
    </row>
    <row r="6083" spans="1:14" x14ac:dyDescent="0.45">
      <c r="A6083">
        <v>2008</v>
      </c>
      <c r="B6083" t="s">
        <v>249</v>
      </c>
      <c r="C6083">
        <v>0</v>
      </c>
      <c r="D6083">
        <v>1</v>
      </c>
      <c r="E6083">
        <v>0</v>
      </c>
      <c r="F6083">
        <v>0</v>
      </c>
      <c r="G6083">
        <v>0</v>
      </c>
      <c r="H6083">
        <v>1</v>
      </c>
      <c r="I6083">
        <v>1</v>
      </c>
      <c r="J6083">
        <v>35871.2973552818</v>
      </c>
      <c r="K6083">
        <v>29937.934574250699</v>
      </c>
      <c r="L6083">
        <v>45.597999999999999</v>
      </c>
      <c r="M6083">
        <v>71.117000000000004</v>
      </c>
      <c r="N6083">
        <v>23.673999999999999</v>
      </c>
    </row>
    <row r="6084" spans="1:14" x14ac:dyDescent="0.45">
      <c r="A6084">
        <v>2008</v>
      </c>
      <c r="B6084" t="s">
        <v>250</v>
      </c>
      <c r="C6084">
        <v>0</v>
      </c>
      <c r="D6084">
        <v>0</v>
      </c>
      <c r="E6084">
        <v>0</v>
      </c>
      <c r="F6084">
        <v>1</v>
      </c>
      <c r="G6084">
        <v>0</v>
      </c>
      <c r="H6084">
        <v>0</v>
      </c>
      <c r="I6084">
        <v>0</v>
      </c>
      <c r="J6084">
        <v>11990.183068717301</v>
      </c>
      <c r="K6084">
        <v>10449.244256185701</v>
      </c>
      <c r="L6084">
        <v>33.906999999999996</v>
      </c>
      <c r="M6084">
        <v>74.191999999999993</v>
      </c>
      <c r="N6084">
        <v>19.821999999999999</v>
      </c>
    </row>
    <row r="6085" spans="1:14" x14ac:dyDescent="0.45">
      <c r="A6085">
        <v>2008</v>
      </c>
      <c r="B6085" t="s">
        <v>251</v>
      </c>
      <c r="C6085">
        <v>1</v>
      </c>
      <c r="D6085">
        <v>0</v>
      </c>
      <c r="E6085">
        <v>0</v>
      </c>
      <c r="F6085">
        <v>0</v>
      </c>
      <c r="G6085">
        <v>1</v>
      </c>
      <c r="H6085">
        <v>0</v>
      </c>
      <c r="I6085">
        <v>0</v>
      </c>
      <c r="J6085">
        <v>19516.385175335799</v>
      </c>
      <c r="K6085">
        <v>19568.594638049301</v>
      </c>
      <c r="L6085">
        <v>30.349</v>
      </c>
      <c r="M6085">
        <v>74.38</v>
      </c>
      <c r="N6085">
        <v>20.696000000000002</v>
      </c>
    </row>
    <row r="6086" spans="1:14" x14ac:dyDescent="0.45">
      <c r="A6086">
        <v>2008</v>
      </c>
      <c r="B6086" t="s">
        <v>252</v>
      </c>
      <c r="C6086">
        <v>0</v>
      </c>
      <c r="D6086">
        <v>0</v>
      </c>
      <c r="E6086">
        <v>0</v>
      </c>
      <c r="F6086">
        <v>1</v>
      </c>
      <c r="G6086">
        <v>0</v>
      </c>
      <c r="H6086">
        <v>0</v>
      </c>
      <c r="I6086">
        <v>0</v>
      </c>
      <c r="J6086">
        <v>3933.3739671087501</v>
      </c>
      <c r="K6086">
        <v>3558.3441287061501</v>
      </c>
      <c r="L6086">
        <v>47.234999999999999</v>
      </c>
      <c r="M6086">
        <v>64.516000000000005</v>
      </c>
      <c r="N6086">
        <v>33.959000000000003</v>
      </c>
    </row>
    <row r="6087" spans="1:14" x14ac:dyDescent="0.45">
      <c r="A6087">
        <v>2008</v>
      </c>
      <c r="B6087" t="s">
        <v>253</v>
      </c>
      <c r="C6087">
        <v>0</v>
      </c>
      <c r="D6087">
        <v>0</v>
      </c>
      <c r="E6087">
        <v>0</v>
      </c>
      <c r="F6087">
        <v>0</v>
      </c>
      <c r="G6087">
        <v>0</v>
      </c>
      <c r="H6087">
        <v>1</v>
      </c>
      <c r="I6087">
        <v>1</v>
      </c>
      <c r="L6087">
        <v>53.460999999999999</v>
      </c>
      <c r="M6087">
        <v>78.298000000000002</v>
      </c>
      <c r="N6087">
        <v>6.0519999999999996</v>
      </c>
    </row>
    <row r="6088" spans="1:14" x14ac:dyDescent="0.45">
      <c r="A6088">
        <v>2008</v>
      </c>
      <c r="B6088" t="s">
        <v>254</v>
      </c>
      <c r="C6088">
        <v>0</v>
      </c>
      <c r="D6088">
        <v>0</v>
      </c>
      <c r="E6088">
        <v>1</v>
      </c>
      <c r="F6088">
        <v>0</v>
      </c>
      <c r="G6088">
        <v>0</v>
      </c>
      <c r="H6088">
        <v>0</v>
      </c>
      <c r="I6088">
        <v>0</v>
      </c>
      <c r="J6088">
        <v>2493.25927734375</v>
      </c>
      <c r="K6088">
        <v>1857.1459020514401</v>
      </c>
      <c r="L6088">
        <v>73.224000000000004</v>
      </c>
      <c r="M6088">
        <v>59.896000000000001</v>
      </c>
      <c r="N6088">
        <v>77.475999999999999</v>
      </c>
    </row>
    <row r="6089" spans="1:14" x14ac:dyDescent="0.45">
      <c r="A6089">
        <v>2008</v>
      </c>
      <c r="B6089" t="s">
        <v>255</v>
      </c>
      <c r="C6089">
        <v>0</v>
      </c>
      <c r="D6089">
        <v>0</v>
      </c>
      <c r="E6089">
        <v>1</v>
      </c>
      <c r="F6089">
        <v>0</v>
      </c>
      <c r="G6089">
        <v>0</v>
      </c>
      <c r="H6089">
        <v>0</v>
      </c>
      <c r="I6089">
        <v>0</v>
      </c>
      <c r="J6089">
        <v>2110.1004927150302</v>
      </c>
      <c r="K6089">
        <v>1790.00784978708</v>
      </c>
      <c r="L6089">
        <v>81.616</v>
      </c>
      <c r="M6089">
        <v>58.253</v>
      </c>
      <c r="N6089">
        <v>86.944000000000003</v>
      </c>
    </row>
    <row r="6090" spans="1:14" x14ac:dyDescent="0.45">
      <c r="A6090">
        <v>2008</v>
      </c>
      <c r="B6090" t="s">
        <v>256</v>
      </c>
      <c r="C6090">
        <v>1</v>
      </c>
      <c r="D6090">
        <v>0</v>
      </c>
      <c r="E6090">
        <v>0</v>
      </c>
      <c r="F6090">
        <v>1</v>
      </c>
      <c r="G6090">
        <v>0</v>
      </c>
      <c r="H6090">
        <v>0</v>
      </c>
      <c r="I6090">
        <v>0</v>
      </c>
      <c r="J6090">
        <v>18883.986328125</v>
      </c>
      <c r="K6090">
        <v>13356.370338824099</v>
      </c>
      <c r="L6090">
        <v>31.675000000000001</v>
      </c>
      <c r="M6090">
        <v>68.262</v>
      </c>
      <c r="N6090">
        <v>12.473000000000001</v>
      </c>
    </row>
    <row r="6091" spans="1:14" x14ac:dyDescent="0.45">
      <c r="A6091">
        <v>2008</v>
      </c>
      <c r="B6091" t="s">
        <v>257</v>
      </c>
      <c r="C6091">
        <v>0</v>
      </c>
      <c r="D6091">
        <v>1</v>
      </c>
      <c r="E6091">
        <v>0</v>
      </c>
      <c r="F6091">
        <v>0</v>
      </c>
      <c r="G6091">
        <v>1</v>
      </c>
      <c r="H6091">
        <v>0</v>
      </c>
      <c r="I6091">
        <v>0</v>
      </c>
      <c r="J6091">
        <v>22249.383516553298</v>
      </c>
      <c r="K6091">
        <v>17647.5119082044</v>
      </c>
      <c r="L6091">
        <v>6.0019999999999998</v>
      </c>
      <c r="M6091">
        <v>76.275000000000006</v>
      </c>
      <c r="N6091">
        <v>11.763</v>
      </c>
    </row>
    <row r="6092" spans="1:14" x14ac:dyDescent="0.45">
      <c r="A6092">
        <v>2008</v>
      </c>
      <c r="B6092" t="s">
        <v>258</v>
      </c>
      <c r="C6092">
        <v>0</v>
      </c>
      <c r="D6092">
        <v>0</v>
      </c>
      <c r="E6092">
        <v>0</v>
      </c>
      <c r="F6092">
        <v>0</v>
      </c>
      <c r="G6092">
        <v>0</v>
      </c>
      <c r="H6092">
        <v>1</v>
      </c>
      <c r="I6092">
        <v>1</v>
      </c>
      <c r="J6092">
        <v>60798.433839720499</v>
      </c>
      <c r="K6092">
        <v>55185.194560292897</v>
      </c>
      <c r="L6092">
        <v>19.562000000000001</v>
      </c>
      <c r="M6092">
        <v>78.126999999999995</v>
      </c>
      <c r="N6092">
        <v>7.92</v>
      </c>
    </row>
    <row r="6093" spans="1:14" x14ac:dyDescent="0.45">
      <c r="A6093">
        <v>2008</v>
      </c>
      <c r="B6093" t="s">
        <v>259</v>
      </c>
      <c r="C6093">
        <v>1</v>
      </c>
      <c r="D6093">
        <v>0</v>
      </c>
      <c r="E6093">
        <v>0</v>
      </c>
      <c r="F6093">
        <v>0</v>
      </c>
      <c r="G6093">
        <v>0</v>
      </c>
      <c r="H6093">
        <v>0</v>
      </c>
      <c r="I6093">
        <v>0</v>
      </c>
      <c r="J6093">
        <v>5115.6439146559396</v>
      </c>
      <c r="K6093">
        <v>4970.0373516201898</v>
      </c>
      <c r="L6093">
        <v>50.011000000000003</v>
      </c>
      <c r="M6093">
        <v>69.034999999999997</v>
      </c>
      <c r="N6093">
        <v>35.899000000000001</v>
      </c>
    </row>
    <row r="6094" spans="1:14" x14ac:dyDescent="0.45">
      <c r="A6094">
        <v>2008</v>
      </c>
      <c r="B6094" t="s">
        <v>260</v>
      </c>
      <c r="C6094">
        <v>0</v>
      </c>
      <c r="D6094">
        <v>1</v>
      </c>
      <c r="E6094">
        <v>0</v>
      </c>
      <c r="F6094">
        <v>0</v>
      </c>
      <c r="G6094">
        <v>1</v>
      </c>
      <c r="H6094">
        <v>0</v>
      </c>
      <c r="I6094">
        <v>0</v>
      </c>
      <c r="J6094">
        <v>13850.3936790063</v>
      </c>
      <c r="K6094">
        <v>12104.706381460999</v>
      </c>
      <c r="L6094">
        <v>51.82</v>
      </c>
      <c r="M6094">
        <v>70.611000000000004</v>
      </c>
      <c r="N6094">
        <v>24.103000000000002</v>
      </c>
    </row>
    <row r="6095" spans="1:14" x14ac:dyDescent="0.45">
      <c r="A6095">
        <v>2008</v>
      </c>
      <c r="B6095" t="s">
        <v>261</v>
      </c>
      <c r="C6095">
        <v>0</v>
      </c>
      <c r="D6095">
        <v>1</v>
      </c>
      <c r="E6095">
        <v>0</v>
      </c>
      <c r="F6095">
        <v>0</v>
      </c>
      <c r="G6095">
        <v>1</v>
      </c>
      <c r="H6095">
        <v>0</v>
      </c>
      <c r="I6095">
        <v>0</v>
      </c>
      <c r="L6095">
        <v>11.968999999999999</v>
      </c>
      <c r="M6095">
        <v>72.578000000000003</v>
      </c>
      <c r="N6095">
        <v>17.690999999999999</v>
      </c>
    </row>
    <row r="6096" spans="1:14" x14ac:dyDescent="0.45">
      <c r="A6096">
        <v>2008</v>
      </c>
      <c r="B6096" t="s">
        <v>262</v>
      </c>
      <c r="C6096">
        <v>0</v>
      </c>
      <c r="D6096">
        <v>1</v>
      </c>
      <c r="E6096">
        <v>0</v>
      </c>
      <c r="F6096">
        <v>0</v>
      </c>
      <c r="G6096">
        <v>0</v>
      </c>
      <c r="H6096">
        <v>1</v>
      </c>
      <c r="I6096">
        <v>1</v>
      </c>
      <c r="L6096">
        <v>55.847999999999999</v>
      </c>
      <c r="M6096">
        <v>76.069999999999993</v>
      </c>
      <c r="N6096">
        <v>15.696999999999999</v>
      </c>
    </row>
    <row r="6097" spans="1:14" x14ac:dyDescent="0.45">
      <c r="A6097">
        <v>2008</v>
      </c>
      <c r="B6097" t="s">
        <v>263</v>
      </c>
      <c r="C6097">
        <v>0</v>
      </c>
      <c r="D6097">
        <v>1</v>
      </c>
      <c r="E6097">
        <v>0</v>
      </c>
      <c r="F6097">
        <v>0</v>
      </c>
      <c r="G6097">
        <v>0</v>
      </c>
      <c r="H6097">
        <v>1</v>
      </c>
      <c r="I6097">
        <v>1</v>
      </c>
      <c r="J6097">
        <v>63057.626312363798</v>
      </c>
      <c r="K6097">
        <v>49385.107020441203</v>
      </c>
      <c r="L6097">
        <v>5.7610000000000001</v>
      </c>
      <c r="M6097">
        <v>72.656999999999996</v>
      </c>
      <c r="N6097">
        <v>10.58</v>
      </c>
    </row>
    <row r="6098" spans="1:14" x14ac:dyDescent="0.45">
      <c r="A6098">
        <v>2008</v>
      </c>
      <c r="B6098" t="s">
        <v>264</v>
      </c>
      <c r="C6098">
        <v>0</v>
      </c>
      <c r="D6098">
        <v>0</v>
      </c>
      <c r="E6098">
        <v>0</v>
      </c>
      <c r="F6098">
        <v>0</v>
      </c>
      <c r="G6098">
        <v>0</v>
      </c>
      <c r="H6098">
        <v>0</v>
      </c>
      <c r="I6098">
        <v>0</v>
      </c>
      <c r="J6098">
        <v>6659.1356143206503</v>
      </c>
      <c r="K6098">
        <v>5933.8418150785501</v>
      </c>
      <c r="L6098">
        <v>70.872</v>
      </c>
      <c r="M6098">
        <v>73.454999999999998</v>
      </c>
      <c r="N6098">
        <v>23.983000000000001</v>
      </c>
    </row>
    <row r="6099" spans="1:14" x14ac:dyDescent="0.45">
      <c r="A6099">
        <v>2008</v>
      </c>
      <c r="B6099" t="s">
        <v>265</v>
      </c>
      <c r="C6099">
        <v>0</v>
      </c>
      <c r="D6099">
        <v>0</v>
      </c>
      <c r="E6099">
        <v>0</v>
      </c>
      <c r="F6099">
        <v>1</v>
      </c>
      <c r="G6099">
        <v>0</v>
      </c>
      <c r="H6099">
        <v>0</v>
      </c>
      <c r="I6099">
        <v>0</v>
      </c>
      <c r="J6099">
        <v>3381.3856442608999</v>
      </c>
      <c r="K6099">
        <v>3058.8060048464199</v>
      </c>
      <c r="L6099">
        <v>76.015000000000001</v>
      </c>
      <c r="M6099">
        <v>69.302000000000007</v>
      </c>
      <c r="N6099">
        <v>25.222999999999999</v>
      </c>
    </row>
    <row r="6100" spans="1:14" x14ac:dyDescent="0.45">
      <c r="A6100">
        <v>2008</v>
      </c>
      <c r="B6100" t="s">
        <v>266</v>
      </c>
      <c r="C6100">
        <v>0</v>
      </c>
      <c r="D6100">
        <v>0</v>
      </c>
      <c r="E6100">
        <v>0</v>
      </c>
      <c r="F6100">
        <v>1</v>
      </c>
      <c r="G6100">
        <v>0</v>
      </c>
      <c r="H6100">
        <v>0</v>
      </c>
      <c r="I6100">
        <v>0</v>
      </c>
      <c r="J6100">
        <v>6182.7632785477299</v>
      </c>
      <c r="K6100">
        <v>5592.9359832304699</v>
      </c>
      <c r="L6100">
        <v>79.475999999999999</v>
      </c>
      <c r="M6100">
        <v>71.531000000000006</v>
      </c>
      <c r="N6100">
        <v>19.277999999999999</v>
      </c>
    </row>
    <row r="6101" spans="1:14" x14ac:dyDescent="0.45">
      <c r="A6101">
        <v>2008</v>
      </c>
      <c r="B6101" t="s">
        <v>267</v>
      </c>
      <c r="C6101">
        <v>1</v>
      </c>
      <c r="D6101">
        <v>0</v>
      </c>
      <c r="E6101">
        <v>0</v>
      </c>
      <c r="F6101">
        <v>1</v>
      </c>
      <c r="G6101">
        <v>0</v>
      </c>
      <c r="H6101">
        <v>0</v>
      </c>
      <c r="I6101">
        <v>0</v>
      </c>
      <c r="J6101">
        <v>7098.4030190904195</v>
      </c>
      <c r="K6101">
        <v>6443.0290183468096</v>
      </c>
      <c r="L6101">
        <v>45.45</v>
      </c>
      <c r="M6101">
        <v>74.710999999999999</v>
      </c>
      <c r="N6101">
        <v>23.613</v>
      </c>
    </row>
    <row r="6102" spans="1:14" x14ac:dyDescent="0.45">
      <c r="A6102">
        <v>2008</v>
      </c>
      <c r="B6102" t="s">
        <v>268</v>
      </c>
      <c r="C6102">
        <v>0</v>
      </c>
      <c r="D6102">
        <v>0</v>
      </c>
      <c r="E6102">
        <v>0</v>
      </c>
      <c r="F6102">
        <v>0</v>
      </c>
      <c r="G6102">
        <v>0</v>
      </c>
      <c r="H6102">
        <v>0</v>
      </c>
      <c r="I6102">
        <v>0</v>
      </c>
      <c r="L6102">
        <v>69.381</v>
      </c>
      <c r="M6102">
        <v>66.608999999999995</v>
      </c>
      <c r="N6102">
        <v>61.319000000000003</v>
      </c>
    </row>
    <row r="6103" spans="1:14" x14ac:dyDescent="0.45">
      <c r="A6103">
        <v>2008</v>
      </c>
      <c r="B6103" t="s">
        <v>269</v>
      </c>
      <c r="C6103">
        <v>0</v>
      </c>
      <c r="D6103">
        <v>0</v>
      </c>
      <c r="E6103">
        <v>1</v>
      </c>
      <c r="F6103">
        <v>0</v>
      </c>
      <c r="G6103">
        <v>1</v>
      </c>
      <c r="H6103">
        <v>0</v>
      </c>
      <c r="I6103">
        <v>0</v>
      </c>
      <c r="J6103">
        <v>14315.1896495205</v>
      </c>
      <c r="K6103">
        <v>13478.339884675701</v>
      </c>
      <c r="L6103">
        <v>38.845999999999997</v>
      </c>
      <c r="M6103">
        <v>55.981999999999999</v>
      </c>
      <c r="N6103">
        <v>67.375</v>
      </c>
    </row>
    <row r="6104" spans="1:14" x14ac:dyDescent="0.45">
      <c r="A6104">
        <v>2008</v>
      </c>
      <c r="B6104" t="s">
        <v>270</v>
      </c>
      <c r="C6104">
        <v>0</v>
      </c>
      <c r="D6104">
        <v>0</v>
      </c>
      <c r="E6104">
        <v>1</v>
      </c>
      <c r="F6104">
        <v>0</v>
      </c>
      <c r="G6104">
        <v>0</v>
      </c>
      <c r="H6104">
        <v>0</v>
      </c>
      <c r="I6104">
        <v>0</v>
      </c>
      <c r="J6104">
        <v>2908.1436251066798</v>
      </c>
      <c r="K6104">
        <v>2730.3317758907001</v>
      </c>
      <c r="L6104">
        <v>61.628999999999998</v>
      </c>
      <c r="M6104">
        <v>54.835000000000001</v>
      </c>
      <c r="N6104">
        <v>88.617999999999995</v>
      </c>
    </row>
    <row r="6105" spans="1:14" x14ac:dyDescent="0.45">
      <c r="A6105">
        <v>2008</v>
      </c>
      <c r="B6105" t="s">
        <v>271</v>
      </c>
      <c r="C6105">
        <v>0</v>
      </c>
      <c r="D6105">
        <v>0</v>
      </c>
      <c r="E6105">
        <v>1</v>
      </c>
      <c r="F6105">
        <v>0</v>
      </c>
      <c r="G6105">
        <v>0</v>
      </c>
      <c r="H6105">
        <v>0</v>
      </c>
      <c r="I6105">
        <v>0</v>
      </c>
      <c r="J6105">
        <v>1949.0348940029901</v>
      </c>
      <c r="K6105">
        <v>1297.73737806297</v>
      </c>
      <c r="L6105">
        <v>66.44</v>
      </c>
      <c r="M6105">
        <v>48.456000000000003</v>
      </c>
      <c r="N6105">
        <v>91.686999999999998</v>
      </c>
    </row>
    <row r="6106" spans="1:14" x14ac:dyDescent="0.45">
      <c r="A6106">
        <v>2009</v>
      </c>
      <c r="B6106" t="s">
        <v>54</v>
      </c>
      <c r="C6106">
        <v>0</v>
      </c>
      <c r="D6106">
        <v>1</v>
      </c>
      <c r="E6106">
        <v>0</v>
      </c>
      <c r="F6106">
        <v>0</v>
      </c>
      <c r="G6106">
        <v>0</v>
      </c>
      <c r="H6106">
        <v>1</v>
      </c>
      <c r="I6106">
        <v>1</v>
      </c>
      <c r="J6106">
        <v>36590.560109988997</v>
      </c>
      <c r="K6106">
        <v>35610.200169769298</v>
      </c>
      <c r="L6106">
        <v>56.579000000000001</v>
      </c>
      <c r="M6106">
        <v>73.974000000000004</v>
      </c>
      <c r="N6106">
        <v>18.384</v>
      </c>
    </row>
    <row r="6107" spans="1:14" x14ac:dyDescent="0.45">
      <c r="A6107">
        <v>2009</v>
      </c>
      <c r="B6107" t="s">
        <v>55</v>
      </c>
      <c r="C6107">
        <v>0</v>
      </c>
      <c r="D6107">
        <v>0</v>
      </c>
      <c r="E6107">
        <v>0</v>
      </c>
      <c r="F6107">
        <v>0</v>
      </c>
      <c r="G6107">
        <v>0</v>
      </c>
      <c r="H6107">
        <v>0</v>
      </c>
      <c r="I6107">
        <v>0</v>
      </c>
      <c r="J6107">
        <v>2565.0220858409898</v>
      </c>
      <c r="K6107">
        <v>2028.90970412611</v>
      </c>
      <c r="L6107">
        <v>76.471999999999994</v>
      </c>
      <c r="M6107">
        <v>60.247999999999998</v>
      </c>
      <c r="N6107">
        <v>93.614000000000004</v>
      </c>
    </row>
    <row r="6108" spans="1:14" x14ac:dyDescent="0.45">
      <c r="A6108">
        <v>2009</v>
      </c>
      <c r="B6108" t="s">
        <v>56</v>
      </c>
      <c r="C6108">
        <v>0</v>
      </c>
      <c r="D6108">
        <v>0</v>
      </c>
      <c r="E6108">
        <v>1</v>
      </c>
      <c r="F6108">
        <v>1</v>
      </c>
      <c r="G6108">
        <v>0</v>
      </c>
      <c r="H6108">
        <v>0</v>
      </c>
      <c r="I6108">
        <v>0</v>
      </c>
      <c r="J6108">
        <v>9629.0919480182893</v>
      </c>
      <c r="K6108">
        <v>7446.6659175764198</v>
      </c>
      <c r="L6108">
        <v>40.966000000000001</v>
      </c>
      <c r="M6108">
        <v>56.225000000000001</v>
      </c>
      <c r="N6108">
        <v>127.508</v>
      </c>
    </row>
    <row r="6109" spans="1:14" x14ac:dyDescent="0.45">
      <c r="A6109">
        <v>2009</v>
      </c>
      <c r="B6109" t="s">
        <v>57</v>
      </c>
      <c r="C6109">
        <v>1</v>
      </c>
      <c r="D6109">
        <v>0</v>
      </c>
      <c r="E6109">
        <v>0</v>
      </c>
      <c r="F6109">
        <v>0</v>
      </c>
      <c r="G6109">
        <v>1</v>
      </c>
      <c r="H6109">
        <v>0</v>
      </c>
      <c r="I6109">
        <v>0</v>
      </c>
      <c r="J6109">
        <v>11429.9665612152</v>
      </c>
      <c r="K6109">
        <v>10355.025438439299</v>
      </c>
      <c r="L6109">
        <v>48.923999999999999</v>
      </c>
      <c r="M6109">
        <v>78.509</v>
      </c>
      <c r="N6109">
        <v>14.505000000000001</v>
      </c>
    </row>
    <row r="6110" spans="1:14" x14ac:dyDescent="0.45">
      <c r="A6110">
        <v>2009</v>
      </c>
      <c r="B6110" t="s">
        <v>58</v>
      </c>
      <c r="C6110">
        <v>1</v>
      </c>
      <c r="D6110">
        <v>0</v>
      </c>
      <c r="E6110">
        <v>0</v>
      </c>
      <c r="F6110">
        <v>0</v>
      </c>
      <c r="G6110">
        <v>0</v>
      </c>
      <c r="H6110">
        <v>1</v>
      </c>
      <c r="I6110">
        <v>1</v>
      </c>
      <c r="J6110">
        <v>57203.9708883731</v>
      </c>
      <c r="K6110">
        <v>48018.365096394497</v>
      </c>
      <c r="L6110">
        <v>11.087999999999999</v>
      </c>
      <c r="M6110">
        <v>84.1</v>
      </c>
      <c r="N6110">
        <v>5.9589999999999996</v>
      </c>
    </row>
    <row r="6111" spans="1:14" x14ac:dyDescent="0.45">
      <c r="A6111">
        <v>2009</v>
      </c>
      <c r="B6111" t="s">
        <v>59</v>
      </c>
      <c r="C6111">
        <v>0</v>
      </c>
      <c r="D6111">
        <v>0</v>
      </c>
      <c r="E6111">
        <v>0</v>
      </c>
      <c r="F6111">
        <v>0</v>
      </c>
      <c r="G6111">
        <v>0</v>
      </c>
      <c r="H6111">
        <v>1</v>
      </c>
      <c r="I6111">
        <v>1</v>
      </c>
      <c r="J6111">
        <v>69357.997427742506</v>
      </c>
      <c r="K6111">
        <v>68523.529874328204</v>
      </c>
      <c r="L6111">
        <v>16.257999999999999</v>
      </c>
      <c r="M6111">
        <v>81.679000000000002</v>
      </c>
      <c r="N6111">
        <v>8.8829999999999991</v>
      </c>
    </row>
    <row r="6112" spans="1:14" x14ac:dyDescent="0.45">
      <c r="A6112">
        <v>2009</v>
      </c>
      <c r="B6112" t="s">
        <v>60</v>
      </c>
      <c r="C6112">
        <v>0</v>
      </c>
      <c r="D6112">
        <v>1</v>
      </c>
      <c r="E6112">
        <v>0</v>
      </c>
      <c r="F6112">
        <v>0</v>
      </c>
      <c r="G6112">
        <v>1</v>
      </c>
      <c r="H6112">
        <v>0</v>
      </c>
      <c r="I6112">
        <v>0</v>
      </c>
      <c r="J6112">
        <v>25747.197680999499</v>
      </c>
      <c r="K6112">
        <v>21249.414335640198</v>
      </c>
      <c r="L6112">
        <v>9.3089999999999993</v>
      </c>
      <c r="M6112">
        <v>75.576999999999998</v>
      </c>
      <c r="N6112">
        <v>15.677</v>
      </c>
    </row>
    <row r="6113" spans="1:14" x14ac:dyDescent="0.45">
      <c r="A6113">
        <v>2009</v>
      </c>
      <c r="B6113" t="s">
        <v>61</v>
      </c>
      <c r="C6113">
        <v>1</v>
      </c>
      <c r="D6113">
        <v>0</v>
      </c>
      <c r="E6113">
        <v>0</v>
      </c>
      <c r="F6113">
        <v>1</v>
      </c>
      <c r="G6113">
        <v>0</v>
      </c>
      <c r="H6113">
        <v>0</v>
      </c>
      <c r="I6113">
        <v>0</v>
      </c>
      <c r="J6113">
        <v>10143.235079686699</v>
      </c>
      <c r="K6113">
        <v>8592.3469259604099</v>
      </c>
      <c r="L6113">
        <v>36.46</v>
      </c>
      <c r="M6113">
        <v>72.713999999999999</v>
      </c>
      <c r="N6113">
        <v>19.606999999999999</v>
      </c>
    </row>
    <row r="6114" spans="1:14" x14ac:dyDescent="0.45">
      <c r="A6114">
        <v>2009</v>
      </c>
      <c r="B6114" t="s">
        <v>62</v>
      </c>
      <c r="C6114">
        <v>0</v>
      </c>
      <c r="D6114">
        <v>0</v>
      </c>
      <c r="E6114">
        <v>0</v>
      </c>
      <c r="F6114">
        <v>0</v>
      </c>
      <c r="G6114">
        <v>1</v>
      </c>
      <c r="H6114">
        <v>0</v>
      </c>
      <c r="I6114">
        <v>0</v>
      </c>
      <c r="L6114">
        <v>12.303000000000001</v>
      </c>
      <c r="M6114">
        <v>70.838999999999999</v>
      </c>
      <c r="N6114">
        <v>16.436</v>
      </c>
    </row>
    <row r="6115" spans="1:14" x14ac:dyDescent="0.45">
      <c r="A6115">
        <v>2009</v>
      </c>
      <c r="B6115" t="s">
        <v>63</v>
      </c>
      <c r="C6115">
        <v>0</v>
      </c>
      <c r="D6115">
        <v>1</v>
      </c>
      <c r="E6115">
        <v>0</v>
      </c>
      <c r="F6115">
        <v>0</v>
      </c>
      <c r="G6115">
        <v>1</v>
      </c>
      <c r="H6115">
        <v>0</v>
      </c>
      <c r="I6115">
        <v>0</v>
      </c>
      <c r="J6115">
        <v>28405.6900929523</v>
      </c>
      <c r="K6115">
        <v>22372.2315024405</v>
      </c>
      <c r="L6115">
        <v>73.182000000000002</v>
      </c>
      <c r="M6115">
        <v>76.385999999999996</v>
      </c>
      <c r="N6115">
        <v>12.163</v>
      </c>
    </row>
    <row r="6116" spans="1:14" x14ac:dyDescent="0.45">
      <c r="A6116">
        <v>2009</v>
      </c>
      <c r="B6116" t="s">
        <v>64</v>
      </c>
      <c r="C6116">
        <v>0</v>
      </c>
      <c r="D6116">
        <v>0</v>
      </c>
      <c r="E6116">
        <v>0</v>
      </c>
      <c r="F6116">
        <v>0</v>
      </c>
      <c r="G6116">
        <v>0</v>
      </c>
      <c r="H6116">
        <v>1</v>
      </c>
      <c r="I6116">
        <v>1</v>
      </c>
      <c r="J6116">
        <v>52254.322732685199</v>
      </c>
      <c r="K6116">
        <v>45260.164768542199</v>
      </c>
      <c r="L6116">
        <v>14.936999999999999</v>
      </c>
      <c r="M6116">
        <v>81.727999999999994</v>
      </c>
      <c r="N6116">
        <v>4.9290000000000003</v>
      </c>
    </row>
    <row r="6117" spans="1:14" x14ac:dyDescent="0.45">
      <c r="A6117">
        <v>2009</v>
      </c>
      <c r="B6117" t="s">
        <v>65</v>
      </c>
      <c r="C6117">
        <v>1</v>
      </c>
      <c r="D6117">
        <v>0</v>
      </c>
      <c r="E6117">
        <v>0</v>
      </c>
      <c r="F6117">
        <v>0</v>
      </c>
      <c r="G6117">
        <v>0</v>
      </c>
      <c r="H6117">
        <v>1</v>
      </c>
      <c r="I6117">
        <v>1</v>
      </c>
      <c r="J6117">
        <v>58882.141870253203</v>
      </c>
      <c r="K6117">
        <v>50176.7430564405</v>
      </c>
      <c r="L6117">
        <v>42.317</v>
      </c>
      <c r="M6117">
        <v>80.206000000000003</v>
      </c>
      <c r="N6117">
        <v>4.5990000000000002</v>
      </c>
    </row>
    <row r="6118" spans="1:14" x14ac:dyDescent="0.45">
      <c r="A6118">
        <v>2009</v>
      </c>
      <c r="B6118" t="s">
        <v>66</v>
      </c>
      <c r="C6118">
        <v>1</v>
      </c>
      <c r="D6118">
        <v>0</v>
      </c>
      <c r="E6118">
        <v>0</v>
      </c>
      <c r="F6118">
        <v>0</v>
      </c>
      <c r="G6118">
        <v>1</v>
      </c>
      <c r="H6118">
        <v>0</v>
      </c>
      <c r="I6118">
        <v>0</v>
      </c>
      <c r="J6118">
        <v>19242.3899970454</v>
      </c>
      <c r="K6118">
        <v>14012.546139850099</v>
      </c>
      <c r="L6118">
        <v>46.81</v>
      </c>
      <c r="M6118">
        <v>69.873999999999995</v>
      </c>
      <c r="N6118">
        <v>40.546999999999997</v>
      </c>
    </row>
    <row r="6119" spans="1:14" x14ac:dyDescent="0.45">
      <c r="A6119">
        <v>2009</v>
      </c>
      <c r="B6119" t="s">
        <v>67</v>
      </c>
      <c r="C6119">
        <v>0</v>
      </c>
      <c r="D6119">
        <v>0</v>
      </c>
      <c r="E6119">
        <v>1</v>
      </c>
      <c r="F6119">
        <v>0</v>
      </c>
      <c r="G6119">
        <v>0</v>
      </c>
      <c r="H6119">
        <v>0</v>
      </c>
      <c r="I6119">
        <v>0</v>
      </c>
      <c r="J6119">
        <v>944.62992561295403</v>
      </c>
      <c r="K6119">
        <v>816.25778231803201</v>
      </c>
      <c r="L6119">
        <v>89.623999999999995</v>
      </c>
      <c r="M6119">
        <v>56.421999999999997</v>
      </c>
      <c r="N6119">
        <v>96.628</v>
      </c>
    </row>
    <row r="6120" spans="1:14" x14ac:dyDescent="0.45">
      <c r="A6120">
        <v>2009</v>
      </c>
      <c r="B6120" t="s">
        <v>68</v>
      </c>
      <c r="C6120">
        <v>1</v>
      </c>
      <c r="D6120">
        <v>0</v>
      </c>
      <c r="E6120">
        <v>0</v>
      </c>
      <c r="F6120">
        <v>0</v>
      </c>
      <c r="G6120">
        <v>0</v>
      </c>
      <c r="H6120">
        <v>1</v>
      </c>
      <c r="I6120">
        <v>1</v>
      </c>
      <c r="J6120">
        <v>55283.086337655601</v>
      </c>
      <c r="K6120">
        <v>46521.636315887801</v>
      </c>
      <c r="L6120">
        <v>2.39700000000001</v>
      </c>
      <c r="M6120">
        <v>79.849000000000004</v>
      </c>
      <c r="N6120">
        <v>4.4039999999999999</v>
      </c>
    </row>
    <row r="6121" spans="1:14" x14ac:dyDescent="0.45">
      <c r="A6121">
        <v>2009</v>
      </c>
      <c r="B6121" t="s">
        <v>69</v>
      </c>
      <c r="C6121">
        <v>0</v>
      </c>
      <c r="D6121">
        <v>0</v>
      </c>
      <c r="E6121">
        <v>1</v>
      </c>
      <c r="F6121">
        <v>0</v>
      </c>
      <c r="G6121">
        <v>0</v>
      </c>
      <c r="H6121">
        <v>0</v>
      </c>
      <c r="I6121">
        <v>0</v>
      </c>
      <c r="J6121">
        <v>2758.0724315064799</v>
      </c>
      <c r="K6121">
        <v>2616.7264170603198</v>
      </c>
      <c r="L6121">
        <v>57.42</v>
      </c>
      <c r="M6121">
        <v>58.258000000000003</v>
      </c>
      <c r="N6121">
        <v>111.146</v>
      </c>
    </row>
    <row r="6122" spans="1:14" x14ac:dyDescent="0.45">
      <c r="A6122">
        <v>2009</v>
      </c>
      <c r="B6122" t="s">
        <v>70</v>
      </c>
      <c r="C6122">
        <v>0</v>
      </c>
      <c r="D6122">
        <v>0</v>
      </c>
      <c r="E6122">
        <v>1</v>
      </c>
      <c r="F6122">
        <v>0</v>
      </c>
      <c r="G6122">
        <v>0</v>
      </c>
      <c r="H6122">
        <v>0</v>
      </c>
      <c r="I6122">
        <v>0</v>
      </c>
      <c r="J6122">
        <v>1779.3230562797301</v>
      </c>
      <c r="K6122">
        <v>1627.9686536231</v>
      </c>
      <c r="L6122">
        <v>75.921000000000006</v>
      </c>
      <c r="M6122">
        <v>55.790999999999997</v>
      </c>
      <c r="N6122">
        <v>127.804</v>
      </c>
    </row>
    <row r="6123" spans="1:14" x14ac:dyDescent="0.45">
      <c r="A6123">
        <v>2009</v>
      </c>
      <c r="B6123" t="s">
        <v>71</v>
      </c>
      <c r="C6123">
        <v>0</v>
      </c>
      <c r="D6123">
        <v>0</v>
      </c>
      <c r="E6123">
        <v>0</v>
      </c>
      <c r="F6123">
        <v>0</v>
      </c>
      <c r="G6123">
        <v>0</v>
      </c>
      <c r="H6123">
        <v>0</v>
      </c>
      <c r="I6123">
        <v>0</v>
      </c>
      <c r="J6123">
        <v>3942.1363120720298</v>
      </c>
      <c r="K6123">
        <v>3204.9353958979</v>
      </c>
      <c r="L6123">
        <v>70.290999999999997</v>
      </c>
      <c r="M6123">
        <v>67.527000000000001</v>
      </c>
      <c r="N6123">
        <v>52.220999999999997</v>
      </c>
    </row>
    <row r="6124" spans="1:14" x14ac:dyDescent="0.45">
      <c r="A6124">
        <v>2009</v>
      </c>
      <c r="B6124" t="s">
        <v>72</v>
      </c>
      <c r="C6124">
        <v>1</v>
      </c>
      <c r="D6124">
        <v>0</v>
      </c>
      <c r="E6124">
        <v>0</v>
      </c>
      <c r="F6124">
        <v>0</v>
      </c>
      <c r="G6124">
        <v>1</v>
      </c>
      <c r="H6124">
        <v>0</v>
      </c>
      <c r="I6124">
        <v>0</v>
      </c>
      <c r="J6124">
        <v>21242.993662434601</v>
      </c>
      <c r="K6124">
        <v>17627.424940457498</v>
      </c>
      <c r="L6124">
        <v>28.036999999999999</v>
      </c>
      <c r="M6124">
        <v>73.680999999999997</v>
      </c>
      <c r="N6124">
        <v>11.073</v>
      </c>
    </row>
    <row r="6125" spans="1:14" x14ac:dyDescent="0.45">
      <c r="A6125">
        <v>2009</v>
      </c>
      <c r="B6125" t="s">
        <v>73</v>
      </c>
      <c r="C6125">
        <v>0</v>
      </c>
      <c r="D6125">
        <v>0</v>
      </c>
      <c r="E6125">
        <v>0</v>
      </c>
      <c r="F6125">
        <v>0</v>
      </c>
      <c r="G6125">
        <v>0</v>
      </c>
      <c r="H6125">
        <v>1</v>
      </c>
      <c r="I6125">
        <v>1</v>
      </c>
      <c r="J6125">
        <v>50665.750748921899</v>
      </c>
      <c r="K6125">
        <v>47208.4338207861</v>
      </c>
      <c r="L6125">
        <v>11.420999999999999</v>
      </c>
      <c r="M6125">
        <v>78.016000000000005</v>
      </c>
      <c r="N6125">
        <v>9.1039999999999992</v>
      </c>
    </row>
    <row r="6126" spans="1:14" x14ac:dyDescent="0.45">
      <c r="A6126">
        <v>2009</v>
      </c>
      <c r="B6126" t="s">
        <v>74</v>
      </c>
      <c r="C6126">
        <v>0</v>
      </c>
      <c r="D6126">
        <v>1</v>
      </c>
      <c r="E6126">
        <v>0</v>
      </c>
      <c r="F6126">
        <v>0</v>
      </c>
      <c r="G6126">
        <v>0</v>
      </c>
      <c r="H6126">
        <v>1</v>
      </c>
      <c r="I6126">
        <v>1</v>
      </c>
      <c r="J6126">
        <v>32630.1811108006</v>
      </c>
      <c r="K6126">
        <v>33846.829549343303</v>
      </c>
      <c r="L6126">
        <v>17.614999999999998</v>
      </c>
      <c r="M6126">
        <v>73.454999999999998</v>
      </c>
      <c r="N6126">
        <v>15.757999999999999</v>
      </c>
    </row>
    <row r="6127" spans="1:14" x14ac:dyDescent="0.45">
      <c r="A6127">
        <v>2009</v>
      </c>
      <c r="B6127" t="s">
        <v>75</v>
      </c>
      <c r="C6127">
        <v>1</v>
      </c>
      <c r="D6127">
        <v>0</v>
      </c>
      <c r="E6127">
        <v>0</v>
      </c>
      <c r="F6127">
        <v>0</v>
      </c>
      <c r="G6127">
        <v>1</v>
      </c>
      <c r="H6127">
        <v>0</v>
      </c>
      <c r="I6127">
        <v>0</v>
      </c>
      <c r="J6127">
        <v>11822.723157346099</v>
      </c>
      <c r="K6127">
        <v>10213.1928935669</v>
      </c>
      <c r="L6127">
        <v>54.761000000000003</v>
      </c>
      <c r="M6127">
        <v>76.700999999999993</v>
      </c>
      <c r="N6127">
        <v>6.8730000000000002</v>
      </c>
    </row>
    <row r="6128" spans="1:14" x14ac:dyDescent="0.45">
      <c r="A6128">
        <v>2009</v>
      </c>
      <c r="B6128" t="s">
        <v>76</v>
      </c>
      <c r="C6128">
        <v>1</v>
      </c>
      <c r="D6128">
        <v>0</v>
      </c>
      <c r="E6128">
        <v>0</v>
      </c>
      <c r="F6128">
        <v>0</v>
      </c>
      <c r="G6128">
        <v>1</v>
      </c>
      <c r="H6128">
        <v>0</v>
      </c>
      <c r="I6128">
        <v>0</v>
      </c>
      <c r="J6128">
        <v>22236.8387652895</v>
      </c>
      <c r="K6128">
        <v>16054.8879225398</v>
      </c>
      <c r="L6128">
        <v>25.827999999999999</v>
      </c>
      <c r="M6128">
        <v>70.409000000000006</v>
      </c>
      <c r="N6128">
        <v>6.1970000000000001</v>
      </c>
    </row>
    <row r="6129" spans="1:14" x14ac:dyDescent="0.45">
      <c r="A6129">
        <v>2009</v>
      </c>
      <c r="B6129" t="s">
        <v>77</v>
      </c>
      <c r="C6129">
        <v>0</v>
      </c>
      <c r="D6129">
        <v>1</v>
      </c>
      <c r="E6129">
        <v>0</v>
      </c>
      <c r="F6129">
        <v>1</v>
      </c>
      <c r="G6129">
        <v>0</v>
      </c>
      <c r="H6129">
        <v>0</v>
      </c>
      <c r="I6129">
        <v>0</v>
      </c>
      <c r="J6129">
        <v>12024.196468206101</v>
      </c>
      <c r="K6129">
        <v>9476.1871988451803</v>
      </c>
      <c r="L6129">
        <v>54.755000000000003</v>
      </c>
      <c r="M6129">
        <v>70.805999999999997</v>
      </c>
      <c r="N6129">
        <v>19.05</v>
      </c>
    </row>
    <row r="6130" spans="1:14" x14ac:dyDescent="0.45">
      <c r="A6130">
        <v>2009</v>
      </c>
      <c r="B6130" t="s">
        <v>78</v>
      </c>
      <c r="C6130">
        <v>0</v>
      </c>
      <c r="D6130">
        <v>0</v>
      </c>
      <c r="E6130">
        <v>0</v>
      </c>
      <c r="F6130">
        <v>0</v>
      </c>
      <c r="G6130">
        <v>0</v>
      </c>
      <c r="H6130">
        <v>1</v>
      </c>
      <c r="I6130">
        <v>1</v>
      </c>
      <c r="J6130">
        <v>108962.816946419</v>
      </c>
      <c r="K6130">
        <v>96809.531287620703</v>
      </c>
      <c r="L6130">
        <v>0</v>
      </c>
      <c r="M6130">
        <v>79.228999999999999</v>
      </c>
      <c r="N6130">
        <v>4.6509999999999998</v>
      </c>
    </row>
    <row r="6131" spans="1:14" x14ac:dyDescent="0.45">
      <c r="A6131">
        <v>2009</v>
      </c>
      <c r="B6131" t="s">
        <v>79</v>
      </c>
      <c r="C6131">
        <v>0</v>
      </c>
      <c r="D6131">
        <v>1</v>
      </c>
      <c r="E6131">
        <v>0</v>
      </c>
      <c r="F6131">
        <v>1</v>
      </c>
      <c r="G6131">
        <v>0</v>
      </c>
      <c r="H6131">
        <v>0</v>
      </c>
      <c r="I6131">
        <v>0</v>
      </c>
      <c r="J6131">
        <v>7392.1625928839803</v>
      </c>
      <c r="K6131">
        <v>6523.9546687359698</v>
      </c>
      <c r="L6131">
        <v>34.015999999999998</v>
      </c>
      <c r="M6131">
        <v>65.656000000000006</v>
      </c>
      <c r="N6131">
        <v>64.623000000000005</v>
      </c>
    </row>
    <row r="6132" spans="1:14" x14ac:dyDescent="0.45">
      <c r="A6132">
        <v>2009</v>
      </c>
      <c r="B6132" t="s">
        <v>80</v>
      </c>
      <c r="C6132">
        <v>0</v>
      </c>
      <c r="D6132">
        <v>1</v>
      </c>
      <c r="E6132">
        <v>0</v>
      </c>
      <c r="F6132">
        <v>0</v>
      </c>
      <c r="G6132">
        <v>1</v>
      </c>
      <c r="H6132">
        <v>0</v>
      </c>
      <c r="I6132">
        <v>0</v>
      </c>
      <c r="J6132">
        <v>16939.440781032801</v>
      </c>
      <c r="K6132">
        <v>13914.2115074427</v>
      </c>
      <c r="L6132">
        <v>15.956</v>
      </c>
      <c r="M6132">
        <v>73.456999999999994</v>
      </c>
      <c r="N6132">
        <v>19.756</v>
      </c>
    </row>
    <row r="6133" spans="1:14" x14ac:dyDescent="0.45">
      <c r="A6133">
        <v>2009</v>
      </c>
      <c r="B6133" t="s">
        <v>81</v>
      </c>
      <c r="C6133">
        <v>0</v>
      </c>
      <c r="D6133">
        <v>1</v>
      </c>
      <c r="E6133">
        <v>0</v>
      </c>
      <c r="F6133">
        <v>0</v>
      </c>
      <c r="G6133">
        <v>0</v>
      </c>
      <c r="H6133">
        <v>1</v>
      </c>
      <c r="I6133">
        <v>1</v>
      </c>
      <c r="J6133">
        <v>19770.526743795701</v>
      </c>
      <c r="K6133">
        <v>18882.821580363299</v>
      </c>
      <c r="L6133">
        <v>67.936999999999998</v>
      </c>
      <c r="M6133">
        <v>75.457999999999998</v>
      </c>
      <c r="N6133">
        <v>14.619</v>
      </c>
    </row>
    <row r="6134" spans="1:14" x14ac:dyDescent="0.45">
      <c r="A6134">
        <v>2009</v>
      </c>
      <c r="B6134" t="s">
        <v>82</v>
      </c>
      <c r="C6134">
        <v>0</v>
      </c>
      <c r="D6134">
        <v>0</v>
      </c>
      <c r="E6134">
        <v>0</v>
      </c>
      <c r="F6134">
        <v>0</v>
      </c>
      <c r="G6134">
        <v>0</v>
      </c>
      <c r="H6134">
        <v>1</v>
      </c>
      <c r="I6134">
        <v>1</v>
      </c>
      <c r="J6134">
        <v>87875.828231356805</v>
      </c>
      <c r="K6134">
        <v>68613.839818066204</v>
      </c>
      <c r="L6134">
        <v>25.391999999999999</v>
      </c>
      <c r="M6134">
        <v>74.813999999999993</v>
      </c>
      <c r="N6134">
        <v>9.6349999999999998</v>
      </c>
    </row>
    <row r="6135" spans="1:14" x14ac:dyDescent="0.45">
      <c r="A6135">
        <v>2009</v>
      </c>
      <c r="B6135" t="s">
        <v>83</v>
      </c>
      <c r="C6135">
        <v>0</v>
      </c>
      <c r="D6135">
        <v>0</v>
      </c>
      <c r="E6135">
        <v>0</v>
      </c>
      <c r="F6135">
        <v>1</v>
      </c>
      <c r="G6135">
        <v>0</v>
      </c>
      <c r="H6135">
        <v>0</v>
      </c>
      <c r="I6135">
        <v>0</v>
      </c>
      <c r="J6135">
        <v>9019.1186127239707</v>
      </c>
      <c r="K6135">
        <v>7811.6972853059497</v>
      </c>
      <c r="L6135">
        <v>65.989999999999995</v>
      </c>
      <c r="M6135">
        <v>68.156000000000006</v>
      </c>
      <c r="N6135">
        <v>43.338000000000001</v>
      </c>
    </row>
    <row r="6136" spans="1:14" x14ac:dyDescent="0.45">
      <c r="A6136">
        <v>2009</v>
      </c>
      <c r="B6136" t="s">
        <v>84</v>
      </c>
      <c r="C6136">
        <v>0</v>
      </c>
      <c r="D6136">
        <v>0</v>
      </c>
      <c r="E6136">
        <v>1</v>
      </c>
      <c r="F6136">
        <v>0</v>
      </c>
      <c r="G6136">
        <v>1</v>
      </c>
      <c r="H6136">
        <v>0</v>
      </c>
      <c r="I6136">
        <v>0</v>
      </c>
      <c r="J6136">
        <v>13489.950915614299</v>
      </c>
      <c r="K6136">
        <v>12205.5245968372</v>
      </c>
      <c r="L6136">
        <v>39.063000000000002</v>
      </c>
      <c r="M6136">
        <v>58.296999999999997</v>
      </c>
      <c r="N6136">
        <v>60.552999999999997</v>
      </c>
    </row>
    <row r="6137" spans="1:14" x14ac:dyDescent="0.45">
      <c r="A6137">
        <v>2009</v>
      </c>
      <c r="B6137" t="s">
        <v>85</v>
      </c>
      <c r="C6137">
        <v>0</v>
      </c>
      <c r="D6137">
        <v>0</v>
      </c>
      <c r="E6137">
        <v>1</v>
      </c>
      <c r="F6137">
        <v>0</v>
      </c>
      <c r="G6137">
        <v>0</v>
      </c>
      <c r="H6137">
        <v>0</v>
      </c>
      <c r="I6137">
        <v>0</v>
      </c>
      <c r="J6137">
        <v>1402.6816477080099</v>
      </c>
      <c r="K6137">
        <v>1123.0575153612999</v>
      </c>
      <c r="L6137">
        <v>61.305999999999997</v>
      </c>
      <c r="M6137">
        <v>14.664999999999999</v>
      </c>
      <c r="N6137">
        <v>454.93799999999999</v>
      </c>
    </row>
    <row r="6138" spans="1:14" x14ac:dyDescent="0.45">
      <c r="A6138">
        <v>2009</v>
      </c>
      <c r="B6138" t="s">
        <v>86</v>
      </c>
      <c r="C6138">
        <v>0</v>
      </c>
      <c r="D6138">
        <v>0</v>
      </c>
      <c r="E6138">
        <v>0</v>
      </c>
      <c r="F6138">
        <v>0</v>
      </c>
      <c r="G6138">
        <v>0</v>
      </c>
      <c r="H6138">
        <v>1</v>
      </c>
      <c r="I6138">
        <v>1</v>
      </c>
      <c r="J6138">
        <v>51552.422383789497</v>
      </c>
      <c r="K6138">
        <v>44624.631324735499</v>
      </c>
      <c r="L6138">
        <v>19.242000000000001</v>
      </c>
      <c r="M6138">
        <v>81.064999999999998</v>
      </c>
      <c r="N6138">
        <v>5.617</v>
      </c>
    </row>
    <row r="6139" spans="1:14" x14ac:dyDescent="0.45">
      <c r="A6139">
        <v>2009</v>
      </c>
      <c r="B6139" t="s">
        <v>87</v>
      </c>
      <c r="C6139">
        <v>1</v>
      </c>
      <c r="D6139">
        <v>0</v>
      </c>
      <c r="E6139">
        <v>0</v>
      </c>
      <c r="F6139">
        <v>0</v>
      </c>
      <c r="G6139">
        <v>0</v>
      </c>
      <c r="H6139">
        <v>1</v>
      </c>
      <c r="I6139">
        <v>1</v>
      </c>
      <c r="J6139">
        <v>72709.813829340797</v>
      </c>
      <c r="K6139">
        <v>63255.131449266097</v>
      </c>
      <c r="L6139">
        <v>26.419</v>
      </c>
      <c r="M6139">
        <v>81.989000000000004</v>
      </c>
      <c r="N6139">
        <v>4.9569999999999999</v>
      </c>
    </row>
    <row r="6140" spans="1:14" x14ac:dyDescent="0.45">
      <c r="A6140">
        <v>2009</v>
      </c>
      <c r="B6140" t="s">
        <v>88</v>
      </c>
      <c r="C6140">
        <v>1</v>
      </c>
      <c r="D6140">
        <v>0</v>
      </c>
      <c r="E6140">
        <v>0</v>
      </c>
      <c r="F6140">
        <v>0</v>
      </c>
      <c r="G6140">
        <v>0</v>
      </c>
      <c r="H6140">
        <v>1</v>
      </c>
      <c r="I6140">
        <v>1</v>
      </c>
      <c r="L6140">
        <v>69.007999999999996</v>
      </c>
      <c r="M6140">
        <v>80.985566074750295</v>
      </c>
      <c r="N6140">
        <v>8.7766145475554094</v>
      </c>
    </row>
    <row r="6141" spans="1:14" x14ac:dyDescent="0.45">
      <c r="A6141">
        <v>2009</v>
      </c>
      <c r="B6141" t="s">
        <v>89</v>
      </c>
      <c r="C6141">
        <v>0</v>
      </c>
      <c r="D6141">
        <v>1</v>
      </c>
      <c r="E6141">
        <v>0</v>
      </c>
      <c r="F6141">
        <v>0</v>
      </c>
      <c r="G6141">
        <v>1</v>
      </c>
      <c r="H6141">
        <v>0</v>
      </c>
      <c r="I6141">
        <v>0</v>
      </c>
      <c r="J6141">
        <v>23013.581789381398</v>
      </c>
      <c r="K6141">
        <v>20046.715632613101</v>
      </c>
      <c r="L6141">
        <v>12.983000000000001</v>
      </c>
      <c r="M6141">
        <v>78.89</v>
      </c>
      <c r="N6141">
        <v>9.3759999999999994</v>
      </c>
    </row>
    <row r="6142" spans="1:14" x14ac:dyDescent="0.45">
      <c r="A6142">
        <v>2009</v>
      </c>
      <c r="B6142" t="s">
        <v>90</v>
      </c>
      <c r="C6142">
        <v>0</v>
      </c>
      <c r="D6142">
        <v>0</v>
      </c>
      <c r="E6142">
        <v>0</v>
      </c>
      <c r="F6142">
        <v>1</v>
      </c>
      <c r="G6142">
        <v>0</v>
      </c>
      <c r="H6142">
        <v>0</v>
      </c>
      <c r="I6142">
        <v>0</v>
      </c>
      <c r="J6142">
        <v>9518.4321473720393</v>
      </c>
      <c r="K6142">
        <v>8532.6581053654299</v>
      </c>
      <c r="L6142">
        <v>52.12</v>
      </c>
      <c r="M6142">
        <v>75.316999999999993</v>
      </c>
      <c r="N6142">
        <v>17.234999999999999</v>
      </c>
    </row>
    <row r="6143" spans="1:14" x14ac:dyDescent="0.45">
      <c r="A6143">
        <v>2009</v>
      </c>
      <c r="B6143" t="s">
        <v>91</v>
      </c>
      <c r="C6143">
        <v>0</v>
      </c>
      <c r="D6143">
        <v>0</v>
      </c>
      <c r="E6143">
        <v>1</v>
      </c>
      <c r="F6143">
        <v>1</v>
      </c>
      <c r="G6143">
        <v>0</v>
      </c>
      <c r="H6143">
        <v>0</v>
      </c>
      <c r="I6143">
        <v>0</v>
      </c>
      <c r="J6143">
        <v>4151.0536087498203</v>
      </c>
      <c r="K6143">
        <v>3504.1005809670701</v>
      </c>
      <c r="L6143">
        <v>53.09</v>
      </c>
      <c r="M6143">
        <v>54.744</v>
      </c>
      <c r="N6143">
        <v>106.399</v>
      </c>
    </row>
    <row r="6144" spans="1:14" x14ac:dyDescent="0.45">
      <c r="A6144">
        <v>2009</v>
      </c>
      <c r="B6144" t="s">
        <v>92</v>
      </c>
      <c r="C6144">
        <v>0</v>
      </c>
      <c r="D6144">
        <v>0</v>
      </c>
      <c r="E6144">
        <v>1</v>
      </c>
      <c r="F6144">
        <v>1</v>
      </c>
      <c r="G6144">
        <v>0</v>
      </c>
      <c r="H6144">
        <v>0</v>
      </c>
      <c r="I6144">
        <v>0</v>
      </c>
      <c r="J6144">
        <v>4286.5771816615597</v>
      </c>
      <c r="K6144">
        <v>3365.8742633974098</v>
      </c>
      <c r="L6144">
        <v>49.045999999999999</v>
      </c>
      <c r="M6144">
        <v>56.485999999999997</v>
      </c>
      <c r="N6144">
        <v>113.63</v>
      </c>
    </row>
    <row r="6145" spans="1:14" x14ac:dyDescent="0.45">
      <c r="A6145">
        <v>2009</v>
      </c>
      <c r="B6145" t="s">
        <v>93</v>
      </c>
      <c r="C6145">
        <v>0</v>
      </c>
      <c r="D6145">
        <v>0</v>
      </c>
      <c r="E6145">
        <v>1</v>
      </c>
      <c r="F6145">
        <v>0</v>
      </c>
      <c r="G6145">
        <v>0</v>
      </c>
      <c r="H6145">
        <v>0</v>
      </c>
      <c r="I6145">
        <v>0</v>
      </c>
      <c r="J6145">
        <v>993.997785686778</v>
      </c>
      <c r="K6145">
        <v>795.75935570435195</v>
      </c>
      <c r="L6145">
        <v>60.509</v>
      </c>
      <c r="M6145">
        <v>55.798000000000002</v>
      </c>
      <c r="N6145">
        <v>118.202</v>
      </c>
    </row>
    <row r="6146" spans="1:14" x14ac:dyDescent="0.45">
      <c r="A6146">
        <v>2009</v>
      </c>
      <c r="B6146" t="s">
        <v>94</v>
      </c>
      <c r="C6146">
        <v>0</v>
      </c>
      <c r="D6146">
        <v>0</v>
      </c>
      <c r="E6146">
        <v>1</v>
      </c>
      <c r="F6146">
        <v>1</v>
      </c>
      <c r="G6146">
        <v>0</v>
      </c>
      <c r="H6146">
        <v>0</v>
      </c>
      <c r="I6146">
        <v>0</v>
      </c>
      <c r="J6146">
        <v>8138.4503381882196</v>
      </c>
      <c r="K6146">
        <v>4906.22581675929</v>
      </c>
      <c r="L6146">
        <v>37.200000000000003</v>
      </c>
      <c r="M6146">
        <v>61.215000000000003</v>
      </c>
      <c r="N6146">
        <v>66.451999999999998</v>
      </c>
    </row>
    <row r="6147" spans="1:14" x14ac:dyDescent="0.45">
      <c r="A6147">
        <v>2009</v>
      </c>
      <c r="B6147" t="s">
        <v>95</v>
      </c>
      <c r="C6147">
        <v>0</v>
      </c>
      <c r="D6147">
        <v>1</v>
      </c>
      <c r="E6147">
        <v>0</v>
      </c>
      <c r="F6147">
        <v>0</v>
      </c>
      <c r="G6147">
        <v>1</v>
      </c>
      <c r="H6147">
        <v>0</v>
      </c>
      <c r="I6147">
        <v>0</v>
      </c>
      <c r="J6147">
        <v>13586.7518430982</v>
      </c>
      <c r="K6147">
        <v>11312.458451205301</v>
      </c>
      <c r="L6147">
        <v>22.413</v>
      </c>
      <c r="M6147">
        <v>74.531000000000006</v>
      </c>
      <c r="N6147">
        <v>18.963999999999999</v>
      </c>
    </row>
    <row r="6148" spans="1:14" x14ac:dyDescent="0.45">
      <c r="A6148">
        <v>2009</v>
      </c>
      <c r="B6148" t="s">
        <v>96</v>
      </c>
      <c r="C6148">
        <v>0</v>
      </c>
      <c r="D6148">
        <v>0</v>
      </c>
      <c r="E6148">
        <v>1</v>
      </c>
      <c r="F6148">
        <v>0</v>
      </c>
      <c r="G6148">
        <v>0</v>
      </c>
      <c r="H6148">
        <v>0</v>
      </c>
      <c r="I6148">
        <v>0</v>
      </c>
      <c r="J6148">
        <v>2581.66237774108</v>
      </c>
      <c r="K6148">
        <v>2669.7683737084399</v>
      </c>
      <c r="L6148">
        <v>72.078999999999994</v>
      </c>
      <c r="M6148">
        <v>62.302</v>
      </c>
      <c r="N6148">
        <v>74.918999999999997</v>
      </c>
    </row>
    <row r="6149" spans="1:14" x14ac:dyDescent="0.45">
      <c r="A6149">
        <v>2009</v>
      </c>
      <c r="B6149" t="s">
        <v>97</v>
      </c>
      <c r="C6149">
        <v>0</v>
      </c>
      <c r="D6149">
        <v>0</v>
      </c>
      <c r="E6149">
        <v>1</v>
      </c>
      <c r="F6149">
        <v>1</v>
      </c>
      <c r="G6149">
        <v>0</v>
      </c>
      <c r="H6149">
        <v>0</v>
      </c>
      <c r="I6149">
        <v>0</v>
      </c>
      <c r="J6149">
        <v>6994.5740991365001</v>
      </c>
      <c r="K6149">
        <v>6740.7697280380899</v>
      </c>
      <c r="L6149">
        <v>38.984000000000002</v>
      </c>
      <c r="M6149">
        <v>72.141999999999996</v>
      </c>
      <c r="N6149">
        <v>25.84</v>
      </c>
    </row>
    <row r="6150" spans="1:14" x14ac:dyDescent="0.45">
      <c r="A6150">
        <v>2009</v>
      </c>
      <c r="B6150" t="s">
        <v>98</v>
      </c>
      <c r="C6150">
        <v>0</v>
      </c>
      <c r="D6150">
        <v>1</v>
      </c>
      <c r="E6150">
        <v>0</v>
      </c>
      <c r="F6150">
        <v>0</v>
      </c>
      <c r="G6150">
        <v>1</v>
      </c>
      <c r="H6150">
        <v>0</v>
      </c>
      <c r="I6150">
        <v>0</v>
      </c>
      <c r="J6150">
        <v>17932.6147807384</v>
      </c>
      <c r="K6150">
        <v>16056.0463008809</v>
      </c>
      <c r="L6150">
        <v>29.425000000000001</v>
      </c>
      <c r="M6150">
        <v>79.372</v>
      </c>
      <c r="N6150">
        <v>10.635999999999999</v>
      </c>
    </row>
    <row r="6151" spans="1:14" x14ac:dyDescent="0.45">
      <c r="A6151">
        <v>2009</v>
      </c>
      <c r="B6151" t="s">
        <v>99</v>
      </c>
      <c r="C6151">
        <v>0</v>
      </c>
      <c r="D6151">
        <v>1</v>
      </c>
      <c r="E6151">
        <v>0</v>
      </c>
      <c r="F6151">
        <v>0</v>
      </c>
      <c r="G6151">
        <v>1</v>
      </c>
      <c r="H6151">
        <v>0</v>
      </c>
      <c r="I6151">
        <v>0</v>
      </c>
      <c r="L6151">
        <v>23.495000000000001</v>
      </c>
      <c r="M6151">
        <v>77.584000000000003</v>
      </c>
      <c r="N6151">
        <v>6.399</v>
      </c>
    </row>
    <row r="6152" spans="1:14" x14ac:dyDescent="0.45">
      <c r="A6152">
        <v>2009</v>
      </c>
      <c r="B6152" t="s">
        <v>100</v>
      </c>
      <c r="C6152">
        <v>0</v>
      </c>
      <c r="D6152">
        <v>1</v>
      </c>
      <c r="E6152">
        <v>0</v>
      </c>
      <c r="F6152">
        <v>0</v>
      </c>
      <c r="G6152">
        <v>0</v>
      </c>
      <c r="H6152">
        <v>1</v>
      </c>
      <c r="I6152">
        <v>1</v>
      </c>
      <c r="J6152">
        <v>33397.396961623497</v>
      </c>
      <c r="K6152">
        <v>27322.824777124999</v>
      </c>
      <c r="L6152">
        <v>9.9659999999999904</v>
      </c>
      <c r="M6152">
        <v>74.484999999999999</v>
      </c>
      <c r="N6152">
        <v>14.446999999999999</v>
      </c>
    </row>
    <row r="6153" spans="1:14" x14ac:dyDescent="0.45">
      <c r="A6153">
        <v>2009</v>
      </c>
      <c r="B6153" t="s">
        <v>101</v>
      </c>
      <c r="C6153">
        <v>0</v>
      </c>
      <c r="D6153">
        <v>1</v>
      </c>
      <c r="E6153">
        <v>0</v>
      </c>
      <c r="F6153">
        <v>0</v>
      </c>
      <c r="G6153">
        <v>0</v>
      </c>
      <c r="H6153">
        <v>1</v>
      </c>
      <c r="I6153">
        <v>1</v>
      </c>
      <c r="J6153">
        <v>80594.0775425264</v>
      </c>
      <c r="K6153">
        <v>73517.617076914001</v>
      </c>
      <c r="L6153">
        <v>0</v>
      </c>
      <c r="M6153">
        <v>75.671000000000006</v>
      </c>
      <c r="N6153">
        <v>4.694</v>
      </c>
    </row>
    <row r="6154" spans="1:14" x14ac:dyDescent="0.45">
      <c r="A6154">
        <v>2009</v>
      </c>
      <c r="B6154" t="s">
        <v>102</v>
      </c>
      <c r="C6154">
        <v>1</v>
      </c>
      <c r="D6154">
        <v>0</v>
      </c>
      <c r="E6154">
        <v>0</v>
      </c>
      <c r="F6154">
        <v>0</v>
      </c>
      <c r="G6154">
        <v>0</v>
      </c>
      <c r="H6154">
        <v>1</v>
      </c>
      <c r="I6154">
        <v>1</v>
      </c>
      <c r="J6154">
        <v>42254.6015625</v>
      </c>
      <c r="K6154">
        <v>37642.180198740702</v>
      </c>
      <c r="L6154">
        <v>32.305</v>
      </c>
      <c r="M6154">
        <v>80.375</v>
      </c>
      <c r="N6154">
        <v>3.6480000000000001</v>
      </c>
    </row>
    <row r="6155" spans="1:14" x14ac:dyDescent="0.45">
      <c r="A6155">
        <v>2009</v>
      </c>
      <c r="B6155" t="s">
        <v>103</v>
      </c>
      <c r="C6155">
        <v>1</v>
      </c>
      <c r="D6155">
        <v>0</v>
      </c>
      <c r="E6155">
        <v>0</v>
      </c>
      <c r="F6155">
        <v>0</v>
      </c>
      <c r="G6155">
        <v>0</v>
      </c>
      <c r="H6155">
        <v>1</v>
      </c>
      <c r="I6155">
        <v>1</v>
      </c>
      <c r="J6155">
        <v>38175.142277333398</v>
      </c>
      <c r="K6155">
        <v>31784.720538946702</v>
      </c>
      <c r="L6155">
        <v>26.675999999999998</v>
      </c>
      <c r="M6155">
        <v>77.257999999999996</v>
      </c>
      <c r="N6155">
        <v>3.5259999999999998</v>
      </c>
    </row>
    <row r="6156" spans="1:14" x14ac:dyDescent="0.45">
      <c r="A6156">
        <v>2009</v>
      </c>
      <c r="B6156" t="s">
        <v>104</v>
      </c>
      <c r="C6156">
        <v>1</v>
      </c>
      <c r="D6156">
        <v>0</v>
      </c>
      <c r="E6156">
        <v>0</v>
      </c>
      <c r="F6156">
        <v>0</v>
      </c>
      <c r="G6156">
        <v>0</v>
      </c>
      <c r="H6156">
        <v>1</v>
      </c>
      <c r="I6156">
        <v>1</v>
      </c>
      <c r="J6156">
        <v>52600.232516924203</v>
      </c>
      <c r="K6156">
        <v>45607.143802941901</v>
      </c>
      <c r="L6156">
        <v>23.228999999999999</v>
      </c>
      <c r="M6156">
        <v>79.915000000000006</v>
      </c>
      <c r="N6156">
        <v>4.2309999999999999</v>
      </c>
    </row>
    <row r="6157" spans="1:14" x14ac:dyDescent="0.45">
      <c r="A6157">
        <v>2009</v>
      </c>
      <c r="B6157" t="s">
        <v>105</v>
      </c>
      <c r="C6157">
        <v>0</v>
      </c>
      <c r="D6157">
        <v>0</v>
      </c>
      <c r="E6157">
        <v>0</v>
      </c>
      <c r="F6157">
        <v>1</v>
      </c>
      <c r="G6157">
        <v>0</v>
      </c>
      <c r="H6157">
        <v>0</v>
      </c>
      <c r="I6157">
        <v>0</v>
      </c>
      <c r="J6157">
        <v>4084.2073530415601</v>
      </c>
      <c r="K6157">
        <v>3522.8365044157499</v>
      </c>
      <c r="L6157">
        <v>23.056000000000001</v>
      </c>
      <c r="M6157">
        <v>60.350999999999999</v>
      </c>
      <c r="N6157">
        <v>78.259</v>
      </c>
    </row>
    <row r="6158" spans="1:14" x14ac:dyDescent="0.45">
      <c r="A6158">
        <v>2009</v>
      </c>
      <c r="B6158" t="s">
        <v>106</v>
      </c>
      <c r="C6158">
        <v>0</v>
      </c>
      <c r="D6158">
        <v>1</v>
      </c>
      <c r="E6158">
        <v>0</v>
      </c>
      <c r="F6158">
        <v>0</v>
      </c>
      <c r="G6158">
        <v>1</v>
      </c>
      <c r="H6158">
        <v>0</v>
      </c>
      <c r="I6158">
        <v>0</v>
      </c>
      <c r="J6158">
        <v>17534.033961696299</v>
      </c>
      <c r="K6158">
        <v>13645.4819747492</v>
      </c>
      <c r="L6158">
        <v>32.201000000000001</v>
      </c>
      <c r="M6158">
        <v>71.834999999999994</v>
      </c>
      <c r="N6158">
        <v>22.372</v>
      </c>
    </row>
    <row r="6159" spans="1:14" x14ac:dyDescent="0.45">
      <c r="A6159">
        <v>2009</v>
      </c>
      <c r="B6159" t="s">
        <v>107</v>
      </c>
      <c r="C6159">
        <v>1</v>
      </c>
      <c r="D6159">
        <v>0</v>
      </c>
      <c r="E6159">
        <v>0</v>
      </c>
      <c r="F6159">
        <v>0</v>
      </c>
      <c r="G6159">
        <v>0</v>
      </c>
      <c r="H6159">
        <v>1</v>
      </c>
      <c r="I6159">
        <v>1</v>
      </c>
      <c r="J6159">
        <v>59027.765102281403</v>
      </c>
      <c r="K6159">
        <v>49887.1438203621</v>
      </c>
      <c r="L6159">
        <v>13.346</v>
      </c>
      <c r="M6159">
        <v>78.956999999999994</v>
      </c>
      <c r="N6159">
        <v>3.6579999999999999</v>
      </c>
    </row>
    <row r="6160" spans="1:14" x14ac:dyDescent="0.45">
      <c r="A6160">
        <v>2009</v>
      </c>
      <c r="B6160" t="s">
        <v>108</v>
      </c>
      <c r="C6160">
        <v>0</v>
      </c>
      <c r="D6160">
        <v>1</v>
      </c>
      <c r="E6160">
        <v>0</v>
      </c>
      <c r="F6160">
        <v>0</v>
      </c>
      <c r="G6160">
        <v>1</v>
      </c>
      <c r="H6160">
        <v>0</v>
      </c>
      <c r="I6160">
        <v>0</v>
      </c>
      <c r="J6160">
        <v>13992.410327018901</v>
      </c>
      <c r="K6160">
        <v>12086.993807078399</v>
      </c>
      <c r="L6160">
        <v>27.457999999999998</v>
      </c>
      <c r="M6160">
        <v>71.587000000000003</v>
      </c>
      <c r="N6160">
        <v>35.191000000000003</v>
      </c>
    </row>
    <row r="6161" spans="1:14" x14ac:dyDescent="0.45">
      <c r="A6161">
        <v>2009</v>
      </c>
      <c r="B6161" t="s">
        <v>109</v>
      </c>
      <c r="C6161">
        <v>0</v>
      </c>
      <c r="D6161">
        <v>0</v>
      </c>
      <c r="E6161">
        <v>0</v>
      </c>
      <c r="F6161">
        <v>0</v>
      </c>
      <c r="G6161">
        <v>1</v>
      </c>
      <c r="H6161">
        <v>0</v>
      </c>
      <c r="I6161">
        <v>0</v>
      </c>
      <c r="J6161">
        <v>14104.42817214</v>
      </c>
      <c r="K6161">
        <v>12336.2141618357</v>
      </c>
      <c r="L6161">
        <v>33.173999999999999</v>
      </c>
      <c r="M6161">
        <v>73.870999999999995</v>
      </c>
      <c r="N6161">
        <v>29.010999999999999</v>
      </c>
    </row>
    <row r="6162" spans="1:14" x14ac:dyDescent="0.45">
      <c r="A6162">
        <v>2009</v>
      </c>
      <c r="B6162" t="s">
        <v>110</v>
      </c>
      <c r="C6162">
        <v>0</v>
      </c>
      <c r="D6162">
        <v>1</v>
      </c>
      <c r="E6162">
        <v>0</v>
      </c>
      <c r="F6162">
        <v>1</v>
      </c>
      <c r="G6162">
        <v>0</v>
      </c>
      <c r="H6162">
        <v>0</v>
      </c>
      <c r="I6162">
        <v>0</v>
      </c>
      <c r="J6162">
        <v>11403.5277978831</v>
      </c>
      <c r="K6162">
        <v>9484.8588866417795</v>
      </c>
      <c r="L6162">
        <v>37.505000000000003</v>
      </c>
      <c r="M6162">
        <v>74.900999999999996</v>
      </c>
      <c r="N6162">
        <v>19.759</v>
      </c>
    </row>
    <row r="6163" spans="1:14" x14ac:dyDescent="0.45">
      <c r="A6163">
        <v>2009</v>
      </c>
      <c r="B6163" t="s">
        <v>111</v>
      </c>
      <c r="C6163">
        <v>0</v>
      </c>
      <c r="D6163">
        <v>0</v>
      </c>
      <c r="E6163">
        <v>0</v>
      </c>
      <c r="F6163">
        <v>1</v>
      </c>
      <c r="G6163">
        <v>0</v>
      </c>
      <c r="H6163">
        <v>0</v>
      </c>
      <c r="I6163">
        <v>0</v>
      </c>
      <c r="J6163">
        <v>12728.0814586737</v>
      </c>
      <c r="K6163">
        <v>10100.7909949108</v>
      </c>
      <c r="L6163">
        <v>56.960999999999999</v>
      </c>
      <c r="M6163">
        <v>68.915000000000006</v>
      </c>
      <c r="N6163">
        <v>29.974</v>
      </c>
    </row>
    <row r="6164" spans="1:14" x14ac:dyDescent="0.45">
      <c r="A6164">
        <v>2009</v>
      </c>
      <c r="B6164" t="s">
        <v>112</v>
      </c>
      <c r="C6164">
        <v>0</v>
      </c>
      <c r="D6164">
        <v>0</v>
      </c>
      <c r="E6164">
        <v>1</v>
      </c>
      <c r="F6164">
        <v>0</v>
      </c>
      <c r="G6164">
        <v>0</v>
      </c>
      <c r="H6164">
        <v>0</v>
      </c>
      <c r="I6164">
        <v>0</v>
      </c>
      <c r="L6164">
        <v>65.415000000000006</v>
      </c>
      <c r="M6164">
        <v>63.203000000000003</v>
      </c>
      <c r="N6164">
        <v>57.573</v>
      </c>
    </row>
    <row r="6165" spans="1:14" x14ac:dyDescent="0.45">
      <c r="A6165">
        <v>2009</v>
      </c>
      <c r="B6165" t="s">
        <v>113</v>
      </c>
      <c r="C6165">
        <v>1</v>
      </c>
      <c r="D6165">
        <v>0</v>
      </c>
      <c r="E6165">
        <v>0</v>
      </c>
      <c r="F6165">
        <v>0</v>
      </c>
      <c r="G6165">
        <v>0</v>
      </c>
      <c r="H6165">
        <v>1</v>
      </c>
      <c r="I6165">
        <v>1</v>
      </c>
      <c r="J6165">
        <v>42852.220888454001</v>
      </c>
      <c r="K6165">
        <v>37711.0940842278</v>
      </c>
      <c r="L6165">
        <v>21.79</v>
      </c>
      <c r="M6165">
        <v>81.626999999999995</v>
      </c>
      <c r="N6165">
        <v>3.8540000000000001</v>
      </c>
    </row>
    <row r="6166" spans="1:14" x14ac:dyDescent="0.45">
      <c r="A6166">
        <v>2009</v>
      </c>
      <c r="B6166" t="s">
        <v>114</v>
      </c>
      <c r="C6166">
        <v>1</v>
      </c>
      <c r="D6166">
        <v>0</v>
      </c>
      <c r="E6166">
        <v>0</v>
      </c>
      <c r="F6166">
        <v>0</v>
      </c>
      <c r="G6166">
        <v>0</v>
      </c>
      <c r="H6166">
        <v>1</v>
      </c>
      <c r="I6166">
        <v>1</v>
      </c>
      <c r="J6166">
        <v>29585.1439652234</v>
      </c>
      <c r="K6166">
        <v>25100.209956923802</v>
      </c>
      <c r="L6166">
        <v>31.777000000000001</v>
      </c>
      <c r="M6166">
        <v>75.152000000000001</v>
      </c>
      <c r="N6166">
        <v>4.4829999999999997</v>
      </c>
    </row>
    <row r="6167" spans="1:14" x14ac:dyDescent="0.45">
      <c r="A6167">
        <v>2009</v>
      </c>
      <c r="B6167" t="s">
        <v>115</v>
      </c>
      <c r="C6167">
        <v>0</v>
      </c>
      <c r="D6167">
        <v>0</v>
      </c>
      <c r="E6167">
        <v>1</v>
      </c>
      <c r="F6167">
        <v>0</v>
      </c>
      <c r="G6167">
        <v>0</v>
      </c>
      <c r="H6167">
        <v>0</v>
      </c>
      <c r="I6167">
        <v>0</v>
      </c>
      <c r="J6167">
        <v>1262.46397994724</v>
      </c>
      <c r="K6167">
        <v>1138.6041475024999</v>
      </c>
      <c r="L6167">
        <v>83.09</v>
      </c>
      <c r="M6167">
        <v>58.715000000000003</v>
      </c>
      <c r="N6167">
        <v>87.465000000000003</v>
      </c>
    </row>
    <row r="6168" spans="1:14" x14ac:dyDescent="0.45">
      <c r="A6168">
        <v>2009</v>
      </c>
      <c r="B6168" t="s">
        <v>116</v>
      </c>
      <c r="C6168">
        <v>1</v>
      </c>
      <c r="D6168">
        <v>0</v>
      </c>
      <c r="E6168">
        <v>0</v>
      </c>
      <c r="F6168">
        <v>0</v>
      </c>
      <c r="G6168">
        <v>0</v>
      </c>
      <c r="H6168">
        <v>1</v>
      </c>
      <c r="I6168">
        <v>1</v>
      </c>
      <c r="J6168">
        <v>52599.1487066911</v>
      </c>
      <c r="K6168">
        <v>44219.200236085497</v>
      </c>
      <c r="L6168">
        <v>16.571000000000002</v>
      </c>
      <c r="M6168">
        <v>79.831000000000003</v>
      </c>
      <c r="N6168">
        <v>3.1549999999999998</v>
      </c>
    </row>
    <row r="6169" spans="1:14" x14ac:dyDescent="0.45">
      <c r="A6169">
        <v>2009</v>
      </c>
      <c r="B6169" t="s">
        <v>117</v>
      </c>
      <c r="C6169">
        <v>0</v>
      </c>
      <c r="D6169">
        <v>0</v>
      </c>
      <c r="E6169">
        <v>0</v>
      </c>
      <c r="F6169">
        <v>0</v>
      </c>
      <c r="G6169">
        <v>1</v>
      </c>
      <c r="H6169">
        <v>0</v>
      </c>
      <c r="I6169">
        <v>0</v>
      </c>
      <c r="J6169">
        <v>9910.1744204658698</v>
      </c>
      <c r="K6169">
        <v>9705.0605458826194</v>
      </c>
      <c r="L6169">
        <v>48.341999999999999</v>
      </c>
      <c r="M6169">
        <v>66.346999999999994</v>
      </c>
      <c r="N6169">
        <v>22.882000000000001</v>
      </c>
    </row>
    <row r="6170" spans="1:14" x14ac:dyDescent="0.45">
      <c r="A6170">
        <v>2009</v>
      </c>
      <c r="B6170" t="s">
        <v>118</v>
      </c>
      <c r="C6170">
        <v>1</v>
      </c>
      <c r="D6170">
        <v>0</v>
      </c>
      <c r="E6170">
        <v>0</v>
      </c>
      <c r="F6170">
        <v>0</v>
      </c>
      <c r="G6170">
        <v>0</v>
      </c>
      <c r="H6170">
        <v>1</v>
      </c>
      <c r="I6170">
        <v>1</v>
      </c>
      <c r="J6170">
        <v>48404.965782636304</v>
      </c>
      <c r="K6170">
        <v>40413.247255543698</v>
      </c>
      <c r="L6170">
        <v>21.882999999999999</v>
      </c>
      <c r="M6170">
        <v>81.162999999999997</v>
      </c>
      <c r="N6170">
        <v>4.5199999999999996</v>
      </c>
    </row>
    <row r="6171" spans="1:14" x14ac:dyDescent="0.45">
      <c r="A6171">
        <v>2009</v>
      </c>
      <c r="B6171" t="s">
        <v>119</v>
      </c>
      <c r="C6171">
        <v>1</v>
      </c>
      <c r="D6171">
        <v>0</v>
      </c>
      <c r="E6171">
        <v>0</v>
      </c>
      <c r="F6171">
        <v>0</v>
      </c>
      <c r="G6171">
        <v>0</v>
      </c>
      <c r="H6171">
        <v>1</v>
      </c>
      <c r="I6171">
        <v>1</v>
      </c>
      <c r="J6171">
        <v>50835.954214995203</v>
      </c>
      <c r="K6171">
        <v>44413.4085232613</v>
      </c>
      <c r="L6171">
        <v>59.268999999999998</v>
      </c>
      <c r="M6171">
        <v>78.62</v>
      </c>
      <c r="N6171">
        <v>8.6210000000000004</v>
      </c>
    </row>
    <row r="6172" spans="1:14" x14ac:dyDescent="0.45">
      <c r="A6172">
        <v>2009</v>
      </c>
      <c r="B6172" t="s">
        <v>120</v>
      </c>
      <c r="C6172">
        <v>0</v>
      </c>
      <c r="D6172">
        <v>0</v>
      </c>
      <c r="E6172">
        <v>0</v>
      </c>
      <c r="F6172">
        <v>1</v>
      </c>
      <c r="G6172">
        <v>0</v>
      </c>
      <c r="H6172">
        <v>0</v>
      </c>
      <c r="I6172">
        <v>0</v>
      </c>
      <c r="J6172">
        <v>3742.8297962393499</v>
      </c>
      <c r="K6172">
        <v>3387.77744103534</v>
      </c>
      <c r="L6172">
        <v>77.694999999999993</v>
      </c>
      <c r="M6172">
        <v>64.864999999999995</v>
      </c>
      <c r="N6172">
        <v>34.103999999999999</v>
      </c>
    </row>
    <row r="6173" spans="1:14" x14ac:dyDescent="0.45">
      <c r="A6173">
        <v>2009</v>
      </c>
      <c r="B6173" t="s">
        <v>121</v>
      </c>
      <c r="C6173">
        <v>0</v>
      </c>
      <c r="D6173">
        <v>0</v>
      </c>
      <c r="E6173">
        <v>1</v>
      </c>
      <c r="F6173">
        <v>0</v>
      </c>
      <c r="G6173">
        <v>1</v>
      </c>
      <c r="H6173">
        <v>0</v>
      </c>
      <c r="I6173">
        <v>0</v>
      </c>
      <c r="J6173">
        <v>17911.145849111799</v>
      </c>
      <c r="K6173">
        <v>13552.2879265353</v>
      </c>
      <c r="L6173">
        <v>15.045</v>
      </c>
      <c r="M6173">
        <v>64.361000000000004</v>
      </c>
      <c r="N6173">
        <v>63.962000000000003</v>
      </c>
    </row>
    <row r="6174" spans="1:14" x14ac:dyDescent="0.45">
      <c r="A6174">
        <v>2009</v>
      </c>
      <c r="B6174" t="s">
        <v>122</v>
      </c>
      <c r="C6174">
        <v>1</v>
      </c>
      <c r="D6174">
        <v>0</v>
      </c>
      <c r="E6174">
        <v>0</v>
      </c>
      <c r="F6174">
        <v>0</v>
      </c>
      <c r="G6174">
        <v>0</v>
      </c>
      <c r="H6174">
        <v>1</v>
      </c>
      <c r="I6174">
        <v>1</v>
      </c>
      <c r="J6174">
        <v>46348.753428552503</v>
      </c>
      <c r="K6174">
        <v>39930.848811777701</v>
      </c>
      <c r="L6174">
        <v>18.969000000000001</v>
      </c>
      <c r="M6174">
        <v>80.156000000000006</v>
      </c>
      <c r="N6174">
        <v>5.3940000000000001</v>
      </c>
    </row>
    <row r="6175" spans="1:14" x14ac:dyDescent="0.45">
      <c r="A6175">
        <v>2009</v>
      </c>
      <c r="B6175" t="s">
        <v>123</v>
      </c>
      <c r="C6175">
        <v>1</v>
      </c>
      <c r="D6175">
        <v>0</v>
      </c>
      <c r="E6175">
        <v>0</v>
      </c>
      <c r="F6175">
        <v>1</v>
      </c>
      <c r="G6175">
        <v>0</v>
      </c>
      <c r="H6175">
        <v>0</v>
      </c>
      <c r="I6175">
        <v>0</v>
      </c>
      <c r="J6175">
        <v>10553.0896395853</v>
      </c>
      <c r="K6175">
        <v>8916.1543139469904</v>
      </c>
      <c r="L6175">
        <v>44.85</v>
      </c>
      <c r="M6175">
        <v>71.058000000000007</v>
      </c>
      <c r="N6175">
        <v>15.765000000000001</v>
      </c>
    </row>
    <row r="6176" spans="1:14" x14ac:dyDescent="0.45">
      <c r="A6176">
        <v>2009</v>
      </c>
      <c r="B6176" t="s">
        <v>124</v>
      </c>
      <c r="C6176">
        <v>0</v>
      </c>
      <c r="D6176">
        <v>0</v>
      </c>
      <c r="E6176">
        <v>1</v>
      </c>
      <c r="F6176">
        <v>0</v>
      </c>
      <c r="G6176">
        <v>0</v>
      </c>
      <c r="H6176">
        <v>0</v>
      </c>
      <c r="I6176">
        <v>0</v>
      </c>
      <c r="J6176">
        <v>4269.1600586155701</v>
      </c>
      <c r="K6176">
        <v>3683.1867888758902</v>
      </c>
      <c r="L6176">
        <v>49.969000000000001</v>
      </c>
      <c r="M6176">
        <v>60.927999999999997</v>
      </c>
      <c r="N6176">
        <v>72.391999999999996</v>
      </c>
    </row>
    <row r="6177" spans="1:14" x14ac:dyDescent="0.45">
      <c r="A6177">
        <v>2009</v>
      </c>
      <c r="B6177" t="s">
        <v>125</v>
      </c>
      <c r="C6177">
        <v>1</v>
      </c>
      <c r="D6177">
        <v>0</v>
      </c>
      <c r="E6177">
        <v>0</v>
      </c>
      <c r="F6177">
        <v>0</v>
      </c>
      <c r="G6177">
        <v>0</v>
      </c>
      <c r="H6177">
        <v>1</v>
      </c>
      <c r="I6177">
        <v>1</v>
      </c>
      <c r="L6177">
        <v>0</v>
      </c>
      <c r="M6177">
        <v>81.807000000000002</v>
      </c>
      <c r="N6177">
        <v>12.589</v>
      </c>
    </row>
    <row r="6178" spans="1:14" x14ac:dyDescent="0.45">
      <c r="A6178">
        <v>2009</v>
      </c>
      <c r="B6178" t="s">
        <v>126</v>
      </c>
      <c r="C6178">
        <v>0</v>
      </c>
      <c r="D6178">
        <v>0</v>
      </c>
      <c r="E6178">
        <v>1</v>
      </c>
      <c r="F6178">
        <v>0</v>
      </c>
      <c r="G6178">
        <v>0</v>
      </c>
      <c r="H6178">
        <v>0</v>
      </c>
      <c r="I6178">
        <v>0</v>
      </c>
      <c r="J6178">
        <v>2537.30645758746</v>
      </c>
      <c r="K6178">
        <v>2045.7434498361099</v>
      </c>
      <c r="L6178">
        <v>66.608999999999995</v>
      </c>
      <c r="M6178">
        <v>56.052</v>
      </c>
      <c r="N6178">
        <v>125.033</v>
      </c>
    </row>
    <row r="6179" spans="1:14" x14ac:dyDescent="0.45">
      <c r="A6179">
        <v>2009</v>
      </c>
      <c r="B6179" t="s">
        <v>127</v>
      </c>
      <c r="C6179">
        <v>0</v>
      </c>
      <c r="D6179">
        <v>0</v>
      </c>
      <c r="E6179">
        <v>1</v>
      </c>
      <c r="F6179">
        <v>0</v>
      </c>
      <c r="G6179">
        <v>0</v>
      </c>
      <c r="H6179">
        <v>0</v>
      </c>
      <c r="I6179">
        <v>0</v>
      </c>
      <c r="J6179">
        <v>2745.3254057476802</v>
      </c>
      <c r="K6179">
        <v>2209.70408759368</v>
      </c>
      <c r="L6179">
        <v>45.063000000000002</v>
      </c>
      <c r="M6179">
        <v>60.734999999999999</v>
      </c>
      <c r="N6179">
        <v>76.811000000000007</v>
      </c>
    </row>
    <row r="6180" spans="1:14" x14ac:dyDescent="0.45">
      <c r="A6180">
        <v>2009</v>
      </c>
      <c r="B6180" t="s">
        <v>128</v>
      </c>
      <c r="C6180">
        <v>0</v>
      </c>
      <c r="D6180">
        <v>0</v>
      </c>
      <c r="E6180">
        <v>1</v>
      </c>
      <c r="F6180">
        <v>0</v>
      </c>
      <c r="G6180">
        <v>0</v>
      </c>
      <c r="H6180">
        <v>0</v>
      </c>
      <c r="I6180">
        <v>0</v>
      </c>
      <c r="J6180">
        <v>2077.5589205517499</v>
      </c>
      <c r="K6180">
        <v>1868.9687820152301</v>
      </c>
      <c r="L6180">
        <v>60.283999999999999</v>
      </c>
      <c r="M6180">
        <v>56.296999999999997</v>
      </c>
      <c r="N6180">
        <v>119.985</v>
      </c>
    </row>
    <row r="6181" spans="1:14" x14ac:dyDescent="0.45">
      <c r="A6181">
        <v>2009</v>
      </c>
      <c r="B6181" t="s">
        <v>129</v>
      </c>
      <c r="C6181">
        <v>0</v>
      </c>
      <c r="D6181">
        <v>0</v>
      </c>
      <c r="E6181">
        <v>1</v>
      </c>
      <c r="F6181">
        <v>0</v>
      </c>
      <c r="G6181">
        <v>0</v>
      </c>
      <c r="H6181">
        <v>1</v>
      </c>
      <c r="I6181">
        <v>1</v>
      </c>
      <c r="J6181">
        <v>38706.605251213499</v>
      </c>
      <c r="K6181">
        <v>32068.916288762099</v>
      </c>
      <c r="L6181">
        <v>35.642000000000003</v>
      </c>
      <c r="M6181">
        <v>57.881</v>
      </c>
      <c r="N6181">
        <v>115.264</v>
      </c>
    </row>
    <row r="6182" spans="1:14" x14ac:dyDescent="0.45">
      <c r="A6182">
        <v>2009</v>
      </c>
      <c r="B6182" t="s">
        <v>130</v>
      </c>
      <c r="C6182">
        <v>1</v>
      </c>
      <c r="D6182">
        <v>0</v>
      </c>
      <c r="E6182">
        <v>0</v>
      </c>
      <c r="F6182">
        <v>0</v>
      </c>
      <c r="G6182">
        <v>0</v>
      </c>
      <c r="H6182">
        <v>1</v>
      </c>
      <c r="I6182">
        <v>1</v>
      </c>
      <c r="J6182">
        <v>39886.213549666398</v>
      </c>
      <c r="K6182">
        <v>35705.903527995797</v>
      </c>
      <c r="L6182">
        <v>24.068000000000001</v>
      </c>
      <c r="M6182">
        <v>80.367999999999995</v>
      </c>
      <c r="N6182">
        <v>4.157</v>
      </c>
    </row>
    <row r="6183" spans="1:14" x14ac:dyDescent="0.45">
      <c r="A6183">
        <v>2009</v>
      </c>
      <c r="B6183" t="s">
        <v>131</v>
      </c>
      <c r="C6183">
        <v>0</v>
      </c>
      <c r="D6183">
        <v>1</v>
      </c>
      <c r="E6183">
        <v>0</v>
      </c>
      <c r="F6183">
        <v>0</v>
      </c>
      <c r="G6183">
        <v>1</v>
      </c>
      <c r="H6183">
        <v>0</v>
      </c>
      <c r="I6183">
        <v>0</v>
      </c>
      <c r="J6183">
        <v>13471.8304089174</v>
      </c>
      <c r="K6183">
        <v>12430.526250573201</v>
      </c>
      <c r="L6183">
        <v>64.129000000000005</v>
      </c>
      <c r="M6183">
        <v>74.566999999999993</v>
      </c>
      <c r="N6183">
        <v>14.412000000000001</v>
      </c>
    </row>
    <row r="6184" spans="1:14" x14ac:dyDescent="0.45">
      <c r="A6184">
        <v>2009</v>
      </c>
      <c r="B6184" t="s">
        <v>132</v>
      </c>
      <c r="C6184">
        <v>1</v>
      </c>
      <c r="D6184">
        <v>0</v>
      </c>
      <c r="E6184">
        <v>0</v>
      </c>
      <c r="F6184">
        <v>0</v>
      </c>
      <c r="G6184">
        <v>0</v>
      </c>
      <c r="H6184">
        <v>1</v>
      </c>
      <c r="I6184">
        <v>1</v>
      </c>
      <c r="J6184">
        <v>61035.567299707101</v>
      </c>
      <c r="K6184">
        <v>55247.452768047202</v>
      </c>
      <c r="L6184">
        <v>15.913</v>
      </c>
      <c r="M6184">
        <v>68.379000000000005</v>
      </c>
      <c r="N6184">
        <v>12.314</v>
      </c>
    </row>
    <row r="6185" spans="1:14" x14ac:dyDescent="0.45">
      <c r="A6185">
        <v>2009</v>
      </c>
      <c r="B6185" t="s">
        <v>133</v>
      </c>
      <c r="C6185">
        <v>0</v>
      </c>
      <c r="D6185">
        <v>1</v>
      </c>
      <c r="E6185">
        <v>0</v>
      </c>
      <c r="F6185">
        <v>1</v>
      </c>
      <c r="G6185">
        <v>0</v>
      </c>
      <c r="H6185">
        <v>0</v>
      </c>
      <c r="I6185">
        <v>0</v>
      </c>
      <c r="J6185">
        <v>9740.7090842170401</v>
      </c>
      <c r="K6185">
        <v>8461.5168899539494</v>
      </c>
      <c r="L6185">
        <v>51.896000000000001</v>
      </c>
      <c r="M6185">
        <v>69.676000000000002</v>
      </c>
      <c r="N6185">
        <v>36.219000000000001</v>
      </c>
    </row>
    <row r="6186" spans="1:14" x14ac:dyDescent="0.45">
      <c r="A6186">
        <v>2009</v>
      </c>
      <c r="B6186" t="s">
        <v>134</v>
      </c>
      <c r="C6186">
        <v>0</v>
      </c>
      <c r="D6186">
        <v>0</v>
      </c>
      <c r="E6186">
        <v>0</v>
      </c>
      <c r="F6186">
        <v>0</v>
      </c>
      <c r="G6186">
        <v>0</v>
      </c>
      <c r="H6186">
        <v>1</v>
      </c>
      <c r="I6186">
        <v>1</v>
      </c>
      <c r="L6186">
        <v>5.992</v>
      </c>
      <c r="M6186">
        <v>76.141000000000005</v>
      </c>
      <c r="N6186">
        <v>11.881</v>
      </c>
    </row>
    <row r="6187" spans="1:14" x14ac:dyDescent="0.45">
      <c r="A6187">
        <v>2009</v>
      </c>
      <c r="B6187" t="s">
        <v>135</v>
      </c>
      <c r="C6187">
        <v>0</v>
      </c>
      <c r="D6187">
        <v>1</v>
      </c>
      <c r="E6187">
        <v>0</v>
      </c>
      <c r="F6187">
        <v>1</v>
      </c>
      <c r="G6187">
        <v>0</v>
      </c>
      <c r="H6187">
        <v>0</v>
      </c>
      <c r="I6187">
        <v>0</v>
      </c>
      <c r="J6187">
        <v>9924.5266077063097</v>
      </c>
      <c r="K6187">
        <v>9491.6102052005099</v>
      </c>
      <c r="L6187">
        <v>73.131</v>
      </c>
      <c r="M6187">
        <v>66.03</v>
      </c>
      <c r="N6187">
        <v>38.072000000000003</v>
      </c>
    </row>
    <row r="6188" spans="1:14" x14ac:dyDescent="0.45">
      <c r="A6188">
        <v>2009</v>
      </c>
      <c r="B6188" t="s">
        <v>136</v>
      </c>
      <c r="C6188">
        <v>0</v>
      </c>
      <c r="D6188">
        <v>0</v>
      </c>
      <c r="E6188">
        <v>0</v>
      </c>
      <c r="F6188">
        <v>0</v>
      </c>
      <c r="G6188">
        <v>0</v>
      </c>
      <c r="H6188">
        <v>1</v>
      </c>
      <c r="I6188">
        <v>1</v>
      </c>
      <c r="J6188">
        <v>53172.303956555603</v>
      </c>
      <c r="K6188">
        <v>47988.187652929897</v>
      </c>
      <c r="L6188">
        <v>0</v>
      </c>
      <c r="M6188">
        <v>82.585999999999999</v>
      </c>
      <c r="N6188">
        <v>3.294</v>
      </c>
    </row>
    <row r="6189" spans="1:14" x14ac:dyDescent="0.45">
      <c r="A6189">
        <v>2009</v>
      </c>
      <c r="B6189" t="s">
        <v>137</v>
      </c>
      <c r="C6189">
        <v>0</v>
      </c>
      <c r="D6189">
        <v>1</v>
      </c>
      <c r="E6189">
        <v>0</v>
      </c>
      <c r="F6189">
        <v>1</v>
      </c>
      <c r="G6189">
        <v>0</v>
      </c>
      <c r="H6189">
        <v>0</v>
      </c>
      <c r="I6189">
        <v>0</v>
      </c>
      <c r="J6189">
        <v>5313.7557396779102</v>
      </c>
      <c r="K6189">
        <v>4896.5091836193196</v>
      </c>
      <c r="L6189">
        <v>48.774999999999999</v>
      </c>
      <c r="M6189">
        <v>69.822999999999993</v>
      </c>
      <c r="N6189">
        <v>25.539000000000001</v>
      </c>
    </row>
    <row r="6190" spans="1:14" x14ac:dyDescent="0.45">
      <c r="A6190">
        <v>2009</v>
      </c>
      <c r="B6190" t="s">
        <v>138</v>
      </c>
      <c r="C6190">
        <v>1</v>
      </c>
      <c r="D6190">
        <v>0</v>
      </c>
      <c r="E6190">
        <v>0</v>
      </c>
      <c r="F6190">
        <v>0</v>
      </c>
      <c r="G6190">
        <v>0</v>
      </c>
      <c r="H6190">
        <v>1</v>
      </c>
      <c r="I6190">
        <v>1</v>
      </c>
      <c r="J6190">
        <v>29026.7333060987</v>
      </c>
      <c r="K6190">
        <v>25032.920116189202</v>
      </c>
      <c r="L6190">
        <v>45.012999999999998</v>
      </c>
      <c r="M6190">
        <v>76.313000000000002</v>
      </c>
      <c r="N6190">
        <v>5.694</v>
      </c>
    </row>
    <row r="6191" spans="1:14" x14ac:dyDescent="0.45">
      <c r="A6191">
        <v>2009</v>
      </c>
      <c r="B6191" t="s">
        <v>139</v>
      </c>
      <c r="C6191">
        <v>0</v>
      </c>
      <c r="D6191">
        <v>1</v>
      </c>
      <c r="E6191">
        <v>0</v>
      </c>
      <c r="F6191">
        <v>0</v>
      </c>
      <c r="G6191">
        <v>0</v>
      </c>
      <c r="H6191">
        <v>0</v>
      </c>
      <c r="I6191">
        <v>0</v>
      </c>
      <c r="J6191">
        <v>3426.3891231829698</v>
      </c>
      <c r="K6191">
        <v>3293.2936413459602</v>
      </c>
      <c r="L6191">
        <v>53.472000000000001</v>
      </c>
      <c r="M6191">
        <v>61.694000000000003</v>
      </c>
      <c r="N6191">
        <v>80.932000000000002</v>
      </c>
    </row>
    <row r="6192" spans="1:14" x14ac:dyDescent="0.45">
      <c r="A6192">
        <v>2009</v>
      </c>
      <c r="B6192" t="s">
        <v>140</v>
      </c>
      <c r="C6192">
        <v>1</v>
      </c>
      <c r="D6192">
        <v>0</v>
      </c>
      <c r="E6192">
        <v>0</v>
      </c>
      <c r="F6192">
        <v>0</v>
      </c>
      <c r="G6192">
        <v>0</v>
      </c>
      <c r="H6192">
        <v>1</v>
      </c>
      <c r="I6192">
        <v>1</v>
      </c>
      <c r="J6192">
        <v>27445.959458478999</v>
      </c>
      <c r="K6192">
        <v>23916.888824732599</v>
      </c>
      <c r="L6192">
        <v>31.54</v>
      </c>
      <c r="M6192">
        <v>74.179000000000002</v>
      </c>
      <c r="N6192">
        <v>5.968</v>
      </c>
    </row>
    <row r="6193" spans="1:14" x14ac:dyDescent="0.45">
      <c r="A6193">
        <v>2009</v>
      </c>
      <c r="B6193" t="s">
        <v>141</v>
      </c>
      <c r="C6193">
        <v>0</v>
      </c>
      <c r="D6193">
        <v>0</v>
      </c>
      <c r="E6193">
        <v>0</v>
      </c>
      <c r="F6193">
        <v>1</v>
      </c>
      <c r="G6193">
        <v>0</v>
      </c>
      <c r="H6193">
        <v>0</v>
      </c>
      <c r="I6193">
        <v>0</v>
      </c>
      <c r="J6193">
        <v>8435.4557468628991</v>
      </c>
      <c r="K6193">
        <v>7658.0642780909002</v>
      </c>
      <c r="L6193">
        <v>50.866</v>
      </c>
      <c r="M6193">
        <v>68.266999999999996</v>
      </c>
      <c r="N6193">
        <v>35.137</v>
      </c>
    </row>
    <row r="6194" spans="1:14" x14ac:dyDescent="0.45">
      <c r="A6194">
        <v>2009</v>
      </c>
      <c r="B6194" t="s">
        <v>142</v>
      </c>
      <c r="C6194">
        <v>1</v>
      </c>
      <c r="D6194">
        <v>0</v>
      </c>
      <c r="E6194">
        <v>0</v>
      </c>
      <c r="F6194">
        <v>0</v>
      </c>
      <c r="G6194">
        <v>0</v>
      </c>
      <c r="H6194">
        <v>1</v>
      </c>
      <c r="I6194">
        <v>1</v>
      </c>
      <c r="L6194">
        <v>48.024000000000001</v>
      </c>
      <c r="M6194">
        <v>79.302999999999997</v>
      </c>
      <c r="N6194">
        <v>15.927</v>
      </c>
    </row>
    <row r="6195" spans="1:14" x14ac:dyDescent="0.45">
      <c r="A6195">
        <v>2009</v>
      </c>
      <c r="B6195" t="s">
        <v>143</v>
      </c>
      <c r="C6195">
        <v>0</v>
      </c>
      <c r="D6195">
        <v>0</v>
      </c>
      <c r="E6195">
        <v>0</v>
      </c>
      <c r="F6195">
        <v>1</v>
      </c>
      <c r="G6195">
        <v>0</v>
      </c>
      <c r="H6195">
        <v>0</v>
      </c>
      <c r="I6195">
        <v>0</v>
      </c>
      <c r="J6195">
        <v>4731.3616046389598</v>
      </c>
      <c r="K6195">
        <v>3968.1236492892899</v>
      </c>
      <c r="L6195">
        <v>69.412999999999997</v>
      </c>
      <c r="M6195">
        <v>66.7</v>
      </c>
      <c r="N6195">
        <v>60.896999999999998</v>
      </c>
    </row>
    <row r="6196" spans="1:14" x14ac:dyDescent="0.45">
      <c r="A6196">
        <v>2009</v>
      </c>
      <c r="B6196" t="s">
        <v>144</v>
      </c>
      <c r="C6196">
        <v>1</v>
      </c>
      <c r="D6196">
        <v>0</v>
      </c>
      <c r="E6196">
        <v>0</v>
      </c>
      <c r="F6196">
        <v>0</v>
      </c>
      <c r="G6196">
        <v>0</v>
      </c>
      <c r="H6196">
        <v>1</v>
      </c>
      <c r="I6196">
        <v>1</v>
      </c>
      <c r="J6196">
        <v>58623.1183119794</v>
      </c>
      <c r="K6196">
        <v>53900.898781350501</v>
      </c>
      <c r="L6196">
        <v>38.658000000000001</v>
      </c>
      <c r="M6196">
        <v>80.094999999999999</v>
      </c>
      <c r="N6196">
        <v>4.1849999999999996</v>
      </c>
    </row>
    <row r="6197" spans="1:14" x14ac:dyDescent="0.45">
      <c r="A6197">
        <v>2009</v>
      </c>
      <c r="B6197" t="s">
        <v>145</v>
      </c>
      <c r="C6197">
        <v>0</v>
      </c>
      <c r="D6197">
        <v>0</v>
      </c>
      <c r="E6197">
        <v>0</v>
      </c>
      <c r="F6197">
        <v>0</v>
      </c>
      <c r="G6197">
        <v>1</v>
      </c>
      <c r="H6197">
        <v>0</v>
      </c>
      <c r="I6197">
        <v>0</v>
      </c>
      <c r="J6197">
        <v>14104.978303562801</v>
      </c>
      <c r="K6197">
        <v>14069.640705236799</v>
      </c>
      <c r="L6197">
        <v>29.954999999999998</v>
      </c>
      <c r="M6197">
        <v>74.040999999999997</v>
      </c>
      <c r="N6197">
        <v>20.614000000000001</v>
      </c>
    </row>
    <row r="6198" spans="1:14" x14ac:dyDescent="0.45">
      <c r="A6198">
        <v>2009</v>
      </c>
      <c r="B6198" t="s">
        <v>146</v>
      </c>
      <c r="C6198">
        <v>0</v>
      </c>
      <c r="D6198">
        <v>0</v>
      </c>
      <c r="E6198">
        <v>0</v>
      </c>
      <c r="F6198">
        <v>1</v>
      </c>
      <c r="G6198">
        <v>0</v>
      </c>
      <c r="H6198">
        <v>0</v>
      </c>
      <c r="I6198">
        <v>0</v>
      </c>
      <c r="J6198">
        <v>11470.5178061755</v>
      </c>
      <c r="K6198">
        <v>8108.3801903663298</v>
      </c>
      <c r="L6198">
        <v>31.02</v>
      </c>
      <c r="M6198">
        <v>67.834000000000003</v>
      </c>
      <c r="N6198">
        <v>35.972000000000001</v>
      </c>
    </row>
    <row r="6199" spans="1:14" x14ac:dyDescent="0.45">
      <c r="A6199">
        <v>2009</v>
      </c>
      <c r="B6199" t="s">
        <v>147</v>
      </c>
      <c r="C6199">
        <v>1</v>
      </c>
      <c r="D6199">
        <v>0</v>
      </c>
      <c r="E6199">
        <v>0</v>
      </c>
      <c r="F6199">
        <v>0</v>
      </c>
      <c r="G6199">
        <v>0</v>
      </c>
      <c r="H6199">
        <v>1</v>
      </c>
      <c r="I6199">
        <v>1</v>
      </c>
      <c r="J6199">
        <v>56099.649045198697</v>
      </c>
      <c r="K6199">
        <v>48542.4028157754</v>
      </c>
      <c r="L6199">
        <v>6.4889999999999999</v>
      </c>
      <c r="M6199">
        <v>81.417000000000002</v>
      </c>
      <c r="N6199">
        <v>2.641</v>
      </c>
    </row>
    <row r="6200" spans="1:14" x14ac:dyDescent="0.45">
      <c r="A6200">
        <v>2009</v>
      </c>
      <c r="B6200" t="s">
        <v>148</v>
      </c>
      <c r="C6200">
        <v>0</v>
      </c>
      <c r="D6200">
        <v>0</v>
      </c>
      <c r="E6200">
        <v>0</v>
      </c>
      <c r="F6200">
        <v>0</v>
      </c>
      <c r="G6200">
        <v>0</v>
      </c>
      <c r="H6200">
        <v>1</v>
      </c>
      <c r="I6200">
        <v>1</v>
      </c>
      <c r="J6200">
        <v>36403.162637160203</v>
      </c>
      <c r="K6200">
        <v>33391.790168632397</v>
      </c>
      <c r="L6200">
        <v>8.2369999999999894</v>
      </c>
      <c r="M6200">
        <v>81.817999999999998</v>
      </c>
      <c r="N6200">
        <v>4.83</v>
      </c>
    </row>
    <row r="6201" spans="1:14" x14ac:dyDescent="0.45">
      <c r="A6201">
        <v>2009</v>
      </c>
      <c r="B6201" t="s">
        <v>149</v>
      </c>
      <c r="C6201">
        <v>1</v>
      </c>
      <c r="D6201">
        <v>0</v>
      </c>
      <c r="E6201">
        <v>0</v>
      </c>
      <c r="F6201">
        <v>0</v>
      </c>
      <c r="G6201">
        <v>0</v>
      </c>
      <c r="H6201">
        <v>1</v>
      </c>
      <c r="I6201">
        <v>1</v>
      </c>
      <c r="J6201">
        <v>48774.391683374801</v>
      </c>
      <c r="K6201">
        <v>41544.422941203396</v>
      </c>
      <c r="L6201">
        <v>31.791</v>
      </c>
      <c r="M6201">
        <v>81.762</v>
      </c>
      <c r="N6201">
        <v>3.9980000000000002</v>
      </c>
    </row>
    <row r="6202" spans="1:14" x14ac:dyDescent="0.45">
      <c r="A6202">
        <v>2009</v>
      </c>
      <c r="B6202" t="s">
        <v>150</v>
      </c>
      <c r="C6202">
        <v>0</v>
      </c>
      <c r="D6202">
        <v>1</v>
      </c>
      <c r="E6202">
        <v>0</v>
      </c>
      <c r="F6202">
        <v>0</v>
      </c>
      <c r="G6202">
        <v>1</v>
      </c>
      <c r="H6202">
        <v>0</v>
      </c>
      <c r="I6202">
        <v>0</v>
      </c>
      <c r="J6202">
        <v>9838.2510778646192</v>
      </c>
      <c r="K6202">
        <v>9695.8931345651399</v>
      </c>
      <c r="L6202">
        <v>46.442999999999998</v>
      </c>
      <c r="M6202">
        <v>71.716999999999999</v>
      </c>
      <c r="N6202">
        <v>19.045999999999999</v>
      </c>
    </row>
    <row r="6203" spans="1:14" x14ac:dyDescent="0.45">
      <c r="A6203">
        <v>2009</v>
      </c>
      <c r="B6203" t="s">
        <v>151</v>
      </c>
      <c r="C6203">
        <v>0</v>
      </c>
      <c r="D6203">
        <v>0</v>
      </c>
      <c r="E6203">
        <v>0</v>
      </c>
      <c r="F6203">
        <v>1</v>
      </c>
      <c r="G6203">
        <v>0</v>
      </c>
      <c r="H6203">
        <v>0</v>
      </c>
      <c r="I6203">
        <v>0</v>
      </c>
      <c r="J6203">
        <v>10938.5027244703</v>
      </c>
      <c r="K6203">
        <v>10851.490119825999</v>
      </c>
      <c r="L6203">
        <v>15.071999999999999</v>
      </c>
      <c r="M6203">
        <v>73.706999999999994</v>
      </c>
      <c r="N6203">
        <v>20.786000000000001</v>
      </c>
    </row>
    <row r="6204" spans="1:14" x14ac:dyDescent="0.45">
      <c r="A6204">
        <v>2009</v>
      </c>
      <c r="B6204" t="s">
        <v>152</v>
      </c>
      <c r="C6204">
        <v>0</v>
      </c>
      <c r="D6204">
        <v>0</v>
      </c>
      <c r="E6204">
        <v>0</v>
      </c>
      <c r="F6204">
        <v>0</v>
      </c>
      <c r="G6204">
        <v>0</v>
      </c>
      <c r="H6204">
        <v>1</v>
      </c>
      <c r="I6204">
        <v>1</v>
      </c>
      <c r="J6204">
        <v>39279.498871012001</v>
      </c>
      <c r="K6204">
        <v>36385.869449764701</v>
      </c>
      <c r="L6204">
        <v>10.010999999999999</v>
      </c>
      <c r="M6204">
        <v>82.97</v>
      </c>
      <c r="N6204">
        <v>3.226</v>
      </c>
    </row>
    <row r="6205" spans="1:14" x14ac:dyDescent="0.45">
      <c r="A6205">
        <v>2009</v>
      </c>
      <c r="B6205" t="s">
        <v>153</v>
      </c>
      <c r="C6205">
        <v>1</v>
      </c>
      <c r="D6205">
        <v>0</v>
      </c>
      <c r="E6205">
        <v>0</v>
      </c>
      <c r="F6205">
        <v>0</v>
      </c>
      <c r="G6205">
        <v>1</v>
      </c>
      <c r="H6205">
        <v>0</v>
      </c>
      <c r="I6205">
        <v>0</v>
      </c>
      <c r="J6205">
        <v>24901.352726008401</v>
      </c>
      <c r="K6205">
        <v>18936.468047900002</v>
      </c>
      <c r="L6205">
        <v>43.244999999999997</v>
      </c>
      <c r="M6205">
        <v>67.459999999999994</v>
      </c>
      <c r="N6205">
        <v>22.204999999999998</v>
      </c>
    </row>
    <row r="6206" spans="1:14" x14ac:dyDescent="0.45">
      <c r="A6206">
        <v>2009</v>
      </c>
      <c r="B6206" t="s">
        <v>154</v>
      </c>
      <c r="C6206">
        <v>0</v>
      </c>
      <c r="D6206">
        <v>0</v>
      </c>
      <c r="E6206">
        <v>1</v>
      </c>
      <c r="F6206">
        <v>0</v>
      </c>
      <c r="G6206">
        <v>0</v>
      </c>
      <c r="H6206">
        <v>0</v>
      </c>
      <c r="I6206">
        <v>0</v>
      </c>
      <c r="J6206">
        <v>4012.1942838239702</v>
      </c>
      <c r="K6206">
        <v>3457.8945544512198</v>
      </c>
      <c r="L6206">
        <v>76.816999999999993</v>
      </c>
      <c r="M6206">
        <v>60.482999999999997</v>
      </c>
      <c r="N6206">
        <v>56.761000000000003</v>
      </c>
    </row>
    <row r="6207" spans="1:14" x14ac:dyDescent="0.45">
      <c r="A6207">
        <v>2009</v>
      </c>
      <c r="B6207" t="s">
        <v>155</v>
      </c>
      <c r="C6207">
        <v>1</v>
      </c>
      <c r="D6207">
        <v>0</v>
      </c>
      <c r="E6207">
        <v>0</v>
      </c>
      <c r="F6207">
        <v>0</v>
      </c>
      <c r="G6207">
        <v>0</v>
      </c>
      <c r="H6207">
        <v>0</v>
      </c>
      <c r="I6207">
        <v>0</v>
      </c>
      <c r="J6207">
        <v>4969.9613272037404</v>
      </c>
      <c r="K6207">
        <v>4200.4524514163804</v>
      </c>
      <c r="L6207">
        <v>64.715999999999994</v>
      </c>
      <c r="M6207">
        <v>67.14</v>
      </c>
      <c r="N6207">
        <v>31.524999999999999</v>
      </c>
    </row>
    <row r="6208" spans="1:14" x14ac:dyDescent="0.45">
      <c r="A6208">
        <v>2009</v>
      </c>
      <c r="B6208" t="s">
        <v>156</v>
      </c>
      <c r="C6208">
        <v>0</v>
      </c>
      <c r="D6208">
        <v>0</v>
      </c>
      <c r="E6208">
        <v>0</v>
      </c>
      <c r="F6208">
        <v>0</v>
      </c>
      <c r="G6208">
        <v>0</v>
      </c>
      <c r="H6208">
        <v>0</v>
      </c>
      <c r="I6208">
        <v>0</v>
      </c>
      <c r="J6208">
        <v>3587.6088958824598</v>
      </c>
      <c r="K6208">
        <v>3216.8951235887398</v>
      </c>
      <c r="L6208">
        <v>80.069999999999993</v>
      </c>
      <c r="M6208">
        <v>66.747</v>
      </c>
      <c r="N6208">
        <v>47.51</v>
      </c>
    </row>
    <row r="6209" spans="1:14" x14ac:dyDescent="0.45">
      <c r="A6209">
        <v>2009</v>
      </c>
      <c r="B6209" t="s">
        <v>157</v>
      </c>
      <c r="C6209">
        <v>0</v>
      </c>
      <c r="D6209">
        <v>0</v>
      </c>
      <c r="E6209">
        <v>0</v>
      </c>
      <c r="F6209">
        <v>1</v>
      </c>
      <c r="G6209">
        <v>0</v>
      </c>
      <c r="H6209">
        <v>0</v>
      </c>
      <c r="I6209">
        <v>0</v>
      </c>
      <c r="J6209">
        <v>2137.9659392705598</v>
      </c>
      <c r="K6209">
        <v>1934.00248648565</v>
      </c>
      <c r="L6209">
        <v>53.453000000000003</v>
      </c>
      <c r="M6209">
        <v>65.808000000000007</v>
      </c>
      <c r="N6209">
        <v>58.776000000000003</v>
      </c>
    </row>
    <row r="6210" spans="1:14" x14ac:dyDescent="0.45">
      <c r="A6210">
        <v>2009</v>
      </c>
      <c r="B6210" t="s">
        <v>158</v>
      </c>
      <c r="C6210">
        <v>0</v>
      </c>
      <c r="D6210">
        <v>1</v>
      </c>
      <c r="E6210">
        <v>0</v>
      </c>
      <c r="F6210">
        <v>0</v>
      </c>
      <c r="G6210">
        <v>1</v>
      </c>
      <c r="H6210">
        <v>0</v>
      </c>
      <c r="I6210">
        <v>0</v>
      </c>
      <c r="J6210">
        <v>24973.804528630299</v>
      </c>
      <c r="K6210">
        <v>24665.028864514501</v>
      </c>
      <c r="L6210">
        <v>68.537000000000006</v>
      </c>
      <c r="M6210">
        <v>71.488</v>
      </c>
      <c r="N6210">
        <v>18.318000000000001</v>
      </c>
    </row>
    <row r="6211" spans="1:14" x14ac:dyDescent="0.45">
      <c r="A6211">
        <v>2009</v>
      </c>
      <c r="B6211" t="s">
        <v>159</v>
      </c>
      <c r="C6211">
        <v>0</v>
      </c>
      <c r="D6211">
        <v>0</v>
      </c>
      <c r="E6211">
        <v>0</v>
      </c>
      <c r="F6211">
        <v>0</v>
      </c>
      <c r="G6211">
        <v>0</v>
      </c>
      <c r="H6211">
        <v>1</v>
      </c>
      <c r="I6211">
        <v>1</v>
      </c>
      <c r="J6211">
        <v>35390.562015132498</v>
      </c>
      <c r="K6211">
        <v>32262.832497990199</v>
      </c>
      <c r="L6211">
        <v>18.164999999999999</v>
      </c>
      <c r="M6211">
        <v>80.55</v>
      </c>
      <c r="N6211">
        <v>4.3769999999999998</v>
      </c>
    </row>
    <row r="6212" spans="1:14" x14ac:dyDescent="0.45">
      <c r="A6212">
        <v>2009</v>
      </c>
      <c r="B6212" t="s">
        <v>160</v>
      </c>
      <c r="C6212">
        <v>0</v>
      </c>
      <c r="D6212">
        <v>0</v>
      </c>
      <c r="E6212">
        <v>0</v>
      </c>
      <c r="F6212">
        <v>0</v>
      </c>
      <c r="G6212">
        <v>0</v>
      </c>
      <c r="H6212">
        <v>1</v>
      </c>
      <c r="I6212">
        <v>1</v>
      </c>
      <c r="J6212">
        <v>67896.2680805032</v>
      </c>
      <c r="K6212">
        <v>60468.424854080702</v>
      </c>
      <c r="L6212">
        <v>0</v>
      </c>
      <c r="M6212">
        <v>77.167000000000002</v>
      </c>
      <c r="N6212">
        <v>10.804</v>
      </c>
    </row>
    <row r="6213" spans="1:14" x14ac:dyDescent="0.45">
      <c r="A6213">
        <v>2009</v>
      </c>
      <c r="B6213" t="s">
        <v>161</v>
      </c>
      <c r="C6213">
        <v>0</v>
      </c>
      <c r="D6213">
        <v>0</v>
      </c>
      <c r="E6213">
        <v>0</v>
      </c>
      <c r="F6213">
        <v>0</v>
      </c>
      <c r="G6213">
        <v>0</v>
      </c>
      <c r="H6213">
        <v>0</v>
      </c>
      <c r="I6213">
        <v>0</v>
      </c>
      <c r="J6213">
        <v>4625.0717332451804</v>
      </c>
      <c r="K6213">
        <v>4444.2665583117296</v>
      </c>
      <c r="L6213">
        <v>70.525000000000006</v>
      </c>
      <c r="M6213">
        <v>63.023000000000003</v>
      </c>
      <c r="N6213">
        <v>71.221999999999994</v>
      </c>
    </row>
    <row r="6214" spans="1:14" x14ac:dyDescent="0.45">
      <c r="A6214">
        <v>2009</v>
      </c>
      <c r="B6214" t="s">
        <v>162</v>
      </c>
      <c r="C6214">
        <v>0</v>
      </c>
      <c r="D6214">
        <v>0</v>
      </c>
      <c r="E6214">
        <v>0</v>
      </c>
      <c r="F6214">
        <v>0</v>
      </c>
      <c r="G6214">
        <v>1</v>
      </c>
      <c r="H6214">
        <v>0</v>
      </c>
      <c r="I6214">
        <v>0</v>
      </c>
      <c r="J6214">
        <v>16264.350618270601</v>
      </c>
      <c r="K6214">
        <v>21140.295728242902</v>
      </c>
      <c r="L6214">
        <v>12.813000000000001</v>
      </c>
      <c r="M6214">
        <v>77.262</v>
      </c>
      <c r="N6214">
        <v>13.036</v>
      </c>
    </row>
    <row r="6215" spans="1:14" x14ac:dyDescent="0.45">
      <c r="A6215">
        <v>2009</v>
      </c>
      <c r="B6215" t="s">
        <v>163</v>
      </c>
      <c r="C6215">
        <v>0</v>
      </c>
      <c r="D6215">
        <v>0</v>
      </c>
      <c r="E6215">
        <v>1</v>
      </c>
      <c r="F6215">
        <v>0</v>
      </c>
      <c r="G6215">
        <v>0</v>
      </c>
      <c r="H6215">
        <v>0</v>
      </c>
      <c r="I6215">
        <v>0</v>
      </c>
      <c r="J6215">
        <v>1492.9981738405299</v>
      </c>
      <c r="K6215">
        <v>2205.8233559241598</v>
      </c>
      <c r="L6215">
        <v>52.555</v>
      </c>
      <c r="M6215">
        <v>59.106000000000002</v>
      </c>
      <c r="N6215">
        <v>106.026</v>
      </c>
    </row>
    <row r="6216" spans="1:14" x14ac:dyDescent="0.45">
      <c r="A6216">
        <v>2009</v>
      </c>
      <c r="B6216" t="s">
        <v>164</v>
      </c>
      <c r="C6216">
        <v>0</v>
      </c>
      <c r="D6216">
        <v>0</v>
      </c>
      <c r="E6216">
        <v>0</v>
      </c>
      <c r="F6216">
        <v>0</v>
      </c>
      <c r="G6216">
        <v>1</v>
      </c>
      <c r="H6216">
        <v>0</v>
      </c>
      <c r="I6216">
        <v>0</v>
      </c>
      <c r="J6216">
        <v>20513.563209884898</v>
      </c>
      <c r="K6216">
        <v>23974.1017161905</v>
      </c>
      <c r="L6216">
        <v>22.163</v>
      </c>
      <c r="M6216">
        <v>72.070999999999998</v>
      </c>
      <c r="N6216">
        <v>17.873000000000001</v>
      </c>
    </row>
    <row r="6217" spans="1:14" x14ac:dyDescent="0.45">
      <c r="A6217">
        <v>2009</v>
      </c>
      <c r="B6217" t="s">
        <v>165</v>
      </c>
      <c r="C6217">
        <v>0</v>
      </c>
      <c r="D6217">
        <v>1</v>
      </c>
      <c r="E6217">
        <v>0</v>
      </c>
      <c r="F6217">
        <v>0</v>
      </c>
      <c r="G6217">
        <v>1</v>
      </c>
      <c r="H6217">
        <v>0</v>
      </c>
      <c r="I6217">
        <v>0</v>
      </c>
      <c r="J6217">
        <v>20907.3343580129</v>
      </c>
      <c r="K6217">
        <v>15040.8828420916</v>
      </c>
      <c r="L6217">
        <v>80.787000000000006</v>
      </c>
      <c r="M6217">
        <v>72.945999999999998</v>
      </c>
      <c r="N6217">
        <v>17.948</v>
      </c>
    </row>
    <row r="6218" spans="1:14" x14ac:dyDescent="0.45">
      <c r="A6218">
        <v>2009</v>
      </c>
      <c r="B6218" t="s">
        <v>166</v>
      </c>
      <c r="C6218">
        <v>1</v>
      </c>
      <c r="D6218">
        <v>0</v>
      </c>
      <c r="E6218">
        <v>0</v>
      </c>
      <c r="F6218">
        <v>0</v>
      </c>
      <c r="G6218">
        <v>0</v>
      </c>
      <c r="H6218">
        <v>1</v>
      </c>
      <c r="I6218">
        <v>1</v>
      </c>
      <c r="L6218">
        <v>85.480999999999995</v>
      </c>
      <c r="M6218">
        <v>81.936999999999998</v>
      </c>
      <c r="N6218">
        <v>7.9249999999999998</v>
      </c>
    </row>
    <row r="6219" spans="1:14" x14ac:dyDescent="0.45">
      <c r="A6219">
        <v>2009</v>
      </c>
      <c r="B6219" t="s">
        <v>167</v>
      </c>
      <c r="C6219">
        <v>0</v>
      </c>
      <c r="D6219">
        <v>0</v>
      </c>
      <c r="E6219">
        <v>0</v>
      </c>
      <c r="F6219">
        <v>1</v>
      </c>
      <c r="G6219">
        <v>0</v>
      </c>
      <c r="H6219">
        <v>0</v>
      </c>
      <c r="I6219">
        <v>0</v>
      </c>
      <c r="J6219">
        <v>9156.3190648316504</v>
      </c>
      <c r="K6219">
        <v>8551.8572900098297</v>
      </c>
      <c r="L6219">
        <v>81.757999999999996</v>
      </c>
      <c r="M6219">
        <v>70.298000000000002</v>
      </c>
      <c r="N6219">
        <v>21.657</v>
      </c>
    </row>
    <row r="6220" spans="1:14" x14ac:dyDescent="0.45">
      <c r="A6220">
        <v>2009</v>
      </c>
      <c r="B6220" t="s">
        <v>168</v>
      </c>
      <c r="C6220">
        <v>0</v>
      </c>
      <c r="D6220">
        <v>0</v>
      </c>
      <c r="E6220">
        <v>1</v>
      </c>
      <c r="F6220">
        <v>1</v>
      </c>
      <c r="G6220">
        <v>0</v>
      </c>
      <c r="H6220">
        <v>0</v>
      </c>
      <c r="I6220">
        <v>0</v>
      </c>
      <c r="J6220">
        <v>2538.1934175185402</v>
      </c>
      <c r="K6220">
        <v>2272.7496467619899</v>
      </c>
      <c r="L6220">
        <v>75.706999999999994</v>
      </c>
      <c r="M6220">
        <v>45.055</v>
      </c>
      <c r="N6220">
        <v>99.861999999999995</v>
      </c>
    </row>
    <row r="6221" spans="1:14" x14ac:dyDescent="0.45">
      <c r="A6221">
        <v>2009</v>
      </c>
      <c r="B6221" t="s">
        <v>169</v>
      </c>
      <c r="C6221">
        <v>1</v>
      </c>
      <c r="D6221">
        <v>0</v>
      </c>
      <c r="E6221">
        <v>0</v>
      </c>
      <c r="F6221">
        <v>0</v>
      </c>
      <c r="G6221">
        <v>1</v>
      </c>
      <c r="H6221">
        <v>0</v>
      </c>
      <c r="I6221">
        <v>0</v>
      </c>
      <c r="J6221">
        <v>26217.5449293891</v>
      </c>
      <c r="K6221">
        <v>22430.857887704398</v>
      </c>
      <c r="L6221">
        <v>33.158000000000001</v>
      </c>
      <c r="M6221">
        <v>72.849999999999994</v>
      </c>
      <c r="N6221">
        <v>6.7939999999999996</v>
      </c>
    </row>
    <row r="6222" spans="1:14" x14ac:dyDescent="0.45">
      <c r="A6222">
        <v>2009</v>
      </c>
      <c r="B6222" t="s">
        <v>170</v>
      </c>
      <c r="C6222">
        <v>1</v>
      </c>
      <c r="D6222">
        <v>0</v>
      </c>
      <c r="E6222">
        <v>0</v>
      </c>
      <c r="F6222">
        <v>0</v>
      </c>
      <c r="G6222">
        <v>0</v>
      </c>
      <c r="H6222">
        <v>1</v>
      </c>
      <c r="I6222">
        <v>1</v>
      </c>
      <c r="J6222">
        <v>129002.240187517</v>
      </c>
      <c r="K6222">
        <v>110240.32377813901</v>
      </c>
      <c r="L6222">
        <v>11.821999999999999</v>
      </c>
      <c r="M6222">
        <v>79.906999999999996</v>
      </c>
      <c r="N6222">
        <v>5.1760000000000002</v>
      </c>
    </row>
    <row r="6223" spans="1:14" x14ac:dyDescent="0.45">
      <c r="A6223">
        <v>2009</v>
      </c>
      <c r="B6223" t="s">
        <v>171</v>
      </c>
      <c r="C6223">
        <v>1</v>
      </c>
      <c r="D6223">
        <v>0</v>
      </c>
      <c r="E6223">
        <v>0</v>
      </c>
      <c r="F6223">
        <v>0</v>
      </c>
      <c r="G6223">
        <v>0</v>
      </c>
      <c r="H6223">
        <v>1</v>
      </c>
      <c r="I6223">
        <v>1</v>
      </c>
      <c r="J6223">
        <v>24520.679147548901</v>
      </c>
      <c r="K6223">
        <v>21273.878463829002</v>
      </c>
      <c r="L6223">
        <v>32.186</v>
      </c>
      <c r="M6223">
        <v>72.697000000000003</v>
      </c>
      <c r="N6223">
        <v>8.8879999999999999</v>
      </c>
    </row>
    <row r="6224" spans="1:14" x14ac:dyDescent="0.45">
      <c r="A6224">
        <v>2009</v>
      </c>
      <c r="B6224" t="s">
        <v>172</v>
      </c>
      <c r="C6224">
        <v>0</v>
      </c>
      <c r="D6224">
        <v>0</v>
      </c>
      <c r="E6224">
        <v>0</v>
      </c>
      <c r="F6224">
        <v>0</v>
      </c>
      <c r="G6224">
        <v>0</v>
      </c>
      <c r="H6224">
        <v>1</v>
      </c>
      <c r="I6224">
        <v>1</v>
      </c>
      <c r="J6224">
        <v>104764.709166366</v>
      </c>
      <c r="K6224">
        <v>94942.125683456296</v>
      </c>
      <c r="L6224">
        <v>0</v>
      </c>
      <c r="M6224">
        <v>81.492999999999995</v>
      </c>
      <c r="N6224">
        <v>4.8609999999999998</v>
      </c>
    </row>
    <row r="6225" spans="1:14" x14ac:dyDescent="0.45">
      <c r="A6225">
        <v>2009</v>
      </c>
      <c r="B6225" t="s">
        <v>173</v>
      </c>
      <c r="C6225">
        <v>0</v>
      </c>
      <c r="D6225">
        <v>1</v>
      </c>
      <c r="E6225">
        <v>0</v>
      </c>
      <c r="F6225">
        <v>0</v>
      </c>
      <c r="G6225">
        <v>0</v>
      </c>
      <c r="H6225">
        <v>1</v>
      </c>
      <c r="I6225">
        <v>1</v>
      </c>
      <c r="L6225">
        <v>0</v>
      </c>
      <c r="M6225">
        <v>78.513000000000005</v>
      </c>
      <c r="N6225">
        <v>11.65</v>
      </c>
    </row>
    <row r="6226" spans="1:14" x14ac:dyDescent="0.45">
      <c r="A6226">
        <v>2009</v>
      </c>
      <c r="B6226" t="s">
        <v>174</v>
      </c>
      <c r="C6226">
        <v>0</v>
      </c>
      <c r="D6226">
        <v>0</v>
      </c>
      <c r="E6226">
        <v>0</v>
      </c>
      <c r="F6226">
        <v>1</v>
      </c>
      <c r="G6226">
        <v>0</v>
      </c>
      <c r="H6226">
        <v>0</v>
      </c>
      <c r="I6226">
        <v>0</v>
      </c>
      <c r="J6226">
        <v>7063.72705078125</v>
      </c>
      <c r="K6226">
        <v>6783.7805261517096</v>
      </c>
      <c r="L6226">
        <v>42.548000000000002</v>
      </c>
      <c r="M6226">
        <v>70.453999999999994</v>
      </c>
      <c r="N6226">
        <v>32.668999999999997</v>
      </c>
    </row>
    <row r="6227" spans="1:14" x14ac:dyDescent="0.45">
      <c r="A6227">
        <v>2009</v>
      </c>
      <c r="B6227" t="s">
        <v>175</v>
      </c>
      <c r="C6227">
        <v>1</v>
      </c>
      <c r="D6227">
        <v>0</v>
      </c>
      <c r="E6227">
        <v>0</v>
      </c>
      <c r="F6227">
        <v>0</v>
      </c>
      <c r="G6227">
        <v>0</v>
      </c>
      <c r="H6227">
        <v>1</v>
      </c>
      <c r="I6227">
        <v>1</v>
      </c>
      <c r="L6227">
        <v>0</v>
      </c>
      <c r="M6227">
        <v>84.186999999999998</v>
      </c>
      <c r="N6227">
        <v>6.0430000000000001</v>
      </c>
    </row>
    <row r="6228" spans="1:14" x14ac:dyDescent="0.45">
      <c r="A6228">
        <v>2009</v>
      </c>
      <c r="B6228" t="s">
        <v>176</v>
      </c>
      <c r="C6228">
        <v>1</v>
      </c>
      <c r="D6228">
        <v>0</v>
      </c>
      <c r="E6228">
        <v>0</v>
      </c>
      <c r="F6228">
        <v>1</v>
      </c>
      <c r="G6228">
        <v>0</v>
      </c>
      <c r="H6228">
        <v>0</v>
      </c>
      <c r="I6228">
        <v>0</v>
      </c>
      <c r="J6228">
        <v>9001.2343208162201</v>
      </c>
      <c r="K6228">
        <v>7720.4274356035903</v>
      </c>
      <c r="L6228">
        <v>57.348999999999997</v>
      </c>
      <c r="M6228">
        <v>69.406000000000006</v>
      </c>
      <c r="N6228">
        <v>17.7</v>
      </c>
    </row>
    <row r="6229" spans="1:14" x14ac:dyDescent="0.45">
      <c r="A6229">
        <v>2009</v>
      </c>
      <c r="B6229" t="s">
        <v>177</v>
      </c>
      <c r="C6229">
        <v>0</v>
      </c>
      <c r="D6229">
        <v>0</v>
      </c>
      <c r="E6229">
        <v>1</v>
      </c>
      <c r="F6229">
        <v>0</v>
      </c>
      <c r="G6229">
        <v>0</v>
      </c>
      <c r="H6229">
        <v>0</v>
      </c>
      <c r="I6229">
        <v>0</v>
      </c>
      <c r="J6229">
        <v>1673.1555146646899</v>
      </c>
      <c r="K6229">
        <v>1550.05568157272</v>
      </c>
      <c r="L6229">
        <v>68.698999999999998</v>
      </c>
      <c r="M6229">
        <v>62.304000000000002</v>
      </c>
      <c r="N6229">
        <v>73.316999999999993</v>
      </c>
    </row>
    <row r="6230" spans="1:14" x14ac:dyDescent="0.45">
      <c r="A6230">
        <v>2009</v>
      </c>
      <c r="B6230" t="s">
        <v>178</v>
      </c>
      <c r="C6230">
        <v>0</v>
      </c>
      <c r="D6230">
        <v>0</v>
      </c>
      <c r="E6230">
        <v>0</v>
      </c>
      <c r="F6230">
        <v>1</v>
      </c>
      <c r="G6230">
        <v>0</v>
      </c>
      <c r="H6230">
        <v>0</v>
      </c>
      <c r="I6230">
        <v>0</v>
      </c>
      <c r="J6230">
        <v>16230.008927516499</v>
      </c>
      <c r="K6230">
        <v>16012.255742413199</v>
      </c>
      <c r="L6230">
        <v>63.978999999999999</v>
      </c>
      <c r="M6230">
        <v>76.370999999999995</v>
      </c>
      <c r="N6230">
        <v>15.113</v>
      </c>
    </row>
    <row r="6231" spans="1:14" x14ac:dyDescent="0.45">
      <c r="A6231">
        <v>2009</v>
      </c>
      <c r="B6231" t="s">
        <v>179</v>
      </c>
      <c r="C6231">
        <v>0</v>
      </c>
      <c r="D6231">
        <v>1</v>
      </c>
      <c r="E6231">
        <v>0</v>
      </c>
      <c r="F6231">
        <v>0</v>
      </c>
      <c r="G6231">
        <v>1</v>
      </c>
      <c r="H6231">
        <v>0</v>
      </c>
      <c r="I6231">
        <v>0</v>
      </c>
      <c r="J6231">
        <v>19385.543722906801</v>
      </c>
      <c r="K6231">
        <v>18022.259070915901</v>
      </c>
      <c r="L6231">
        <v>22.48</v>
      </c>
      <c r="M6231">
        <v>73.628</v>
      </c>
      <c r="N6231">
        <v>19.817</v>
      </c>
    </row>
    <row r="6232" spans="1:14" x14ac:dyDescent="0.45">
      <c r="A6232">
        <v>2009</v>
      </c>
      <c r="B6232" t="s">
        <v>180</v>
      </c>
      <c r="C6232">
        <v>0</v>
      </c>
      <c r="D6232">
        <v>0</v>
      </c>
      <c r="E6232">
        <v>0</v>
      </c>
      <c r="F6232">
        <v>1</v>
      </c>
      <c r="G6232">
        <v>0</v>
      </c>
      <c r="H6232">
        <v>0</v>
      </c>
      <c r="I6232">
        <v>0</v>
      </c>
      <c r="J6232">
        <v>4047.22680617883</v>
      </c>
      <c r="K6232">
        <v>3660.6554801877101</v>
      </c>
      <c r="L6232">
        <v>26.907</v>
      </c>
      <c r="M6232">
        <v>64.394999999999996</v>
      </c>
      <c r="N6232">
        <v>39.423999999999999</v>
      </c>
    </row>
    <row r="6233" spans="1:14" x14ac:dyDescent="0.45">
      <c r="A6233">
        <v>2009</v>
      </c>
      <c r="B6233" t="s">
        <v>181</v>
      </c>
      <c r="C6233">
        <v>1</v>
      </c>
      <c r="D6233">
        <v>0</v>
      </c>
      <c r="E6233">
        <v>0</v>
      </c>
      <c r="F6233">
        <v>0</v>
      </c>
      <c r="G6233">
        <v>1</v>
      </c>
      <c r="H6233">
        <v>0</v>
      </c>
      <c r="I6233">
        <v>0</v>
      </c>
      <c r="J6233">
        <v>16083.342161987501</v>
      </c>
      <c r="K6233">
        <v>13577.362503283</v>
      </c>
      <c r="L6233">
        <v>42.883000000000003</v>
      </c>
      <c r="M6233">
        <v>74.468999999999994</v>
      </c>
      <c r="N6233">
        <v>13.544</v>
      </c>
    </row>
    <row r="6234" spans="1:14" x14ac:dyDescent="0.45">
      <c r="A6234">
        <v>2009</v>
      </c>
      <c r="B6234" t="s">
        <v>182</v>
      </c>
      <c r="C6234">
        <v>0</v>
      </c>
      <c r="D6234">
        <v>0</v>
      </c>
      <c r="E6234">
        <v>1</v>
      </c>
      <c r="F6234">
        <v>0</v>
      </c>
      <c r="G6234">
        <v>0</v>
      </c>
      <c r="H6234">
        <v>0</v>
      </c>
      <c r="I6234">
        <v>0</v>
      </c>
      <c r="J6234">
        <v>2506.5809124358798</v>
      </c>
      <c r="K6234">
        <v>2320.1158114213299</v>
      </c>
      <c r="L6234">
        <v>64.8</v>
      </c>
      <c r="M6234">
        <v>55.588000000000001</v>
      </c>
      <c r="N6234">
        <v>139.10300000000001</v>
      </c>
    </row>
    <row r="6235" spans="1:14" x14ac:dyDescent="0.45">
      <c r="A6235">
        <v>2009</v>
      </c>
      <c r="B6235" t="s">
        <v>183</v>
      </c>
      <c r="C6235">
        <v>0</v>
      </c>
      <c r="D6235">
        <v>0</v>
      </c>
      <c r="E6235">
        <v>0</v>
      </c>
      <c r="F6235">
        <v>0</v>
      </c>
      <c r="G6235">
        <v>0</v>
      </c>
      <c r="H6235">
        <v>1</v>
      </c>
      <c r="I6235">
        <v>1</v>
      </c>
      <c r="J6235">
        <v>35478.557414529903</v>
      </c>
      <c r="K6235">
        <v>30690.6886886842</v>
      </c>
      <c r="L6235">
        <v>5.9989999999999997</v>
      </c>
      <c r="M6235">
        <v>80.415000000000006</v>
      </c>
      <c r="N6235">
        <v>6.407</v>
      </c>
    </row>
    <row r="6236" spans="1:14" x14ac:dyDescent="0.45">
      <c r="A6236">
        <v>2009</v>
      </c>
      <c r="B6236" t="s">
        <v>184</v>
      </c>
      <c r="C6236">
        <v>0</v>
      </c>
      <c r="D6236">
        <v>0</v>
      </c>
      <c r="E6236">
        <v>0</v>
      </c>
      <c r="F6236">
        <v>0</v>
      </c>
      <c r="G6236">
        <v>0</v>
      </c>
      <c r="H6236">
        <v>0</v>
      </c>
      <c r="I6236">
        <v>0</v>
      </c>
      <c r="J6236">
        <v>3578.17424704515</v>
      </c>
      <c r="K6236">
        <v>2865.0553268057001</v>
      </c>
      <c r="L6236">
        <v>71.305000000000007</v>
      </c>
      <c r="M6236">
        <v>63.094999999999999</v>
      </c>
      <c r="N6236">
        <v>65.795000000000002</v>
      </c>
    </row>
    <row r="6237" spans="1:14" x14ac:dyDescent="0.45">
      <c r="A6237">
        <v>2009</v>
      </c>
      <c r="B6237" t="s">
        <v>185</v>
      </c>
      <c r="C6237">
        <v>1</v>
      </c>
      <c r="D6237">
        <v>0</v>
      </c>
      <c r="E6237">
        <v>0</v>
      </c>
      <c r="F6237">
        <v>0</v>
      </c>
      <c r="G6237">
        <v>1</v>
      </c>
      <c r="H6237">
        <v>0</v>
      </c>
      <c r="I6237">
        <v>0</v>
      </c>
      <c r="J6237">
        <v>18997.678208824</v>
      </c>
      <c r="K6237">
        <v>16051.8783323684</v>
      </c>
      <c r="L6237">
        <v>36.192</v>
      </c>
      <c r="M6237">
        <v>75.397000000000006</v>
      </c>
      <c r="N6237">
        <v>7.6920000000000002</v>
      </c>
    </row>
    <row r="6238" spans="1:14" x14ac:dyDescent="0.45">
      <c r="A6238">
        <v>2009</v>
      </c>
      <c r="B6238" t="s">
        <v>186</v>
      </c>
      <c r="C6238">
        <v>0</v>
      </c>
      <c r="D6238">
        <v>0</v>
      </c>
      <c r="E6238">
        <v>0</v>
      </c>
      <c r="F6238">
        <v>1</v>
      </c>
      <c r="G6238">
        <v>0</v>
      </c>
      <c r="H6238">
        <v>0</v>
      </c>
      <c r="I6238">
        <v>0</v>
      </c>
      <c r="J6238">
        <v>9095.9769892529002</v>
      </c>
      <c r="K6238">
        <v>7008.2310712634699</v>
      </c>
      <c r="L6238">
        <v>33.42</v>
      </c>
      <c r="M6238">
        <v>67.173000000000002</v>
      </c>
      <c r="N6238">
        <v>29.231999999999999</v>
      </c>
    </row>
    <row r="6239" spans="1:14" x14ac:dyDescent="0.45">
      <c r="A6239">
        <v>2009</v>
      </c>
      <c r="B6239" t="s">
        <v>187</v>
      </c>
      <c r="C6239">
        <v>0</v>
      </c>
      <c r="D6239">
        <v>0</v>
      </c>
      <c r="E6239">
        <v>0</v>
      </c>
      <c r="F6239">
        <v>0</v>
      </c>
      <c r="G6239">
        <v>0</v>
      </c>
      <c r="H6239">
        <v>1</v>
      </c>
      <c r="I6239">
        <v>1</v>
      </c>
      <c r="L6239">
        <v>9.1280000000000001</v>
      </c>
      <c r="M6239">
        <v>77.903000000000006</v>
      </c>
      <c r="N6239">
        <v>7.1820000000000004</v>
      </c>
    </row>
    <row r="6240" spans="1:14" x14ac:dyDescent="0.45">
      <c r="A6240">
        <v>2009</v>
      </c>
      <c r="B6240" t="s">
        <v>188</v>
      </c>
      <c r="C6240">
        <v>0</v>
      </c>
      <c r="D6240">
        <v>0</v>
      </c>
      <c r="E6240">
        <v>1</v>
      </c>
      <c r="F6240">
        <v>0</v>
      </c>
      <c r="G6240">
        <v>0</v>
      </c>
      <c r="H6240">
        <v>0</v>
      </c>
      <c r="I6240">
        <v>0</v>
      </c>
      <c r="J6240">
        <v>1178.70909947834</v>
      </c>
      <c r="K6240">
        <v>986.93301762422504</v>
      </c>
      <c r="L6240">
        <v>68.671999999999997</v>
      </c>
      <c r="M6240">
        <v>54.4</v>
      </c>
      <c r="N6240">
        <v>109.444</v>
      </c>
    </row>
    <row r="6241" spans="1:14" x14ac:dyDescent="0.45">
      <c r="A6241">
        <v>2009</v>
      </c>
      <c r="B6241" t="s">
        <v>189</v>
      </c>
      <c r="C6241">
        <v>0</v>
      </c>
      <c r="D6241">
        <v>0</v>
      </c>
      <c r="E6241">
        <v>1</v>
      </c>
      <c r="F6241">
        <v>0</v>
      </c>
      <c r="G6241">
        <v>0</v>
      </c>
      <c r="H6241">
        <v>0</v>
      </c>
      <c r="I6241">
        <v>0</v>
      </c>
      <c r="J6241">
        <v>5639.7874553045303</v>
      </c>
      <c r="K6241">
        <v>4989.5953695622502</v>
      </c>
      <c r="L6241">
        <v>54.314</v>
      </c>
      <c r="M6241">
        <v>65.484999999999999</v>
      </c>
      <c r="N6241">
        <v>59.084000000000003</v>
      </c>
    </row>
    <row r="6242" spans="1:14" x14ac:dyDescent="0.45">
      <c r="A6242">
        <v>2009</v>
      </c>
      <c r="B6242" t="s">
        <v>190</v>
      </c>
      <c r="C6242">
        <v>0</v>
      </c>
      <c r="D6242">
        <v>0</v>
      </c>
      <c r="E6242">
        <v>1</v>
      </c>
      <c r="F6242">
        <v>0</v>
      </c>
      <c r="G6242">
        <v>1</v>
      </c>
      <c r="H6242">
        <v>0</v>
      </c>
      <c r="I6242">
        <v>0</v>
      </c>
      <c r="J6242">
        <v>18073.699423333001</v>
      </c>
      <c r="K6242">
        <v>16964.4203973119</v>
      </c>
      <c r="L6242">
        <v>58.334000000000003</v>
      </c>
      <c r="M6242">
        <v>73.260000000000005</v>
      </c>
      <c r="N6242">
        <v>14.792</v>
      </c>
    </row>
    <row r="6243" spans="1:14" x14ac:dyDescent="0.45">
      <c r="A6243">
        <v>2009</v>
      </c>
      <c r="B6243" t="s">
        <v>191</v>
      </c>
      <c r="C6243">
        <v>0</v>
      </c>
      <c r="D6243">
        <v>0</v>
      </c>
      <c r="E6243">
        <v>1</v>
      </c>
      <c r="F6243">
        <v>0</v>
      </c>
      <c r="G6243">
        <v>0</v>
      </c>
      <c r="H6243">
        <v>0</v>
      </c>
      <c r="I6243">
        <v>0</v>
      </c>
      <c r="J6243">
        <v>1449.7260152213601</v>
      </c>
      <c r="K6243">
        <v>1240.47454643891</v>
      </c>
      <c r="L6243">
        <v>84.570999999999998</v>
      </c>
      <c r="M6243">
        <v>56.713999999999999</v>
      </c>
      <c r="N6243">
        <v>86.736000000000004</v>
      </c>
    </row>
    <row r="6244" spans="1:14" x14ac:dyDescent="0.45">
      <c r="A6244">
        <v>2009</v>
      </c>
      <c r="B6244" t="s">
        <v>192</v>
      </c>
      <c r="C6244">
        <v>0</v>
      </c>
      <c r="D6244">
        <v>0</v>
      </c>
      <c r="E6244">
        <v>0</v>
      </c>
      <c r="F6244">
        <v>0</v>
      </c>
      <c r="G6244">
        <v>1</v>
      </c>
      <c r="H6244">
        <v>0</v>
      </c>
      <c r="I6244">
        <v>0</v>
      </c>
      <c r="J6244">
        <v>22106.641731180101</v>
      </c>
      <c r="K6244">
        <v>19760.729315565</v>
      </c>
      <c r="L6244">
        <v>29.925000000000001</v>
      </c>
      <c r="M6244">
        <v>75.269000000000005</v>
      </c>
      <c r="N6244">
        <v>8.1319999999999997</v>
      </c>
    </row>
    <row r="6245" spans="1:14" x14ac:dyDescent="0.45">
      <c r="A6245">
        <v>2009</v>
      </c>
      <c r="B6245" t="s">
        <v>193</v>
      </c>
      <c r="C6245">
        <v>0</v>
      </c>
      <c r="D6245">
        <v>0</v>
      </c>
      <c r="E6245">
        <v>1</v>
      </c>
      <c r="F6245">
        <v>0</v>
      </c>
      <c r="G6245">
        <v>1</v>
      </c>
      <c r="H6245">
        <v>0</v>
      </c>
      <c r="I6245">
        <v>0</v>
      </c>
      <c r="J6245">
        <v>10166.289945393901</v>
      </c>
      <c r="K6245">
        <v>8811.1215072221094</v>
      </c>
      <c r="L6245">
        <v>59.399000000000001</v>
      </c>
      <c r="M6245">
        <v>55.347000000000001</v>
      </c>
      <c r="N6245">
        <v>54.828000000000003</v>
      </c>
    </row>
    <row r="6246" spans="1:14" x14ac:dyDescent="0.45">
      <c r="A6246">
        <v>2009</v>
      </c>
      <c r="B6246" t="s">
        <v>194</v>
      </c>
      <c r="C6246">
        <v>0</v>
      </c>
      <c r="D6246">
        <v>0</v>
      </c>
      <c r="E6246">
        <v>0</v>
      </c>
      <c r="F6246">
        <v>0</v>
      </c>
      <c r="G6246">
        <v>0</v>
      </c>
      <c r="H6246">
        <v>1</v>
      </c>
      <c r="I6246">
        <v>1</v>
      </c>
      <c r="L6246">
        <v>33.375999999999998</v>
      </c>
      <c r="M6246">
        <v>75.676000000000002</v>
      </c>
      <c r="N6246">
        <v>16.795000000000002</v>
      </c>
    </row>
    <row r="6247" spans="1:14" x14ac:dyDescent="0.45">
      <c r="A6247">
        <v>2009</v>
      </c>
      <c r="B6247" t="s">
        <v>195</v>
      </c>
      <c r="C6247">
        <v>0</v>
      </c>
      <c r="D6247">
        <v>0</v>
      </c>
      <c r="E6247">
        <v>1</v>
      </c>
      <c r="F6247">
        <v>0</v>
      </c>
      <c r="G6247">
        <v>0</v>
      </c>
      <c r="H6247">
        <v>0</v>
      </c>
      <c r="I6247">
        <v>0</v>
      </c>
      <c r="J6247">
        <v>1277.69230957636</v>
      </c>
      <c r="K6247">
        <v>1015.55096881872</v>
      </c>
      <c r="L6247">
        <v>83.775000000000006</v>
      </c>
      <c r="M6247">
        <v>56.487000000000002</v>
      </c>
      <c r="N6247">
        <v>143.99600000000001</v>
      </c>
    </row>
    <row r="6248" spans="1:14" x14ac:dyDescent="0.45">
      <c r="A6248">
        <v>2009</v>
      </c>
      <c r="B6248" t="s">
        <v>196</v>
      </c>
      <c r="C6248">
        <v>0</v>
      </c>
      <c r="D6248">
        <v>0</v>
      </c>
      <c r="E6248">
        <v>1</v>
      </c>
      <c r="F6248">
        <v>1</v>
      </c>
      <c r="G6248">
        <v>0</v>
      </c>
      <c r="H6248">
        <v>0</v>
      </c>
      <c r="I6248">
        <v>0</v>
      </c>
      <c r="J6248">
        <v>5102.9164037935498</v>
      </c>
      <c r="K6248">
        <v>4511.6658617696003</v>
      </c>
      <c r="L6248">
        <v>57.411999999999999</v>
      </c>
      <c r="M6248">
        <v>51.08</v>
      </c>
      <c r="N6248">
        <v>139.05099999999999</v>
      </c>
    </row>
    <row r="6249" spans="1:14" x14ac:dyDescent="0.45">
      <c r="A6249">
        <v>2009</v>
      </c>
      <c r="B6249" t="s">
        <v>197</v>
      </c>
      <c r="C6249">
        <v>0</v>
      </c>
      <c r="D6249">
        <v>1</v>
      </c>
      <c r="E6249">
        <v>0</v>
      </c>
      <c r="F6249">
        <v>1</v>
      </c>
      <c r="G6249">
        <v>0</v>
      </c>
      <c r="H6249">
        <v>0</v>
      </c>
      <c r="I6249">
        <v>0</v>
      </c>
      <c r="J6249">
        <v>5538.3658931706996</v>
      </c>
      <c r="K6249">
        <v>4664.7725881619799</v>
      </c>
      <c r="L6249">
        <v>43.279000000000003</v>
      </c>
      <c r="M6249">
        <v>71.498999999999995</v>
      </c>
      <c r="N6249">
        <v>24.658999999999999</v>
      </c>
    </row>
    <row r="6250" spans="1:14" x14ac:dyDescent="0.45">
      <c r="A6250">
        <v>2009</v>
      </c>
      <c r="B6250" t="s">
        <v>198</v>
      </c>
      <c r="C6250">
        <v>1</v>
      </c>
      <c r="D6250">
        <v>0</v>
      </c>
      <c r="E6250">
        <v>0</v>
      </c>
      <c r="F6250">
        <v>0</v>
      </c>
      <c r="G6250">
        <v>0</v>
      </c>
      <c r="H6250">
        <v>1</v>
      </c>
      <c r="I6250">
        <v>1</v>
      </c>
      <c r="J6250">
        <v>61029.729885571403</v>
      </c>
      <c r="K6250">
        <v>51517.820799245601</v>
      </c>
      <c r="L6250">
        <v>13.712</v>
      </c>
      <c r="M6250">
        <v>80.671000000000006</v>
      </c>
      <c r="N6250">
        <v>4.5730000000000004</v>
      </c>
    </row>
    <row r="6251" spans="1:14" x14ac:dyDescent="0.45">
      <c r="A6251">
        <v>2009</v>
      </c>
      <c r="B6251" t="s">
        <v>199</v>
      </c>
      <c r="C6251">
        <v>1</v>
      </c>
      <c r="D6251">
        <v>0</v>
      </c>
      <c r="E6251">
        <v>0</v>
      </c>
      <c r="F6251">
        <v>0</v>
      </c>
      <c r="G6251">
        <v>0</v>
      </c>
      <c r="H6251">
        <v>1</v>
      </c>
      <c r="I6251">
        <v>1</v>
      </c>
      <c r="J6251">
        <v>83642.069574777299</v>
      </c>
      <c r="K6251">
        <v>61802.088657050503</v>
      </c>
      <c r="L6251">
        <v>21.184999999999999</v>
      </c>
      <c r="M6251">
        <v>80.864999999999995</v>
      </c>
      <c r="N6251">
        <v>3.7389999999999999</v>
      </c>
    </row>
    <row r="6252" spans="1:14" x14ac:dyDescent="0.45">
      <c r="A6252">
        <v>2009</v>
      </c>
      <c r="B6252" t="s">
        <v>200</v>
      </c>
      <c r="C6252">
        <v>0</v>
      </c>
      <c r="D6252">
        <v>0</v>
      </c>
      <c r="E6252">
        <v>0</v>
      </c>
      <c r="F6252">
        <v>0</v>
      </c>
      <c r="G6252">
        <v>0</v>
      </c>
      <c r="H6252">
        <v>0</v>
      </c>
      <c r="I6252">
        <v>0</v>
      </c>
      <c r="J6252">
        <v>2961.83900365912</v>
      </c>
      <c r="K6252">
        <v>2622.1365737925398</v>
      </c>
      <c r="L6252">
        <v>83.566000000000003</v>
      </c>
      <c r="M6252">
        <v>66.599999999999994</v>
      </c>
      <c r="N6252">
        <v>50.49</v>
      </c>
    </row>
    <row r="6253" spans="1:14" x14ac:dyDescent="0.45">
      <c r="A6253">
        <v>2009</v>
      </c>
      <c r="B6253" t="s">
        <v>201</v>
      </c>
      <c r="C6253">
        <v>0</v>
      </c>
      <c r="D6253">
        <v>0</v>
      </c>
      <c r="E6253">
        <v>0</v>
      </c>
      <c r="F6253">
        <v>0</v>
      </c>
      <c r="G6253">
        <v>0</v>
      </c>
      <c r="H6253">
        <v>1</v>
      </c>
      <c r="I6253">
        <v>1</v>
      </c>
      <c r="J6253">
        <v>6996.75913970068</v>
      </c>
      <c r="K6253">
        <v>6330.1112131657501</v>
      </c>
      <c r="L6253">
        <v>0</v>
      </c>
      <c r="M6253">
        <v>59.851999999999997</v>
      </c>
      <c r="N6253">
        <v>37.378</v>
      </c>
    </row>
    <row r="6254" spans="1:14" x14ac:dyDescent="0.45">
      <c r="A6254">
        <v>2009</v>
      </c>
      <c r="B6254" t="s">
        <v>202</v>
      </c>
      <c r="C6254">
        <v>0</v>
      </c>
      <c r="D6254">
        <v>0</v>
      </c>
      <c r="E6254">
        <v>0</v>
      </c>
      <c r="F6254">
        <v>0</v>
      </c>
      <c r="G6254">
        <v>0</v>
      </c>
      <c r="H6254">
        <v>1</v>
      </c>
      <c r="I6254">
        <v>1</v>
      </c>
      <c r="J6254">
        <v>41132.336845650098</v>
      </c>
      <c r="K6254">
        <v>37411.999244275998</v>
      </c>
      <c r="L6254">
        <v>13.78</v>
      </c>
      <c r="M6254">
        <v>80.545000000000002</v>
      </c>
      <c r="N6254">
        <v>5.9690000000000003</v>
      </c>
    </row>
    <row r="6255" spans="1:14" x14ac:dyDescent="0.45">
      <c r="A6255">
        <v>2009</v>
      </c>
      <c r="B6255" t="s">
        <v>203</v>
      </c>
      <c r="C6255">
        <v>0</v>
      </c>
      <c r="D6255">
        <v>0</v>
      </c>
      <c r="E6255">
        <v>0</v>
      </c>
      <c r="F6255">
        <v>0</v>
      </c>
      <c r="G6255">
        <v>0</v>
      </c>
      <c r="H6255">
        <v>1</v>
      </c>
      <c r="I6255">
        <v>1</v>
      </c>
      <c r="J6255">
        <v>48304.117892316703</v>
      </c>
      <c r="K6255">
        <v>41972.442441232102</v>
      </c>
      <c r="L6255">
        <v>25.376000000000001</v>
      </c>
      <c r="M6255">
        <v>76.631</v>
      </c>
      <c r="N6255">
        <v>11.954000000000001</v>
      </c>
    </row>
    <row r="6256" spans="1:14" x14ac:dyDescent="0.45">
      <c r="A6256">
        <v>2009</v>
      </c>
      <c r="B6256" t="s">
        <v>204</v>
      </c>
      <c r="C6256">
        <v>0</v>
      </c>
      <c r="D6256">
        <v>0</v>
      </c>
      <c r="E6256">
        <v>0</v>
      </c>
      <c r="F6256">
        <v>1</v>
      </c>
      <c r="G6256">
        <v>0</v>
      </c>
      <c r="H6256">
        <v>0</v>
      </c>
      <c r="I6256">
        <v>0</v>
      </c>
      <c r="J6256">
        <v>4270.4388226422898</v>
      </c>
      <c r="K6256">
        <v>4065.0255059435699</v>
      </c>
      <c r="L6256">
        <v>65.206999999999994</v>
      </c>
      <c r="M6256">
        <v>64.206000000000003</v>
      </c>
      <c r="N6256">
        <v>89.24</v>
      </c>
    </row>
    <row r="6257" spans="1:14" x14ac:dyDescent="0.45">
      <c r="A6257">
        <v>2009</v>
      </c>
      <c r="B6257" t="s">
        <v>205</v>
      </c>
      <c r="C6257">
        <v>0</v>
      </c>
      <c r="D6257">
        <v>1</v>
      </c>
      <c r="E6257">
        <v>0</v>
      </c>
      <c r="F6257">
        <v>0</v>
      </c>
      <c r="G6257">
        <v>1</v>
      </c>
      <c r="H6257">
        <v>0</v>
      </c>
      <c r="I6257">
        <v>0</v>
      </c>
      <c r="J6257">
        <v>21822.9876932564</v>
      </c>
      <c r="K6257">
        <v>22883.105479460901</v>
      </c>
      <c r="L6257">
        <v>35.149000000000001</v>
      </c>
      <c r="M6257">
        <v>76.227999999999994</v>
      </c>
      <c r="N6257">
        <v>19.096</v>
      </c>
    </row>
    <row r="6258" spans="1:14" x14ac:dyDescent="0.45">
      <c r="A6258">
        <v>2009</v>
      </c>
      <c r="B6258" t="s">
        <v>206</v>
      </c>
      <c r="C6258">
        <v>0</v>
      </c>
      <c r="D6258">
        <v>1</v>
      </c>
      <c r="E6258">
        <v>0</v>
      </c>
      <c r="F6258">
        <v>0</v>
      </c>
      <c r="G6258">
        <v>1</v>
      </c>
      <c r="H6258">
        <v>0</v>
      </c>
      <c r="I6258">
        <v>0</v>
      </c>
      <c r="J6258">
        <v>11204.3768755244</v>
      </c>
      <c r="K6258">
        <v>9362.2005522782492</v>
      </c>
      <c r="L6258">
        <v>23.759</v>
      </c>
      <c r="M6258">
        <v>72.631</v>
      </c>
      <c r="N6258">
        <v>21.474</v>
      </c>
    </row>
    <row r="6259" spans="1:14" x14ac:dyDescent="0.45">
      <c r="A6259">
        <v>2009</v>
      </c>
      <c r="B6259" t="s">
        <v>207</v>
      </c>
      <c r="C6259">
        <v>0</v>
      </c>
      <c r="D6259">
        <v>0</v>
      </c>
      <c r="E6259">
        <v>0</v>
      </c>
      <c r="F6259">
        <v>1</v>
      </c>
      <c r="G6259">
        <v>0</v>
      </c>
      <c r="H6259">
        <v>0</v>
      </c>
      <c r="I6259">
        <v>0</v>
      </c>
      <c r="J6259">
        <v>5965.3073090222097</v>
      </c>
      <c r="K6259">
        <v>5402.1857219900003</v>
      </c>
      <c r="L6259">
        <v>54.628999999999998</v>
      </c>
      <c r="M6259">
        <v>68.631</v>
      </c>
      <c r="N6259">
        <v>30.641999999999999</v>
      </c>
    </row>
    <row r="6260" spans="1:14" x14ac:dyDescent="0.45">
      <c r="A6260">
        <v>2009</v>
      </c>
      <c r="B6260" t="s">
        <v>208</v>
      </c>
      <c r="C6260">
        <v>0</v>
      </c>
      <c r="D6260">
        <v>0</v>
      </c>
      <c r="E6260">
        <v>0</v>
      </c>
      <c r="F6260">
        <v>0</v>
      </c>
      <c r="G6260">
        <v>1</v>
      </c>
      <c r="H6260">
        <v>0</v>
      </c>
      <c r="I6260">
        <v>0</v>
      </c>
      <c r="J6260">
        <v>16401.223805866099</v>
      </c>
      <c r="K6260">
        <v>14838.5229004175</v>
      </c>
      <c r="L6260">
        <v>25.890999999999998</v>
      </c>
      <c r="M6260">
        <v>67.989999999999995</v>
      </c>
      <c r="N6260">
        <v>20.05</v>
      </c>
    </row>
    <row r="6261" spans="1:14" x14ac:dyDescent="0.45">
      <c r="A6261">
        <v>2009</v>
      </c>
      <c r="B6261" t="s">
        <v>209</v>
      </c>
      <c r="C6261">
        <v>0</v>
      </c>
      <c r="D6261">
        <v>0</v>
      </c>
      <c r="E6261">
        <v>0</v>
      </c>
      <c r="F6261">
        <v>1</v>
      </c>
      <c r="G6261">
        <v>0</v>
      </c>
      <c r="H6261">
        <v>0</v>
      </c>
      <c r="I6261">
        <v>0</v>
      </c>
      <c r="J6261">
        <v>3349.6434538988301</v>
      </c>
      <c r="K6261">
        <v>3030.0919767226901</v>
      </c>
      <c r="L6261">
        <v>86.962999999999994</v>
      </c>
      <c r="M6261">
        <v>62.771999999999998</v>
      </c>
      <c r="N6261">
        <v>59.847000000000001</v>
      </c>
    </row>
    <row r="6262" spans="1:14" x14ac:dyDescent="0.45">
      <c r="A6262">
        <v>2009</v>
      </c>
      <c r="B6262" t="s">
        <v>210</v>
      </c>
      <c r="C6262">
        <v>1</v>
      </c>
      <c r="D6262">
        <v>0</v>
      </c>
      <c r="E6262">
        <v>0</v>
      </c>
      <c r="F6262">
        <v>0</v>
      </c>
      <c r="G6262">
        <v>0</v>
      </c>
      <c r="H6262">
        <v>1</v>
      </c>
      <c r="I6262">
        <v>1</v>
      </c>
      <c r="J6262">
        <v>26204.410367110999</v>
      </c>
      <c r="K6262">
        <v>22618.888765382399</v>
      </c>
      <c r="L6262">
        <v>38.996000000000002</v>
      </c>
      <c r="M6262">
        <v>75.906000000000006</v>
      </c>
      <c r="N6262">
        <v>6.1449999999999996</v>
      </c>
    </row>
    <row r="6263" spans="1:14" x14ac:dyDescent="0.45">
      <c r="A6263">
        <v>2009</v>
      </c>
      <c r="B6263" t="s">
        <v>211</v>
      </c>
      <c r="C6263">
        <v>0</v>
      </c>
      <c r="D6263">
        <v>1</v>
      </c>
      <c r="E6263">
        <v>0</v>
      </c>
      <c r="F6263">
        <v>0</v>
      </c>
      <c r="G6263">
        <v>0</v>
      </c>
      <c r="H6263">
        <v>1</v>
      </c>
      <c r="I6263">
        <v>1</v>
      </c>
      <c r="J6263">
        <v>40772.351424961198</v>
      </c>
      <c r="K6263">
        <v>31322.981091203801</v>
      </c>
      <c r="L6263">
        <v>6.1159999999999997</v>
      </c>
      <c r="M6263">
        <v>78.376999999999995</v>
      </c>
      <c r="N6263">
        <v>8.8620000000000001</v>
      </c>
    </row>
    <row r="6264" spans="1:14" x14ac:dyDescent="0.45">
      <c r="A6264">
        <v>2009</v>
      </c>
      <c r="B6264" t="s">
        <v>212</v>
      </c>
      <c r="C6264">
        <v>0</v>
      </c>
      <c r="D6264">
        <v>0</v>
      </c>
      <c r="E6264">
        <v>0</v>
      </c>
      <c r="F6264">
        <v>0</v>
      </c>
      <c r="G6264">
        <v>0</v>
      </c>
      <c r="H6264">
        <v>0</v>
      </c>
      <c r="I6264">
        <v>0</v>
      </c>
      <c r="L6264">
        <v>39.805</v>
      </c>
      <c r="M6264">
        <v>69.701999999999998</v>
      </c>
      <c r="N6264">
        <v>30.047999999999998</v>
      </c>
    </row>
    <row r="6265" spans="1:14" x14ac:dyDescent="0.45">
      <c r="A6265">
        <v>2009</v>
      </c>
      <c r="B6265" t="s">
        <v>213</v>
      </c>
      <c r="C6265">
        <v>1</v>
      </c>
      <c r="D6265">
        <v>0</v>
      </c>
      <c r="E6265">
        <v>0</v>
      </c>
      <c r="F6265">
        <v>0</v>
      </c>
      <c r="G6265">
        <v>0</v>
      </c>
      <c r="H6265">
        <v>1</v>
      </c>
      <c r="I6265">
        <v>1</v>
      </c>
      <c r="J6265">
        <v>36092.810769914402</v>
      </c>
      <c r="K6265">
        <v>31198.015439371098</v>
      </c>
      <c r="L6265">
        <v>40.036000000000001</v>
      </c>
      <c r="M6265">
        <v>79.828999999999994</v>
      </c>
      <c r="N6265">
        <v>4.4260000000000002</v>
      </c>
    </row>
    <row r="6266" spans="1:14" x14ac:dyDescent="0.45">
      <c r="A6266">
        <v>2009</v>
      </c>
      <c r="B6266" t="s">
        <v>214</v>
      </c>
      <c r="C6266">
        <v>0</v>
      </c>
      <c r="D6266">
        <v>1</v>
      </c>
      <c r="E6266">
        <v>0</v>
      </c>
      <c r="F6266">
        <v>1</v>
      </c>
      <c r="G6266">
        <v>0</v>
      </c>
      <c r="H6266">
        <v>0</v>
      </c>
      <c r="I6266">
        <v>0</v>
      </c>
      <c r="J6266">
        <v>11601.2854565093</v>
      </c>
      <c r="K6266">
        <v>10584.305576921501</v>
      </c>
      <c r="L6266">
        <v>41.063000000000002</v>
      </c>
      <c r="M6266">
        <v>72.281999999999996</v>
      </c>
      <c r="N6266">
        <v>26.574999999999999</v>
      </c>
    </row>
    <row r="6267" spans="1:14" x14ac:dyDescent="0.45">
      <c r="A6267">
        <v>2009</v>
      </c>
      <c r="B6267" t="s">
        <v>215</v>
      </c>
      <c r="C6267">
        <v>0</v>
      </c>
      <c r="D6267">
        <v>0</v>
      </c>
      <c r="E6267">
        <v>0</v>
      </c>
      <c r="F6267">
        <v>1</v>
      </c>
      <c r="G6267">
        <v>0</v>
      </c>
      <c r="H6267">
        <v>0</v>
      </c>
      <c r="I6267">
        <v>0</v>
      </c>
      <c r="J6267">
        <v>5270.6633164321902</v>
      </c>
      <c r="K6267">
        <v>4494.21485506929</v>
      </c>
      <c r="L6267">
        <v>26.077000000000002</v>
      </c>
      <c r="M6267">
        <v>72.305999999999997</v>
      </c>
      <c r="N6267">
        <v>24.597000000000001</v>
      </c>
    </row>
    <row r="6268" spans="1:14" x14ac:dyDescent="0.45">
      <c r="A6268">
        <v>2009</v>
      </c>
      <c r="B6268" t="s">
        <v>216</v>
      </c>
      <c r="C6268">
        <v>0</v>
      </c>
      <c r="D6268">
        <v>0</v>
      </c>
      <c r="E6268">
        <v>0</v>
      </c>
      <c r="F6268">
        <v>0</v>
      </c>
      <c r="G6268">
        <v>0</v>
      </c>
      <c r="H6268">
        <v>1</v>
      </c>
      <c r="I6268">
        <v>1</v>
      </c>
      <c r="L6268">
        <v>40.258000000000003</v>
      </c>
      <c r="M6268">
        <v>80.867000000000004</v>
      </c>
      <c r="N6268">
        <v>8.7309999999999999</v>
      </c>
    </row>
    <row r="6269" spans="1:14" x14ac:dyDescent="0.45">
      <c r="A6269">
        <v>2009</v>
      </c>
      <c r="B6269" t="s">
        <v>217</v>
      </c>
      <c r="C6269">
        <v>0</v>
      </c>
      <c r="D6269">
        <v>0</v>
      </c>
      <c r="E6269">
        <v>0</v>
      </c>
      <c r="F6269">
        <v>0</v>
      </c>
      <c r="G6269">
        <v>0</v>
      </c>
      <c r="H6269">
        <v>1</v>
      </c>
      <c r="I6269">
        <v>1</v>
      </c>
      <c r="J6269">
        <v>108435.853601326</v>
      </c>
      <c r="K6269">
        <v>93634.127743222503</v>
      </c>
      <c r="L6269">
        <v>1.6639999999999999</v>
      </c>
      <c r="M6269">
        <v>78.837000000000003</v>
      </c>
      <c r="N6269">
        <v>9.3680000000000003</v>
      </c>
    </row>
    <row r="6270" spans="1:14" x14ac:dyDescent="0.45">
      <c r="A6270">
        <v>2009</v>
      </c>
      <c r="B6270" t="s">
        <v>218</v>
      </c>
      <c r="C6270">
        <v>1</v>
      </c>
      <c r="D6270">
        <v>0</v>
      </c>
      <c r="E6270">
        <v>0</v>
      </c>
      <c r="F6270">
        <v>0</v>
      </c>
      <c r="G6270">
        <v>1</v>
      </c>
      <c r="H6270">
        <v>0</v>
      </c>
      <c r="I6270">
        <v>0</v>
      </c>
      <c r="J6270">
        <v>25758.864174745599</v>
      </c>
      <c r="K6270">
        <v>20937.7337981561</v>
      </c>
      <c r="L6270">
        <v>46.302</v>
      </c>
      <c r="M6270">
        <v>73.456999999999994</v>
      </c>
      <c r="N6270">
        <v>13.178000000000001</v>
      </c>
    </row>
    <row r="6271" spans="1:14" x14ac:dyDescent="0.45">
      <c r="A6271">
        <v>2009</v>
      </c>
      <c r="B6271" t="s">
        <v>219</v>
      </c>
      <c r="C6271">
        <v>1</v>
      </c>
      <c r="D6271">
        <v>0</v>
      </c>
      <c r="E6271">
        <v>0</v>
      </c>
      <c r="F6271">
        <v>0</v>
      </c>
      <c r="G6271">
        <v>1</v>
      </c>
      <c r="H6271">
        <v>0</v>
      </c>
      <c r="I6271">
        <v>0</v>
      </c>
      <c r="J6271">
        <v>31654.00390625</v>
      </c>
      <c r="K6271">
        <v>22939.693423865501</v>
      </c>
      <c r="L6271">
        <v>26.358000000000001</v>
      </c>
      <c r="M6271">
        <v>68.656999999999996</v>
      </c>
      <c r="N6271">
        <v>10.404999999999999</v>
      </c>
    </row>
    <row r="6272" spans="1:14" x14ac:dyDescent="0.45">
      <c r="A6272">
        <v>2009</v>
      </c>
      <c r="B6272" t="s">
        <v>220</v>
      </c>
      <c r="C6272">
        <v>0</v>
      </c>
      <c r="D6272">
        <v>0</v>
      </c>
      <c r="E6272">
        <v>1</v>
      </c>
      <c r="F6272">
        <v>0</v>
      </c>
      <c r="G6272">
        <v>0</v>
      </c>
      <c r="H6272">
        <v>0</v>
      </c>
      <c r="I6272">
        <v>0</v>
      </c>
      <c r="J6272">
        <v>1699.94452992694</v>
      </c>
      <c r="K6272">
        <v>1422.60513669132</v>
      </c>
      <c r="L6272">
        <v>83.07</v>
      </c>
      <c r="M6272">
        <v>61.813000000000002</v>
      </c>
      <c r="N6272">
        <v>70.516000000000005</v>
      </c>
    </row>
    <row r="6273" spans="1:14" x14ac:dyDescent="0.45">
      <c r="A6273">
        <v>2009</v>
      </c>
      <c r="B6273" t="s">
        <v>221</v>
      </c>
      <c r="C6273">
        <v>0</v>
      </c>
      <c r="D6273">
        <v>0</v>
      </c>
      <c r="E6273">
        <v>0</v>
      </c>
      <c r="F6273">
        <v>0</v>
      </c>
      <c r="G6273">
        <v>0</v>
      </c>
      <c r="H6273">
        <v>1</v>
      </c>
      <c r="I6273">
        <v>1</v>
      </c>
      <c r="J6273">
        <v>51760.764398756597</v>
      </c>
      <c r="K6273">
        <v>47453.132171333797</v>
      </c>
      <c r="L6273">
        <v>18.132999999999999</v>
      </c>
      <c r="M6273">
        <v>75.447000000000003</v>
      </c>
      <c r="N6273">
        <v>13.135999999999999</v>
      </c>
    </row>
    <row r="6274" spans="1:14" x14ac:dyDescent="0.45">
      <c r="A6274">
        <v>2009</v>
      </c>
      <c r="B6274" t="s">
        <v>222</v>
      </c>
      <c r="C6274">
        <v>0</v>
      </c>
      <c r="D6274">
        <v>0</v>
      </c>
      <c r="E6274">
        <v>1</v>
      </c>
      <c r="F6274">
        <v>1</v>
      </c>
      <c r="G6274">
        <v>0</v>
      </c>
      <c r="H6274">
        <v>0</v>
      </c>
      <c r="I6274">
        <v>0</v>
      </c>
      <c r="J6274">
        <v>4188.0546875</v>
      </c>
      <c r="K6274">
        <v>4385.4455543997901</v>
      </c>
      <c r="L6274">
        <v>67.007000000000005</v>
      </c>
      <c r="M6274">
        <v>62.676000000000002</v>
      </c>
      <c r="N6274">
        <v>76.91</v>
      </c>
    </row>
    <row r="6275" spans="1:14" x14ac:dyDescent="0.45">
      <c r="A6275">
        <v>2009</v>
      </c>
      <c r="B6275" t="s">
        <v>223</v>
      </c>
      <c r="C6275">
        <v>0</v>
      </c>
      <c r="D6275">
        <v>0</v>
      </c>
      <c r="E6275">
        <v>1</v>
      </c>
      <c r="F6275">
        <v>1</v>
      </c>
      <c r="G6275">
        <v>0</v>
      </c>
      <c r="H6275">
        <v>0</v>
      </c>
      <c r="I6275">
        <v>0</v>
      </c>
      <c r="J6275">
        <v>3371.4616668861599</v>
      </c>
      <c r="K6275">
        <v>2816.6505935523901</v>
      </c>
      <c r="L6275">
        <v>56.640999999999998</v>
      </c>
      <c r="M6275">
        <v>63.750999999999998</v>
      </c>
      <c r="N6275">
        <v>70.753</v>
      </c>
    </row>
    <row r="6276" spans="1:14" x14ac:dyDescent="0.45">
      <c r="A6276">
        <v>2009</v>
      </c>
      <c r="B6276" t="s">
        <v>224</v>
      </c>
      <c r="C6276">
        <v>0</v>
      </c>
      <c r="D6276">
        <v>0</v>
      </c>
      <c r="E6276">
        <v>0</v>
      </c>
      <c r="F6276">
        <v>0</v>
      </c>
      <c r="G6276">
        <v>0</v>
      </c>
      <c r="H6276">
        <v>1</v>
      </c>
      <c r="I6276">
        <v>1</v>
      </c>
      <c r="J6276">
        <v>84843.519400173405</v>
      </c>
      <c r="K6276">
        <v>69744.538727072199</v>
      </c>
      <c r="L6276">
        <v>0</v>
      </c>
      <c r="M6276">
        <v>81.427999999999997</v>
      </c>
      <c r="N6276">
        <v>2.831</v>
      </c>
    </row>
    <row r="6277" spans="1:14" x14ac:dyDescent="0.45">
      <c r="A6277">
        <v>2009</v>
      </c>
      <c r="B6277" t="s">
        <v>225</v>
      </c>
      <c r="C6277">
        <v>0</v>
      </c>
      <c r="D6277">
        <v>0</v>
      </c>
      <c r="E6277">
        <v>0</v>
      </c>
      <c r="F6277">
        <v>0</v>
      </c>
      <c r="G6277">
        <v>0</v>
      </c>
      <c r="H6277">
        <v>0</v>
      </c>
      <c r="I6277">
        <v>0</v>
      </c>
      <c r="J6277">
        <v>2514.88602810465</v>
      </c>
      <c r="K6277">
        <v>2274.8978983301399</v>
      </c>
      <c r="L6277">
        <v>80.411000000000001</v>
      </c>
      <c r="M6277">
        <v>68.397000000000006</v>
      </c>
      <c r="N6277">
        <v>27.85</v>
      </c>
    </row>
    <row r="6278" spans="1:14" x14ac:dyDescent="0.45">
      <c r="A6278">
        <v>2009</v>
      </c>
      <c r="B6278" t="s">
        <v>226</v>
      </c>
      <c r="C6278">
        <v>0</v>
      </c>
      <c r="D6278">
        <v>0</v>
      </c>
      <c r="E6278">
        <v>1</v>
      </c>
      <c r="F6278">
        <v>0</v>
      </c>
      <c r="G6278">
        <v>0</v>
      </c>
      <c r="H6278">
        <v>0</v>
      </c>
      <c r="I6278">
        <v>0</v>
      </c>
      <c r="J6278">
        <v>2378.72061176339</v>
      </c>
      <c r="K6278">
        <v>2159.09471870995</v>
      </c>
      <c r="L6278">
        <v>61.533999999999999</v>
      </c>
      <c r="M6278">
        <v>51.311999999999998</v>
      </c>
      <c r="N6278">
        <v>168.13300000000001</v>
      </c>
    </row>
    <row r="6279" spans="1:14" x14ac:dyDescent="0.45">
      <c r="A6279">
        <v>2009</v>
      </c>
      <c r="B6279" t="s">
        <v>227</v>
      </c>
      <c r="C6279">
        <v>0</v>
      </c>
      <c r="D6279">
        <v>1</v>
      </c>
      <c r="E6279">
        <v>0</v>
      </c>
      <c r="F6279">
        <v>1</v>
      </c>
      <c r="G6279">
        <v>0</v>
      </c>
      <c r="H6279">
        <v>0</v>
      </c>
      <c r="I6279">
        <v>0</v>
      </c>
      <c r="J6279">
        <v>8494.4984742362103</v>
      </c>
      <c r="K6279">
        <v>7566.4778745022504</v>
      </c>
      <c r="L6279">
        <v>35.43</v>
      </c>
      <c r="M6279">
        <v>70.358999999999995</v>
      </c>
      <c r="N6279">
        <v>20.835000000000001</v>
      </c>
    </row>
    <row r="6280" spans="1:14" x14ac:dyDescent="0.45">
      <c r="A6280">
        <v>2009</v>
      </c>
      <c r="B6280" t="s">
        <v>228</v>
      </c>
      <c r="C6280">
        <v>1</v>
      </c>
      <c r="D6280">
        <v>0</v>
      </c>
      <c r="E6280">
        <v>0</v>
      </c>
      <c r="F6280">
        <v>0</v>
      </c>
      <c r="G6280">
        <v>0</v>
      </c>
      <c r="H6280">
        <v>1</v>
      </c>
      <c r="I6280">
        <v>1</v>
      </c>
      <c r="J6280">
        <v>73093.831701342599</v>
      </c>
      <c r="K6280">
        <v>64423.027057695101</v>
      </c>
      <c r="L6280">
        <v>4.492</v>
      </c>
      <c r="M6280">
        <v>83.224000000000004</v>
      </c>
      <c r="N6280">
        <v>2.8079999999999998</v>
      </c>
    </row>
    <row r="6281" spans="1:14" x14ac:dyDescent="0.45">
      <c r="A6281">
        <v>2009</v>
      </c>
      <c r="B6281" t="s">
        <v>229</v>
      </c>
      <c r="C6281">
        <v>0</v>
      </c>
      <c r="D6281">
        <v>0</v>
      </c>
      <c r="E6281">
        <v>1</v>
      </c>
      <c r="F6281">
        <v>0</v>
      </c>
      <c r="G6281">
        <v>0</v>
      </c>
      <c r="H6281">
        <v>0</v>
      </c>
      <c r="I6281">
        <v>0</v>
      </c>
      <c r="J6281">
        <v>955.87722827424795</v>
      </c>
      <c r="K6281">
        <v>886.60889982694403</v>
      </c>
      <c r="L6281">
        <v>62.354999999999997</v>
      </c>
      <c r="M6281">
        <v>52.100999999999999</v>
      </c>
      <c r="N6281">
        <v>159.89099999999999</v>
      </c>
    </row>
    <row r="6282" spans="1:14" x14ac:dyDescent="0.45">
      <c r="A6282">
        <v>2009</v>
      </c>
      <c r="B6282" t="s">
        <v>230</v>
      </c>
      <c r="C6282">
        <v>1</v>
      </c>
      <c r="D6282">
        <v>0</v>
      </c>
      <c r="E6282">
        <v>0</v>
      </c>
      <c r="F6282">
        <v>0</v>
      </c>
      <c r="G6282">
        <v>1</v>
      </c>
      <c r="H6282">
        <v>0</v>
      </c>
      <c r="I6282">
        <v>0</v>
      </c>
      <c r="J6282">
        <v>17487.146018454401</v>
      </c>
      <c r="K6282">
        <v>15376.863027846901</v>
      </c>
      <c r="L6282">
        <v>45.228000000000002</v>
      </c>
      <c r="M6282">
        <v>74.105999999999995</v>
      </c>
      <c r="N6282">
        <v>7.9020000000000001</v>
      </c>
    </row>
    <row r="6283" spans="1:14" x14ac:dyDescent="0.45">
      <c r="A6283">
        <v>2009</v>
      </c>
      <c r="B6283" t="s">
        <v>231</v>
      </c>
      <c r="C6283">
        <v>0</v>
      </c>
      <c r="D6283">
        <v>0</v>
      </c>
      <c r="E6283">
        <v>1</v>
      </c>
      <c r="F6283">
        <v>1</v>
      </c>
      <c r="G6283">
        <v>0</v>
      </c>
      <c r="H6283">
        <v>0</v>
      </c>
      <c r="I6283">
        <v>0</v>
      </c>
      <c r="L6283">
        <v>82.299000000000007</v>
      </c>
      <c r="M6283">
        <v>56.847999999999999</v>
      </c>
      <c r="N6283">
        <v>116.434</v>
      </c>
    </row>
    <row r="6284" spans="1:14" x14ac:dyDescent="0.45">
      <c r="A6284">
        <v>2009</v>
      </c>
      <c r="B6284" t="s">
        <v>232</v>
      </c>
      <c r="C6284">
        <v>0</v>
      </c>
      <c r="D6284">
        <v>0</v>
      </c>
      <c r="E6284">
        <v>1</v>
      </c>
      <c r="F6284">
        <v>1</v>
      </c>
      <c r="G6284">
        <v>0</v>
      </c>
      <c r="H6284">
        <v>0</v>
      </c>
      <c r="I6284">
        <v>0</v>
      </c>
      <c r="J6284">
        <v>4919.1952982286502</v>
      </c>
      <c r="K6284">
        <v>3061.6298321177901</v>
      </c>
      <c r="L6284">
        <v>36.177</v>
      </c>
      <c r="M6284">
        <v>63.668999999999997</v>
      </c>
      <c r="N6284">
        <v>39.200000000000003</v>
      </c>
    </row>
    <row r="6285" spans="1:14" x14ac:dyDescent="0.45">
      <c r="A6285">
        <v>2009</v>
      </c>
      <c r="B6285" t="s">
        <v>233</v>
      </c>
      <c r="C6285">
        <v>0</v>
      </c>
      <c r="D6285">
        <v>1</v>
      </c>
      <c r="E6285">
        <v>0</v>
      </c>
      <c r="F6285">
        <v>0</v>
      </c>
      <c r="G6285">
        <v>1</v>
      </c>
      <c r="H6285">
        <v>0</v>
      </c>
      <c r="I6285">
        <v>0</v>
      </c>
      <c r="J6285">
        <v>21906.4105447498</v>
      </c>
      <c r="K6285">
        <v>17437.056480564999</v>
      </c>
      <c r="L6285">
        <v>33.588000000000001</v>
      </c>
      <c r="M6285">
        <v>69.322999999999993</v>
      </c>
      <c r="N6285">
        <v>23.765000000000001</v>
      </c>
    </row>
    <row r="6286" spans="1:14" x14ac:dyDescent="0.45">
      <c r="A6286">
        <v>2009</v>
      </c>
      <c r="B6286" t="s">
        <v>234</v>
      </c>
      <c r="C6286">
        <v>1</v>
      </c>
      <c r="D6286">
        <v>0</v>
      </c>
      <c r="E6286">
        <v>0</v>
      </c>
      <c r="F6286">
        <v>0</v>
      </c>
      <c r="G6286">
        <v>0</v>
      </c>
      <c r="H6286">
        <v>1</v>
      </c>
      <c r="I6286">
        <v>1</v>
      </c>
      <c r="J6286">
        <v>27880.3565059988</v>
      </c>
      <c r="K6286">
        <v>24012.872475935099</v>
      </c>
      <c r="L6286">
        <v>45.04</v>
      </c>
      <c r="M6286">
        <v>75.218000000000004</v>
      </c>
      <c r="N6286">
        <v>7.3419999999999996</v>
      </c>
    </row>
    <row r="6287" spans="1:14" x14ac:dyDescent="0.45">
      <c r="A6287">
        <v>2009</v>
      </c>
      <c r="B6287" t="s">
        <v>235</v>
      </c>
      <c r="C6287">
        <v>1</v>
      </c>
      <c r="D6287">
        <v>0</v>
      </c>
      <c r="E6287">
        <v>0</v>
      </c>
      <c r="F6287">
        <v>0</v>
      </c>
      <c r="G6287">
        <v>0</v>
      </c>
      <c r="H6287">
        <v>1</v>
      </c>
      <c r="I6287">
        <v>1</v>
      </c>
      <c r="J6287">
        <v>37811.578851348502</v>
      </c>
      <c r="K6287">
        <v>32548.384465823401</v>
      </c>
      <c r="L6287">
        <v>47.567</v>
      </c>
      <c r="M6287">
        <v>79.027000000000001</v>
      </c>
      <c r="N6287">
        <v>3.1789999999999998</v>
      </c>
    </row>
    <row r="6288" spans="1:14" x14ac:dyDescent="0.45">
      <c r="A6288">
        <v>2009</v>
      </c>
      <c r="B6288" t="s">
        <v>236</v>
      </c>
      <c r="C6288">
        <v>1</v>
      </c>
      <c r="D6288">
        <v>0</v>
      </c>
      <c r="E6288">
        <v>0</v>
      </c>
      <c r="F6288">
        <v>0</v>
      </c>
      <c r="G6288">
        <v>0</v>
      </c>
      <c r="H6288">
        <v>1</v>
      </c>
      <c r="I6288">
        <v>1</v>
      </c>
      <c r="J6288">
        <v>52957.884741978698</v>
      </c>
      <c r="K6288">
        <v>45237.602317998397</v>
      </c>
      <c r="L6288">
        <v>15.098000000000001</v>
      </c>
      <c r="M6288">
        <v>81.363</v>
      </c>
      <c r="N6288">
        <v>3.2949999999999999</v>
      </c>
    </row>
    <row r="6289" spans="1:14" x14ac:dyDescent="0.45">
      <c r="A6289">
        <v>2009</v>
      </c>
      <c r="B6289" t="s">
        <v>237</v>
      </c>
      <c r="C6289">
        <v>0</v>
      </c>
      <c r="D6289">
        <v>0</v>
      </c>
      <c r="E6289">
        <v>1</v>
      </c>
      <c r="F6289">
        <v>1</v>
      </c>
      <c r="G6289">
        <v>0</v>
      </c>
      <c r="H6289">
        <v>0</v>
      </c>
      <c r="I6289">
        <v>0</v>
      </c>
      <c r="J6289">
        <v>7957.0935864540397</v>
      </c>
      <c r="K6289">
        <v>7046.0078285375603</v>
      </c>
      <c r="L6289">
        <v>77.738</v>
      </c>
      <c r="M6289">
        <v>46.912999999999997</v>
      </c>
      <c r="N6289">
        <v>92.736999999999995</v>
      </c>
    </row>
    <row r="6290" spans="1:14" x14ac:dyDescent="0.45">
      <c r="A6290">
        <v>2009</v>
      </c>
      <c r="B6290" t="s">
        <v>238</v>
      </c>
      <c r="C6290">
        <v>0</v>
      </c>
      <c r="D6290">
        <v>1</v>
      </c>
      <c r="E6290">
        <v>0</v>
      </c>
      <c r="F6290">
        <v>0</v>
      </c>
      <c r="G6290">
        <v>0</v>
      </c>
      <c r="H6290">
        <v>1</v>
      </c>
      <c r="I6290">
        <v>1</v>
      </c>
      <c r="J6290">
        <v>50980.940083898298</v>
      </c>
      <c r="K6290">
        <v>49201.067390772303</v>
      </c>
      <c r="L6290">
        <v>0</v>
      </c>
      <c r="M6290">
        <v>74.796000000000006</v>
      </c>
      <c r="N6290">
        <v>18.646000000000001</v>
      </c>
    </row>
    <row r="6291" spans="1:14" x14ac:dyDescent="0.45">
      <c r="A6291">
        <v>2009</v>
      </c>
      <c r="B6291" t="s">
        <v>239</v>
      </c>
      <c r="C6291">
        <v>0</v>
      </c>
      <c r="D6291">
        <v>0</v>
      </c>
      <c r="E6291">
        <v>1</v>
      </c>
      <c r="F6291">
        <v>0</v>
      </c>
      <c r="G6291">
        <v>1</v>
      </c>
      <c r="H6291">
        <v>0</v>
      </c>
      <c r="I6291">
        <v>0</v>
      </c>
      <c r="J6291">
        <v>21361.1307875284</v>
      </c>
      <c r="K6291">
        <v>20738.451261013099</v>
      </c>
      <c r="L6291">
        <v>47.030999999999999</v>
      </c>
      <c r="M6291">
        <v>72.414000000000001</v>
      </c>
      <c r="N6291">
        <v>14.028</v>
      </c>
    </row>
    <row r="6292" spans="1:14" x14ac:dyDescent="0.45">
      <c r="A6292">
        <v>2009</v>
      </c>
      <c r="B6292" t="s">
        <v>240</v>
      </c>
      <c r="C6292">
        <v>0</v>
      </c>
      <c r="D6292">
        <v>0</v>
      </c>
      <c r="E6292">
        <v>0</v>
      </c>
      <c r="F6292">
        <v>1</v>
      </c>
      <c r="G6292">
        <v>0</v>
      </c>
      <c r="H6292">
        <v>0</v>
      </c>
      <c r="I6292">
        <v>0</v>
      </c>
      <c r="J6292">
        <v>9284.1016212658706</v>
      </c>
      <c r="K6292">
        <v>6089.6969020906799</v>
      </c>
      <c r="L6292">
        <v>44.762999999999998</v>
      </c>
      <c r="M6292">
        <v>73.495999999999995</v>
      </c>
      <c r="N6292">
        <v>19.344000000000001</v>
      </c>
    </row>
    <row r="6293" spans="1:14" x14ac:dyDescent="0.45">
      <c r="A6293">
        <v>2009</v>
      </c>
      <c r="B6293" t="s">
        <v>241</v>
      </c>
      <c r="C6293">
        <v>0</v>
      </c>
      <c r="D6293">
        <v>1</v>
      </c>
      <c r="E6293">
        <v>0</v>
      </c>
      <c r="F6293">
        <v>0</v>
      </c>
      <c r="G6293">
        <v>0</v>
      </c>
      <c r="H6293">
        <v>1</v>
      </c>
      <c r="I6293">
        <v>1</v>
      </c>
      <c r="J6293">
        <v>17512.197777787602</v>
      </c>
      <c r="K6293">
        <v>27263.641591179301</v>
      </c>
      <c r="L6293">
        <v>10.23</v>
      </c>
      <c r="M6293">
        <v>76.671999999999997</v>
      </c>
      <c r="N6293">
        <v>7.8049999999999997</v>
      </c>
    </row>
    <row r="6294" spans="1:14" x14ac:dyDescent="0.45">
      <c r="A6294">
        <v>2009</v>
      </c>
      <c r="B6294" t="s">
        <v>242</v>
      </c>
      <c r="C6294">
        <v>0</v>
      </c>
      <c r="D6294">
        <v>0</v>
      </c>
      <c r="E6294">
        <v>1</v>
      </c>
      <c r="F6294">
        <v>0</v>
      </c>
      <c r="G6294">
        <v>0</v>
      </c>
      <c r="H6294">
        <v>0</v>
      </c>
      <c r="I6294">
        <v>0</v>
      </c>
      <c r="J6294">
        <v>2472.17870318429</v>
      </c>
      <c r="K6294">
        <v>2076.71955069146</v>
      </c>
      <c r="L6294">
        <v>78.066000000000003</v>
      </c>
      <c r="M6294">
        <v>49.828000000000003</v>
      </c>
      <c r="N6294">
        <v>151.566</v>
      </c>
    </row>
    <row r="6295" spans="1:14" x14ac:dyDescent="0.45">
      <c r="A6295">
        <v>2009</v>
      </c>
      <c r="B6295" t="s">
        <v>243</v>
      </c>
      <c r="C6295">
        <v>0</v>
      </c>
      <c r="D6295">
        <v>0</v>
      </c>
      <c r="E6295">
        <v>1</v>
      </c>
      <c r="F6295">
        <v>0</v>
      </c>
      <c r="G6295">
        <v>0</v>
      </c>
      <c r="H6295">
        <v>0</v>
      </c>
      <c r="I6295">
        <v>0</v>
      </c>
      <c r="J6295">
        <v>1930.78017936473</v>
      </c>
      <c r="K6295">
        <v>1604.5512026844499</v>
      </c>
      <c r="L6295">
        <v>62.942</v>
      </c>
      <c r="M6295">
        <v>56.927</v>
      </c>
      <c r="N6295">
        <v>91.721999999999994</v>
      </c>
    </row>
    <row r="6296" spans="1:14" x14ac:dyDescent="0.45">
      <c r="A6296">
        <v>2009</v>
      </c>
      <c r="B6296" t="s">
        <v>244</v>
      </c>
      <c r="C6296">
        <v>0</v>
      </c>
      <c r="D6296">
        <v>0</v>
      </c>
      <c r="E6296">
        <v>0</v>
      </c>
      <c r="F6296">
        <v>1</v>
      </c>
      <c r="G6296">
        <v>0</v>
      </c>
      <c r="H6296">
        <v>0</v>
      </c>
      <c r="I6296">
        <v>0</v>
      </c>
      <c r="J6296">
        <v>15665.9031153449</v>
      </c>
      <c r="K6296">
        <v>13700.256428096</v>
      </c>
      <c r="L6296">
        <v>57.457000000000001</v>
      </c>
      <c r="M6296">
        <v>74.668999999999997</v>
      </c>
      <c r="N6296">
        <v>13.221</v>
      </c>
    </row>
    <row r="6297" spans="1:14" x14ac:dyDescent="0.45">
      <c r="A6297">
        <v>2009</v>
      </c>
      <c r="B6297" t="s">
        <v>245</v>
      </c>
      <c r="C6297">
        <v>1</v>
      </c>
      <c r="D6297">
        <v>0</v>
      </c>
      <c r="E6297">
        <v>0</v>
      </c>
      <c r="F6297">
        <v>0</v>
      </c>
      <c r="G6297">
        <v>0</v>
      </c>
      <c r="H6297">
        <v>0</v>
      </c>
      <c r="I6297">
        <v>0</v>
      </c>
      <c r="J6297">
        <v>2349.5003026941599</v>
      </c>
      <c r="K6297">
        <v>2139.77263399802</v>
      </c>
      <c r="L6297">
        <v>73.481999999999999</v>
      </c>
      <c r="M6297">
        <v>68.248000000000005</v>
      </c>
      <c r="N6297">
        <v>45.481999999999999</v>
      </c>
    </row>
    <row r="6298" spans="1:14" x14ac:dyDescent="0.45">
      <c r="A6298">
        <v>2009</v>
      </c>
      <c r="B6298" t="s">
        <v>246</v>
      </c>
      <c r="C6298">
        <v>1</v>
      </c>
      <c r="D6298">
        <v>0</v>
      </c>
      <c r="E6298">
        <v>0</v>
      </c>
      <c r="F6298">
        <v>1</v>
      </c>
      <c r="G6298">
        <v>0</v>
      </c>
      <c r="H6298">
        <v>0</v>
      </c>
      <c r="I6298">
        <v>0</v>
      </c>
      <c r="J6298">
        <v>8264.8653432273495</v>
      </c>
      <c r="K6298">
        <v>7779.0476534536401</v>
      </c>
      <c r="L6298">
        <v>51.828000000000003</v>
      </c>
      <c r="M6298">
        <v>68.155000000000001</v>
      </c>
      <c r="N6298">
        <v>44.808</v>
      </c>
    </row>
    <row r="6299" spans="1:14" x14ac:dyDescent="0.45">
      <c r="A6299">
        <v>2009</v>
      </c>
      <c r="B6299" t="s">
        <v>247</v>
      </c>
      <c r="C6299">
        <v>0</v>
      </c>
      <c r="D6299">
        <v>0</v>
      </c>
      <c r="E6299">
        <v>0</v>
      </c>
      <c r="F6299">
        <v>1</v>
      </c>
      <c r="G6299">
        <v>0</v>
      </c>
      <c r="H6299">
        <v>0</v>
      </c>
      <c r="I6299">
        <v>0</v>
      </c>
      <c r="J6299">
        <v>3794.1714309685899</v>
      </c>
      <c r="K6299">
        <v>3061.3751951190202</v>
      </c>
      <c r="L6299">
        <v>72.611000000000004</v>
      </c>
      <c r="M6299">
        <v>63.265000000000001</v>
      </c>
      <c r="N6299">
        <v>74.581999999999994</v>
      </c>
    </row>
    <row r="6300" spans="1:14" x14ac:dyDescent="0.45">
      <c r="A6300">
        <v>2009</v>
      </c>
      <c r="B6300" t="s">
        <v>248</v>
      </c>
      <c r="C6300">
        <v>0</v>
      </c>
      <c r="D6300">
        <v>0</v>
      </c>
      <c r="E6300">
        <v>0</v>
      </c>
      <c r="F6300">
        <v>1</v>
      </c>
      <c r="G6300">
        <v>0</v>
      </c>
      <c r="H6300">
        <v>0</v>
      </c>
      <c r="I6300">
        <v>0</v>
      </c>
      <c r="J6300">
        <v>5453.8751454888597</v>
      </c>
      <c r="K6300">
        <v>4937.0183269552699</v>
      </c>
      <c r="L6300">
        <v>76.665000000000006</v>
      </c>
      <c r="M6300">
        <v>70.948999999999998</v>
      </c>
      <c r="N6300">
        <v>14.247999999999999</v>
      </c>
    </row>
    <row r="6301" spans="1:14" x14ac:dyDescent="0.45">
      <c r="A6301">
        <v>2009</v>
      </c>
      <c r="B6301" t="s">
        <v>249</v>
      </c>
      <c r="C6301">
        <v>0</v>
      </c>
      <c r="D6301">
        <v>1</v>
      </c>
      <c r="E6301">
        <v>0</v>
      </c>
      <c r="F6301">
        <v>0</v>
      </c>
      <c r="G6301">
        <v>0</v>
      </c>
      <c r="H6301">
        <v>1</v>
      </c>
      <c r="I6301">
        <v>1</v>
      </c>
      <c r="J6301">
        <v>34256.162748084003</v>
      </c>
      <c r="K6301">
        <v>28589.954496474798</v>
      </c>
      <c r="L6301">
        <v>45.786999999999999</v>
      </c>
      <c r="M6301">
        <v>71.403999999999996</v>
      </c>
      <c r="N6301">
        <v>22.995999999999999</v>
      </c>
    </row>
    <row r="6302" spans="1:14" x14ac:dyDescent="0.45">
      <c r="A6302">
        <v>2009</v>
      </c>
      <c r="B6302" t="s">
        <v>250</v>
      </c>
      <c r="C6302">
        <v>0</v>
      </c>
      <c r="D6302">
        <v>0</v>
      </c>
      <c r="E6302">
        <v>0</v>
      </c>
      <c r="F6302">
        <v>1</v>
      </c>
      <c r="G6302">
        <v>0</v>
      </c>
      <c r="H6302">
        <v>0</v>
      </c>
      <c r="I6302">
        <v>0</v>
      </c>
      <c r="J6302">
        <v>12229.761822093</v>
      </c>
      <c r="K6302">
        <v>10658.0331377456</v>
      </c>
      <c r="L6302">
        <v>33.624000000000002</v>
      </c>
      <c r="M6302">
        <v>74.319999999999993</v>
      </c>
      <c r="N6302">
        <v>19.395</v>
      </c>
    </row>
    <row r="6303" spans="1:14" x14ac:dyDescent="0.45">
      <c r="A6303">
        <v>2009</v>
      </c>
      <c r="B6303" t="s">
        <v>251</v>
      </c>
      <c r="C6303">
        <v>1</v>
      </c>
      <c r="D6303">
        <v>0</v>
      </c>
      <c r="E6303">
        <v>0</v>
      </c>
      <c r="F6303">
        <v>0</v>
      </c>
      <c r="G6303">
        <v>1</v>
      </c>
      <c r="H6303">
        <v>0</v>
      </c>
      <c r="I6303">
        <v>0</v>
      </c>
      <c r="J6303">
        <v>18320.448922056199</v>
      </c>
      <c r="K6303">
        <v>18369.459063344999</v>
      </c>
      <c r="L6303">
        <v>29.759</v>
      </c>
      <c r="M6303">
        <v>74.679000000000002</v>
      </c>
      <c r="N6303">
        <v>19.314</v>
      </c>
    </row>
    <row r="6304" spans="1:14" x14ac:dyDescent="0.45">
      <c r="A6304">
        <v>2009</v>
      </c>
      <c r="B6304" t="s">
        <v>252</v>
      </c>
      <c r="C6304">
        <v>0</v>
      </c>
      <c r="D6304">
        <v>0</v>
      </c>
      <c r="E6304">
        <v>0</v>
      </c>
      <c r="F6304">
        <v>1</v>
      </c>
      <c r="G6304">
        <v>0</v>
      </c>
      <c r="H6304">
        <v>0</v>
      </c>
      <c r="I6304">
        <v>0</v>
      </c>
      <c r="J6304">
        <v>3638.1876178062598</v>
      </c>
      <c r="K6304">
        <v>3291.3024942981201</v>
      </c>
      <c r="L6304">
        <v>46.218000000000004</v>
      </c>
      <c r="M6304">
        <v>64.692999999999998</v>
      </c>
      <c r="N6304">
        <v>32.652999999999999</v>
      </c>
    </row>
    <row r="6305" spans="1:14" x14ac:dyDescent="0.45">
      <c r="A6305">
        <v>2009</v>
      </c>
      <c r="B6305" t="s">
        <v>253</v>
      </c>
      <c r="C6305">
        <v>0</v>
      </c>
      <c r="D6305">
        <v>0</v>
      </c>
      <c r="E6305">
        <v>0</v>
      </c>
      <c r="F6305">
        <v>0</v>
      </c>
      <c r="G6305">
        <v>0</v>
      </c>
      <c r="H6305">
        <v>1</v>
      </c>
      <c r="I6305">
        <v>1</v>
      </c>
      <c r="L6305">
        <v>52.12</v>
      </c>
      <c r="M6305">
        <v>78.700999999999993</v>
      </c>
      <c r="N6305">
        <v>5.8789999999999996</v>
      </c>
    </row>
    <row r="6306" spans="1:14" x14ac:dyDescent="0.45">
      <c r="A6306">
        <v>2009</v>
      </c>
      <c r="B6306" t="s">
        <v>254</v>
      </c>
      <c r="C6306">
        <v>0</v>
      </c>
      <c r="D6306">
        <v>0</v>
      </c>
      <c r="E6306">
        <v>1</v>
      </c>
      <c r="F6306">
        <v>0</v>
      </c>
      <c r="G6306">
        <v>0</v>
      </c>
      <c r="H6306">
        <v>0</v>
      </c>
      <c r="I6306">
        <v>0</v>
      </c>
      <c r="J6306">
        <v>2560.81103515625</v>
      </c>
      <c r="K6306">
        <v>1907.4629594621399</v>
      </c>
      <c r="L6306">
        <v>72.561000000000007</v>
      </c>
      <c r="M6306">
        <v>60.494</v>
      </c>
      <c r="N6306">
        <v>73.137</v>
      </c>
    </row>
    <row r="6307" spans="1:14" x14ac:dyDescent="0.45">
      <c r="A6307">
        <v>2009</v>
      </c>
      <c r="B6307" t="s">
        <v>255</v>
      </c>
      <c r="C6307">
        <v>0</v>
      </c>
      <c r="D6307">
        <v>0</v>
      </c>
      <c r="E6307">
        <v>1</v>
      </c>
      <c r="F6307">
        <v>0</v>
      </c>
      <c r="G6307">
        <v>0</v>
      </c>
      <c r="H6307">
        <v>0</v>
      </c>
      <c r="I6307">
        <v>0</v>
      </c>
      <c r="J6307">
        <v>2188.29916246327</v>
      </c>
      <c r="K6307">
        <v>1856.34413717032</v>
      </c>
      <c r="L6307">
        <v>81.122</v>
      </c>
      <c r="M6307">
        <v>59.156999999999996</v>
      </c>
      <c r="N6307">
        <v>81.347999999999999</v>
      </c>
    </row>
    <row r="6308" spans="1:14" x14ac:dyDescent="0.45">
      <c r="A6308">
        <v>2009</v>
      </c>
      <c r="B6308" t="s">
        <v>256</v>
      </c>
      <c r="C6308">
        <v>1</v>
      </c>
      <c r="D6308">
        <v>0</v>
      </c>
      <c r="E6308">
        <v>0</v>
      </c>
      <c r="F6308">
        <v>1</v>
      </c>
      <c r="G6308">
        <v>0</v>
      </c>
      <c r="H6308">
        <v>0</v>
      </c>
      <c r="I6308">
        <v>0</v>
      </c>
      <c r="J6308">
        <v>16092.7958984375</v>
      </c>
      <c r="K6308">
        <v>11382.201727530201</v>
      </c>
      <c r="L6308">
        <v>31.498000000000001</v>
      </c>
      <c r="M6308">
        <v>69.159000000000006</v>
      </c>
      <c r="N6308">
        <v>11.55</v>
      </c>
    </row>
    <row r="6309" spans="1:14" x14ac:dyDescent="0.45">
      <c r="A6309">
        <v>2009</v>
      </c>
      <c r="B6309" t="s">
        <v>257</v>
      </c>
      <c r="C6309">
        <v>0</v>
      </c>
      <c r="D6309">
        <v>1</v>
      </c>
      <c r="E6309">
        <v>0</v>
      </c>
      <c r="F6309">
        <v>0</v>
      </c>
      <c r="G6309">
        <v>1</v>
      </c>
      <c r="H6309">
        <v>0</v>
      </c>
      <c r="I6309">
        <v>0</v>
      </c>
      <c r="J6309">
        <v>23138.082068701398</v>
      </c>
      <c r="K6309">
        <v>18352.399676001201</v>
      </c>
      <c r="L6309">
        <v>5.7910000000000004</v>
      </c>
      <c r="M6309">
        <v>76.67</v>
      </c>
      <c r="N6309">
        <v>10.398999999999999</v>
      </c>
    </row>
    <row r="6310" spans="1:14" x14ac:dyDescent="0.45">
      <c r="A6310">
        <v>2009</v>
      </c>
      <c r="B6310" t="s">
        <v>258</v>
      </c>
      <c r="C6310">
        <v>0</v>
      </c>
      <c r="D6310">
        <v>0</v>
      </c>
      <c r="E6310">
        <v>0</v>
      </c>
      <c r="F6310">
        <v>0</v>
      </c>
      <c r="G6310">
        <v>0</v>
      </c>
      <c r="H6310">
        <v>1</v>
      </c>
      <c r="I6310">
        <v>1</v>
      </c>
      <c r="J6310">
        <v>58714.973689554201</v>
      </c>
      <c r="K6310">
        <v>53294.090686652802</v>
      </c>
      <c r="L6310">
        <v>19.393999999999998</v>
      </c>
      <c r="M6310">
        <v>78.475999999999999</v>
      </c>
      <c r="N6310">
        <v>7.6180000000000003</v>
      </c>
    </row>
    <row r="6311" spans="1:14" x14ac:dyDescent="0.45">
      <c r="A6311">
        <v>2009</v>
      </c>
      <c r="B6311" t="s">
        <v>259</v>
      </c>
      <c r="C6311">
        <v>1</v>
      </c>
      <c r="D6311">
        <v>0</v>
      </c>
      <c r="E6311">
        <v>0</v>
      </c>
      <c r="F6311">
        <v>1</v>
      </c>
      <c r="G6311">
        <v>0</v>
      </c>
      <c r="H6311">
        <v>0</v>
      </c>
      <c r="I6311">
        <v>0</v>
      </c>
      <c r="J6311">
        <v>5439.5506812384701</v>
      </c>
      <c r="K6311">
        <v>5284.7247605201101</v>
      </c>
      <c r="L6311">
        <v>49.527999999999999</v>
      </c>
      <c r="M6311">
        <v>69.516999999999996</v>
      </c>
      <c r="N6311">
        <v>32.987000000000002</v>
      </c>
    </row>
    <row r="6312" spans="1:14" x14ac:dyDescent="0.45">
      <c r="A6312">
        <v>2009</v>
      </c>
      <c r="B6312" t="s">
        <v>260</v>
      </c>
      <c r="C6312">
        <v>0</v>
      </c>
      <c r="D6312">
        <v>1</v>
      </c>
      <c r="E6312">
        <v>0</v>
      </c>
      <c r="F6312">
        <v>0</v>
      </c>
      <c r="G6312">
        <v>1</v>
      </c>
      <c r="H6312">
        <v>0</v>
      </c>
      <c r="I6312">
        <v>0</v>
      </c>
      <c r="J6312">
        <v>13723.7838252622</v>
      </c>
      <c r="K6312">
        <v>11994.054284481599</v>
      </c>
      <c r="L6312">
        <v>51.430999999999997</v>
      </c>
      <c r="M6312">
        <v>70.712000000000003</v>
      </c>
      <c r="N6312">
        <v>23.245000000000001</v>
      </c>
    </row>
    <row r="6313" spans="1:14" x14ac:dyDescent="0.45">
      <c r="A6313">
        <v>2009</v>
      </c>
      <c r="B6313" t="s">
        <v>261</v>
      </c>
      <c r="C6313">
        <v>0</v>
      </c>
      <c r="D6313">
        <v>1</v>
      </c>
      <c r="E6313">
        <v>0</v>
      </c>
      <c r="F6313">
        <v>0</v>
      </c>
      <c r="G6313">
        <v>1</v>
      </c>
      <c r="H6313">
        <v>0</v>
      </c>
      <c r="I6313">
        <v>0</v>
      </c>
      <c r="L6313">
        <v>11.943</v>
      </c>
      <c r="M6313">
        <v>72.784999999999997</v>
      </c>
      <c r="N6313">
        <v>17.55</v>
      </c>
    </row>
    <row r="6314" spans="1:14" x14ac:dyDescent="0.45">
      <c r="A6314">
        <v>2009</v>
      </c>
      <c r="B6314" t="s">
        <v>262</v>
      </c>
      <c r="C6314">
        <v>0</v>
      </c>
      <c r="D6314">
        <v>1</v>
      </c>
      <c r="E6314">
        <v>0</v>
      </c>
      <c r="F6314">
        <v>0</v>
      </c>
      <c r="G6314">
        <v>0</v>
      </c>
      <c r="H6314">
        <v>1</v>
      </c>
      <c r="I6314">
        <v>1</v>
      </c>
      <c r="L6314">
        <v>55.521000000000001</v>
      </c>
      <c r="M6314">
        <v>76.204999999999998</v>
      </c>
      <c r="N6314">
        <v>15.645</v>
      </c>
    </row>
    <row r="6315" spans="1:14" x14ac:dyDescent="0.45">
      <c r="A6315">
        <v>2009</v>
      </c>
      <c r="B6315" t="s">
        <v>263</v>
      </c>
      <c r="C6315">
        <v>0</v>
      </c>
      <c r="D6315">
        <v>1</v>
      </c>
      <c r="E6315">
        <v>0</v>
      </c>
      <c r="F6315">
        <v>0</v>
      </c>
      <c r="G6315">
        <v>0</v>
      </c>
      <c r="H6315">
        <v>1</v>
      </c>
      <c r="I6315">
        <v>1</v>
      </c>
      <c r="J6315">
        <v>58895.3056899496</v>
      </c>
      <c r="K6315">
        <v>46125.284832192898</v>
      </c>
      <c r="L6315">
        <v>5.5810000000000004</v>
      </c>
      <c r="M6315">
        <v>72.918999999999997</v>
      </c>
      <c r="N6315">
        <v>10.215</v>
      </c>
    </row>
    <row r="6316" spans="1:14" x14ac:dyDescent="0.45">
      <c r="A6316">
        <v>2009</v>
      </c>
      <c r="B6316" t="s">
        <v>264</v>
      </c>
      <c r="C6316">
        <v>0</v>
      </c>
      <c r="D6316">
        <v>0</v>
      </c>
      <c r="E6316">
        <v>0</v>
      </c>
      <c r="F6316">
        <v>1</v>
      </c>
      <c r="G6316">
        <v>0</v>
      </c>
      <c r="H6316">
        <v>0</v>
      </c>
      <c r="I6316">
        <v>0</v>
      </c>
      <c r="J6316">
        <v>6914.3386358954504</v>
      </c>
      <c r="K6316">
        <v>6161.2488613471896</v>
      </c>
      <c r="L6316">
        <v>70.238</v>
      </c>
      <c r="M6316">
        <v>73.525000000000006</v>
      </c>
      <c r="N6316">
        <v>23.582000000000001</v>
      </c>
    </row>
    <row r="6317" spans="1:14" x14ac:dyDescent="0.45">
      <c r="A6317">
        <v>2009</v>
      </c>
      <c r="B6317" t="s">
        <v>265</v>
      </c>
      <c r="C6317">
        <v>0</v>
      </c>
      <c r="D6317">
        <v>0</v>
      </c>
      <c r="E6317">
        <v>0</v>
      </c>
      <c r="F6317">
        <v>1</v>
      </c>
      <c r="G6317">
        <v>0</v>
      </c>
      <c r="H6317">
        <v>0</v>
      </c>
      <c r="I6317">
        <v>0</v>
      </c>
      <c r="J6317">
        <v>3396.7359945814401</v>
      </c>
      <c r="K6317">
        <v>3072.6919524066002</v>
      </c>
      <c r="L6317">
        <v>75.713999999999999</v>
      </c>
      <c r="M6317">
        <v>69.421999999999997</v>
      </c>
      <c r="N6317">
        <v>24.515999999999998</v>
      </c>
    </row>
    <row r="6318" spans="1:14" x14ac:dyDescent="0.45">
      <c r="A6318">
        <v>2009</v>
      </c>
      <c r="B6318" t="s">
        <v>266</v>
      </c>
      <c r="C6318">
        <v>0</v>
      </c>
      <c r="D6318">
        <v>0</v>
      </c>
      <c r="E6318">
        <v>0</v>
      </c>
      <c r="F6318">
        <v>1</v>
      </c>
      <c r="G6318">
        <v>0</v>
      </c>
      <c r="H6318">
        <v>0</v>
      </c>
      <c r="I6318">
        <v>0</v>
      </c>
      <c r="J6318">
        <v>6104.12751491363</v>
      </c>
      <c r="K6318">
        <v>5521.8019656102397</v>
      </c>
      <c r="L6318">
        <v>79.7</v>
      </c>
      <c r="M6318">
        <v>69.486000000000004</v>
      </c>
      <c r="N6318">
        <v>25.66</v>
      </c>
    </row>
    <row r="6319" spans="1:14" x14ac:dyDescent="0.45">
      <c r="A6319">
        <v>2009</v>
      </c>
      <c r="B6319" t="s">
        <v>267</v>
      </c>
      <c r="C6319">
        <v>1</v>
      </c>
      <c r="D6319">
        <v>0</v>
      </c>
      <c r="E6319">
        <v>0</v>
      </c>
      <c r="F6319">
        <v>1</v>
      </c>
      <c r="G6319">
        <v>0</v>
      </c>
      <c r="H6319">
        <v>0</v>
      </c>
      <c r="I6319">
        <v>0</v>
      </c>
      <c r="J6319">
        <v>7481.45889832785</v>
      </c>
      <c r="K6319">
        <v>6790.71851117182</v>
      </c>
      <c r="L6319">
        <v>45.228000000000002</v>
      </c>
      <c r="M6319">
        <v>74.790000000000006</v>
      </c>
      <c r="N6319">
        <v>21.792000000000002</v>
      </c>
    </row>
    <row r="6320" spans="1:14" x14ac:dyDescent="0.45">
      <c r="A6320">
        <v>2009</v>
      </c>
      <c r="B6320" t="s">
        <v>268</v>
      </c>
      <c r="C6320">
        <v>0</v>
      </c>
      <c r="D6320">
        <v>0</v>
      </c>
      <c r="E6320">
        <v>0</v>
      </c>
      <c r="F6320">
        <v>1</v>
      </c>
      <c r="G6320">
        <v>0</v>
      </c>
      <c r="H6320">
        <v>0</v>
      </c>
      <c r="I6320">
        <v>0</v>
      </c>
      <c r="L6320">
        <v>68.805999999999997</v>
      </c>
      <c r="M6320">
        <v>66.905000000000001</v>
      </c>
      <c r="N6320">
        <v>58.518000000000001</v>
      </c>
    </row>
    <row r="6321" spans="1:14" x14ac:dyDescent="0.45">
      <c r="A6321">
        <v>2009</v>
      </c>
      <c r="B6321" t="s">
        <v>269</v>
      </c>
      <c r="C6321">
        <v>0</v>
      </c>
      <c r="D6321">
        <v>0</v>
      </c>
      <c r="E6321">
        <v>1</v>
      </c>
      <c r="F6321">
        <v>0</v>
      </c>
      <c r="G6321">
        <v>1</v>
      </c>
      <c r="H6321">
        <v>0</v>
      </c>
      <c r="I6321">
        <v>0</v>
      </c>
      <c r="J6321">
        <v>13927.728892937601</v>
      </c>
      <c r="K6321">
        <v>13113.529644849599</v>
      </c>
      <c r="L6321">
        <v>38.313000000000002</v>
      </c>
      <c r="M6321">
        <v>57.412999999999997</v>
      </c>
      <c r="N6321">
        <v>57.972000000000001</v>
      </c>
    </row>
    <row r="6322" spans="1:14" x14ac:dyDescent="0.45">
      <c r="A6322">
        <v>2009</v>
      </c>
      <c r="B6322" t="s">
        <v>270</v>
      </c>
      <c r="C6322">
        <v>0</v>
      </c>
      <c r="D6322">
        <v>0</v>
      </c>
      <c r="E6322">
        <v>1</v>
      </c>
      <c r="F6322">
        <v>0</v>
      </c>
      <c r="G6322">
        <v>0</v>
      </c>
      <c r="H6322">
        <v>0</v>
      </c>
      <c r="I6322">
        <v>0</v>
      </c>
      <c r="J6322">
        <v>3065.8442010899798</v>
      </c>
      <c r="K6322">
        <v>2878.3901076615998</v>
      </c>
      <c r="L6322">
        <v>61.139000000000003</v>
      </c>
      <c r="M6322">
        <v>55.886000000000003</v>
      </c>
      <c r="N6322">
        <v>84.048000000000002</v>
      </c>
    </row>
    <row r="6323" spans="1:14" x14ac:dyDescent="0.45">
      <c r="A6323">
        <v>2009</v>
      </c>
      <c r="B6323" t="s">
        <v>271</v>
      </c>
      <c r="C6323">
        <v>0</v>
      </c>
      <c r="D6323">
        <v>0</v>
      </c>
      <c r="E6323">
        <v>1</v>
      </c>
      <c r="F6323">
        <v>0</v>
      </c>
      <c r="G6323">
        <v>0</v>
      </c>
      <c r="H6323">
        <v>0</v>
      </c>
      <c r="I6323">
        <v>0</v>
      </c>
      <c r="J6323">
        <v>2176.8645105630699</v>
      </c>
      <c r="K6323">
        <v>1449.4345129626499</v>
      </c>
      <c r="L6323">
        <v>66.622</v>
      </c>
      <c r="M6323">
        <v>49.75</v>
      </c>
      <c r="N6323">
        <v>88.727999999999994</v>
      </c>
    </row>
    <row r="6324" spans="1:14" x14ac:dyDescent="0.45">
      <c r="A6324">
        <v>2010</v>
      </c>
      <c r="B6324" t="s">
        <v>54</v>
      </c>
      <c r="C6324">
        <v>0</v>
      </c>
      <c r="D6324">
        <v>1</v>
      </c>
      <c r="E6324">
        <v>0</v>
      </c>
      <c r="F6324">
        <v>0</v>
      </c>
      <c r="G6324">
        <v>0</v>
      </c>
      <c r="H6324">
        <v>1</v>
      </c>
      <c r="I6324">
        <v>1</v>
      </c>
      <c r="J6324">
        <v>35508.594573256203</v>
      </c>
      <c r="K6324">
        <v>34557.223412266001</v>
      </c>
      <c r="L6324">
        <v>56.941000000000003</v>
      </c>
      <c r="M6324">
        <v>74.296999999999997</v>
      </c>
      <c r="N6324">
        <v>18.039000000000001</v>
      </c>
    </row>
    <row r="6325" spans="1:14" x14ac:dyDescent="0.45">
      <c r="A6325">
        <v>2010</v>
      </c>
      <c r="B6325" t="s">
        <v>55</v>
      </c>
      <c r="C6325">
        <v>0</v>
      </c>
      <c r="D6325">
        <v>0</v>
      </c>
      <c r="E6325">
        <v>0</v>
      </c>
      <c r="F6325">
        <v>0</v>
      </c>
      <c r="G6325">
        <v>0</v>
      </c>
      <c r="H6325">
        <v>0</v>
      </c>
      <c r="I6325">
        <v>0</v>
      </c>
      <c r="J6325">
        <v>2848.5860611149501</v>
      </c>
      <c r="K6325">
        <v>2253.2062918045299</v>
      </c>
      <c r="L6325">
        <v>76.263000000000005</v>
      </c>
      <c r="M6325">
        <v>60.701999999999998</v>
      </c>
      <c r="N6325">
        <v>90.239000000000004</v>
      </c>
    </row>
    <row r="6326" spans="1:14" x14ac:dyDescent="0.45">
      <c r="A6326">
        <v>2010</v>
      </c>
      <c r="B6326" t="s">
        <v>56</v>
      </c>
      <c r="C6326">
        <v>0</v>
      </c>
      <c r="D6326">
        <v>0</v>
      </c>
      <c r="E6326">
        <v>1</v>
      </c>
      <c r="F6326">
        <v>1</v>
      </c>
      <c r="G6326">
        <v>0</v>
      </c>
      <c r="H6326">
        <v>0</v>
      </c>
      <c r="I6326">
        <v>0</v>
      </c>
      <c r="J6326">
        <v>9672.8392243321596</v>
      </c>
      <c r="K6326">
        <v>7480.4979085130499</v>
      </c>
      <c r="L6326">
        <v>40.216999999999999</v>
      </c>
      <c r="M6326">
        <v>57.241999999999997</v>
      </c>
      <c r="N6326">
        <v>119.459</v>
      </c>
    </row>
    <row r="6327" spans="1:14" x14ac:dyDescent="0.45">
      <c r="A6327">
        <v>2010</v>
      </c>
      <c r="B6327" t="s">
        <v>57</v>
      </c>
      <c r="C6327">
        <v>1</v>
      </c>
      <c r="D6327">
        <v>0</v>
      </c>
      <c r="E6327">
        <v>0</v>
      </c>
      <c r="F6327">
        <v>0</v>
      </c>
      <c r="G6327">
        <v>1</v>
      </c>
      <c r="H6327">
        <v>0</v>
      </c>
      <c r="I6327">
        <v>0</v>
      </c>
      <c r="J6327">
        <v>11828.374971937599</v>
      </c>
      <c r="K6327">
        <v>10715.9651844852</v>
      </c>
      <c r="L6327">
        <v>47.837000000000003</v>
      </c>
      <c r="M6327">
        <v>78.414000000000001</v>
      </c>
      <c r="N6327">
        <v>13.414999999999999</v>
      </c>
    </row>
    <row r="6328" spans="1:14" x14ac:dyDescent="0.45">
      <c r="A6328">
        <v>2010</v>
      </c>
      <c r="B6328" t="s">
        <v>58</v>
      </c>
      <c r="C6328">
        <v>1</v>
      </c>
      <c r="D6328">
        <v>0</v>
      </c>
      <c r="E6328">
        <v>0</v>
      </c>
      <c r="F6328">
        <v>0</v>
      </c>
      <c r="G6328">
        <v>0</v>
      </c>
      <c r="H6328">
        <v>1</v>
      </c>
      <c r="I6328">
        <v>1</v>
      </c>
      <c r="J6328">
        <v>58285.0577756981</v>
      </c>
      <c r="K6328">
        <v>48925.854979532101</v>
      </c>
      <c r="L6328">
        <v>11.180999999999999</v>
      </c>
      <c r="M6328">
        <v>84.197000000000003</v>
      </c>
      <c r="N6328">
        <v>5.9029999999999996</v>
      </c>
    </row>
    <row r="6329" spans="1:14" x14ac:dyDescent="0.45">
      <c r="A6329">
        <v>2010</v>
      </c>
      <c r="B6329" t="s">
        <v>59</v>
      </c>
      <c r="C6329">
        <v>0</v>
      </c>
      <c r="D6329">
        <v>0</v>
      </c>
      <c r="E6329">
        <v>0</v>
      </c>
      <c r="F6329">
        <v>0</v>
      </c>
      <c r="G6329">
        <v>0</v>
      </c>
      <c r="H6329">
        <v>1</v>
      </c>
      <c r="I6329">
        <v>1</v>
      </c>
      <c r="J6329">
        <v>68799.930853448197</v>
      </c>
      <c r="K6329">
        <v>67972.177571872206</v>
      </c>
      <c r="L6329">
        <v>15.913</v>
      </c>
      <c r="M6329">
        <v>81.885999999999996</v>
      </c>
      <c r="N6329">
        <v>8.6460000000000008</v>
      </c>
    </row>
    <row r="6330" spans="1:14" x14ac:dyDescent="0.45">
      <c r="A6330">
        <v>2010</v>
      </c>
      <c r="B6330" t="s">
        <v>60</v>
      </c>
      <c r="C6330">
        <v>0</v>
      </c>
      <c r="D6330">
        <v>1</v>
      </c>
      <c r="E6330">
        <v>0</v>
      </c>
      <c r="F6330">
        <v>0</v>
      </c>
      <c r="G6330">
        <v>1</v>
      </c>
      <c r="H6330">
        <v>0</v>
      </c>
      <c r="I6330">
        <v>0</v>
      </c>
      <c r="J6330">
        <v>28056.2570212342</v>
      </c>
      <c r="K6330">
        <v>23155.103617019198</v>
      </c>
      <c r="L6330">
        <v>9.1509999999999998</v>
      </c>
      <c r="M6330">
        <v>75.680000000000007</v>
      </c>
      <c r="N6330">
        <v>15.162000000000001</v>
      </c>
    </row>
    <row r="6331" spans="1:14" x14ac:dyDescent="0.45">
      <c r="A6331">
        <v>2010</v>
      </c>
      <c r="B6331" t="s">
        <v>61</v>
      </c>
      <c r="C6331">
        <v>1</v>
      </c>
      <c r="D6331">
        <v>0</v>
      </c>
      <c r="E6331">
        <v>0</v>
      </c>
      <c r="F6331">
        <v>1</v>
      </c>
      <c r="G6331">
        <v>0</v>
      </c>
      <c r="H6331">
        <v>0</v>
      </c>
      <c r="I6331">
        <v>0</v>
      </c>
      <c r="J6331">
        <v>10438.564190416901</v>
      </c>
      <c r="K6331">
        <v>8842.5205793159403</v>
      </c>
      <c r="L6331">
        <v>36.56</v>
      </c>
      <c r="M6331">
        <v>72.938000000000002</v>
      </c>
      <c r="N6331">
        <v>18.645</v>
      </c>
    </row>
    <row r="6332" spans="1:14" x14ac:dyDescent="0.45">
      <c r="A6332">
        <v>2010</v>
      </c>
      <c r="B6332" t="s">
        <v>62</v>
      </c>
      <c r="C6332">
        <v>0</v>
      </c>
      <c r="D6332">
        <v>0</v>
      </c>
      <c r="E6332">
        <v>0</v>
      </c>
      <c r="F6332">
        <v>0</v>
      </c>
      <c r="G6332">
        <v>1</v>
      </c>
      <c r="H6332">
        <v>0</v>
      </c>
      <c r="I6332">
        <v>0</v>
      </c>
      <c r="L6332">
        <v>12.406000000000001</v>
      </c>
      <c r="M6332">
        <v>72.587000000000003</v>
      </c>
      <c r="N6332">
        <v>11.103999999999999</v>
      </c>
    </row>
    <row r="6333" spans="1:14" x14ac:dyDescent="0.45">
      <c r="A6333">
        <v>2010</v>
      </c>
      <c r="B6333" t="s">
        <v>63</v>
      </c>
      <c r="C6333">
        <v>0</v>
      </c>
      <c r="D6333">
        <v>1</v>
      </c>
      <c r="E6333">
        <v>0</v>
      </c>
      <c r="F6333">
        <v>0</v>
      </c>
      <c r="G6333">
        <v>1</v>
      </c>
      <c r="H6333">
        <v>0</v>
      </c>
      <c r="I6333">
        <v>0</v>
      </c>
      <c r="J6333">
        <v>25826.608638323502</v>
      </c>
      <c r="K6333">
        <v>20340.955121624102</v>
      </c>
      <c r="L6333">
        <v>73.762</v>
      </c>
      <c r="M6333">
        <v>76.700999999999993</v>
      </c>
      <c r="N6333">
        <v>11.926</v>
      </c>
    </row>
    <row r="6334" spans="1:14" x14ac:dyDescent="0.45">
      <c r="A6334">
        <v>2010</v>
      </c>
      <c r="B6334" t="s">
        <v>64</v>
      </c>
      <c r="C6334">
        <v>0</v>
      </c>
      <c r="D6334">
        <v>0</v>
      </c>
      <c r="E6334">
        <v>0</v>
      </c>
      <c r="F6334">
        <v>0</v>
      </c>
      <c r="G6334">
        <v>0</v>
      </c>
      <c r="H6334">
        <v>1</v>
      </c>
      <c r="I6334">
        <v>1</v>
      </c>
      <c r="J6334">
        <v>52589.818208192199</v>
      </c>
      <c r="K6334">
        <v>45550.754708406603</v>
      </c>
      <c r="L6334">
        <v>14.818</v>
      </c>
      <c r="M6334">
        <v>82.013000000000005</v>
      </c>
      <c r="N6334">
        <v>4.8369999999999997</v>
      </c>
    </row>
    <row r="6335" spans="1:14" x14ac:dyDescent="0.45">
      <c r="A6335">
        <v>2010</v>
      </c>
      <c r="B6335" t="s">
        <v>65</v>
      </c>
      <c r="C6335">
        <v>1</v>
      </c>
      <c r="D6335">
        <v>0</v>
      </c>
      <c r="E6335">
        <v>0</v>
      </c>
      <c r="F6335">
        <v>0</v>
      </c>
      <c r="G6335">
        <v>0</v>
      </c>
      <c r="H6335">
        <v>1</v>
      </c>
      <c r="I6335">
        <v>1</v>
      </c>
      <c r="J6335">
        <v>59803.372633970503</v>
      </c>
      <c r="K6335">
        <v>50961.774949957398</v>
      </c>
      <c r="L6335">
        <v>42.600999999999999</v>
      </c>
      <c r="M6335">
        <v>80.462999999999994</v>
      </c>
      <c r="N6335">
        <v>4.7469999999999999</v>
      </c>
    </row>
    <row r="6336" spans="1:14" x14ac:dyDescent="0.45">
      <c r="A6336">
        <v>2010</v>
      </c>
      <c r="B6336" t="s">
        <v>66</v>
      </c>
      <c r="C6336">
        <v>1</v>
      </c>
      <c r="D6336">
        <v>0</v>
      </c>
      <c r="E6336">
        <v>0</v>
      </c>
      <c r="F6336">
        <v>0</v>
      </c>
      <c r="G6336">
        <v>1</v>
      </c>
      <c r="H6336">
        <v>0</v>
      </c>
      <c r="I6336">
        <v>0</v>
      </c>
      <c r="J6336">
        <v>19925.390097404499</v>
      </c>
      <c r="K6336">
        <v>14509.915251549501</v>
      </c>
      <c r="L6336">
        <v>46.594000000000001</v>
      </c>
      <c r="M6336">
        <v>70.308999999999997</v>
      </c>
      <c r="N6336">
        <v>37.856999999999999</v>
      </c>
    </row>
    <row r="6337" spans="1:14" x14ac:dyDescent="0.45">
      <c r="A6337">
        <v>2010</v>
      </c>
      <c r="B6337" t="s">
        <v>67</v>
      </c>
      <c r="C6337">
        <v>0</v>
      </c>
      <c r="D6337">
        <v>0</v>
      </c>
      <c r="E6337">
        <v>1</v>
      </c>
      <c r="F6337">
        <v>0</v>
      </c>
      <c r="G6337">
        <v>0</v>
      </c>
      <c r="H6337">
        <v>0</v>
      </c>
      <c r="I6337">
        <v>0</v>
      </c>
      <c r="J6337">
        <v>947.62141733126998</v>
      </c>
      <c r="K6337">
        <v>818.84274001374695</v>
      </c>
      <c r="L6337">
        <v>89.358000000000004</v>
      </c>
      <c r="M6337">
        <v>57.088000000000001</v>
      </c>
      <c r="N6337">
        <v>90.998000000000005</v>
      </c>
    </row>
    <row r="6338" spans="1:14" x14ac:dyDescent="0.45">
      <c r="A6338">
        <v>2010</v>
      </c>
      <c r="B6338" t="s">
        <v>68</v>
      </c>
      <c r="C6338">
        <v>1</v>
      </c>
      <c r="D6338">
        <v>0</v>
      </c>
      <c r="E6338">
        <v>0</v>
      </c>
      <c r="F6338">
        <v>0</v>
      </c>
      <c r="G6338">
        <v>0</v>
      </c>
      <c r="H6338">
        <v>1</v>
      </c>
      <c r="I6338">
        <v>1</v>
      </c>
      <c r="J6338">
        <v>56265.015349254303</v>
      </c>
      <c r="K6338">
        <v>47347.945905164401</v>
      </c>
      <c r="L6338">
        <v>2.3490000000000002</v>
      </c>
      <c r="M6338">
        <v>80.040000000000006</v>
      </c>
      <c r="N6338">
        <v>4.4429999999999996</v>
      </c>
    </row>
    <row r="6339" spans="1:14" x14ac:dyDescent="0.45">
      <c r="A6339">
        <v>2010</v>
      </c>
      <c r="B6339" t="s">
        <v>69</v>
      </c>
      <c r="C6339">
        <v>0</v>
      </c>
      <c r="D6339">
        <v>0</v>
      </c>
      <c r="E6339">
        <v>1</v>
      </c>
      <c r="F6339">
        <v>0</v>
      </c>
      <c r="G6339">
        <v>0</v>
      </c>
      <c r="H6339">
        <v>0</v>
      </c>
      <c r="I6339">
        <v>0</v>
      </c>
      <c r="J6339">
        <v>2733.5739964115101</v>
      </c>
      <c r="K6339">
        <v>2593.4834805959399</v>
      </c>
      <c r="L6339">
        <v>56.906999999999996</v>
      </c>
      <c r="M6339">
        <v>58.387</v>
      </c>
      <c r="N6339">
        <v>108.59099999999999</v>
      </c>
    </row>
    <row r="6340" spans="1:14" x14ac:dyDescent="0.45">
      <c r="A6340">
        <v>2010</v>
      </c>
      <c r="B6340" t="s">
        <v>70</v>
      </c>
      <c r="C6340">
        <v>0</v>
      </c>
      <c r="D6340">
        <v>0</v>
      </c>
      <c r="E6340">
        <v>1</v>
      </c>
      <c r="F6340">
        <v>0</v>
      </c>
      <c r="G6340">
        <v>0</v>
      </c>
      <c r="H6340">
        <v>0</v>
      </c>
      <c r="I6340">
        <v>0</v>
      </c>
      <c r="J6340">
        <v>1873.97146230828</v>
      </c>
      <c r="K6340">
        <v>1714.5659905069499</v>
      </c>
      <c r="L6340">
        <v>75.367000000000004</v>
      </c>
      <c r="M6340">
        <v>56.343000000000004</v>
      </c>
      <c r="N6340">
        <v>122.621</v>
      </c>
    </row>
    <row r="6341" spans="1:14" x14ac:dyDescent="0.45">
      <c r="A6341">
        <v>2010</v>
      </c>
      <c r="B6341" t="s">
        <v>71</v>
      </c>
      <c r="C6341">
        <v>0</v>
      </c>
      <c r="D6341">
        <v>0</v>
      </c>
      <c r="E6341">
        <v>0</v>
      </c>
      <c r="F6341">
        <v>0</v>
      </c>
      <c r="G6341">
        <v>0</v>
      </c>
      <c r="H6341">
        <v>0</v>
      </c>
      <c r="I6341">
        <v>0</v>
      </c>
      <c r="J6341">
        <v>4125.4639016320198</v>
      </c>
      <c r="K6341">
        <v>3353.97972981051</v>
      </c>
      <c r="L6341">
        <v>69.537999999999997</v>
      </c>
      <c r="M6341">
        <v>68.009</v>
      </c>
      <c r="N6341">
        <v>49.548999999999999</v>
      </c>
    </row>
    <row r="6342" spans="1:14" x14ac:dyDescent="0.45">
      <c r="A6342">
        <v>2010</v>
      </c>
      <c r="B6342" t="s">
        <v>72</v>
      </c>
      <c r="C6342">
        <v>1</v>
      </c>
      <c r="D6342">
        <v>0</v>
      </c>
      <c r="E6342">
        <v>0</v>
      </c>
      <c r="F6342">
        <v>0</v>
      </c>
      <c r="G6342">
        <v>1</v>
      </c>
      <c r="H6342">
        <v>0</v>
      </c>
      <c r="I6342">
        <v>0</v>
      </c>
      <c r="J6342">
        <v>21715.8794407598</v>
      </c>
      <c r="K6342">
        <v>18019.825309976899</v>
      </c>
      <c r="L6342">
        <v>27.698</v>
      </c>
      <c r="M6342">
        <v>73.813999999999993</v>
      </c>
      <c r="N6342">
        <v>10.949</v>
      </c>
    </row>
    <row r="6343" spans="1:14" x14ac:dyDescent="0.45">
      <c r="A6343">
        <v>2010</v>
      </c>
      <c r="B6343" t="s">
        <v>73</v>
      </c>
      <c r="C6343">
        <v>0</v>
      </c>
      <c r="D6343">
        <v>0</v>
      </c>
      <c r="E6343">
        <v>0</v>
      </c>
      <c r="F6343">
        <v>0</v>
      </c>
      <c r="G6343">
        <v>0</v>
      </c>
      <c r="H6343">
        <v>1</v>
      </c>
      <c r="I6343">
        <v>1</v>
      </c>
      <c r="J6343">
        <v>50704.847967981899</v>
      </c>
      <c r="K6343">
        <v>47244.863133512903</v>
      </c>
      <c r="L6343">
        <v>11.366</v>
      </c>
      <c r="M6343">
        <v>78.593000000000004</v>
      </c>
      <c r="N6343">
        <v>8.7710000000000008</v>
      </c>
    </row>
    <row r="6344" spans="1:14" x14ac:dyDescent="0.45">
      <c r="A6344">
        <v>2010</v>
      </c>
      <c r="B6344" t="s">
        <v>74</v>
      </c>
      <c r="C6344">
        <v>0</v>
      </c>
      <c r="D6344">
        <v>1</v>
      </c>
      <c r="E6344">
        <v>0</v>
      </c>
      <c r="F6344">
        <v>0</v>
      </c>
      <c r="G6344">
        <v>0</v>
      </c>
      <c r="H6344">
        <v>1</v>
      </c>
      <c r="I6344">
        <v>1</v>
      </c>
      <c r="J6344">
        <v>32711.377086824999</v>
      </c>
      <c r="K6344">
        <v>33931.052997299601</v>
      </c>
      <c r="L6344">
        <v>17.573</v>
      </c>
      <c r="M6344">
        <v>73.448999999999998</v>
      </c>
      <c r="N6344">
        <v>15.429</v>
      </c>
    </row>
    <row r="6345" spans="1:14" x14ac:dyDescent="0.45">
      <c r="A6345">
        <v>2010</v>
      </c>
      <c r="B6345" t="s">
        <v>75</v>
      </c>
      <c r="C6345">
        <v>1</v>
      </c>
      <c r="D6345">
        <v>0</v>
      </c>
      <c r="E6345">
        <v>0</v>
      </c>
      <c r="F6345">
        <v>0</v>
      </c>
      <c r="G6345">
        <v>1</v>
      </c>
      <c r="H6345">
        <v>0</v>
      </c>
      <c r="I6345">
        <v>0</v>
      </c>
      <c r="J6345">
        <v>12138.829965193299</v>
      </c>
      <c r="K6345">
        <v>10486.2653287873</v>
      </c>
      <c r="L6345">
        <v>54.442</v>
      </c>
      <c r="M6345">
        <v>76.826999999999998</v>
      </c>
      <c r="N6345">
        <v>6.7649999999999997</v>
      </c>
    </row>
    <row r="6346" spans="1:14" x14ac:dyDescent="0.45">
      <c r="A6346">
        <v>2010</v>
      </c>
      <c r="B6346" t="s">
        <v>76</v>
      </c>
      <c r="C6346">
        <v>1</v>
      </c>
      <c r="D6346">
        <v>0</v>
      </c>
      <c r="E6346">
        <v>0</v>
      </c>
      <c r="F6346">
        <v>0</v>
      </c>
      <c r="G6346">
        <v>1</v>
      </c>
      <c r="H6346">
        <v>0</v>
      </c>
      <c r="I6346">
        <v>0</v>
      </c>
      <c r="J6346">
        <v>24012.613297993801</v>
      </c>
      <c r="K6346">
        <v>17336.988377518701</v>
      </c>
      <c r="L6346">
        <v>25.327999999999999</v>
      </c>
      <c r="M6346">
        <v>70.501000000000005</v>
      </c>
      <c r="N6346">
        <v>5.7320000000000002</v>
      </c>
    </row>
    <row r="6347" spans="1:14" x14ac:dyDescent="0.45">
      <c r="A6347">
        <v>2010</v>
      </c>
      <c r="B6347" t="s">
        <v>77</v>
      </c>
      <c r="C6347">
        <v>0</v>
      </c>
      <c r="D6347">
        <v>1</v>
      </c>
      <c r="E6347">
        <v>0</v>
      </c>
      <c r="F6347">
        <v>1</v>
      </c>
      <c r="G6347">
        <v>0</v>
      </c>
      <c r="H6347">
        <v>0</v>
      </c>
      <c r="I6347">
        <v>0</v>
      </c>
      <c r="J6347">
        <v>11868.438239908301</v>
      </c>
      <c r="K6347">
        <v>9353.4352018187492</v>
      </c>
      <c r="L6347">
        <v>54.771999999999998</v>
      </c>
      <c r="M6347">
        <v>70.875</v>
      </c>
      <c r="N6347">
        <v>18.585999999999999</v>
      </c>
    </row>
    <row r="6348" spans="1:14" x14ac:dyDescent="0.45">
      <c r="A6348">
        <v>2010</v>
      </c>
      <c r="B6348" t="s">
        <v>78</v>
      </c>
      <c r="C6348">
        <v>0</v>
      </c>
      <c r="D6348">
        <v>0</v>
      </c>
      <c r="E6348">
        <v>0</v>
      </c>
      <c r="F6348">
        <v>0</v>
      </c>
      <c r="G6348">
        <v>0</v>
      </c>
      <c r="H6348">
        <v>1</v>
      </c>
      <c r="I6348">
        <v>1</v>
      </c>
      <c r="J6348">
        <v>105968.875104213</v>
      </c>
      <c r="K6348">
        <v>94149.521987485903</v>
      </c>
      <c r="L6348">
        <v>0</v>
      </c>
      <c r="M6348">
        <v>79.414000000000001</v>
      </c>
      <c r="N6348">
        <v>4.5289999999999999</v>
      </c>
    </row>
    <row r="6349" spans="1:14" x14ac:dyDescent="0.45">
      <c r="A6349">
        <v>2010</v>
      </c>
      <c r="B6349" t="s">
        <v>79</v>
      </c>
      <c r="C6349">
        <v>0</v>
      </c>
      <c r="D6349">
        <v>1</v>
      </c>
      <c r="E6349">
        <v>0</v>
      </c>
      <c r="F6349">
        <v>1</v>
      </c>
      <c r="G6349">
        <v>0</v>
      </c>
      <c r="H6349">
        <v>0</v>
      </c>
      <c r="I6349">
        <v>0</v>
      </c>
      <c r="J6349">
        <v>7571.6780924710201</v>
      </c>
      <c r="K6349">
        <v>6682.3861110812304</v>
      </c>
      <c r="L6349">
        <v>33.57</v>
      </c>
      <c r="M6349">
        <v>66.003</v>
      </c>
      <c r="N6349">
        <v>61.741</v>
      </c>
    </row>
    <row r="6350" spans="1:14" x14ac:dyDescent="0.45">
      <c r="A6350">
        <v>2010</v>
      </c>
      <c r="B6350" t="s">
        <v>80</v>
      </c>
      <c r="C6350">
        <v>0</v>
      </c>
      <c r="D6350">
        <v>1</v>
      </c>
      <c r="E6350">
        <v>0</v>
      </c>
      <c r="F6350">
        <v>0</v>
      </c>
      <c r="G6350">
        <v>1</v>
      </c>
      <c r="H6350">
        <v>0</v>
      </c>
      <c r="I6350">
        <v>0</v>
      </c>
      <c r="J6350">
        <v>18062.158110365901</v>
      </c>
      <c r="K6350">
        <v>14836.4217849451</v>
      </c>
      <c r="L6350">
        <v>15.664999999999999</v>
      </c>
      <c r="M6350">
        <v>73.778999999999996</v>
      </c>
      <c r="N6350">
        <v>18.882000000000001</v>
      </c>
    </row>
    <row r="6351" spans="1:14" x14ac:dyDescent="0.45">
      <c r="A6351">
        <v>2010</v>
      </c>
      <c r="B6351" t="s">
        <v>81</v>
      </c>
      <c r="C6351">
        <v>0</v>
      </c>
      <c r="D6351">
        <v>1</v>
      </c>
      <c r="E6351">
        <v>0</v>
      </c>
      <c r="F6351">
        <v>0</v>
      </c>
      <c r="G6351">
        <v>0</v>
      </c>
      <c r="H6351">
        <v>1</v>
      </c>
      <c r="I6351">
        <v>1</v>
      </c>
      <c r="J6351">
        <v>19253.408873395801</v>
      </c>
      <c r="K6351">
        <v>18388.922525000798</v>
      </c>
      <c r="L6351">
        <v>68.13</v>
      </c>
      <c r="M6351">
        <v>75.488</v>
      </c>
      <c r="N6351">
        <v>14.422000000000001</v>
      </c>
    </row>
    <row r="6352" spans="1:14" x14ac:dyDescent="0.45">
      <c r="A6352">
        <v>2010</v>
      </c>
      <c r="B6352" t="s">
        <v>82</v>
      </c>
      <c r="C6352">
        <v>0</v>
      </c>
      <c r="D6352">
        <v>0</v>
      </c>
      <c r="E6352">
        <v>0</v>
      </c>
      <c r="F6352">
        <v>0</v>
      </c>
      <c r="G6352">
        <v>0</v>
      </c>
      <c r="H6352">
        <v>1</v>
      </c>
      <c r="I6352">
        <v>1</v>
      </c>
      <c r="J6352">
        <v>88586.513192920102</v>
      </c>
      <c r="K6352">
        <v>69168.745815486007</v>
      </c>
      <c r="L6352">
        <v>25.039000000000001</v>
      </c>
      <c r="M6352">
        <v>74.819999999999993</v>
      </c>
      <c r="N6352">
        <v>9.6809999999999992</v>
      </c>
    </row>
    <row r="6353" spans="1:14" x14ac:dyDescent="0.45">
      <c r="A6353">
        <v>2010</v>
      </c>
      <c r="B6353" t="s">
        <v>83</v>
      </c>
      <c r="C6353">
        <v>0</v>
      </c>
      <c r="D6353">
        <v>0</v>
      </c>
      <c r="E6353">
        <v>0</v>
      </c>
      <c r="F6353">
        <v>1</v>
      </c>
      <c r="G6353">
        <v>0</v>
      </c>
      <c r="H6353">
        <v>0</v>
      </c>
      <c r="I6353">
        <v>0</v>
      </c>
      <c r="J6353">
        <v>9985.2845548365494</v>
      </c>
      <c r="K6353">
        <v>8648.5191734789496</v>
      </c>
      <c r="L6353">
        <v>65.206999999999994</v>
      </c>
      <c r="M6353">
        <v>68.765000000000001</v>
      </c>
      <c r="N6353">
        <v>40.286000000000001</v>
      </c>
    </row>
    <row r="6354" spans="1:14" x14ac:dyDescent="0.45">
      <c r="A6354">
        <v>2010</v>
      </c>
      <c r="B6354" t="s">
        <v>84</v>
      </c>
      <c r="C6354">
        <v>0</v>
      </c>
      <c r="D6354">
        <v>0</v>
      </c>
      <c r="E6354">
        <v>1</v>
      </c>
      <c r="F6354">
        <v>0</v>
      </c>
      <c r="G6354">
        <v>1</v>
      </c>
      <c r="H6354">
        <v>0</v>
      </c>
      <c r="I6354">
        <v>0</v>
      </c>
      <c r="J6354">
        <v>14545.019807217401</v>
      </c>
      <c r="K6354">
        <v>13160.1366179168</v>
      </c>
      <c r="L6354">
        <v>37.588000000000001</v>
      </c>
      <c r="M6354">
        <v>59.137</v>
      </c>
      <c r="N6354">
        <v>58.433999999999997</v>
      </c>
    </row>
    <row r="6355" spans="1:14" x14ac:dyDescent="0.45">
      <c r="A6355">
        <v>2010</v>
      </c>
      <c r="B6355" t="s">
        <v>85</v>
      </c>
      <c r="C6355">
        <v>0</v>
      </c>
      <c r="D6355">
        <v>0</v>
      </c>
      <c r="E6355">
        <v>1</v>
      </c>
      <c r="F6355">
        <v>0</v>
      </c>
      <c r="G6355">
        <v>0</v>
      </c>
      <c r="H6355">
        <v>0</v>
      </c>
      <c r="I6355">
        <v>0</v>
      </c>
      <c r="J6355">
        <v>1479.41367757692</v>
      </c>
      <c r="K6355">
        <v>1184.4930399181501</v>
      </c>
      <c r="L6355">
        <v>61.095999999999997</v>
      </c>
      <c r="M6355">
        <v>46.871000000000002</v>
      </c>
      <c r="N6355">
        <v>148.17400000000001</v>
      </c>
    </row>
    <row r="6356" spans="1:14" x14ac:dyDescent="0.45">
      <c r="A6356">
        <v>2010</v>
      </c>
      <c r="B6356" t="s">
        <v>86</v>
      </c>
      <c r="C6356">
        <v>0</v>
      </c>
      <c r="D6356">
        <v>0</v>
      </c>
      <c r="E6356">
        <v>0</v>
      </c>
      <c r="F6356">
        <v>0</v>
      </c>
      <c r="G6356">
        <v>0</v>
      </c>
      <c r="H6356">
        <v>1</v>
      </c>
      <c r="I6356">
        <v>1</v>
      </c>
      <c r="J6356">
        <v>52558.440814216803</v>
      </c>
      <c r="K6356">
        <v>45495.457553413798</v>
      </c>
      <c r="L6356">
        <v>19.062999999999999</v>
      </c>
      <c r="M6356">
        <v>81.335999999999999</v>
      </c>
      <c r="N6356">
        <v>5.7990000000000004</v>
      </c>
    </row>
    <row r="6357" spans="1:14" x14ac:dyDescent="0.45">
      <c r="A6357">
        <v>2010</v>
      </c>
      <c r="B6357" t="s">
        <v>87</v>
      </c>
      <c r="C6357">
        <v>1</v>
      </c>
      <c r="D6357">
        <v>0</v>
      </c>
      <c r="E6357">
        <v>0</v>
      </c>
      <c r="F6357">
        <v>0</v>
      </c>
      <c r="G6357">
        <v>0</v>
      </c>
      <c r="H6357">
        <v>1</v>
      </c>
      <c r="I6357">
        <v>1</v>
      </c>
      <c r="J6357">
        <v>74290.261962927805</v>
      </c>
      <c r="K6357">
        <v>64630.069015100598</v>
      </c>
      <c r="L6357">
        <v>26.393000000000001</v>
      </c>
      <c r="M6357">
        <v>82.287000000000006</v>
      </c>
      <c r="N6357">
        <v>4.399</v>
      </c>
    </row>
    <row r="6358" spans="1:14" x14ac:dyDescent="0.45">
      <c r="A6358">
        <v>2010</v>
      </c>
      <c r="B6358" t="s">
        <v>88</v>
      </c>
      <c r="C6358">
        <v>1</v>
      </c>
      <c r="D6358">
        <v>0</v>
      </c>
      <c r="E6358">
        <v>0</v>
      </c>
      <c r="F6358">
        <v>0</v>
      </c>
      <c r="G6358">
        <v>0</v>
      </c>
      <c r="H6358">
        <v>1</v>
      </c>
      <c r="I6358">
        <v>1</v>
      </c>
      <c r="L6358">
        <v>68.945999999999998</v>
      </c>
      <c r="M6358">
        <v>81.226791301277899</v>
      </c>
      <c r="N6358">
        <v>8.5510320701546494</v>
      </c>
    </row>
    <row r="6359" spans="1:14" x14ac:dyDescent="0.45">
      <c r="A6359">
        <v>2010</v>
      </c>
      <c r="B6359" t="s">
        <v>89</v>
      </c>
      <c r="C6359">
        <v>0</v>
      </c>
      <c r="D6359">
        <v>1</v>
      </c>
      <c r="E6359">
        <v>0</v>
      </c>
      <c r="F6359">
        <v>0</v>
      </c>
      <c r="G6359">
        <v>1</v>
      </c>
      <c r="H6359">
        <v>0</v>
      </c>
      <c r="I6359">
        <v>0</v>
      </c>
      <c r="J6359">
        <v>24116.769471561402</v>
      </c>
      <c r="K6359">
        <v>21007.682506716501</v>
      </c>
      <c r="L6359">
        <v>12.926</v>
      </c>
      <c r="M6359">
        <v>79.094999999999999</v>
      </c>
      <c r="N6359">
        <v>9.1460000000000008</v>
      </c>
    </row>
    <row r="6360" spans="1:14" x14ac:dyDescent="0.45">
      <c r="A6360">
        <v>2010</v>
      </c>
      <c r="B6360" t="s">
        <v>90</v>
      </c>
      <c r="C6360">
        <v>0</v>
      </c>
      <c r="D6360">
        <v>0</v>
      </c>
      <c r="E6360">
        <v>0</v>
      </c>
      <c r="F6360">
        <v>0</v>
      </c>
      <c r="G6360">
        <v>1</v>
      </c>
      <c r="H6360">
        <v>0</v>
      </c>
      <c r="I6360">
        <v>0</v>
      </c>
      <c r="J6360">
        <v>10476.312363045099</v>
      </c>
      <c r="K6360">
        <v>9391.3356963475198</v>
      </c>
      <c r="L6360">
        <v>50.774000000000001</v>
      </c>
      <c r="M6360">
        <v>75.668000000000006</v>
      </c>
      <c r="N6360">
        <v>15.94</v>
      </c>
    </row>
    <row r="6361" spans="1:14" x14ac:dyDescent="0.45">
      <c r="A6361">
        <v>2010</v>
      </c>
      <c r="B6361" t="s">
        <v>91</v>
      </c>
      <c r="C6361">
        <v>0</v>
      </c>
      <c r="D6361">
        <v>0</v>
      </c>
      <c r="E6361">
        <v>1</v>
      </c>
      <c r="F6361">
        <v>1</v>
      </c>
      <c r="G6361">
        <v>0</v>
      </c>
      <c r="H6361">
        <v>0</v>
      </c>
      <c r="I6361">
        <v>0</v>
      </c>
      <c r="J6361">
        <v>4338.6524839414196</v>
      </c>
      <c r="K6361">
        <v>3662.46165974524</v>
      </c>
      <c r="L6361">
        <v>52.67</v>
      </c>
      <c r="M6361">
        <v>55.281999999999996</v>
      </c>
      <c r="N6361">
        <v>102.759</v>
      </c>
    </row>
    <row r="6362" spans="1:14" x14ac:dyDescent="0.45">
      <c r="A6362">
        <v>2010</v>
      </c>
      <c r="B6362" t="s">
        <v>92</v>
      </c>
      <c r="C6362">
        <v>0</v>
      </c>
      <c r="D6362">
        <v>0</v>
      </c>
      <c r="E6362">
        <v>1</v>
      </c>
      <c r="F6362">
        <v>1</v>
      </c>
      <c r="G6362">
        <v>0</v>
      </c>
      <c r="H6362">
        <v>0</v>
      </c>
      <c r="I6362">
        <v>0</v>
      </c>
      <c r="J6362">
        <v>4286.5830294737798</v>
      </c>
      <c r="K6362">
        <v>3365.8788551730399</v>
      </c>
      <c r="L6362">
        <v>48.441000000000003</v>
      </c>
      <c r="M6362">
        <v>56.965000000000003</v>
      </c>
      <c r="N6362">
        <v>109.923</v>
      </c>
    </row>
    <row r="6363" spans="1:14" x14ac:dyDescent="0.45">
      <c r="A6363">
        <v>2010</v>
      </c>
      <c r="B6363" t="s">
        <v>93</v>
      </c>
      <c r="C6363">
        <v>0</v>
      </c>
      <c r="D6363">
        <v>0</v>
      </c>
      <c r="E6363">
        <v>1</v>
      </c>
      <c r="F6363">
        <v>0</v>
      </c>
      <c r="G6363">
        <v>0</v>
      </c>
      <c r="H6363">
        <v>0</v>
      </c>
      <c r="I6363">
        <v>0</v>
      </c>
      <c r="J6363">
        <v>1031.25015320943</v>
      </c>
      <c r="K6363">
        <v>825.58227926127495</v>
      </c>
      <c r="L6363">
        <v>59.987000000000002</v>
      </c>
      <c r="M6363">
        <v>56.411000000000001</v>
      </c>
      <c r="N6363">
        <v>113.90600000000001</v>
      </c>
    </row>
    <row r="6364" spans="1:14" x14ac:dyDescent="0.45">
      <c r="A6364">
        <v>2010</v>
      </c>
      <c r="B6364" t="s">
        <v>94</v>
      </c>
      <c r="C6364">
        <v>0</v>
      </c>
      <c r="D6364">
        <v>0</v>
      </c>
      <c r="E6364">
        <v>1</v>
      </c>
      <c r="F6364">
        <v>1</v>
      </c>
      <c r="G6364">
        <v>0</v>
      </c>
      <c r="H6364">
        <v>0</v>
      </c>
      <c r="I6364">
        <v>0</v>
      </c>
      <c r="J6364">
        <v>8583.6617983428805</v>
      </c>
      <c r="K6364">
        <v>5174.6194136924096</v>
      </c>
      <c r="L6364">
        <v>36.744</v>
      </c>
      <c r="M6364">
        <v>61.731000000000002</v>
      </c>
      <c r="N6364">
        <v>63.609000000000002</v>
      </c>
    </row>
    <row r="6365" spans="1:14" x14ac:dyDescent="0.45">
      <c r="A6365">
        <v>2010</v>
      </c>
      <c r="B6365" t="s">
        <v>95</v>
      </c>
      <c r="C6365">
        <v>0</v>
      </c>
      <c r="D6365">
        <v>1</v>
      </c>
      <c r="E6365">
        <v>0</v>
      </c>
      <c r="F6365">
        <v>0</v>
      </c>
      <c r="G6365">
        <v>1</v>
      </c>
      <c r="H6365">
        <v>0</v>
      </c>
      <c r="I6365">
        <v>0</v>
      </c>
      <c r="J6365">
        <v>14037.064266863899</v>
      </c>
      <c r="K6365">
        <v>11687.392846323401</v>
      </c>
      <c r="L6365">
        <v>22.036000000000001</v>
      </c>
      <c r="M6365">
        <v>74.876000000000005</v>
      </c>
      <c r="N6365">
        <v>18.526</v>
      </c>
    </row>
    <row r="6366" spans="1:14" x14ac:dyDescent="0.45">
      <c r="A6366">
        <v>2010</v>
      </c>
      <c r="B6366" t="s">
        <v>96</v>
      </c>
      <c r="C6366">
        <v>0</v>
      </c>
      <c r="D6366">
        <v>0</v>
      </c>
      <c r="E6366">
        <v>1</v>
      </c>
      <c r="F6366">
        <v>0</v>
      </c>
      <c r="G6366">
        <v>0</v>
      </c>
      <c r="H6366">
        <v>0</v>
      </c>
      <c r="I6366">
        <v>0</v>
      </c>
      <c r="J6366">
        <v>2652.3555446064101</v>
      </c>
      <c r="K6366">
        <v>2742.8741302014701</v>
      </c>
      <c r="L6366">
        <v>72.027000000000001</v>
      </c>
      <c r="M6366">
        <v>62.747</v>
      </c>
      <c r="N6366">
        <v>72.438999999999993</v>
      </c>
    </row>
    <row r="6367" spans="1:14" x14ac:dyDescent="0.45">
      <c r="A6367">
        <v>2010</v>
      </c>
      <c r="B6367" t="s">
        <v>97</v>
      </c>
      <c r="C6367">
        <v>0</v>
      </c>
      <c r="D6367">
        <v>0</v>
      </c>
      <c r="E6367">
        <v>1</v>
      </c>
      <c r="F6367">
        <v>1</v>
      </c>
      <c r="G6367">
        <v>0</v>
      </c>
      <c r="H6367">
        <v>0</v>
      </c>
      <c r="I6367">
        <v>0</v>
      </c>
      <c r="J6367">
        <v>7072.1215020734198</v>
      </c>
      <c r="K6367">
        <v>6815.5032541679602</v>
      </c>
      <c r="L6367">
        <v>38.179000000000002</v>
      </c>
      <c r="M6367">
        <v>72.507000000000005</v>
      </c>
      <c r="N6367">
        <v>24.748999999999999</v>
      </c>
    </row>
    <row r="6368" spans="1:14" x14ac:dyDescent="0.45">
      <c r="A6368">
        <v>2010</v>
      </c>
      <c r="B6368" t="s">
        <v>98</v>
      </c>
      <c r="C6368">
        <v>0</v>
      </c>
      <c r="D6368">
        <v>1</v>
      </c>
      <c r="E6368">
        <v>0</v>
      </c>
      <c r="F6368">
        <v>0</v>
      </c>
      <c r="G6368">
        <v>1</v>
      </c>
      <c r="H6368">
        <v>0</v>
      </c>
      <c r="I6368">
        <v>0</v>
      </c>
      <c r="J6368">
        <v>18660.919822289601</v>
      </c>
      <c r="K6368">
        <v>16708.137454975898</v>
      </c>
      <c r="L6368">
        <v>28.263999999999999</v>
      </c>
      <c r="M6368">
        <v>79.353999999999999</v>
      </c>
      <c r="N6368">
        <v>10.404999999999999</v>
      </c>
    </row>
    <row r="6369" spans="1:14" x14ac:dyDescent="0.45">
      <c r="A6369">
        <v>2010</v>
      </c>
      <c r="B6369" t="s">
        <v>99</v>
      </c>
      <c r="C6369">
        <v>0</v>
      </c>
      <c r="D6369">
        <v>1</v>
      </c>
      <c r="E6369">
        <v>0</v>
      </c>
      <c r="F6369">
        <v>0</v>
      </c>
      <c r="G6369">
        <v>1</v>
      </c>
      <c r="H6369">
        <v>0</v>
      </c>
      <c r="I6369">
        <v>0</v>
      </c>
      <c r="L6369">
        <v>23.402999999999999</v>
      </c>
      <c r="M6369">
        <v>77.876000000000005</v>
      </c>
      <c r="N6369">
        <v>6.2869999999999999</v>
      </c>
    </row>
    <row r="6370" spans="1:14" x14ac:dyDescent="0.45">
      <c r="A6370">
        <v>2010</v>
      </c>
      <c r="B6370" t="s">
        <v>100</v>
      </c>
      <c r="C6370">
        <v>0</v>
      </c>
      <c r="D6370">
        <v>1</v>
      </c>
      <c r="E6370">
        <v>0</v>
      </c>
      <c r="F6370">
        <v>0</v>
      </c>
      <c r="G6370">
        <v>0</v>
      </c>
      <c r="H6370">
        <v>1</v>
      </c>
      <c r="I6370">
        <v>1</v>
      </c>
      <c r="J6370">
        <v>33004.553858778003</v>
      </c>
      <c r="K6370">
        <v>27001.4349611377</v>
      </c>
      <c r="L6370">
        <v>10.095000000000001</v>
      </c>
      <c r="M6370">
        <v>75.117000000000004</v>
      </c>
      <c r="N6370">
        <v>13.962</v>
      </c>
    </row>
    <row r="6371" spans="1:14" x14ac:dyDescent="0.45">
      <c r="A6371">
        <v>2010</v>
      </c>
      <c r="B6371" t="s">
        <v>101</v>
      </c>
      <c r="C6371">
        <v>0</v>
      </c>
      <c r="D6371">
        <v>1</v>
      </c>
      <c r="E6371">
        <v>0</v>
      </c>
      <c r="F6371">
        <v>0</v>
      </c>
      <c r="G6371">
        <v>0</v>
      </c>
      <c r="H6371">
        <v>1</v>
      </c>
      <c r="I6371">
        <v>1</v>
      </c>
      <c r="J6371">
        <v>76259.029742720304</v>
      </c>
      <c r="K6371">
        <v>69563.202635131995</v>
      </c>
      <c r="L6371">
        <v>0</v>
      </c>
      <c r="M6371">
        <v>76.069000000000003</v>
      </c>
      <c r="N6371">
        <v>4.3140000000000001</v>
      </c>
    </row>
    <row r="6372" spans="1:14" x14ac:dyDescent="0.45">
      <c r="A6372">
        <v>2010</v>
      </c>
      <c r="B6372" t="s">
        <v>102</v>
      </c>
      <c r="C6372">
        <v>1</v>
      </c>
      <c r="D6372">
        <v>0</v>
      </c>
      <c r="E6372">
        <v>0</v>
      </c>
      <c r="F6372">
        <v>0</v>
      </c>
      <c r="G6372">
        <v>0</v>
      </c>
      <c r="H6372">
        <v>1</v>
      </c>
      <c r="I6372">
        <v>1</v>
      </c>
      <c r="J6372">
        <v>42103.4921875</v>
      </c>
      <c r="K6372">
        <v>37507.565597889297</v>
      </c>
      <c r="L6372">
        <v>32.448999999999998</v>
      </c>
      <c r="M6372">
        <v>80.632000000000005</v>
      </c>
      <c r="N6372">
        <v>3.468</v>
      </c>
    </row>
    <row r="6373" spans="1:14" x14ac:dyDescent="0.45">
      <c r="A6373">
        <v>2010</v>
      </c>
      <c r="B6373" t="s">
        <v>103</v>
      </c>
      <c r="C6373">
        <v>1</v>
      </c>
      <c r="D6373">
        <v>0</v>
      </c>
      <c r="E6373">
        <v>0</v>
      </c>
      <c r="F6373">
        <v>0</v>
      </c>
      <c r="G6373">
        <v>0</v>
      </c>
      <c r="H6373">
        <v>1</v>
      </c>
      <c r="I6373">
        <v>1</v>
      </c>
      <c r="J6373">
        <v>39097.388621875602</v>
      </c>
      <c r="K6373">
        <v>32552.585190671802</v>
      </c>
      <c r="L6373">
        <v>26.745000000000001</v>
      </c>
      <c r="M6373">
        <v>77.567999999999998</v>
      </c>
      <c r="N6373">
        <v>3.3740000000000001</v>
      </c>
    </row>
    <row r="6374" spans="1:14" x14ac:dyDescent="0.45">
      <c r="A6374">
        <v>2010</v>
      </c>
      <c r="B6374" t="s">
        <v>104</v>
      </c>
      <c r="C6374">
        <v>1</v>
      </c>
      <c r="D6374">
        <v>0</v>
      </c>
      <c r="E6374">
        <v>0</v>
      </c>
      <c r="F6374">
        <v>0</v>
      </c>
      <c r="G6374">
        <v>0</v>
      </c>
      <c r="H6374">
        <v>1</v>
      </c>
      <c r="I6374">
        <v>1</v>
      </c>
      <c r="J6374">
        <v>54865.430526776101</v>
      </c>
      <c r="K6374">
        <v>47571.188569173901</v>
      </c>
      <c r="L6374">
        <v>23.033999999999999</v>
      </c>
      <c r="M6374">
        <v>80.081000000000003</v>
      </c>
      <c r="N6374">
        <v>4.1710000000000003</v>
      </c>
    </row>
    <row r="6375" spans="1:14" x14ac:dyDescent="0.45">
      <c r="A6375">
        <v>2010</v>
      </c>
      <c r="B6375" t="s">
        <v>105</v>
      </c>
      <c r="C6375">
        <v>0</v>
      </c>
      <c r="D6375">
        <v>0</v>
      </c>
      <c r="E6375">
        <v>0</v>
      </c>
      <c r="F6375">
        <v>1</v>
      </c>
      <c r="G6375">
        <v>0</v>
      </c>
      <c r="H6375">
        <v>0</v>
      </c>
      <c r="I6375">
        <v>0</v>
      </c>
      <c r="J6375">
        <v>4041.1043521730599</v>
      </c>
      <c r="K6375">
        <v>3485.65797458516</v>
      </c>
      <c r="L6375">
        <v>23.001000000000001</v>
      </c>
      <c r="M6375">
        <v>60.743000000000002</v>
      </c>
      <c r="N6375">
        <v>76.129000000000005</v>
      </c>
    </row>
    <row r="6376" spans="1:14" x14ac:dyDescent="0.45">
      <c r="A6376">
        <v>2010</v>
      </c>
      <c r="B6376" t="s">
        <v>106</v>
      </c>
      <c r="C6376">
        <v>0</v>
      </c>
      <c r="D6376">
        <v>1</v>
      </c>
      <c r="E6376">
        <v>0</v>
      </c>
      <c r="F6376">
        <v>0</v>
      </c>
      <c r="G6376">
        <v>1</v>
      </c>
      <c r="H6376">
        <v>0</v>
      </c>
      <c r="I6376">
        <v>0</v>
      </c>
      <c r="J6376">
        <v>17516.787957315199</v>
      </c>
      <c r="K6376">
        <v>13632.0606455541</v>
      </c>
      <c r="L6376">
        <v>31.905999999999999</v>
      </c>
      <c r="M6376">
        <v>71.680000000000007</v>
      </c>
      <c r="N6376">
        <v>23.088999999999999</v>
      </c>
    </row>
    <row r="6377" spans="1:14" x14ac:dyDescent="0.45">
      <c r="A6377">
        <v>2010</v>
      </c>
      <c r="B6377" t="s">
        <v>107</v>
      </c>
      <c r="C6377">
        <v>1</v>
      </c>
      <c r="D6377">
        <v>0</v>
      </c>
      <c r="E6377">
        <v>0</v>
      </c>
      <c r="F6377">
        <v>0</v>
      </c>
      <c r="G6377">
        <v>0</v>
      </c>
      <c r="H6377">
        <v>1</v>
      </c>
      <c r="I6377">
        <v>1</v>
      </c>
      <c r="J6377">
        <v>59696.354524769202</v>
      </c>
      <c r="K6377">
        <v>50452.200224219298</v>
      </c>
      <c r="L6377">
        <v>13.205</v>
      </c>
      <c r="M6377">
        <v>79.247</v>
      </c>
      <c r="N6377">
        <v>3.8879999999999999</v>
      </c>
    </row>
    <row r="6378" spans="1:14" x14ac:dyDescent="0.45">
      <c r="A6378">
        <v>2010</v>
      </c>
      <c r="B6378" t="s">
        <v>108</v>
      </c>
      <c r="C6378">
        <v>0</v>
      </c>
      <c r="D6378">
        <v>1</v>
      </c>
      <c r="E6378">
        <v>0</v>
      </c>
      <c r="F6378">
        <v>0</v>
      </c>
      <c r="G6378">
        <v>1</v>
      </c>
      <c r="H6378">
        <v>0</v>
      </c>
      <c r="I6378">
        <v>0</v>
      </c>
      <c r="J6378">
        <v>14975.0010126958</v>
      </c>
      <c r="K6378">
        <v>12935.780203067399</v>
      </c>
      <c r="L6378">
        <v>26.247</v>
      </c>
      <c r="M6378">
        <v>72.039000000000001</v>
      </c>
      <c r="N6378">
        <v>35.021999999999998</v>
      </c>
    </row>
    <row r="6379" spans="1:14" x14ac:dyDescent="0.45">
      <c r="A6379">
        <v>2010</v>
      </c>
      <c r="B6379" t="s">
        <v>109</v>
      </c>
      <c r="C6379">
        <v>0</v>
      </c>
      <c r="D6379">
        <v>0</v>
      </c>
      <c r="E6379">
        <v>0</v>
      </c>
      <c r="F6379">
        <v>0</v>
      </c>
      <c r="G6379">
        <v>1</v>
      </c>
      <c r="H6379">
        <v>0</v>
      </c>
      <c r="I6379">
        <v>0</v>
      </c>
      <c r="J6379">
        <v>14496.421131299599</v>
      </c>
      <c r="K6379">
        <v>12679.0645798113</v>
      </c>
      <c r="L6379">
        <v>32.46</v>
      </c>
      <c r="M6379">
        <v>74.144000000000005</v>
      </c>
      <c r="N6379">
        <v>28.088000000000001</v>
      </c>
    </row>
    <row r="6380" spans="1:14" x14ac:dyDescent="0.45">
      <c r="A6380">
        <v>2010</v>
      </c>
      <c r="B6380" t="s">
        <v>110</v>
      </c>
      <c r="C6380">
        <v>0</v>
      </c>
      <c r="D6380">
        <v>1</v>
      </c>
      <c r="E6380">
        <v>0</v>
      </c>
      <c r="F6380">
        <v>0</v>
      </c>
      <c r="G6380">
        <v>1</v>
      </c>
      <c r="H6380">
        <v>0</v>
      </c>
      <c r="I6380">
        <v>0</v>
      </c>
      <c r="J6380">
        <v>11665.6978598204</v>
      </c>
      <c r="K6380">
        <v>9702.9182526424593</v>
      </c>
      <c r="L6380">
        <v>37.31</v>
      </c>
      <c r="M6380">
        <v>75.188000000000002</v>
      </c>
      <c r="N6380">
        <v>18.931000000000001</v>
      </c>
    </row>
    <row r="6381" spans="1:14" x14ac:dyDescent="0.45">
      <c r="A6381">
        <v>2010</v>
      </c>
      <c r="B6381" t="s">
        <v>111</v>
      </c>
      <c r="C6381">
        <v>0</v>
      </c>
      <c r="D6381">
        <v>0</v>
      </c>
      <c r="E6381">
        <v>0</v>
      </c>
      <c r="F6381">
        <v>1</v>
      </c>
      <c r="G6381">
        <v>0</v>
      </c>
      <c r="H6381">
        <v>0</v>
      </c>
      <c r="I6381">
        <v>0</v>
      </c>
      <c r="J6381">
        <v>13128.987833408501</v>
      </c>
      <c r="K6381">
        <v>10418.943539178599</v>
      </c>
      <c r="L6381">
        <v>56.981000000000002</v>
      </c>
      <c r="M6381">
        <v>69.078000000000003</v>
      </c>
      <c r="N6381">
        <v>28.704000000000001</v>
      </c>
    </row>
    <row r="6382" spans="1:14" x14ac:dyDescent="0.45">
      <c r="A6382">
        <v>2010</v>
      </c>
      <c r="B6382" t="s">
        <v>112</v>
      </c>
      <c r="C6382">
        <v>0</v>
      </c>
      <c r="D6382">
        <v>0</v>
      </c>
      <c r="E6382">
        <v>1</v>
      </c>
      <c r="F6382">
        <v>0</v>
      </c>
      <c r="G6382">
        <v>0</v>
      </c>
      <c r="H6382">
        <v>0</v>
      </c>
      <c r="I6382">
        <v>0</v>
      </c>
      <c r="L6382">
        <v>64.825000000000003</v>
      </c>
      <c r="M6382">
        <v>63.664999999999999</v>
      </c>
      <c r="N6382">
        <v>55.435000000000002</v>
      </c>
    </row>
    <row r="6383" spans="1:14" x14ac:dyDescent="0.45">
      <c r="A6383">
        <v>2010</v>
      </c>
      <c r="B6383" t="s">
        <v>113</v>
      </c>
      <c r="C6383">
        <v>1</v>
      </c>
      <c r="D6383">
        <v>0</v>
      </c>
      <c r="E6383">
        <v>0</v>
      </c>
      <c r="F6383">
        <v>0</v>
      </c>
      <c r="G6383">
        <v>0</v>
      </c>
      <c r="H6383">
        <v>1</v>
      </c>
      <c r="I6383">
        <v>1</v>
      </c>
      <c r="J6383">
        <v>42695.527418993297</v>
      </c>
      <c r="K6383">
        <v>37573.199663665597</v>
      </c>
      <c r="L6383">
        <v>21.558</v>
      </c>
      <c r="M6383">
        <v>82.006</v>
      </c>
      <c r="N6383">
        <v>3.8330000000000002</v>
      </c>
    </row>
    <row r="6384" spans="1:14" x14ac:dyDescent="0.45">
      <c r="A6384">
        <v>2010</v>
      </c>
      <c r="B6384" t="s">
        <v>114</v>
      </c>
      <c r="C6384">
        <v>1</v>
      </c>
      <c r="D6384">
        <v>0</v>
      </c>
      <c r="E6384">
        <v>0</v>
      </c>
      <c r="F6384">
        <v>0</v>
      </c>
      <c r="G6384">
        <v>0</v>
      </c>
      <c r="H6384">
        <v>1</v>
      </c>
      <c r="I6384">
        <v>1</v>
      </c>
      <c r="J6384">
        <v>30379.1091281954</v>
      </c>
      <c r="K6384">
        <v>25773.814665844799</v>
      </c>
      <c r="L6384">
        <v>31.905999999999999</v>
      </c>
      <c r="M6384">
        <v>75.882000000000005</v>
      </c>
      <c r="N6384">
        <v>4.7990000000000004</v>
      </c>
    </row>
    <row r="6385" spans="1:14" x14ac:dyDescent="0.45">
      <c r="A6385">
        <v>2010</v>
      </c>
      <c r="B6385" t="s">
        <v>115</v>
      </c>
      <c r="C6385">
        <v>0</v>
      </c>
      <c r="D6385">
        <v>0</v>
      </c>
      <c r="E6385">
        <v>1</v>
      </c>
      <c r="F6385">
        <v>0</v>
      </c>
      <c r="G6385">
        <v>0</v>
      </c>
      <c r="H6385">
        <v>0</v>
      </c>
      <c r="I6385">
        <v>0</v>
      </c>
      <c r="J6385">
        <v>1381.19044657574</v>
      </c>
      <c r="K6385">
        <v>1245.6824083232</v>
      </c>
      <c r="L6385">
        <v>82.680999999999997</v>
      </c>
      <c r="M6385">
        <v>59.709000000000003</v>
      </c>
      <c r="N6385">
        <v>82.676000000000002</v>
      </c>
    </row>
    <row r="6386" spans="1:14" x14ac:dyDescent="0.45">
      <c r="A6386">
        <v>2010</v>
      </c>
      <c r="B6386" t="s">
        <v>116</v>
      </c>
      <c r="C6386">
        <v>1</v>
      </c>
      <c r="D6386">
        <v>0</v>
      </c>
      <c r="E6386">
        <v>0</v>
      </c>
      <c r="F6386">
        <v>0</v>
      </c>
      <c r="G6386">
        <v>0</v>
      </c>
      <c r="H6386">
        <v>1</v>
      </c>
      <c r="I6386">
        <v>1</v>
      </c>
      <c r="J6386">
        <v>54017.945862333901</v>
      </c>
      <c r="K6386">
        <v>45411.958618347599</v>
      </c>
      <c r="L6386">
        <v>16.23</v>
      </c>
      <c r="M6386">
        <v>80.012</v>
      </c>
      <c r="N6386">
        <v>2.9119999999999999</v>
      </c>
    </row>
    <row r="6387" spans="1:14" x14ac:dyDescent="0.45">
      <c r="A6387">
        <v>2010</v>
      </c>
      <c r="B6387" t="s">
        <v>117</v>
      </c>
      <c r="C6387">
        <v>0</v>
      </c>
      <c r="D6387">
        <v>0</v>
      </c>
      <c r="E6387">
        <v>0</v>
      </c>
      <c r="F6387">
        <v>1</v>
      </c>
      <c r="G6387">
        <v>0</v>
      </c>
      <c r="H6387">
        <v>0</v>
      </c>
      <c r="I6387">
        <v>0</v>
      </c>
      <c r="J6387">
        <v>10167.349623923499</v>
      </c>
      <c r="K6387">
        <v>9956.9129164424703</v>
      </c>
      <c r="L6387">
        <v>47.829000000000001</v>
      </c>
      <c r="M6387">
        <v>66.778000000000006</v>
      </c>
      <c r="N6387">
        <v>22.234999999999999</v>
      </c>
    </row>
    <row r="6388" spans="1:14" x14ac:dyDescent="0.45">
      <c r="A6388">
        <v>2010</v>
      </c>
      <c r="B6388" t="s">
        <v>118</v>
      </c>
      <c r="C6388">
        <v>1</v>
      </c>
      <c r="D6388">
        <v>0</v>
      </c>
      <c r="E6388">
        <v>0</v>
      </c>
      <c r="F6388">
        <v>0</v>
      </c>
      <c r="G6388">
        <v>0</v>
      </c>
      <c r="H6388">
        <v>1</v>
      </c>
      <c r="I6388">
        <v>1</v>
      </c>
      <c r="J6388">
        <v>49130.422942343997</v>
      </c>
      <c r="K6388">
        <v>41018.930558786298</v>
      </c>
      <c r="L6388">
        <v>21.631</v>
      </c>
      <c r="M6388">
        <v>81.405000000000001</v>
      </c>
      <c r="N6388">
        <v>4.2640000000000002</v>
      </c>
    </row>
    <row r="6389" spans="1:14" x14ac:dyDescent="0.45">
      <c r="A6389">
        <v>2010</v>
      </c>
      <c r="B6389" t="s">
        <v>119</v>
      </c>
      <c r="C6389">
        <v>1</v>
      </c>
      <c r="D6389">
        <v>0</v>
      </c>
      <c r="E6389">
        <v>0</v>
      </c>
      <c r="F6389">
        <v>0</v>
      </c>
      <c r="G6389">
        <v>0</v>
      </c>
      <c r="H6389">
        <v>1</v>
      </c>
      <c r="I6389">
        <v>1</v>
      </c>
      <c r="J6389">
        <v>50782.3391449341</v>
      </c>
      <c r="K6389">
        <v>44366.567108628697</v>
      </c>
      <c r="L6389">
        <v>59.073999999999998</v>
      </c>
      <c r="M6389">
        <v>78.730999999999995</v>
      </c>
      <c r="N6389">
        <v>8.593</v>
      </c>
    </row>
    <row r="6390" spans="1:14" x14ac:dyDescent="0.45">
      <c r="A6390">
        <v>2010</v>
      </c>
      <c r="B6390" t="s">
        <v>120</v>
      </c>
      <c r="C6390">
        <v>0</v>
      </c>
      <c r="D6390">
        <v>0</v>
      </c>
      <c r="E6390">
        <v>0</v>
      </c>
      <c r="F6390">
        <v>1</v>
      </c>
      <c r="G6390">
        <v>0</v>
      </c>
      <c r="H6390">
        <v>0</v>
      </c>
      <c r="I6390">
        <v>0</v>
      </c>
      <c r="J6390">
        <v>3842.2361263194598</v>
      </c>
      <c r="K6390">
        <v>3477.7538868998799</v>
      </c>
      <c r="L6390">
        <v>77.701999999999998</v>
      </c>
      <c r="M6390">
        <v>64.891999999999996</v>
      </c>
      <c r="N6390">
        <v>33.53</v>
      </c>
    </row>
    <row r="6391" spans="1:14" x14ac:dyDescent="0.45">
      <c r="A6391">
        <v>2010</v>
      </c>
      <c r="B6391" t="s">
        <v>121</v>
      </c>
      <c r="C6391">
        <v>0</v>
      </c>
      <c r="D6391">
        <v>0</v>
      </c>
      <c r="E6391">
        <v>1</v>
      </c>
      <c r="F6391">
        <v>0</v>
      </c>
      <c r="G6391">
        <v>1</v>
      </c>
      <c r="H6391">
        <v>0</v>
      </c>
      <c r="I6391">
        <v>0</v>
      </c>
      <c r="J6391">
        <v>18530.576093549698</v>
      </c>
      <c r="K6391">
        <v>14020.9735758927</v>
      </c>
      <c r="L6391">
        <v>14.467000000000001</v>
      </c>
      <c r="M6391">
        <v>64.715000000000003</v>
      </c>
      <c r="N6391">
        <v>61.643000000000001</v>
      </c>
    </row>
    <row r="6392" spans="1:14" x14ac:dyDescent="0.45">
      <c r="A6392">
        <v>2010</v>
      </c>
      <c r="B6392" t="s">
        <v>122</v>
      </c>
      <c r="C6392">
        <v>1</v>
      </c>
      <c r="D6392">
        <v>0</v>
      </c>
      <c r="E6392">
        <v>0</v>
      </c>
      <c r="F6392">
        <v>0</v>
      </c>
      <c r="G6392">
        <v>0</v>
      </c>
      <c r="H6392">
        <v>1</v>
      </c>
      <c r="I6392">
        <v>1</v>
      </c>
      <c r="J6392">
        <v>47013.882405955199</v>
      </c>
      <c r="K6392">
        <v>40503.8774840146</v>
      </c>
      <c r="L6392">
        <v>18.698</v>
      </c>
      <c r="M6392">
        <v>80.391000000000005</v>
      </c>
      <c r="N6392">
        <v>5.1289999999999996</v>
      </c>
    </row>
    <row r="6393" spans="1:14" x14ac:dyDescent="0.45">
      <c r="A6393">
        <v>2010</v>
      </c>
      <c r="B6393" t="s">
        <v>123</v>
      </c>
      <c r="C6393">
        <v>1</v>
      </c>
      <c r="D6393">
        <v>0</v>
      </c>
      <c r="E6393">
        <v>0</v>
      </c>
      <c r="F6393">
        <v>1</v>
      </c>
      <c r="G6393">
        <v>0</v>
      </c>
      <c r="H6393">
        <v>0</v>
      </c>
      <c r="I6393">
        <v>0</v>
      </c>
      <c r="J6393">
        <v>11294.3685917112</v>
      </c>
      <c r="K6393">
        <v>9542.4502853223603</v>
      </c>
      <c r="L6393">
        <v>44.465000000000003</v>
      </c>
      <c r="M6393">
        <v>71.731999999999999</v>
      </c>
      <c r="N6393">
        <v>14.451000000000001</v>
      </c>
    </row>
    <row r="6394" spans="1:14" x14ac:dyDescent="0.45">
      <c r="A6394">
        <v>2010</v>
      </c>
      <c r="B6394" t="s">
        <v>124</v>
      </c>
      <c r="C6394">
        <v>0</v>
      </c>
      <c r="D6394">
        <v>0</v>
      </c>
      <c r="E6394">
        <v>1</v>
      </c>
      <c r="F6394">
        <v>1</v>
      </c>
      <c r="G6394">
        <v>0</v>
      </c>
      <c r="H6394">
        <v>0</v>
      </c>
      <c r="I6394">
        <v>0</v>
      </c>
      <c r="J6394">
        <v>4495.6891658410595</v>
      </c>
      <c r="K6394">
        <v>3878.6231284773999</v>
      </c>
      <c r="L6394">
        <v>49.286999999999999</v>
      </c>
      <c r="M6394">
        <v>61.296999999999997</v>
      </c>
      <c r="N6394">
        <v>69.409000000000006</v>
      </c>
    </row>
    <row r="6395" spans="1:14" x14ac:dyDescent="0.45">
      <c r="A6395">
        <v>2010</v>
      </c>
      <c r="B6395" t="s">
        <v>125</v>
      </c>
      <c r="C6395">
        <v>1</v>
      </c>
      <c r="D6395">
        <v>0</v>
      </c>
      <c r="E6395">
        <v>0</v>
      </c>
      <c r="F6395">
        <v>0</v>
      </c>
      <c r="G6395">
        <v>0</v>
      </c>
      <c r="H6395">
        <v>1</v>
      </c>
      <c r="I6395">
        <v>1</v>
      </c>
      <c r="L6395">
        <v>0</v>
      </c>
      <c r="M6395">
        <v>82.08</v>
      </c>
      <c r="N6395">
        <v>12.263999999999999</v>
      </c>
    </row>
    <row r="6396" spans="1:14" x14ac:dyDescent="0.45">
      <c r="A6396">
        <v>2010</v>
      </c>
      <c r="B6396" t="s">
        <v>126</v>
      </c>
      <c r="C6396">
        <v>0</v>
      </c>
      <c r="D6396">
        <v>0</v>
      </c>
      <c r="E6396">
        <v>1</v>
      </c>
      <c r="F6396">
        <v>0</v>
      </c>
      <c r="G6396">
        <v>0</v>
      </c>
      <c r="H6396">
        <v>0</v>
      </c>
      <c r="I6396">
        <v>0</v>
      </c>
      <c r="J6396">
        <v>2594.8305034424502</v>
      </c>
      <c r="K6396">
        <v>2092.1231213432802</v>
      </c>
      <c r="L6396">
        <v>66.322000000000003</v>
      </c>
      <c r="M6396">
        <v>56.430999999999997</v>
      </c>
      <c r="N6396">
        <v>122.345</v>
      </c>
    </row>
    <row r="6397" spans="1:14" x14ac:dyDescent="0.45">
      <c r="A6397">
        <v>2010</v>
      </c>
      <c r="B6397" t="s">
        <v>127</v>
      </c>
      <c r="C6397">
        <v>0</v>
      </c>
      <c r="D6397">
        <v>0</v>
      </c>
      <c r="E6397">
        <v>1</v>
      </c>
      <c r="F6397">
        <v>0</v>
      </c>
      <c r="G6397">
        <v>0</v>
      </c>
      <c r="H6397">
        <v>0</v>
      </c>
      <c r="I6397">
        <v>0</v>
      </c>
      <c r="J6397">
        <v>2824.2125922251698</v>
      </c>
      <c r="K6397">
        <v>2273.2001445831802</v>
      </c>
      <c r="L6397">
        <v>44.338000000000001</v>
      </c>
      <c r="M6397">
        <v>61.167000000000002</v>
      </c>
      <c r="N6397">
        <v>73.495000000000005</v>
      </c>
    </row>
    <row r="6398" spans="1:14" x14ac:dyDescent="0.45">
      <c r="A6398">
        <v>2010</v>
      </c>
      <c r="B6398" t="s">
        <v>128</v>
      </c>
      <c r="C6398">
        <v>0</v>
      </c>
      <c r="D6398">
        <v>0</v>
      </c>
      <c r="E6398">
        <v>1</v>
      </c>
      <c r="F6398">
        <v>0</v>
      </c>
      <c r="G6398">
        <v>0</v>
      </c>
      <c r="H6398">
        <v>0</v>
      </c>
      <c r="I6398">
        <v>0</v>
      </c>
      <c r="J6398">
        <v>2138.0268617072702</v>
      </c>
      <c r="K6398">
        <v>1923.3656480749401</v>
      </c>
      <c r="L6398">
        <v>59.889000000000003</v>
      </c>
      <c r="M6398">
        <v>56.999000000000002</v>
      </c>
      <c r="N6398">
        <v>114.383</v>
      </c>
    </row>
    <row r="6399" spans="1:14" x14ac:dyDescent="0.45">
      <c r="A6399">
        <v>2010</v>
      </c>
      <c r="B6399" t="s">
        <v>129</v>
      </c>
      <c r="C6399">
        <v>0</v>
      </c>
      <c r="D6399">
        <v>0</v>
      </c>
      <c r="E6399">
        <v>1</v>
      </c>
      <c r="F6399">
        <v>0</v>
      </c>
      <c r="G6399">
        <v>0</v>
      </c>
      <c r="H6399">
        <v>1</v>
      </c>
      <c r="I6399">
        <v>1</v>
      </c>
      <c r="J6399">
        <v>33668.874065485201</v>
      </c>
      <c r="K6399">
        <v>27895.091727504801</v>
      </c>
      <c r="L6399">
        <v>34.06</v>
      </c>
      <c r="M6399">
        <v>58.344000000000001</v>
      </c>
      <c r="N6399">
        <v>111.288</v>
      </c>
    </row>
    <row r="6400" spans="1:14" x14ac:dyDescent="0.45">
      <c r="A6400">
        <v>2010</v>
      </c>
      <c r="B6400" t="s">
        <v>130</v>
      </c>
      <c r="C6400">
        <v>1</v>
      </c>
      <c r="D6400">
        <v>0</v>
      </c>
      <c r="E6400">
        <v>0</v>
      </c>
      <c r="F6400">
        <v>0</v>
      </c>
      <c r="G6400">
        <v>0</v>
      </c>
      <c r="H6400">
        <v>1</v>
      </c>
      <c r="I6400">
        <v>1</v>
      </c>
      <c r="J6400">
        <v>37566.7483686263</v>
      </c>
      <c r="K6400">
        <v>33629.531954453603</v>
      </c>
      <c r="L6400">
        <v>23.707999999999998</v>
      </c>
      <c r="M6400">
        <v>80.572999999999993</v>
      </c>
      <c r="N6400">
        <v>4.1130000000000004</v>
      </c>
    </row>
    <row r="6401" spans="1:14" x14ac:dyDescent="0.45">
      <c r="A6401">
        <v>2010</v>
      </c>
      <c r="B6401" t="s">
        <v>131</v>
      </c>
      <c r="C6401">
        <v>0</v>
      </c>
      <c r="D6401">
        <v>1</v>
      </c>
      <c r="E6401">
        <v>0</v>
      </c>
      <c r="F6401">
        <v>0</v>
      </c>
      <c r="G6401">
        <v>1</v>
      </c>
      <c r="H6401">
        <v>0</v>
      </c>
      <c r="I6401">
        <v>0</v>
      </c>
      <c r="J6401">
        <v>13363.092025108999</v>
      </c>
      <c r="K6401">
        <v>12330.1927922868</v>
      </c>
      <c r="L6401">
        <v>64.135000000000005</v>
      </c>
      <c r="M6401">
        <v>74.730999999999995</v>
      </c>
      <c r="N6401">
        <v>14.459</v>
      </c>
    </row>
    <row r="6402" spans="1:14" x14ac:dyDescent="0.45">
      <c r="A6402">
        <v>2010</v>
      </c>
      <c r="B6402" t="s">
        <v>132</v>
      </c>
      <c r="C6402">
        <v>1</v>
      </c>
      <c r="D6402">
        <v>0</v>
      </c>
      <c r="E6402">
        <v>0</v>
      </c>
      <c r="F6402">
        <v>0</v>
      </c>
      <c r="G6402">
        <v>0</v>
      </c>
      <c r="H6402">
        <v>1</v>
      </c>
      <c r="I6402">
        <v>1</v>
      </c>
      <c r="J6402">
        <v>61863.282691513698</v>
      </c>
      <c r="K6402">
        <v>55996.6743946715</v>
      </c>
      <c r="L6402">
        <v>15.617000000000001</v>
      </c>
      <c r="M6402">
        <v>68.454999999999998</v>
      </c>
      <c r="N6402">
        <v>11.933999999999999</v>
      </c>
    </row>
    <row r="6403" spans="1:14" x14ac:dyDescent="0.45">
      <c r="A6403">
        <v>2010</v>
      </c>
      <c r="B6403" t="s">
        <v>133</v>
      </c>
      <c r="C6403">
        <v>0</v>
      </c>
      <c r="D6403">
        <v>1</v>
      </c>
      <c r="E6403">
        <v>0</v>
      </c>
      <c r="F6403">
        <v>1</v>
      </c>
      <c r="G6403">
        <v>0</v>
      </c>
      <c r="H6403">
        <v>0</v>
      </c>
      <c r="I6403">
        <v>0</v>
      </c>
      <c r="J6403">
        <v>9825.0174001929299</v>
      </c>
      <c r="K6403">
        <v>8534.7534719548894</v>
      </c>
      <c r="L6403">
        <v>51.597000000000001</v>
      </c>
      <c r="M6403">
        <v>69.885000000000005</v>
      </c>
      <c r="N6403">
        <v>34.902000000000001</v>
      </c>
    </row>
    <row r="6404" spans="1:14" x14ac:dyDescent="0.45">
      <c r="A6404">
        <v>2010</v>
      </c>
      <c r="B6404" t="s">
        <v>134</v>
      </c>
      <c r="C6404">
        <v>0</v>
      </c>
      <c r="D6404">
        <v>0</v>
      </c>
      <c r="E6404">
        <v>0</v>
      </c>
      <c r="F6404">
        <v>0</v>
      </c>
      <c r="G6404">
        <v>0</v>
      </c>
      <c r="H6404">
        <v>1</v>
      </c>
      <c r="I6404">
        <v>1</v>
      </c>
      <c r="L6404">
        <v>5.9009999999999998</v>
      </c>
      <c r="M6404">
        <v>76.094999999999999</v>
      </c>
      <c r="N6404">
        <v>12.582000000000001</v>
      </c>
    </row>
    <row r="6405" spans="1:14" x14ac:dyDescent="0.45">
      <c r="A6405">
        <v>2010</v>
      </c>
      <c r="B6405" t="s">
        <v>135</v>
      </c>
      <c r="C6405">
        <v>0</v>
      </c>
      <c r="D6405">
        <v>1</v>
      </c>
      <c r="E6405">
        <v>0</v>
      </c>
      <c r="F6405">
        <v>1</v>
      </c>
      <c r="G6405">
        <v>0</v>
      </c>
      <c r="H6405">
        <v>0</v>
      </c>
      <c r="I6405">
        <v>0</v>
      </c>
      <c r="J6405">
        <v>10374.394755765599</v>
      </c>
      <c r="K6405">
        <v>9921.8547169940102</v>
      </c>
      <c r="L6405">
        <v>73.366</v>
      </c>
      <c r="M6405">
        <v>66.203999999999994</v>
      </c>
      <c r="N6405">
        <v>37.292999999999999</v>
      </c>
    </row>
    <row r="6406" spans="1:14" x14ac:dyDescent="0.45">
      <c r="A6406">
        <v>2010</v>
      </c>
      <c r="B6406" t="s">
        <v>136</v>
      </c>
      <c r="C6406">
        <v>0</v>
      </c>
      <c r="D6406">
        <v>0</v>
      </c>
      <c r="E6406">
        <v>0</v>
      </c>
      <c r="F6406">
        <v>0</v>
      </c>
      <c r="G6406">
        <v>0</v>
      </c>
      <c r="H6406">
        <v>1</v>
      </c>
      <c r="I6406">
        <v>1</v>
      </c>
      <c r="J6406">
        <v>56355.4038971669</v>
      </c>
      <c r="K6406">
        <v>50860.946324303099</v>
      </c>
      <c r="L6406">
        <v>0</v>
      </c>
      <c r="M6406">
        <v>82.858999999999995</v>
      </c>
      <c r="N6406">
        <v>3.1749999999999998</v>
      </c>
    </row>
    <row r="6407" spans="1:14" x14ac:dyDescent="0.45">
      <c r="A6407">
        <v>2010</v>
      </c>
      <c r="B6407" t="s">
        <v>137</v>
      </c>
      <c r="C6407">
        <v>0</v>
      </c>
      <c r="D6407">
        <v>1</v>
      </c>
      <c r="E6407">
        <v>0</v>
      </c>
      <c r="F6407">
        <v>1</v>
      </c>
      <c r="G6407">
        <v>0</v>
      </c>
      <c r="H6407">
        <v>0</v>
      </c>
      <c r="I6407">
        <v>0</v>
      </c>
      <c r="J6407">
        <v>5396.0722792774404</v>
      </c>
      <c r="K6407">
        <v>4972.3620665629496</v>
      </c>
      <c r="L6407">
        <v>48.115000000000002</v>
      </c>
      <c r="M6407">
        <v>69.77</v>
      </c>
      <c r="N6407">
        <v>25.058</v>
      </c>
    </row>
    <row r="6408" spans="1:14" x14ac:dyDescent="0.45">
      <c r="A6408">
        <v>2010</v>
      </c>
      <c r="B6408" t="s">
        <v>138</v>
      </c>
      <c r="C6408">
        <v>1</v>
      </c>
      <c r="D6408">
        <v>0</v>
      </c>
      <c r="E6408">
        <v>0</v>
      </c>
      <c r="F6408">
        <v>0</v>
      </c>
      <c r="G6408">
        <v>0</v>
      </c>
      <c r="H6408">
        <v>1</v>
      </c>
      <c r="I6408">
        <v>1</v>
      </c>
      <c r="J6408">
        <v>28704.527209869299</v>
      </c>
      <c r="K6408">
        <v>24755.046633741</v>
      </c>
      <c r="L6408">
        <v>44.844999999999999</v>
      </c>
      <c r="M6408">
        <v>76.676000000000002</v>
      </c>
      <c r="N6408">
        <v>5.5389999999999997</v>
      </c>
    </row>
    <row r="6409" spans="1:14" x14ac:dyDescent="0.45">
      <c r="A6409">
        <v>2010</v>
      </c>
      <c r="B6409" t="s">
        <v>139</v>
      </c>
      <c r="C6409">
        <v>0</v>
      </c>
      <c r="D6409">
        <v>1</v>
      </c>
      <c r="E6409">
        <v>0</v>
      </c>
      <c r="F6409">
        <v>0</v>
      </c>
      <c r="G6409">
        <v>0</v>
      </c>
      <c r="H6409">
        <v>0</v>
      </c>
      <c r="I6409">
        <v>0</v>
      </c>
      <c r="J6409">
        <v>3195.2482072365901</v>
      </c>
      <c r="K6409">
        <v>3071.1312186395799</v>
      </c>
      <c r="L6409">
        <v>52.491</v>
      </c>
      <c r="M6409">
        <v>45.576999999999998</v>
      </c>
      <c r="N6409">
        <v>141.114</v>
      </c>
    </row>
    <row r="6410" spans="1:14" x14ac:dyDescent="0.45">
      <c r="A6410">
        <v>2010</v>
      </c>
      <c r="B6410" t="s">
        <v>140</v>
      </c>
      <c r="C6410">
        <v>1</v>
      </c>
      <c r="D6410">
        <v>0</v>
      </c>
      <c r="E6410">
        <v>0</v>
      </c>
      <c r="F6410">
        <v>0</v>
      </c>
      <c r="G6410">
        <v>0</v>
      </c>
      <c r="H6410">
        <v>1</v>
      </c>
      <c r="I6410">
        <v>1</v>
      </c>
      <c r="J6410">
        <v>27801.833816111</v>
      </c>
      <c r="K6410">
        <v>24227.003960621099</v>
      </c>
      <c r="L6410">
        <v>31.088999999999999</v>
      </c>
      <c r="M6410">
        <v>74.519000000000005</v>
      </c>
      <c r="N6410">
        <v>5.9889999999999999</v>
      </c>
    </row>
    <row r="6411" spans="1:14" x14ac:dyDescent="0.45">
      <c r="A6411">
        <v>2010</v>
      </c>
      <c r="B6411" t="s">
        <v>141</v>
      </c>
      <c r="C6411">
        <v>0</v>
      </c>
      <c r="D6411">
        <v>0</v>
      </c>
      <c r="E6411">
        <v>0</v>
      </c>
      <c r="F6411">
        <v>1</v>
      </c>
      <c r="G6411">
        <v>0</v>
      </c>
      <c r="H6411">
        <v>0</v>
      </c>
      <c r="I6411">
        <v>0</v>
      </c>
      <c r="J6411">
        <v>8848.2247370206605</v>
      </c>
      <c r="K6411">
        <v>8032.7934632693496</v>
      </c>
      <c r="L6411">
        <v>50.085999999999999</v>
      </c>
      <c r="M6411">
        <v>68.364000000000004</v>
      </c>
      <c r="N6411">
        <v>33.741999999999997</v>
      </c>
    </row>
    <row r="6412" spans="1:14" x14ac:dyDescent="0.45">
      <c r="A6412">
        <v>2010</v>
      </c>
      <c r="B6412" t="s">
        <v>142</v>
      </c>
      <c r="C6412">
        <v>1</v>
      </c>
      <c r="D6412">
        <v>0</v>
      </c>
      <c r="E6412">
        <v>0</v>
      </c>
      <c r="F6412">
        <v>0</v>
      </c>
      <c r="G6412">
        <v>0</v>
      </c>
      <c r="H6412">
        <v>1</v>
      </c>
      <c r="I6412">
        <v>1</v>
      </c>
      <c r="L6412">
        <v>48.006</v>
      </c>
      <c r="M6412">
        <v>79.613</v>
      </c>
      <c r="N6412">
        <v>15.489000000000001</v>
      </c>
    </row>
    <row r="6413" spans="1:14" x14ac:dyDescent="0.45">
      <c r="A6413">
        <v>2010</v>
      </c>
      <c r="B6413" t="s">
        <v>143</v>
      </c>
      <c r="C6413">
        <v>0</v>
      </c>
      <c r="D6413">
        <v>0</v>
      </c>
      <c r="E6413">
        <v>0</v>
      </c>
      <c r="F6413">
        <v>1</v>
      </c>
      <c r="G6413">
        <v>0</v>
      </c>
      <c r="H6413">
        <v>0</v>
      </c>
      <c r="I6413">
        <v>0</v>
      </c>
      <c r="J6413">
        <v>5059.2827108397996</v>
      </c>
      <c r="K6413">
        <v>4243.1462760403001</v>
      </c>
      <c r="L6413">
        <v>69.069999999999993</v>
      </c>
      <c r="M6413">
        <v>67.162000000000006</v>
      </c>
      <c r="N6413">
        <v>57.753</v>
      </c>
    </row>
    <row r="6414" spans="1:14" x14ac:dyDescent="0.45">
      <c r="A6414">
        <v>2010</v>
      </c>
      <c r="B6414" t="s">
        <v>144</v>
      </c>
      <c r="C6414">
        <v>1</v>
      </c>
      <c r="D6414">
        <v>0</v>
      </c>
      <c r="E6414">
        <v>0</v>
      </c>
      <c r="F6414">
        <v>0</v>
      </c>
      <c r="G6414">
        <v>0</v>
      </c>
      <c r="H6414">
        <v>1</v>
      </c>
      <c r="I6414">
        <v>1</v>
      </c>
      <c r="J6414">
        <v>59285.808330260101</v>
      </c>
      <c r="K6414">
        <v>54510.207679056402</v>
      </c>
      <c r="L6414">
        <v>38.457999999999998</v>
      </c>
      <c r="M6414">
        <v>80.599000000000004</v>
      </c>
      <c r="N6414">
        <v>4.3099999999999996</v>
      </c>
    </row>
    <row r="6415" spans="1:14" x14ac:dyDescent="0.45">
      <c r="A6415">
        <v>2010</v>
      </c>
      <c r="B6415" t="s">
        <v>145</v>
      </c>
      <c r="C6415">
        <v>0</v>
      </c>
      <c r="D6415">
        <v>0</v>
      </c>
      <c r="E6415">
        <v>0</v>
      </c>
      <c r="F6415">
        <v>0</v>
      </c>
      <c r="G6415">
        <v>1</v>
      </c>
      <c r="H6415">
        <v>0</v>
      </c>
      <c r="I6415">
        <v>0</v>
      </c>
      <c r="J6415">
        <v>14737.155848090601</v>
      </c>
      <c r="K6415">
        <v>14700.234437605601</v>
      </c>
      <c r="L6415">
        <v>29.373999999999999</v>
      </c>
      <c r="M6415">
        <v>74.39</v>
      </c>
      <c r="N6415">
        <v>19.491</v>
      </c>
    </row>
    <row r="6416" spans="1:14" x14ac:dyDescent="0.45">
      <c r="A6416">
        <v>2010</v>
      </c>
      <c r="B6416" t="s">
        <v>146</v>
      </c>
      <c r="C6416">
        <v>0</v>
      </c>
      <c r="D6416">
        <v>0</v>
      </c>
      <c r="E6416">
        <v>0</v>
      </c>
      <c r="F6416">
        <v>1</v>
      </c>
      <c r="G6416">
        <v>0</v>
      </c>
      <c r="H6416">
        <v>0</v>
      </c>
      <c r="I6416">
        <v>0</v>
      </c>
      <c r="J6416">
        <v>11816.841015026001</v>
      </c>
      <c r="K6416">
        <v>8353.1921764996605</v>
      </c>
      <c r="L6416">
        <v>30.896999999999998</v>
      </c>
      <c r="M6416">
        <v>68.091999999999999</v>
      </c>
      <c r="N6416">
        <v>35.034999999999997</v>
      </c>
    </row>
    <row r="6417" spans="1:14" x14ac:dyDescent="0.45">
      <c r="A6417">
        <v>2010</v>
      </c>
      <c r="B6417" t="s">
        <v>147</v>
      </c>
      <c r="C6417">
        <v>1</v>
      </c>
      <c r="D6417">
        <v>0</v>
      </c>
      <c r="E6417">
        <v>0</v>
      </c>
      <c r="F6417">
        <v>0</v>
      </c>
      <c r="G6417">
        <v>0</v>
      </c>
      <c r="H6417">
        <v>1</v>
      </c>
      <c r="I6417">
        <v>1</v>
      </c>
      <c r="J6417">
        <v>54588.970927763497</v>
      </c>
      <c r="K6417">
        <v>47235.229830746001</v>
      </c>
      <c r="L6417">
        <v>6.4260000000000002</v>
      </c>
      <c r="M6417">
        <v>81.593999999999994</v>
      </c>
      <c r="N6417">
        <v>3.4220000000000002</v>
      </c>
    </row>
    <row r="6418" spans="1:14" x14ac:dyDescent="0.45">
      <c r="A6418">
        <v>2010</v>
      </c>
      <c r="B6418" t="s">
        <v>148</v>
      </c>
      <c r="C6418">
        <v>0</v>
      </c>
      <c r="D6418">
        <v>0</v>
      </c>
      <c r="E6418">
        <v>0</v>
      </c>
      <c r="F6418">
        <v>0</v>
      </c>
      <c r="G6418">
        <v>0</v>
      </c>
      <c r="H6418">
        <v>1</v>
      </c>
      <c r="I6418">
        <v>1</v>
      </c>
      <c r="J6418">
        <v>37722.409986983599</v>
      </c>
      <c r="K6418">
        <v>34601.905650215798</v>
      </c>
      <c r="L6418">
        <v>8.1740000000000101</v>
      </c>
      <c r="M6418">
        <v>81.974000000000004</v>
      </c>
      <c r="N6418">
        <v>4.5910000000000002</v>
      </c>
    </row>
    <row r="6419" spans="1:14" x14ac:dyDescent="0.45">
      <c r="A6419">
        <v>2010</v>
      </c>
      <c r="B6419" t="s">
        <v>149</v>
      </c>
      <c r="C6419">
        <v>1</v>
      </c>
      <c r="D6419">
        <v>0</v>
      </c>
      <c r="E6419">
        <v>0</v>
      </c>
      <c r="F6419">
        <v>0</v>
      </c>
      <c r="G6419">
        <v>0</v>
      </c>
      <c r="H6419">
        <v>1</v>
      </c>
      <c r="I6419">
        <v>1</v>
      </c>
      <c r="J6419">
        <v>49301.695914167401</v>
      </c>
      <c r="K6419">
        <v>41993.563345146198</v>
      </c>
      <c r="L6419">
        <v>31.672999999999998</v>
      </c>
      <c r="M6419">
        <v>82.132000000000005</v>
      </c>
      <c r="N6419">
        <v>3.7480000000000002</v>
      </c>
    </row>
    <row r="6420" spans="1:14" x14ac:dyDescent="0.45">
      <c r="A6420">
        <v>2010</v>
      </c>
      <c r="B6420" t="s">
        <v>150</v>
      </c>
      <c r="C6420">
        <v>0</v>
      </c>
      <c r="D6420">
        <v>1</v>
      </c>
      <c r="E6420">
        <v>0</v>
      </c>
      <c r="F6420">
        <v>0</v>
      </c>
      <c r="G6420">
        <v>1</v>
      </c>
      <c r="H6420">
        <v>0</v>
      </c>
      <c r="I6420">
        <v>0</v>
      </c>
      <c r="J6420">
        <v>9654.0723839455404</v>
      </c>
      <c r="K6420">
        <v>9514.3794773338195</v>
      </c>
      <c r="L6420">
        <v>46.256999999999998</v>
      </c>
      <c r="M6420">
        <v>71.978999999999999</v>
      </c>
      <c r="N6420">
        <v>19.091000000000001</v>
      </c>
    </row>
    <row r="6421" spans="1:14" x14ac:dyDescent="0.45">
      <c r="A6421">
        <v>2010</v>
      </c>
      <c r="B6421" t="s">
        <v>151</v>
      </c>
      <c r="C6421">
        <v>0</v>
      </c>
      <c r="D6421">
        <v>0</v>
      </c>
      <c r="E6421">
        <v>0</v>
      </c>
      <c r="F6421">
        <v>0</v>
      </c>
      <c r="G6421">
        <v>1</v>
      </c>
      <c r="H6421">
        <v>0</v>
      </c>
      <c r="I6421">
        <v>0</v>
      </c>
      <c r="J6421">
        <v>10953.537631697</v>
      </c>
      <c r="K6421">
        <v>10866.405428742801</v>
      </c>
      <c r="L6421">
        <v>13.912000000000001</v>
      </c>
      <c r="M6421">
        <v>73.796999999999997</v>
      </c>
      <c r="N6421">
        <v>20.201000000000001</v>
      </c>
    </row>
    <row r="6422" spans="1:14" x14ac:dyDescent="0.45">
      <c r="A6422">
        <v>2010</v>
      </c>
      <c r="B6422" t="s">
        <v>152</v>
      </c>
      <c r="C6422">
        <v>0</v>
      </c>
      <c r="D6422">
        <v>0</v>
      </c>
      <c r="E6422">
        <v>0</v>
      </c>
      <c r="F6422">
        <v>0</v>
      </c>
      <c r="G6422">
        <v>0</v>
      </c>
      <c r="H6422">
        <v>1</v>
      </c>
      <c r="I6422">
        <v>1</v>
      </c>
      <c r="J6422">
        <v>40881.797242318498</v>
      </c>
      <c r="K6422">
        <v>37870.130222779699</v>
      </c>
      <c r="L6422">
        <v>9.1880000000000006</v>
      </c>
      <c r="M6422">
        <v>82.915999999999997</v>
      </c>
      <c r="N6422">
        <v>3.2149999999999999</v>
      </c>
    </row>
    <row r="6423" spans="1:14" x14ac:dyDescent="0.45">
      <c r="A6423">
        <v>2010</v>
      </c>
      <c r="B6423" t="s">
        <v>153</v>
      </c>
      <c r="C6423">
        <v>1</v>
      </c>
      <c r="D6423">
        <v>0</v>
      </c>
      <c r="E6423">
        <v>0</v>
      </c>
      <c r="F6423">
        <v>0</v>
      </c>
      <c r="G6423">
        <v>1</v>
      </c>
      <c r="H6423">
        <v>0</v>
      </c>
      <c r="I6423">
        <v>0</v>
      </c>
      <c r="J6423">
        <v>26374.8407672795</v>
      </c>
      <c r="K6423">
        <v>20056.995897109999</v>
      </c>
      <c r="L6423">
        <v>43.173000000000002</v>
      </c>
      <c r="M6423">
        <v>68.257000000000005</v>
      </c>
      <c r="N6423">
        <v>20.187000000000001</v>
      </c>
    </row>
    <row r="6424" spans="1:14" x14ac:dyDescent="0.45">
      <c r="A6424">
        <v>2010</v>
      </c>
      <c r="B6424" t="s">
        <v>154</v>
      </c>
      <c r="C6424">
        <v>0</v>
      </c>
      <c r="D6424">
        <v>0</v>
      </c>
      <c r="E6424">
        <v>1</v>
      </c>
      <c r="F6424">
        <v>0</v>
      </c>
      <c r="G6424">
        <v>0</v>
      </c>
      <c r="H6424">
        <v>0</v>
      </c>
      <c r="I6424">
        <v>0</v>
      </c>
      <c r="J6424">
        <v>4211.5246295778397</v>
      </c>
      <c r="K6424">
        <v>3629.6866632975202</v>
      </c>
      <c r="L6424">
        <v>76.429000000000002</v>
      </c>
      <c r="M6424">
        <v>60.914999999999999</v>
      </c>
      <c r="N6424">
        <v>54.343000000000004</v>
      </c>
    </row>
    <row r="6425" spans="1:14" x14ac:dyDescent="0.45">
      <c r="A6425">
        <v>2010</v>
      </c>
      <c r="B6425" t="s">
        <v>155</v>
      </c>
      <c r="C6425">
        <v>1</v>
      </c>
      <c r="D6425">
        <v>0</v>
      </c>
      <c r="E6425">
        <v>0</v>
      </c>
      <c r="F6425">
        <v>0</v>
      </c>
      <c r="G6425">
        <v>0</v>
      </c>
      <c r="H6425">
        <v>0</v>
      </c>
      <c r="I6425">
        <v>0</v>
      </c>
      <c r="J6425">
        <v>4876.4796488648299</v>
      </c>
      <c r="K6425">
        <v>4121.4447249795803</v>
      </c>
      <c r="L6425">
        <v>64.694000000000003</v>
      </c>
      <c r="M6425">
        <v>67.521000000000001</v>
      </c>
      <c r="N6425">
        <v>29.707000000000001</v>
      </c>
    </row>
    <row r="6426" spans="1:14" x14ac:dyDescent="0.45">
      <c r="A6426">
        <v>2010</v>
      </c>
      <c r="B6426" t="s">
        <v>156</v>
      </c>
      <c r="C6426">
        <v>0</v>
      </c>
      <c r="D6426">
        <v>0</v>
      </c>
      <c r="E6426">
        <v>0</v>
      </c>
      <c r="F6426">
        <v>0</v>
      </c>
      <c r="G6426">
        <v>0</v>
      </c>
      <c r="H6426">
        <v>0</v>
      </c>
      <c r="I6426">
        <v>0</v>
      </c>
      <c r="J6426">
        <v>3711.5375058003701</v>
      </c>
      <c r="K6426">
        <v>3328.0179779711202</v>
      </c>
      <c r="L6426">
        <v>79.706000000000003</v>
      </c>
      <c r="M6426">
        <v>67.311000000000007</v>
      </c>
      <c r="N6426">
        <v>44.040999999999997</v>
      </c>
    </row>
    <row r="6427" spans="1:14" x14ac:dyDescent="0.45">
      <c r="A6427">
        <v>2010</v>
      </c>
      <c r="B6427" t="s">
        <v>157</v>
      </c>
      <c r="C6427">
        <v>0</v>
      </c>
      <c r="D6427">
        <v>0</v>
      </c>
      <c r="E6427">
        <v>0</v>
      </c>
      <c r="F6427">
        <v>1</v>
      </c>
      <c r="G6427">
        <v>0</v>
      </c>
      <c r="H6427">
        <v>0</v>
      </c>
      <c r="I6427">
        <v>0</v>
      </c>
      <c r="J6427">
        <v>2119.64018013946</v>
      </c>
      <c r="K6427">
        <v>1917.42501765171</v>
      </c>
      <c r="L6427">
        <v>52.61</v>
      </c>
      <c r="M6427">
        <v>65.858999999999995</v>
      </c>
      <c r="N6427">
        <v>58.468000000000004</v>
      </c>
    </row>
    <row r="6428" spans="1:14" x14ac:dyDescent="0.45">
      <c r="A6428">
        <v>2010</v>
      </c>
      <c r="B6428" t="s">
        <v>158</v>
      </c>
      <c r="C6428">
        <v>0</v>
      </c>
      <c r="D6428">
        <v>1</v>
      </c>
      <c r="E6428">
        <v>0</v>
      </c>
      <c r="F6428">
        <v>0</v>
      </c>
      <c r="G6428">
        <v>1</v>
      </c>
      <c r="H6428">
        <v>0</v>
      </c>
      <c r="I6428">
        <v>0</v>
      </c>
      <c r="J6428">
        <v>24997.5672513428</v>
      </c>
      <c r="K6428">
        <v>24688.497785356401</v>
      </c>
      <c r="L6428">
        <v>68.677999999999997</v>
      </c>
      <c r="M6428">
        <v>71.451999999999998</v>
      </c>
      <c r="N6428">
        <v>18.265000000000001</v>
      </c>
    </row>
    <row r="6429" spans="1:14" x14ac:dyDescent="0.45">
      <c r="A6429">
        <v>2010</v>
      </c>
      <c r="B6429" t="s">
        <v>159</v>
      </c>
      <c r="C6429">
        <v>0</v>
      </c>
      <c r="D6429">
        <v>0</v>
      </c>
      <c r="E6429">
        <v>0</v>
      </c>
      <c r="F6429">
        <v>0</v>
      </c>
      <c r="G6429">
        <v>0</v>
      </c>
      <c r="H6429">
        <v>1</v>
      </c>
      <c r="I6429">
        <v>1</v>
      </c>
      <c r="J6429">
        <v>37610.972914668302</v>
      </c>
      <c r="K6429">
        <v>34287.009025557301</v>
      </c>
      <c r="L6429">
        <v>18.064</v>
      </c>
      <c r="M6429">
        <v>80.716999999999999</v>
      </c>
      <c r="N6429">
        <v>4.181</v>
      </c>
    </row>
    <row r="6430" spans="1:14" x14ac:dyDescent="0.45">
      <c r="A6430">
        <v>2010</v>
      </c>
      <c r="B6430" t="s">
        <v>160</v>
      </c>
      <c r="C6430">
        <v>0</v>
      </c>
      <c r="D6430">
        <v>0</v>
      </c>
      <c r="E6430">
        <v>0</v>
      </c>
      <c r="F6430">
        <v>0</v>
      </c>
      <c r="G6430">
        <v>0</v>
      </c>
      <c r="H6430">
        <v>1</v>
      </c>
      <c r="I6430">
        <v>1</v>
      </c>
      <c r="J6430">
        <v>62956.215321367097</v>
      </c>
      <c r="K6430">
        <v>56068.813248228798</v>
      </c>
      <c r="L6430">
        <v>0</v>
      </c>
      <c r="M6430">
        <v>77.498999999999995</v>
      </c>
      <c r="N6430">
        <v>10.536</v>
      </c>
    </row>
    <row r="6431" spans="1:14" x14ac:dyDescent="0.45">
      <c r="A6431">
        <v>2010</v>
      </c>
      <c r="B6431" t="s">
        <v>161</v>
      </c>
      <c r="C6431">
        <v>0</v>
      </c>
      <c r="D6431">
        <v>0</v>
      </c>
      <c r="E6431">
        <v>0</v>
      </c>
      <c r="F6431">
        <v>1</v>
      </c>
      <c r="G6431">
        <v>0</v>
      </c>
      <c r="H6431">
        <v>0</v>
      </c>
      <c r="I6431">
        <v>0</v>
      </c>
      <c r="J6431">
        <v>4946.10563678173</v>
      </c>
      <c r="K6431">
        <v>4752.7504746402401</v>
      </c>
      <c r="L6431">
        <v>69.936000000000007</v>
      </c>
      <c r="M6431">
        <v>63.69</v>
      </c>
      <c r="N6431">
        <v>67.747</v>
      </c>
    </row>
    <row r="6432" spans="1:14" x14ac:dyDescent="0.45">
      <c r="A6432">
        <v>2010</v>
      </c>
      <c r="B6432" t="s">
        <v>162</v>
      </c>
      <c r="C6432">
        <v>0</v>
      </c>
      <c r="D6432">
        <v>0</v>
      </c>
      <c r="E6432">
        <v>0</v>
      </c>
      <c r="F6432">
        <v>0</v>
      </c>
      <c r="G6432">
        <v>1</v>
      </c>
      <c r="H6432">
        <v>0</v>
      </c>
      <c r="I6432">
        <v>0</v>
      </c>
      <c r="J6432">
        <v>17390.7584012958</v>
      </c>
      <c r="K6432">
        <v>22604.393139977099</v>
      </c>
      <c r="L6432">
        <v>12.666</v>
      </c>
      <c r="M6432">
        <v>77.528999999999996</v>
      </c>
      <c r="N6432">
        <v>12.763999999999999</v>
      </c>
    </row>
    <row r="6433" spans="1:14" x14ac:dyDescent="0.45">
      <c r="A6433">
        <v>2010</v>
      </c>
      <c r="B6433" t="s">
        <v>163</v>
      </c>
      <c r="C6433">
        <v>0</v>
      </c>
      <c r="D6433">
        <v>0</v>
      </c>
      <c r="E6433">
        <v>1</v>
      </c>
      <c r="F6433">
        <v>0</v>
      </c>
      <c r="G6433">
        <v>0</v>
      </c>
      <c r="H6433">
        <v>0</v>
      </c>
      <c r="I6433">
        <v>0</v>
      </c>
      <c r="J6433">
        <v>1538.8508348851201</v>
      </c>
      <c r="K6433">
        <v>2273.5681612665899</v>
      </c>
      <c r="L6433">
        <v>52.186999999999998</v>
      </c>
      <c r="M6433">
        <v>59.357999999999997</v>
      </c>
      <c r="N6433">
        <v>101.773</v>
      </c>
    </row>
    <row r="6434" spans="1:14" x14ac:dyDescent="0.45">
      <c r="A6434">
        <v>2010</v>
      </c>
      <c r="B6434" t="s">
        <v>164</v>
      </c>
      <c r="C6434">
        <v>0</v>
      </c>
      <c r="D6434">
        <v>0</v>
      </c>
      <c r="E6434">
        <v>0</v>
      </c>
      <c r="F6434">
        <v>0</v>
      </c>
      <c r="G6434">
        <v>1</v>
      </c>
      <c r="H6434">
        <v>0</v>
      </c>
      <c r="I6434">
        <v>0</v>
      </c>
      <c r="J6434">
        <v>21109.967925372901</v>
      </c>
      <c r="K6434">
        <v>24671.117011233699</v>
      </c>
      <c r="L6434">
        <v>21.948</v>
      </c>
      <c r="M6434">
        <v>72.195999999999998</v>
      </c>
      <c r="N6434">
        <v>16.876999999999999</v>
      </c>
    </row>
    <row r="6435" spans="1:14" x14ac:dyDescent="0.45">
      <c r="A6435">
        <v>2010</v>
      </c>
      <c r="B6435" t="s">
        <v>165</v>
      </c>
      <c r="C6435">
        <v>0</v>
      </c>
      <c r="D6435">
        <v>1</v>
      </c>
      <c r="E6435">
        <v>0</v>
      </c>
      <c r="F6435">
        <v>0</v>
      </c>
      <c r="G6435">
        <v>1</v>
      </c>
      <c r="H6435">
        <v>0</v>
      </c>
      <c r="I6435">
        <v>0</v>
      </c>
      <c r="J6435">
        <v>20849.055124224498</v>
      </c>
      <c r="K6435">
        <v>14998.956352921499</v>
      </c>
      <c r="L6435">
        <v>81.55</v>
      </c>
      <c r="M6435">
        <v>72.768000000000001</v>
      </c>
      <c r="N6435">
        <v>18.95</v>
      </c>
    </row>
    <row r="6436" spans="1:14" x14ac:dyDescent="0.45">
      <c r="A6436">
        <v>2010</v>
      </c>
      <c r="B6436" t="s">
        <v>166</v>
      </c>
      <c r="C6436">
        <v>1</v>
      </c>
      <c r="D6436">
        <v>0</v>
      </c>
      <c r="E6436">
        <v>0</v>
      </c>
      <c r="F6436">
        <v>0</v>
      </c>
      <c r="G6436">
        <v>0</v>
      </c>
      <c r="H6436">
        <v>1</v>
      </c>
      <c r="I6436">
        <v>1</v>
      </c>
      <c r="L6436">
        <v>85.536000000000001</v>
      </c>
      <c r="M6436">
        <v>82.054000000000002</v>
      </c>
      <c r="N6436">
        <v>7.8029999999999999</v>
      </c>
    </row>
    <row r="6437" spans="1:14" x14ac:dyDescent="0.45">
      <c r="A6437">
        <v>2010</v>
      </c>
      <c r="B6437" t="s">
        <v>167</v>
      </c>
      <c r="C6437">
        <v>0</v>
      </c>
      <c r="D6437">
        <v>0</v>
      </c>
      <c r="E6437">
        <v>0</v>
      </c>
      <c r="F6437">
        <v>1</v>
      </c>
      <c r="G6437">
        <v>0</v>
      </c>
      <c r="H6437">
        <v>0</v>
      </c>
      <c r="I6437">
        <v>0</v>
      </c>
      <c r="J6437">
        <v>9832.1862233730699</v>
      </c>
      <c r="K6437">
        <v>9183.1065339391607</v>
      </c>
      <c r="L6437">
        <v>81.774000000000001</v>
      </c>
      <c r="M6437">
        <v>74.462999999999994</v>
      </c>
      <c r="N6437">
        <v>11.205</v>
      </c>
    </row>
    <row r="6438" spans="1:14" x14ac:dyDescent="0.45">
      <c r="A6438">
        <v>2010</v>
      </c>
      <c r="B6438" t="s">
        <v>168</v>
      </c>
      <c r="C6438">
        <v>0</v>
      </c>
      <c r="D6438">
        <v>0</v>
      </c>
      <c r="E6438">
        <v>1</v>
      </c>
      <c r="F6438">
        <v>1</v>
      </c>
      <c r="G6438">
        <v>0</v>
      </c>
      <c r="H6438">
        <v>0</v>
      </c>
      <c r="I6438">
        <v>0</v>
      </c>
      <c r="J6438">
        <v>2651.3780489822602</v>
      </c>
      <c r="K6438">
        <v>2374.0974516229498</v>
      </c>
      <c r="L6438">
        <v>75.201999999999998</v>
      </c>
      <c r="M6438">
        <v>46.045000000000002</v>
      </c>
      <c r="N6438">
        <v>94.95</v>
      </c>
    </row>
    <row r="6439" spans="1:14" x14ac:dyDescent="0.45">
      <c r="A6439">
        <v>2010</v>
      </c>
      <c r="B6439" t="s">
        <v>169</v>
      </c>
      <c r="C6439">
        <v>1</v>
      </c>
      <c r="D6439">
        <v>0</v>
      </c>
      <c r="E6439">
        <v>0</v>
      </c>
      <c r="F6439">
        <v>0</v>
      </c>
      <c r="G6439">
        <v>1</v>
      </c>
      <c r="H6439">
        <v>0</v>
      </c>
      <c r="I6439">
        <v>0</v>
      </c>
      <c r="J6439">
        <v>26887.491305770101</v>
      </c>
      <c r="K6439">
        <v>23004.0416850988</v>
      </c>
      <c r="L6439">
        <v>33.243000000000002</v>
      </c>
      <c r="M6439">
        <v>73.195999999999998</v>
      </c>
      <c r="N6439">
        <v>6.0469999999999997</v>
      </c>
    </row>
    <row r="6440" spans="1:14" x14ac:dyDescent="0.45">
      <c r="A6440">
        <v>2010</v>
      </c>
      <c r="B6440" t="s">
        <v>170</v>
      </c>
      <c r="C6440">
        <v>1</v>
      </c>
      <c r="D6440">
        <v>0</v>
      </c>
      <c r="E6440">
        <v>0</v>
      </c>
      <c r="F6440">
        <v>0</v>
      </c>
      <c r="G6440">
        <v>0</v>
      </c>
      <c r="H6440">
        <v>1</v>
      </c>
      <c r="I6440">
        <v>1</v>
      </c>
      <c r="J6440">
        <v>131432.05961631599</v>
      </c>
      <c r="K6440">
        <v>112316.75346001</v>
      </c>
      <c r="L6440">
        <v>11.452999999999999</v>
      </c>
      <c r="M6440">
        <v>80.099000000000004</v>
      </c>
      <c r="N6440">
        <v>4.6050000000000004</v>
      </c>
    </row>
    <row r="6441" spans="1:14" x14ac:dyDescent="0.45">
      <c r="A6441">
        <v>2010</v>
      </c>
      <c r="B6441" t="s">
        <v>171</v>
      </c>
      <c r="C6441">
        <v>1</v>
      </c>
      <c r="D6441">
        <v>0</v>
      </c>
      <c r="E6441">
        <v>0</v>
      </c>
      <c r="F6441">
        <v>0</v>
      </c>
      <c r="G6441">
        <v>1</v>
      </c>
      <c r="H6441">
        <v>0</v>
      </c>
      <c r="I6441">
        <v>0</v>
      </c>
      <c r="J6441">
        <v>24119.730784893902</v>
      </c>
      <c r="K6441">
        <v>20926.0199609683</v>
      </c>
      <c r="L6441">
        <v>32.158999999999999</v>
      </c>
      <c r="M6441">
        <v>73.028000000000006</v>
      </c>
      <c r="N6441">
        <v>6.8470000000000004</v>
      </c>
    </row>
    <row r="6442" spans="1:14" x14ac:dyDescent="0.45">
      <c r="A6442">
        <v>2010</v>
      </c>
      <c r="B6442" t="s">
        <v>172</v>
      </c>
      <c r="C6442">
        <v>0</v>
      </c>
      <c r="D6442">
        <v>0</v>
      </c>
      <c r="E6442">
        <v>0</v>
      </c>
      <c r="F6442">
        <v>0</v>
      </c>
      <c r="G6442">
        <v>0</v>
      </c>
      <c r="H6442">
        <v>1</v>
      </c>
      <c r="I6442">
        <v>1</v>
      </c>
      <c r="J6442">
        <v>130596.314613522</v>
      </c>
      <c r="K6442">
        <v>118351.798181805</v>
      </c>
      <c r="L6442">
        <v>0</v>
      </c>
      <c r="M6442">
        <v>81.662999999999997</v>
      </c>
      <c r="N6442">
        <v>4.6429999999999998</v>
      </c>
    </row>
    <row r="6443" spans="1:14" x14ac:dyDescent="0.45">
      <c r="A6443">
        <v>2010</v>
      </c>
      <c r="B6443" t="s">
        <v>173</v>
      </c>
      <c r="C6443">
        <v>0</v>
      </c>
      <c r="D6443">
        <v>1</v>
      </c>
      <c r="E6443">
        <v>0</v>
      </c>
      <c r="F6443">
        <v>0</v>
      </c>
      <c r="G6443">
        <v>0</v>
      </c>
      <c r="H6443">
        <v>1</v>
      </c>
      <c r="I6443">
        <v>1</v>
      </c>
      <c r="L6443">
        <v>0</v>
      </c>
      <c r="M6443">
        <v>78.751999999999995</v>
      </c>
      <c r="N6443">
        <v>11.339</v>
      </c>
    </row>
    <row r="6444" spans="1:14" x14ac:dyDescent="0.45">
      <c r="A6444">
        <v>2010</v>
      </c>
      <c r="B6444" t="s">
        <v>174</v>
      </c>
      <c r="C6444">
        <v>0</v>
      </c>
      <c r="D6444">
        <v>0</v>
      </c>
      <c r="E6444">
        <v>0</v>
      </c>
      <c r="F6444">
        <v>1</v>
      </c>
      <c r="G6444">
        <v>0</v>
      </c>
      <c r="H6444">
        <v>0</v>
      </c>
      <c r="I6444">
        <v>0</v>
      </c>
      <c r="J6444">
        <v>7210.63671875</v>
      </c>
      <c r="K6444">
        <v>6924.8679347541702</v>
      </c>
      <c r="L6444">
        <v>41.981999999999999</v>
      </c>
      <c r="M6444">
        <v>70.820999999999998</v>
      </c>
      <c r="N6444">
        <v>30.984000000000002</v>
      </c>
    </row>
    <row r="6445" spans="1:14" x14ac:dyDescent="0.45">
      <c r="A6445">
        <v>2010</v>
      </c>
      <c r="B6445" t="s">
        <v>175</v>
      </c>
      <c r="C6445">
        <v>1</v>
      </c>
      <c r="D6445">
        <v>0</v>
      </c>
      <c r="E6445">
        <v>0</v>
      </c>
      <c r="F6445">
        <v>0</v>
      </c>
      <c r="G6445">
        <v>0</v>
      </c>
      <c r="H6445">
        <v>1</v>
      </c>
      <c r="I6445">
        <v>1</v>
      </c>
      <c r="L6445">
        <v>0</v>
      </c>
      <c r="M6445">
        <v>84.644000000000005</v>
      </c>
      <c r="N6445">
        <v>5.73</v>
      </c>
    </row>
    <row r="6446" spans="1:14" x14ac:dyDescent="0.45">
      <c r="A6446">
        <v>2010</v>
      </c>
      <c r="B6446" t="s">
        <v>176</v>
      </c>
      <c r="C6446">
        <v>1</v>
      </c>
      <c r="D6446">
        <v>0</v>
      </c>
      <c r="E6446">
        <v>0</v>
      </c>
      <c r="F6446">
        <v>1</v>
      </c>
      <c r="G6446">
        <v>0</v>
      </c>
      <c r="H6446">
        <v>0</v>
      </c>
      <c r="I6446">
        <v>0</v>
      </c>
      <c r="J6446">
        <v>9649.9509930270997</v>
      </c>
      <c r="K6446">
        <v>8276.8366807765506</v>
      </c>
      <c r="L6446">
        <v>57.38</v>
      </c>
      <c r="M6446">
        <v>69.876000000000005</v>
      </c>
      <c r="N6446">
        <v>17.239999999999998</v>
      </c>
    </row>
    <row r="6447" spans="1:14" x14ac:dyDescent="0.45">
      <c r="A6447">
        <v>2010</v>
      </c>
      <c r="B6447" t="s">
        <v>177</v>
      </c>
      <c r="C6447">
        <v>0</v>
      </c>
      <c r="D6447">
        <v>0</v>
      </c>
      <c r="E6447">
        <v>1</v>
      </c>
      <c r="F6447">
        <v>0</v>
      </c>
      <c r="G6447">
        <v>0</v>
      </c>
      <c r="H6447">
        <v>0</v>
      </c>
      <c r="I6447">
        <v>0</v>
      </c>
      <c r="J6447">
        <v>1635.2451147281099</v>
      </c>
      <c r="K6447">
        <v>1514.9344807654099</v>
      </c>
      <c r="L6447">
        <v>68.061999999999998</v>
      </c>
      <c r="M6447">
        <v>62.597000000000001</v>
      </c>
      <c r="N6447">
        <v>71.346000000000004</v>
      </c>
    </row>
    <row r="6448" spans="1:14" x14ac:dyDescent="0.45">
      <c r="A6448">
        <v>2010</v>
      </c>
      <c r="B6448" t="s">
        <v>178</v>
      </c>
      <c r="C6448">
        <v>0</v>
      </c>
      <c r="D6448">
        <v>0</v>
      </c>
      <c r="E6448">
        <v>0</v>
      </c>
      <c r="F6448">
        <v>0</v>
      </c>
      <c r="G6448">
        <v>1</v>
      </c>
      <c r="H6448">
        <v>0</v>
      </c>
      <c r="I6448">
        <v>0</v>
      </c>
      <c r="J6448">
        <v>16730.014424692599</v>
      </c>
      <c r="K6448">
        <v>16505.552815085899</v>
      </c>
      <c r="L6448">
        <v>63.566000000000003</v>
      </c>
      <c r="M6448">
        <v>76.756</v>
      </c>
      <c r="N6448">
        <v>13.993</v>
      </c>
    </row>
    <row r="6449" spans="1:14" x14ac:dyDescent="0.45">
      <c r="A6449">
        <v>2010</v>
      </c>
      <c r="B6449" t="s">
        <v>179</v>
      </c>
      <c r="C6449">
        <v>0</v>
      </c>
      <c r="D6449">
        <v>1</v>
      </c>
      <c r="E6449">
        <v>0</v>
      </c>
      <c r="F6449">
        <v>0</v>
      </c>
      <c r="G6449">
        <v>1</v>
      </c>
      <c r="H6449">
        <v>0</v>
      </c>
      <c r="I6449">
        <v>0</v>
      </c>
      <c r="J6449">
        <v>20058.3854848724</v>
      </c>
      <c r="K6449">
        <v>18647.783364750801</v>
      </c>
      <c r="L6449">
        <v>22.184999999999999</v>
      </c>
      <c r="M6449">
        <v>73.718000000000004</v>
      </c>
      <c r="N6449">
        <v>19.16</v>
      </c>
    </row>
    <row r="6450" spans="1:14" x14ac:dyDescent="0.45">
      <c r="A6450">
        <v>2010</v>
      </c>
      <c r="B6450" t="s">
        <v>180</v>
      </c>
      <c r="C6450">
        <v>0</v>
      </c>
      <c r="D6450">
        <v>0</v>
      </c>
      <c r="E6450">
        <v>0</v>
      </c>
      <c r="F6450">
        <v>1</v>
      </c>
      <c r="G6450">
        <v>0</v>
      </c>
      <c r="H6450">
        <v>0</v>
      </c>
      <c r="I6450">
        <v>0</v>
      </c>
      <c r="J6450">
        <v>4269.3584327385197</v>
      </c>
      <c r="K6450">
        <v>3861.5701793212702</v>
      </c>
      <c r="L6450">
        <v>26.431999999999999</v>
      </c>
      <c r="M6450">
        <v>64.498000000000005</v>
      </c>
      <c r="N6450">
        <v>38.896999999999998</v>
      </c>
    </row>
    <row r="6451" spans="1:14" x14ac:dyDescent="0.45">
      <c r="A6451">
        <v>2010</v>
      </c>
      <c r="B6451" t="s">
        <v>181</v>
      </c>
      <c r="C6451">
        <v>1</v>
      </c>
      <c r="D6451">
        <v>0</v>
      </c>
      <c r="E6451">
        <v>0</v>
      </c>
      <c r="F6451">
        <v>0</v>
      </c>
      <c r="G6451">
        <v>1</v>
      </c>
      <c r="H6451">
        <v>0</v>
      </c>
      <c r="I6451">
        <v>0</v>
      </c>
      <c r="J6451">
        <v>16730.168747954602</v>
      </c>
      <c r="K6451">
        <v>14123.405666823601</v>
      </c>
      <c r="L6451">
        <v>42.911000000000001</v>
      </c>
      <c r="M6451">
        <v>75.037000000000006</v>
      </c>
      <c r="N6451">
        <v>8.4819999999999993</v>
      </c>
    </row>
    <row r="6452" spans="1:14" x14ac:dyDescent="0.45">
      <c r="A6452">
        <v>2010</v>
      </c>
      <c r="B6452" t="s">
        <v>182</v>
      </c>
      <c r="C6452">
        <v>0</v>
      </c>
      <c r="D6452">
        <v>0</v>
      </c>
      <c r="E6452">
        <v>1</v>
      </c>
      <c r="F6452">
        <v>0</v>
      </c>
      <c r="G6452">
        <v>0</v>
      </c>
      <c r="H6452">
        <v>0</v>
      </c>
      <c r="I6452">
        <v>0</v>
      </c>
      <c r="J6452">
        <v>2594.4156487525202</v>
      </c>
      <c r="K6452">
        <v>2401.4165025377501</v>
      </c>
      <c r="L6452">
        <v>64.001000000000005</v>
      </c>
      <c r="M6452">
        <v>55.993000000000002</v>
      </c>
      <c r="N6452">
        <v>134.74299999999999</v>
      </c>
    </row>
    <row r="6453" spans="1:14" x14ac:dyDescent="0.45">
      <c r="A6453">
        <v>2010</v>
      </c>
      <c r="B6453" t="s">
        <v>183</v>
      </c>
      <c r="C6453">
        <v>0</v>
      </c>
      <c r="D6453">
        <v>0</v>
      </c>
      <c r="E6453">
        <v>0</v>
      </c>
      <c r="F6453">
        <v>0</v>
      </c>
      <c r="G6453">
        <v>0</v>
      </c>
      <c r="H6453">
        <v>1</v>
      </c>
      <c r="I6453">
        <v>1</v>
      </c>
      <c r="J6453">
        <v>37492.675484704101</v>
      </c>
      <c r="K6453">
        <v>32432.999401933601</v>
      </c>
      <c r="L6453">
        <v>5.9279999999999999</v>
      </c>
      <c r="M6453">
        <v>81.397999999999996</v>
      </c>
      <c r="N6453">
        <v>6.7930000000000001</v>
      </c>
    </row>
    <row r="6454" spans="1:14" x14ac:dyDescent="0.45">
      <c r="A6454">
        <v>2010</v>
      </c>
      <c r="B6454" t="s">
        <v>184</v>
      </c>
      <c r="C6454">
        <v>0</v>
      </c>
      <c r="D6454">
        <v>0</v>
      </c>
      <c r="E6454">
        <v>0</v>
      </c>
      <c r="F6454">
        <v>0</v>
      </c>
      <c r="G6454">
        <v>0</v>
      </c>
      <c r="H6454">
        <v>0</v>
      </c>
      <c r="I6454">
        <v>0</v>
      </c>
      <c r="J6454">
        <v>3893.7903066587401</v>
      </c>
      <c r="K6454">
        <v>3117.7700942791098</v>
      </c>
      <c r="L6454">
        <v>71.114999999999995</v>
      </c>
      <c r="M6454">
        <v>63.478999999999999</v>
      </c>
      <c r="N6454">
        <v>63.167000000000002</v>
      </c>
    </row>
    <row r="6455" spans="1:14" x14ac:dyDescent="0.45">
      <c r="A6455">
        <v>2010</v>
      </c>
      <c r="B6455" t="s">
        <v>185</v>
      </c>
      <c r="C6455">
        <v>1</v>
      </c>
      <c r="D6455">
        <v>0</v>
      </c>
      <c r="E6455">
        <v>0</v>
      </c>
      <c r="F6455">
        <v>0</v>
      </c>
      <c r="G6455">
        <v>1</v>
      </c>
      <c r="H6455">
        <v>0</v>
      </c>
      <c r="I6455">
        <v>0</v>
      </c>
      <c r="J6455">
        <v>19481.4071904909</v>
      </c>
      <c r="K6455">
        <v>16460.599791601799</v>
      </c>
      <c r="L6455">
        <v>35.86</v>
      </c>
      <c r="M6455">
        <v>75.712999999999994</v>
      </c>
      <c r="N6455">
        <v>7.2270000000000003</v>
      </c>
    </row>
    <row r="6456" spans="1:14" x14ac:dyDescent="0.45">
      <c r="A6456">
        <v>2010</v>
      </c>
      <c r="B6456" t="s">
        <v>186</v>
      </c>
      <c r="C6456">
        <v>0</v>
      </c>
      <c r="D6456">
        <v>0</v>
      </c>
      <c r="E6456">
        <v>0</v>
      </c>
      <c r="F6456">
        <v>1</v>
      </c>
      <c r="G6456">
        <v>0</v>
      </c>
      <c r="H6456">
        <v>0</v>
      </c>
      <c r="I6456">
        <v>0</v>
      </c>
      <c r="J6456">
        <v>9507.118823625</v>
      </c>
      <c r="K6456">
        <v>7325.0059467658202</v>
      </c>
      <c r="L6456">
        <v>32.433</v>
      </c>
      <c r="M6456">
        <v>67.099999999999994</v>
      </c>
      <c r="N6456">
        <v>26.844000000000001</v>
      </c>
    </row>
    <row r="6457" spans="1:14" x14ac:dyDescent="0.45">
      <c r="A6457">
        <v>2010</v>
      </c>
      <c r="B6457" t="s">
        <v>187</v>
      </c>
      <c r="C6457">
        <v>0</v>
      </c>
      <c r="D6457">
        <v>0</v>
      </c>
      <c r="E6457">
        <v>0</v>
      </c>
      <c r="F6457">
        <v>0</v>
      </c>
      <c r="G6457">
        <v>0</v>
      </c>
      <c r="H6457">
        <v>1</v>
      </c>
      <c r="I6457">
        <v>1</v>
      </c>
      <c r="L6457">
        <v>9.0510000000000002</v>
      </c>
      <c r="M6457">
        <v>77.8</v>
      </c>
      <c r="N6457">
        <v>7.3849999999999998</v>
      </c>
    </row>
    <row r="6458" spans="1:14" x14ac:dyDescent="0.45">
      <c r="A6458">
        <v>2010</v>
      </c>
      <c r="B6458" t="s">
        <v>188</v>
      </c>
      <c r="C6458">
        <v>0</v>
      </c>
      <c r="D6458">
        <v>0</v>
      </c>
      <c r="E6458">
        <v>1</v>
      </c>
      <c r="F6458">
        <v>0</v>
      </c>
      <c r="G6458">
        <v>0</v>
      </c>
      <c r="H6458">
        <v>0</v>
      </c>
      <c r="I6458">
        <v>0</v>
      </c>
      <c r="J6458">
        <v>1224.23020471309</v>
      </c>
      <c r="K6458">
        <v>1025.04783473627</v>
      </c>
      <c r="L6458">
        <v>68.17</v>
      </c>
      <c r="M6458">
        <v>55.04</v>
      </c>
      <c r="N6458">
        <v>104.386</v>
      </c>
    </row>
    <row r="6459" spans="1:14" x14ac:dyDescent="0.45">
      <c r="A6459">
        <v>2010</v>
      </c>
      <c r="B6459" t="s">
        <v>189</v>
      </c>
      <c r="C6459">
        <v>0</v>
      </c>
      <c r="D6459">
        <v>0</v>
      </c>
      <c r="E6459">
        <v>1</v>
      </c>
      <c r="F6459">
        <v>1</v>
      </c>
      <c r="G6459">
        <v>0</v>
      </c>
      <c r="H6459">
        <v>0</v>
      </c>
      <c r="I6459">
        <v>0</v>
      </c>
      <c r="J6459">
        <v>5605.7638926318896</v>
      </c>
      <c r="K6459">
        <v>4959.4942687472203</v>
      </c>
      <c r="L6459">
        <v>53.411999999999999</v>
      </c>
      <c r="M6459">
        <v>65.661000000000001</v>
      </c>
      <c r="N6459">
        <v>56.847000000000001</v>
      </c>
    </row>
    <row r="6460" spans="1:14" x14ac:dyDescent="0.45">
      <c r="A6460">
        <v>2010</v>
      </c>
      <c r="B6460" t="s">
        <v>190</v>
      </c>
      <c r="C6460">
        <v>0</v>
      </c>
      <c r="D6460">
        <v>0</v>
      </c>
      <c r="E6460">
        <v>1</v>
      </c>
      <c r="F6460">
        <v>0</v>
      </c>
      <c r="G6460">
        <v>1</v>
      </c>
      <c r="H6460">
        <v>0</v>
      </c>
      <c r="I6460">
        <v>0</v>
      </c>
      <c r="J6460">
        <v>18819.998411752302</v>
      </c>
      <c r="K6460">
        <v>17664.9150489651</v>
      </c>
      <c r="L6460">
        <v>58.445</v>
      </c>
      <c r="M6460">
        <v>73.647000000000006</v>
      </c>
      <c r="N6460">
        <v>14.590999999999999</v>
      </c>
    </row>
    <row r="6461" spans="1:14" x14ac:dyDescent="0.45">
      <c r="A6461">
        <v>2010</v>
      </c>
      <c r="B6461" t="s">
        <v>191</v>
      </c>
      <c r="C6461">
        <v>0</v>
      </c>
      <c r="D6461">
        <v>0</v>
      </c>
      <c r="E6461">
        <v>1</v>
      </c>
      <c r="F6461">
        <v>0</v>
      </c>
      <c r="G6461">
        <v>0</v>
      </c>
      <c r="H6461">
        <v>0</v>
      </c>
      <c r="I6461">
        <v>0</v>
      </c>
      <c r="J6461">
        <v>1504.37514113215</v>
      </c>
      <c r="K6461">
        <v>1287.2356923145501</v>
      </c>
      <c r="L6461">
        <v>84.456000000000003</v>
      </c>
      <c r="M6461">
        <v>57.786999999999999</v>
      </c>
      <c r="N6461">
        <v>81.171999999999997</v>
      </c>
    </row>
    <row r="6462" spans="1:14" x14ac:dyDescent="0.45">
      <c r="A6462">
        <v>2010</v>
      </c>
      <c r="B6462" t="s">
        <v>192</v>
      </c>
      <c r="C6462">
        <v>0</v>
      </c>
      <c r="D6462">
        <v>0</v>
      </c>
      <c r="E6462">
        <v>0</v>
      </c>
      <c r="F6462">
        <v>0</v>
      </c>
      <c r="G6462">
        <v>1</v>
      </c>
      <c r="H6462">
        <v>0</v>
      </c>
      <c r="I6462">
        <v>0</v>
      </c>
      <c r="J6462">
        <v>23307.969854378502</v>
      </c>
      <c r="K6462">
        <v>20834.574911398598</v>
      </c>
      <c r="L6462">
        <v>29.088000000000001</v>
      </c>
      <c r="M6462">
        <v>75.376000000000005</v>
      </c>
      <c r="N6462">
        <v>8.1210000000000004</v>
      </c>
    </row>
    <row r="6463" spans="1:14" x14ac:dyDescent="0.45">
      <c r="A6463">
        <v>2010</v>
      </c>
      <c r="B6463" t="s">
        <v>193</v>
      </c>
      <c r="C6463">
        <v>0</v>
      </c>
      <c r="D6463">
        <v>0</v>
      </c>
      <c r="E6463">
        <v>1</v>
      </c>
      <c r="F6463">
        <v>0</v>
      </c>
      <c r="G6463">
        <v>1</v>
      </c>
      <c r="H6463">
        <v>0</v>
      </c>
      <c r="I6463">
        <v>0</v>
      </c>
      <c r="J6463">
        <v>10614.620157667099</v>
      </c>
      <c r="K6463">
        <v>9199.6892145092406</v>
      </c>
      <c r="L6463">
        <v>58.384</v>
      </c>
      <c r="M6463">
        <v>56.093000000000004</v>
      </c>
      <c r="N6463">
        <v>51.533000000000001</v>
      </c>
    </row>
    <row r="6464" spans="1:14" x14ac:dyDescent="0.45">
      <c r="A6464">
        <v>2010</v>
      </c>
      <c r="B6464" t="s">
        <v>194</v>
      </c>
      <c r="C6464">
        <v>0</v>
      </c>
      <c r="D6464">
        <v>0</v>
      </c>
      <c r="E6464">
        <v>0</v>
      </c>
      <c r="F6464">
        <v>0</v>
      </c>
      <c r="G6464">
        <v>0</v>
      </c>
      <c r="H6464">
        <v>1</v>
      </c>
      <c r="I6464">
        <v>1</v>
      </c>
      <c r="L6464">
        <v>32.898000000000003</v>
      </c>
      <c r="M6464">
        <v>75.992000000000004</v>
      </c>
      <c r="N6464">
        <v>16.314</v>
      </c>
    </row>
    <row r="6465" spans="1:14" x14ac:dyDescent="0.45">
      <c r="A6465">
        <v>2010</v>
      </c>
      <c r="B6465" t="s">
        <v>195</v>
      </c>
      <c r="C6465">
        <v>0</v>
      </c>
      <c r="D6465">
        <v>0</v>
      </c>
      <c r="E6465">
        <v>1</v>
      </c>
      <c r="F6465">
        <v>0</v>
      </c>
      <c r="G6465">
        <v>0</v>
      </c>
      <c r="H6465">
        <v>0</v>
      </c>
      <c r="I6465">
        <v>0</v>
      </c>
      <c r="J6465">
        <v>1336.5641023744699</v>
      </c>
      <c r="K6465">
        <v>1062.3441644606601</v>
      </c>
      <c r="L6465">
        <v>83.778999999999996</v>
      </c>
      <c r="M6465">
        <v>57.08</v>
      </c>
      <c r="N6465">
        <v>139.239</v>
      </c>
    </row>
    <row r="6466" spans="1:14" x14ac:dyDescent="0.45">
      <c r="A6466">
        <v>2010</v>
      </c>
      <c r="B6466" t="s">
        <v>196</v>
      </c>
      <c r="C6466">
        <v>0</v>
      </c>
      <c r="D6466">
        <v>0</v>
      </c>
      <c r="E6466">
        <v>1</v>
      </c>
      <c r="F6466">
        <v>1</v>
      </c>
      <c r="G6466">
        <v>0</v>
      </c>
      <c r="H6466">
        <v>0</v>
      </c>
      <c r="I6466">
        <v>0</v>
      </c>
      <c r="J6466">
        <v>5359.5184837087299</v>
      </c>
      <c r="K6466">
        <v>4738.5366847271898</v>
      </c>
      <c r="L6466">
        <v>56.52</v>
      </c>
      <c r="M6466">
        <v>51.314999999999998</v>
      </c>
      <c r="N6466">
        <v>136.21799999999999</v>
      </c>
    </row>
    <row r="6467" spans="1:14" x14ac:dyDescent="0.45">
      <c r="A6467">
        <v>2010</v>
      </c>
      <c r="B6467" t="s">
        <v>197</v>
      </c>
      <c r="C6467">
        <v>0</v>
      </c>
      <c r="D6467">
        <v>1</v>
      </c>
      <c r="E6467">
        <v>0</v>
      </c>
      <c r="F6467">
        <v>1</v>
      </c>
      <c r="G6467">
        <v>0</v>
      </c>
      <c r="H6467">
        <v>0</v>
      </c>
      <c r="I6467">
        <v>0</v>
      </c>
      <c r="J6467">
        <v>5701.1279018056402</v>
      </c>
      <c r="K6467">
        <v>4801.86135602592</v>
      </c>
      <c r="L6467">
        <v>43.082999999999998</v>
      </c>
      <c r="M6467">
        <v>71.760999999999996</v>
      </c>
      <c r="N6467">
        <v>23.896000000000001</v>
      </c>
    </row>
    <row r="6468" spans="1:14" x14ac:dyDescent="0.45">
      <c r="A6468">
        <v>2010</v>
      </c>
      <c r="B6468" t="s">
        <v>198</v>
      </c>
      <c r="C6468">
        <v>1</v>
      </c>
      <c r="D6468">
        <v>0</v>
      </c>
      <c r="E6468">
        <v>0</v>
      </c>
      <c r="F6468">
        <v>0</v>
      </c>
      <c r="G6468">
        <v>0</v>
      </c>
      <c r="H6468">
        <v>1</v>
      </c>
      <c r="I6468">
        <v>1</v>
      </c>
      <c r="J6468">
        <v>61518.554008871703</v>
      </c>
      <c r="K6468">
        <v>51930.458273370903</v>
      </c>
      <c r="L6468">
        <v>12.866</v>
      </c>
      <c r="M6468">
        <v>80.828999999999994</v>
      </c>
      <c r="N6468">
        <v>4.5060000000000002</v>
      </c>
    </row>
    <row r="6469" spans="1:14" x14ac:dyDescent="0.45">
      <c r="A6469">
        <v>2010</v>
      </c>
      <c r="B6469" t="s">
        <v>199</v>
      </c>
      <c r="C6469">
        <v>1</v>
      </c>
      <c r="D6469">
        <v>0</v>
      </c>
      <c r="E6469">
        <v>0</v>
      </c>
      <c r="F6469">
        <v>0</v>
      </c>
      <c r="G6469">
        <v>0</v>
      </c>
      <c r="H6469">
        <v>1</v>
      </c>
      <c r="I6469">
        <v>1</v>
      </c>
      <c r="J6469">
        <v>83256.788072255702</v>
      </c>
      <c r="K6469">
        <v>61517.408929518497</v>
      </c>
      <c r="L6469">
        <v>20.898</v>
      </c>
      <c r="M6469">
        <v>81.039000000000001</v>
      </c>
      <c r="N6469">
        <v>3.2650000000000001</v>
      </c>
    </row>
    <row r="6470" spans="1:14" x14ac:dyDescent="0.45">
      <c r="A6470">
        <v>2010</v>
      </c>
      <c r="B6470" t="s">
        <v>200</v>
      </c>
      <c r="C6470">
        <v>0</v>
      </c>
      <c r="D6470">
        <v>0</v>
      </c>
      <c r="E6470">
        <v>0</v>
      </c>
      <c r="F6470">
        <v>0</v>
      </c>
      <c r="G6470">
        <v>0</v>
      </c>
      <c r="H6470">
        <v>0</v>
      </c>
      <c r="I6470">
        <v>0</v>
      </c>
      <c r="J6470">
        <v>3085.3140700450199</v>
      </c>
      <c r="K6470">
        <v>2731.4499048419102</v>
      </c>
      <c r="L6470">
        <v>83.231999999999999</v>
      </c>
      <c r="M6470">
        <v>66.772000000000006</v>
      </c>
      <c r="N6470">
        <v>48.198999999999998</v>
      </c>
    </row>
    <row r="6471" spans="1:14" x14ac:dyDescent="0.45">
      <c r="A6471">
        <v>2010</v>
      </c>
      <c r="B6471" t="s">
        <v>201</v>
      </c>
      <c r="C6471">
        <v>0</v>
      </c>
      <c r="D6471">
        <v>0</v>
      </c>
      <c r="E6471">
        <v>0</v>
      </c>
      <c r="F6471">
        <v>0</v>
      </c>
      <c r="G6471">
        <v>0</v>
      </c>
      <c r="H6471">
        <v>1</v>
      </c>
      <c r="I6471">
        <v>1</v>
      </c>
      <c r="J6471">
        <v>6966.7856676760503</v>
      </c>
      <c r="K6471">
        <v>6302.9935994860098</v>
      </c>
      <c r="L6471">
        <v>0</v>
      </c>
      <c r="M6471">
        <v>60.073999999999998</v>
      </c>
      <c r="N6471">
        <v>36.881</v>
      </c>
    </row>
    <row r="6472" spans="1:14" x14ac:dyDescent="0.45">
      <c r="A6472">
        <v>2010</v>
      </c>
      <c r="B6472" t="s">
        <v>202</v>
      </c>
      <c r="C6472">
        <v>0</v>
      </c>
      <c r="D6472">
        <v>0</v>
      </c>
      <c r="E6472">
        <v>0</v>
      </c>
      <c r="F6472">
        <v>0</v>
      </c>
      <c r="G6472">
        <v>0</v>
      </c>
      <c r="H6472">
        <v>1</v>
      </c>
      <c r="I6472">
        <v>1</v>
      </c>
      <c r="J6472">
        <v>41270.928509913298</v>
      </c>
      <c r="K6472">
        <v>37538.055569695403</v>
      </c>
      <c r="L6472">
        <v>13.84</v>
      </c>
      <c r="M6472">
        <v>81.052000000000007</v>
      </c>
      <c r="N6472">
        <v>6.0739999999999998</v>
      </c>
    </row>
    <row r="6473" spans="1:14" x14ac:dyDescent="0.45">
      <c r="A6473">
        <v>2010</v>
      </c>
      <c r="B6473" t="s">
        <v>203</v>
      </c>
      <c r="C6473">
        <v>0</v>
      </c>
      <c r="D6473">
        <v>0</v>
      </c>
      <c r="E6473">
        <v>0</v>
      </c>
      <c r="F6473">
        <v>0</v>
      </c>
      <c r="G6473">
        <v>0</v>
      </c>
      <c r="H6473">
        <v>1</v>
      </c>
      <c r="I6473">
        <v>1</v>
      </c>
      <c r="J6473">
        <v>48191.614513573702</v>
      </c>
      <c r="K6473">
        <v>41874.685939410403</v>
      </c>
      <c r="L6473">
        <v>24.838999999999999</v>
      </c>
      <c r="M6473">
        <v>77.183999999999997</v>
      </c>
      <c r="N6473">
        <v>11.795</v>
      </c>
    </row>
    <row r="6474" spans="1:14" x14ac:dyDescent="0.45">
      <c r="A6474">
        <v>2010</v>
      </c>
      <c r="B6474" t="s">
        <v>204</v>
      </c>
      <c r="C6474">
        <v>0</v>
      </c>
      <c r="D6474">
        <v>0</v>
      </c>
      <c r="E6474">
        <v>0</v>
      </c>
      <c r="F6474">
        <v>1</v>
      </c>
      <c r="G6474">
        <v>0</v>
      </c>
      <c r="H6474">
        <v>0</v>
      </c>
      <c r="I6474">
        <v>0</v>
      </c>
      <c r="J6474">
        <v>4228.7817715945002</v>
      </c>
      <c r="K6474">
        <v>4025.37220986687</v>
      </c>
      <c r="L6474">
        <v>65.003</v>
      </c>
      <c r="M6474">
        <v>64.378</v>
      </c>
      <c r="N6474">
        <v>87.331999999999994</v>
      </c>
    </row>
    <row r="6475" spans="1:14" x14ac:dyDescent="0.45">
      <c r="A6475">
        <v>2010</v>
      </c>
      <c r="B6475" t="s">
        <v>205</v>
      </c>
      <c r="C6475">
        <v>0</v>
      </c>
      <c r="D6475">
        <v>1</v>
      </c>
      <c r="E6475">
        <v>0</v>
      </c>
      <c r="F6475">
        <v>0</v>
      </c>
      <c r="G6475">
        <v>1</v>
      </c>
      <c r="H6475">
        <v>0</v>
      </c>
      <c r="I6475">
        <v>0</v>
      </c>
      <c r="J6475">
        <v>22739.110616804901</v>
      </c>
      <c r="K6475">
        <v>23843.731851357301</v>
      </c>
      <c r="L6475">
        <v>34.86</v>
      </c>
      <c r="M6475">
        <v>76.417000000000002</v>
      </c>
      <c r="N6475">
        <v>18.695</v>
      </c>
    </row>
    <row r="6476" spans="1:14" x14ac:dyDescent="0.45">
      <c r="A6476">
        <v>2010</v>
      </c>
      <c r="B6476" t="s">
        <v>206</v>
      </c>
      <c r="C6476">
        <v>0</v>
      </c>
      <c r="D6476">
        <v>1</v>
      </c>
      <c r="E6476">
        <v>0</v>
      </c>
      <c r="F6476">
        <v>0</v>
      </c>
      <c r="G6476">
        <v>1</v>
      </c>
      <c r="H6476">
        <v>0</v>
      </c>
      <c r="I6476">
        <v>0</v>
      </c>
      <c r="J6476">
        <v>12059.018018332201</v>
      </c>
      <c r="K6476">
        <v>10076.325208034301</v>
      </c>
      <c r="L6476">
        <v>23.57</v>
      </c>
      <c r="M6476">
        <v>72.885999999999996</v>
      </c>
      <c r="N6476">
        <v>20.561</v>
      </c>
    </row>
    <row r="6477" spans="1:14" x14ac:dyDescent="0.45">
      <c r="A6477">
        <v>2010</v>
      </c>
      <c r="B6477" t="s">
        <v>207</v>
      </c>
      <c r="C6477">
        <v>0</v>
      </c>
      <c r="D6477">
        <v>0</v>
      </c>
      <c r="E6477">
        <v>0</v>
      </c>
      <c r="F6477">
        <v>1</v>
      </c>
      <c r="G6477">
        <v>0</v>
      </c>
      <c r="H6477">
        <v>0</v>
      </c>
      <c r="I6477">
        <v>0</v>
      </c>
      <c r="J6477">
        <v>6273.0392773151498</v>
      </c>
      <c r="K6477">
        <v>5680.8679690550698</v>
      </c>
      <c r="L6477">
        <v>54.667999999999999</v>
      </c>
      <c r="M6477">
        <v>68.882999999999996</v>
      </c>
      <c r="N6477">
        <v>30.097999999999999</v>
      </c>
    </row>
    <row r="6478" spans="1:14" x14ac:dyDescent="0.45">
      <c r="A6478">
        <v>2010</v>
      </c>
      <c r="B6478" t="s">
        <v>208</v>
      </c>
      <c r="C6478">
        <v>0</v>
      </c>
      <c r="D6478">
        <v>0</v>
      </c>
      <c r="E6478">
        <v>0</v>
      </c>
      <c r="F6478">
        <v>0</v>
      </c>
      <c r="G6478">
        <v>1</v>
      </c>
      <c r="H6478">
        <v>0</v>
      </c>
      <c r="I6478">
        <v>0</v>
      </c>
      <c r="J6478">
        <v>16530.845580122499</v>
      </c>
      <c r="K6478">
        <v>14955.7943728675</v>
      </c>
      <c r="L6478">
        <v>25.183</v>
      </c>
      <c r="M6478">
        <v>68.346999999999994</v>
      </c>
      <c r="N6478">
        <v>19.885000000000002</v>
      </c>
    </row>
    <row r="6479" spans="1:14" x14ac:dyDescent="0.45">
      <c r="A6479">
        <v>2010</v>
      </c>
      <c r="B6479" t="s">
        <v>209</v>
      </c>
      <c r="C6479">
        <v>0</v>
      </c>
      <c r="D6479">
        <v>0</v>
      </c>
      <c r="E6479">
        <v>0</v>
      </c>
      <c r="F6479">
        <v>1</v>
      </c>
      <c r="G6479">
        <v>0</v>
      </c>
      <c r="H6479">
        <v>0</v>
      </c>
      <c r="I6479">
        <v>0</v>
      </c>
      <c r="J6479">
        <v>3579.1714122226699</v>
      </c>
      <c r="K6479">
        <v>3237.7232767469</v>
      </c>
      <c r="L6479">
        <v>86.980999999999995</v>
      </c>
      <c r="M6479">
        <v>63.055999999999997</v>
      </c>
      <c r="N6479">
        <v>58.484000000000002</v>
      </c>
    </row>
    <row r="6480" spans="1:14" x14ac:dyDescent="0.45">
      <c r="A6480">
        <v>2010</v>
      </c>
      <c r="B6480" t="s">
        <v>210</v>
      </c>
      <c r="C6480">
        <v>1</v>
      </c>
      <c r="D6480">
        <v>0</v>
      </c>
      <c r="E6480">
        <v>0</v>
      </c>
      <c r="F6480">
        <v>0</v>
      </c>
      <c r="G6480">
        <v>0</v>
      </c>
      <c r="H6480">
        <v>1</v>
      </c>
      <c r="I6480">
        <v>1</v>
      </c>
      <c r="J6480">
        <v>27112.133379738101</v>
      </c>
      <c r="K6480">
        <v>23402.409003569399</v>
      </c>
      <c r="L6480">
        <v>39.107999999999997</v>
      </c>
      <c r="M6480">
        <v>76.281999999999996</v>
      </c>
      <c r="N6480">
        <v>5.74</v>
      </c>
    </row>
    <row r="6481" spans="1:14" x14ac:dyDescent="0.45">
      <c r="A6481">
        <v>2010</v>
      </c>
      <c r="B6481" t="s">
        <v>211</v>
      </c>
      <c r="C6481">
        <v>0</v>
      </c>
      <c r="D6481">
        <v>1</v>
      </c>
      <c r="E6481">
        <v>0</v>
      </c>
      <c r="F6481">
        <v>0</v>
      </c>
      <c r="G6481">
        <v>0</v>
      </c>
      <c r="H6481">
        <v>1</v>
      </c>
      <c r="I6481">
        <v>1</v>
      </c>
      <c r="J6481">
        <v>40777.689282568703</v>
      </c>
      <c r="K6481">
        <v>31327.081850837902</v>
      </c>
      <c r="L6481">
        <v>6.1749999999999998</v>
      </c>
      <c r="M6481">
        <v>78.716999999999999</v>
      </c>
      <c r="N6481">
        <v>8.8140000000000001</v>
      </c>
    </row>
    <row r="6482" spans="1:14" x14ac:dyDescent="0.45">
      <c r="A6482">
        <v>2010</v>
      </c>
      <c r="B6482" t="s">
        <v>212</v>
      </c>
      <c r="C6482">
        <v>0</v>
      </c>
      <c r="D6482">
        <v>0</v>
      </c>
      <c r="E6482">
        <v>0</v>
      </c>
      <c r="F6482">
        <v>0</v>
      </c>
      <c r="G6482">
        <v>0</v>
      </c>
      <c r="H6482">
        <v>0</v>
      </c>
      <c r="I6482">
        <v>0</v>
      </c>
      <c r="L6482">
        <v>39.622999999999998</v>
      </c>
      <c r="M6482">
        <v>70.245999999999995</v>
      </c>
      <c r="N6482">
        <v>28.742999999999999</v>
      </c>
    </row>
    <row r="6483" spans="1:14" x14ac:dyDescent="0.45">
      <c r="A6483">
        <v>2010</v>
      </c>
      <c r="B6483" t="s">
        <v>213</v>
      </c>
      <c r="C6483">
        <v>1</v>
      </c>
      <c r="D6483">
        <v>0</v>
      </c>
      <c r="E6483">
        <v>0</v>
      </c>
      <c r="F6483">
        <v>0</v>
      </c>
      <c r="G6483">
        <v>0</v>
      </c>
      <c r="H6483">
        <v>1</v>
      </c>
      <c r="I6483">
        <v>1</v>
      </c>
      <c r="J6483">
        <v>36703.114020894202</v>
      </c>
      <c r="K6483">
        <v>31725.5512516454</v>
      </c>
      <c r="L6483">
        <v>39.433</v>
      </c>
      <c r="M6483">
        <v>80.114999999999995</v>
      </c>
      <c r="N6483">
        <v>3.2759999999999998</v>
      </c>
    </row>
    <row r="6484" spans="1:14" x14ac:dyDescent="0.45">
      <c r="A6484">
        <v>2010</v>
      </c>
      <c r="B6484" t="s">
        <v>214</v>
      </c>
      <c r="C6484">
        <v>0</v>
      </c>
      <c r="D6484">
        <v>1</v>
      </c>
      <c r="E6484">
        <v>0</v>
      </c>
      <c r="F6484">
        <v>1</v>
      </c>
      <c r="G6484">
        <v>0</v>
      </c>
      <c r="H6484">
        <v>0</v>
      </c>
      <c r="I6484">
        <v>0</v>
      </c>
      <c r="J6484">
        <v>12738.576560170501</v>
      </c>
      <c r="K6484">
        <v>11621.9006448293</v>
      </c>
      <c r="L6484">
        <v>40.738999999999997</v>
      </c>
      <c r="M6484">
        <v>72.551000000000002</v>
      </c>
      <c r="N6484">
        <v>25.789000000000001</v>
      </c>
    </row>
    <row r="6485" spans="1:14" x14ac:dyDescent="0.45">
      <c r="A6485">
        <v>2010</v>
      </c>
      <c r="B6485" t="s">
        <v>215</v>
      </c>
      <c r="C6485">
        <v>0</v>
      </c>
      <c r="D6485">
        <v>0</v>
      </c>
      <c r="E6485">
        <v>0</v>
      </c>
      <c r="F6485">
        <v>1</v>
      </c>
      <c r="G6485">
        <v>0</v>
      </c>
      <c r="H6485">
        <v>0</v>
      </c>
      <c r="I6485">
        <v>0</v>
      </c>
      <c r="J6485">
        <v>5432.2436307252201</v>
      </c>
      <c r="K6485">
        <v>4631.9919440589201</v>
      </c>
      <c r="L6485">
        <v>25.850999999999999</v>
      </c>
      <c r="M6485">
        <v>73.302000000000007</v>
      </c>
      <c r="N6485">
        <v>21.835999999999999</v>
      </c>
    </row>
    <row r="6486" spans="1:14" x14ac:dyDescent="0.45">
      <c r="A6486">
        <v>2010</v>
      </c>
      <c r="B6486" t="s">
        <v>216</v>
      </c>
      <c r="C6486">
        <v>0</v>
      </c>
      <c r="D6486">
        <v>0</v>
      </c>
      <c r="E6486">
        <v>0</v>
      </c>
      <c r="F6486">
        <v>0</v>
      </c>
      <c r="G6486">
        <v>0</v>
      </c>
      <c r="H6486">
        <v>1</v>
      </c>
      <c r="I6486">
        <v>1</v>
      </c>
      <c r="L6486">
        <v>39.683</v>
      </c>
      <c r="M6486">
        <v>81.141000000000005</v>
      </c>
      <c r="N6486">
        <v>8.4949999999999992</v>
      </c>
    </row>
    <row r="6487" spans="1:14" x14ac:dyDescent="0.45">
      <c r="A6487">
        <v>2010</v>
      </c>
      <c r="B6487" t="s">
        <v>217</v>
      </c>
      <c r="C6487">
        <v>0</v>
      </c>
      <c r="D6487">
        <v>0</v>
      </c>
      <c r="E6487">
        <v>0</v>
      </c>
      <c r="F6487">
        <v>0</v>
      </c>
      <c r="G6487">
        <v>0</v>
      </c>
      <c r="H6487">
        <v>1</v>
      </c>
      <c r="I6487">
        <v>1</v>
      </c>
      <c r="J6487">
        <v>129045.005604062</v>
      </c>
      <c r="K6487">
        <v>111430.08643414101</v>
      </c>
      <c r="L6487">
        <v>1.4990000000000001</v>
      </c>
      <c r="M6487">
        <v>79.444000000000003</v>
      </c>
      <c r="N6487">
        <v>9.1210000000000004</v>
      </c>
    </row>
    <row r="6488" spans="1:14" x14ac:dyDescent="0.45">
      <c r="A6488">
        <v>2010</v>
      </c>
      <c r="B6488" t="s">
        <v>218</v>
      </c>
      <c r="C6488">
        <v>1</v>
      </c>
      <c r="D6488">
        <v>0</v>
      </c>
      <c r="E6488">
        <v>0</v>
      </c>
      <c r="F6488">
        <v>0</v>
      </c>
      <c r="G6488">
        <v>1</v>
      </c>
      <c r="H6488">
        <v>0</v>
      </c>
      <c r="I6488">
        <v>0</v>
      </c>
      <c r="J6488">
        <v>24900.230325279201</v>
      </c>
      <c r="K6488">
        <v>20239.8052385638</v>
      </c>
      <c r="L6488">
        <v>46.170999999999999</v>
      </c>
      <c r="M6488">
        <v>73.578999999999994</v>
      </c>
      <c r="N6488">
        <v>12.436</v>
      </c>
    </row>
    <row r="6489" spans="1:14" x14ac:dyDescent="0.45">
      <c r="A6489">
        <v>2010</v>
      </c>
      <c r="B6489" t="s">
        <v>219</v>
      </c>
      <c r="C6489">
        <v>1</v>
      </c>
      <c r="D6489">
        <v>0</v>
      </c>
      <c r="E6489">
        <v>0</v>
      </c>
      <c r="F6489">
        <v>0</v>
      </c>
      <c r="G6489">
        <v>1</v>
      </c>
      <c r="H6489">
        <v>0</v>
      </c>
      <c r="I6489">
        <v>0</v>
      </c>
      <c r="J6489">
        <v>33063.5859375</v>
      </c>
      <c r="K6489">
        <v>23961.2191603389</v>
      </c>
      <c r="L6489">
        <v>26.312999999999999</v>
      </c>
      <c r="M6489">
        <v>68.153000000000006</v>
      </c>
      <c r="N6489">
        <v>11.867000000000001</v>
      </c>
    </row>
    <row r="6490" spans="1:14" x14ac:dyDescent="0.45">
      <c r="A6490">
        <v>2010</v>
      </c>
      <c r="B6490" t="s">
        <v>220</v>
      </c>
      <c r="C6490">
        <v>0</v>
      </c>
      <c r="D6490">
        <v>0</v>
      </c>
      <c r="E6490">
        <v>1</v>
      </c>
      <c r="F6490">
        <v>0</v>
      </c>
      <c r="G6490">
        <v>0</v>
      </c>
      <c r="H6490">
        <v>0</v>
      </c>
      <c r="I6490">
        <v>0</v>
      </c>
      <c r="J6490">
        <v>1779.1585105156801</v>
      </c>
      <c r="K6490">
        <v>1488.8956618816701</v>
      </c>
      <c r="L6490">
        <v>83.066000000000003</v>
      </c>
      <c r="M6490">
        <v>62.804000000000002</v>
      </c>
      <c r="N6490">
        <v>64.757000000000005</v>
      </c>
    </row>
    <row r="6491" spans="1:14" x14ac:dyDescent="0.45">
      <c r="A6491">
        <v>2010</v>
      </c>
      <c r="B6491" t="s">
        <v>221</v>
      </c>
      <c r="C6491">
        <v>0</v>
      </c>
      <c r="D6491">
        <v>0</v>
      </c>
      <c r="E6491">
        <v>0</v>
      </c>
      <c r="F6491">
        <v>0</v>
      </c>
      <c r="G6491">
        <v>0</v>
      </c>
      <c r="H6491">
        <v>1</v>
      </c>
      <c r="I6491">
        <v>1</v>
      </c>
      <c r="J6491">
        <v>54911.547517011997</v>
      </c>
      <c r="K6491">
        <v>50341.700945201701</v>
      </c>
      <c r="L6491">
        <v>17.916</v>
      </c>
      <c r="M6491">
        <v>75.616</v>
      </c>
      <c r="N6491">
        <v>12.260999999999999</v>
      </c>
    </row>
    <row r="6492" spans="1:14" x14ac:dyDescent="0.45">
      <c r="A6492">
        <v>2010</v>
      </c>
      <c r="B6492" t="s">
        <v>222</v>
      </c>
      <c r="C6492">
        <v>0</v>
      </c>
      <c r="D6492">
        <v>0</v>
      </c>
      <c r="E6492">
        <v>1</v>
      </c>
      <c r="F6492">
        <v>1</v>
      </c>
      <c r="G6492">
        <v>0</v>
      </c>
      <c r="H6492">
        <v>0</v>
      </c>
      <c r="I6492">
        <v>0</v>
      </c>
      <c r="J6492">
        <v>4219.8369140625</v>
      </c>
      <c r="K6492">
        <v>4418.7257368681403</v>
      </c>
      <c r="L6492">
        <v>66.911000000000001</v>
      </c>
      <c r="M6492">
        <v>62.978999999999999</v>
      </c>
      <c r="N6492">
        <v>74.686000000000007</v>
      </c>
    </row>
    <row r="6493" spans="1:14" x14ac:dyDescent="0.45">
      <c r="A6493">
        <v>2010</v>
      </c>
      <c r="B6493" t="s">
        <v>223</v>
      </c>
      <c r="C6493">
        <v>0</v>
      </c>
      <c r="D6493">
        <v>0</v>
      </c>
      <c r="E6493">
        <v>1</v>
      </c>
      <c r="F6493">
        <v>1</v>
      </c>
      <c r="G6493">
        <v>0</v>
      </c>
      <c r="H6493">
        <v>0</v>
      </c>
      <c r="I6493">
        <v>0</v>
      </c>
      <c r="J6493">
        <v>3403.5670716591899</v>
      </c>
      <c r="K6493">
        <v>2843.4727010965298</v>
      </c>
      <c r="L6493">
        <v>56.226999999999997</v>
      </c>
      <c r="M6493">
        <v>64.221000000000004</v>
      </c>
      <c r="N6493">
        <v>66.739000000000004</v>
      </c>
    </row>
    <row r="6494" spans="1:14" x14ac:dyDescent="0.45">
      <c r="A6494">
        <v>2010</v>
      </c>
      <c r="B6494" t="s">
        <v>224</v>
      </c>
      <c r="C6494">
        <v>0</v>
      </c>
      <c r="D6494">
        <v>0</v>
      </c>
      <c r="E6494">
        <v>0</v>
      </c>
      <c r="F6494">
        <v>0</v>
      </c>
      <c r="G6494">
        <v>0</v>
      </c>
      <c r="H6494">
        <v>1</v>
      </c>
      <c r="I6494">
        <v>1</v>
      </c>
      <c r="J6494">
        <v>95456.189307999593</v>
      </c>
      <c r="K6494">
        <v>78468.549383595106</v>
      </c>
      <c r="L6494">
        <v>0</v>
      </c>
      <c r="M6494">
        <v>81.647000000000006</v>
      </c>
      <c r="N6494">
        <v>2.8119999999999998</v>
      </c>
    </row>
    <row r="6495" spans="1:14" x14ac:dyDescent="0.45">
      <c r="A6495">
        <v>2010</v>
      </c>
      <c r="B6495" t="s">
        <v>225</v>
      </c>
      <c r="C6495">
        <v>0</v>
      </c>
      <c r="D6495">
        <v>0</v>
      </c>
      <c r="E6495">
        <v>0</v>
      </c>
      <c r="F6495">
        <v>1</v>
      </c>
      <c r="G6495">
        <v>0</v>
      </c>
      <c r="H6495">
        <v>0</v>
      </c>
      <c r="I6495">
        <v>0</v>
      </c>
      <c r="J6495">
        <v>2682.2852859791701</v>
      </c>
      <c r="K6495">
        <v>2426.32274051584</v>
      </c>
      <c r="L6495">
        <v>79.951999999999998</v>
      </c>
      <c r="M6495">
        <v>68.668999999999997</v>
      </c>
      <c r="N6495">
        <v>26.472999999999999</v>
      </c>
    </row>
    <row r="6496" spans="1:14" x14ac:dyDescent="0.45">
      <c r="A6496">
        <v>2010</v>
      </c>
      <c r="B6496" t="s">
        <v>226</v>
      </c>
      <c r="C6496">
        <v>0</v>
      </c>
      <c r="D6496">
        <v>0</v>
      </c>
      <c r="E6496">
        <v>1</v>
      </c>
      <c r="F6496">
        <v>0</v>
      </c>
      <c r="G6496">
        <v>0</v>
      </c>
      <c r="H6496">
        <v>0</v>
      </c>
      <c r="I6496">
        <v>0</v>
      </c>
      <c r="J6496">
        <v>2461.9810477780202</v>
      </c>
      <c r="K6496">
        <v>2234.66776700645</v>
      </c>
      <c r="L6496">
        <v>61.143999999999998</v>
      </c>
      <c r="M6496">
        <v>51.927</v>
      </c>
      <c r="N6496">
        <v>161.03800000000001</v>
      </c>
    </row>
    <row r="6497" spans="1:14" x14ac:dyDescent="0.45">
      <c r="A6497">
        <v>2010</v>
      </c>
      <c r="B6497" t="s">
        <v>227</v>
      </c>
      <c r="C6497">
        <v>0</v>
      </c>
      <c r="D6497">
        <v>1</v>
      </c>
      <c r="E6497">
        <v>0</v>
      </c>
      <c r="F6497">
        <v>1</v>
      </c>
      <c r="G6497">
        <v>0</v>
      </c>
      <c r="H6497">
        <v>0</v>
      </c>
      <c r="I6497">
        <v>0</v>
      </c>
      <c r="J6497">
        <v>8648.9298271767202</v>
      </c>
      <c r="K6497">
        <v>7704.0376631934696</v>
      </c>
      <c r="L6497">
        <v>34.548000000000002</v>
      </c>
      <c r="M6497">
        <v>70.909000000000006</v>
      </c>
      <c r="N6497">
        <v>19.341000000000001</v>
      </c>
    </row>
    <row r="6498" spans="1:14" x14ac:dyDescent="0.45">
      <c r="A6498">
        <v>2010</v>
      </c>
      <c r="B6498" t="s">
        <v>228</v>
      </c>
      <c r="C6498">
        <v>1</v>
      </c>
      <c r="D6498">
        <v>0</v>
      </c>
      <c r="E6498">
        <v>0</v>
      </c>
      <c r="F6498">
        <v>0</v>
      </c>
      <c r="G6498">
        <v>0</v>
      </c>
      <c r="H6498">
        <v>1</v>
      </c>
      <c r="I6498">
        <v>1</v>
      </c>
      <c r="J6498">
        <v>68669.252649134301</v>
      </c>
      <c r="K6498">
        <v>60523.316653074296</v>
      </c>
      <c r="L6498">
        <v>4.2600000000000096</v>
      </c>
      <c r="M6498">
        <v>83.463999999999999</v>
      </c>
      <c r="N6498">
        <v>2.649</v>
      </c>
    </row>
    <row r="6499" spans="1:14" x14ac:dyDescent="0.45">
      <c r="A6499">
        <v>2010</v>
      </c>
      <c r="B6499" t="s">
        <v>229</v>
      </c>
      <c r="C6499">
        <v>0</v>
      </c>
      <c r="D6499">
        <v>0</v>
      </c>
      <c r="E6499">
        <v>1</v>
      </c>
      <c r="F6499">
        <v>0</v>
      </c>
      <c r="G6499">
        <v>0</v>
      </c>
      <c r="H6499">
        <v>0</v>
      </c>
      <c r="I6499">
        <v>0</v>
      </c>
      <c r="J6499">
        <v>994.86846310285205</v>
      </c>
      <c r="K6499">
        <v>922.77460687772896</v>
      </c>
      <c r="L6499">
        <v>60.69</v>
      </c>
      <c r="M6499">
        <v>48.9</v>
      </c>
      <c r="N6499">
        <v>185.06100000000001</v>
      </c>
    </row>
    <row r="6500" spans="1:14" x14ac:dyDescent="0.45">
      <c r="A6500">
        <v>2010</v>
      </c>
      <c r="B6500" t="s">
        <v>230</v>
      </c>
      <c r="C6500">
        <v>1</v>
      </c>
      <c r="D6500">
        <v>0</v>
      </c>
      <c r="E6500">
        <v>0</v>
      </c>
      <c r="F6500">
        <v>0</v>
      </c>
      <c r="G6500">
        <v>1</v>
      </c>
      <c r="H6500">
        <v>0</v>
      </c>
      <c r="I6500">
        <v>0</v>
      </c>
      <c r="J6500">
        <v>17840.4347951655</v>
      </c>
      <c r="K6500">
        <v>15687.518244142801</v>
      </c>
      <c r="L6500">
        <v>45.006999999999998</v>
      </c>
      <c r="M6500">
        <v>74.376000000000005</v>
      </c>
      <c r="N6500">
        <v>7.6619999999999999</v>
      </c>
    </row>
    <row r="6501" spans="1:14" x14ac:dyDescent="0.45">
      <c r="A6501">
        <v>2010</v>
      </c>
      <c r="B6501" t="s">
        <v>231</v>
      </c>
      <c r="C6501">
        <v>0</v>
      </c>
      <c r="D6501">
        <v>0</v>
      </c>
      <c r="E6501">
        <v>1</v>
      </c>
      <c r="F6501">
        <v>1</v>
      </c>
      <c r="G6501">
        <v>0</v>
      </c>
      <c r="H6501">
        <v>0</v>
      </c>
      <c r="I6501">
        <v>0</v>
      </c>
      <c r="L6501">
        <v>82.14</v>
      </c>
      <c r="M6501">
        <v>57.484999999999999</v>
      </c>
      <c r="N6501">
        <v>111.645</v>
      </c>
    </row>
    <row r="6502" spans="1:14" x14ac:dyDescent="0.45">
      <c r="A6502">
        <v>2010</v>
      </c>
      <c r="B6502" t="s">
        <v>232</v>
      </c>
      <c r="C6502">
        <v>0</v>
      </c>
      <c r="D6502">
        <v>0</v>
      </c>
      <c r="E6502">
        <v>1</v>
      </c>
      <c r="F6502">
        <v>1</v>
      </c>
      <c r="G6502">
        <v>0</v>
      </c>
      <c r="H6502">
        <v>0</v>
      </c>
      <c r="I6502">
        <v>0</v>
      </c>
      <c r="J6502">
        <v>4882.0479646634103</v>
      </c>
      <c r="K6502">
        <v>3038.5099156005699</v>
      </c>
      <c r="L6502">
        <v>35.048000000000002</v>
      </c>
      <c r="M6502">
        <v>63.866999999999997</v>
      </c>
      <c r="N6502">
        <v>35.921999999999997</v>
      </c>
    </row>
    <row r="6503" spans="1:14" x14ac:dyDescent="0.45">
      <c r="A6503">
        <v>2010</v>
      </c>
      <c r="B6503" t="s">
        <v>233</v>
      </c>
      <c r="C6503">
        <v>0</v>
      </c>
      <c r="D6503">
        <v>1</v>
      </c>
      <c r="E6503">
        <v>0</v>
      </c>
      <c r="F6503">
        <v>0</v>
      </c>
      <c r="G6503">
        <v>1</v>
      </c>
      <c r="H6503">
        <v>0</v>
      </c>
      <c r="I6503">
        <v>0</v>
      </c>
      <c r="J6503">
        <v>22772.475454368901</v>
      </c>
      <c r="K6503">
        <v>18126.426503737599</v>
      </c>
      <c r="L6503">
        <v>33.655999999999999</v>
      </c>
      <c r="M6503">
        <v>69.626000000000005</v>
      </c>
      <c r="N6503">
        <v>23.167000000000002</v>
      </c>
    </row>
    <row r="6504" spans="1:14" x14ac:dyDescent="0.45">
      <c r="A6504">
        <v>2010</v>
      </c>
      <c r="B6504" t="s">
        <v>234</v>
      </c>
      <c r="C6504">
        <v>1</v>
      </c>
      <c r="D6504">
        <v>0</v>
      </c>
      <c r="E6504">
        <v>0</v>
      </c>
      <c r="F6504">
        <v>0</v>
      </c>
      <c r="G6504">
        <v>0</v>
      </c>
      <c r="H6504">
        <v>1</v>
      </c>
      <c r="I6504">
        <v>1</v>
      </c>
      <c r="J6504">
        <v>29745.8613949846</v>
      </c>
      <c r="K6504">
        <v>25619.5998143324</v>
      </c>
      <c r="L6504">
        <v>45.314999999999998</v>
      </c>
      <c r="M6504">
        <v>75.495999999999995</v>
      </c>
      <c r="N6504">
        <v>6.8079999999999998</v>
      </c>
    </row>
    <row r="6505" spans="1:14" x14ac:dyDescent="0.45">
      <c r="A6505">
        <v>2010</v>
      </c>
      <c r="B6505" t="s">
        <v>235</v>
      </c>
      <c r="C6505">
        <v>1</v>
      </c>
      <c r="D6505">
        <v>0</v>
      </c>
      <c r="E6505">
        <v>0</v>
      </c>
      <c r="F6505">
        <v>0</v>
      </c>
      <c r="G6505">
        <v>0</v>
      </c>
      <c r="H6505">
        <v>1</v>
      </c>
      <c r="I6505">
        <v>1</v>
      </c>
      <c r="J6505">
        <v>38065.736151182202</v>
      </c>
      <c r="K6505">
        <v>32767.164261882801</v>
      </c>
      <c r="L6505">
        <v>47.341999999999999</v>
      </c>
      <c r="M6505">
        <v>79.301000000000002</v>
      </c>
      <c r="N6505">
        <v>3.3820000000000001</v>
      </c>
    </row>
    <row r="6506" spans="1:14" x14ac:dyDescent="0.45">
      <c r="A6506">
        <v>2010</v>
      </c>
      <c r="B6506" t="s">
        <v>236</v>
      </c>
      <c r="C6506">
        <v>1</v>
      </c>
      <c r="D6506">
        <v>0</v>
      </c>
      <c r="E6506">
        <v>0</v>
      </c>
      <c r="F6506">
        <v>0</v>
      </c>
      <c r="G6506">
        <v>0</v>
      </c>
      <c r="H6506">
        <v>1</v>
      </c>
      <c r="I6506">
        <v>1</v>
      </c>
      <c r="J6506">
        <v>55527.939809914496</v>
      </c>
      <c r="K6506">
        <v>47432.990779321801</v>
      </c>
      <c r="L6506">
        <v>14.944000000000001</v>
      </c>
      <c r="M6506">
        <v>81.519000000000005</v>
      </c>
      <c r="N6506">
        <v>3.1480000000000001</v>
      </c>
    </row>
    <row r="6507" spans="1:14" x14ac:dyDescent="0.45">
      <c r="A6507">
        <v>2010</v>
      </c>
      <c r="B6507" t="s">
        <v>237</v>
      </c>
      <c r="C6507">
        <v>0</v>
      </c>
      <c r="D6507">
        <v>0</v>
      </c>
      <c r="E6507">
        <v>1</v>
      </c>
      <c r="F6507">
        <v>1</v>
      </c>
      <c r="G6507">
        <v>0</v>
      </c>
      <c r="H6507">
        <v>0</v>
      </c>
      <c r="I6507">
        <v>0</v>
      </c>
      <c r="J6507">
        <v>8210.6969857634595</v>
      </c>
      <c r="K6507">
        <v>7270.5736850859703</v>
      </c>
      <c r="L6507">
        <v>77.52</v>
      </c>
      <c r="M6507">
        <v>48.331000000000003</v>
      </c>
      <c r="N6507">
        <v>85.944000000000003</v>
      </c>
    </row>
    <row r="6508" spans="1:14" x14ac:dyDescent="0.45">
      <c r="A6508">
        <v>2010</v>
      </c>
      <c r="B6508" t="s">
        <v>238</v>
      </c>
      <c r="C6508">
        <v>0</v>
      </c>
      <c r="D6508">
        <v>1</v>
      </c>
      <c r="E6508">
        <v>0</v>
      </c>
      <c r="F6508">
        <v>0</v>
      </c>
      <c r="G6508">
        <v>0</v>
      </c>
      <c r="H6508">
        <v>1</v>
      </c>
      <c r="I6508">
        <v>1</v>
      </c>
      <c r="J6508">
        <v>52140.59965779</v>
      </c>
      <c r="K6508">
        <v>50320.240335631701</v>
      </c>
      <c r="L6508">
        <v>0</v>
      </c>
      <c r="M6508">
        <v>74.820999999999998</v>
      </c>
      <c r="N6508">
        <v>18.59</v>
      </c>
    </row>
    <row r="6509" spans="1:14" x14ac:dyDescent="0.45">
      <c r="A6509">
        <v>2010</v>
      </c>
      <c r="B6509" t="s">
        <v>239</v>
      </c>
      <c r="C6509">
        <v>0</v>
      </c>
      <c r="D6509">
        <v>0</v>
      </c>
      <c r="E6509">
        <v>1</v>
      </c>
      <c r="F6509">
        <v>0</v>
      </c>
      <c r="G6509">
        <v>1</v>
      </c>
      <c r="H6509">
        <v>0</v>
      </c>
      <c r="I6509">
        <v>0</v>
      </c>
      <c r="J6509">
        <v>21708.755450656601</v>
      </c>
      <c r="K6509">
        <v>21075.9426234844</v>
      </c>
      <c r="L6509">
        <v>46.664000000000001</v>
      </c>
      <c r="M6509">
        <v>72.477000000000004</v>
      </c>
      <c r="N6509">
        <v>14.103</v>
      </c>
    </row>
    <row r="6510" spans="1:14" x14ac:dyDescent="0.45">
      <c r="A6510">
        <v>2010</v>
      </c>
      <c r="B6510" t="s">
        <v>240</v>
      </c>
      <c r="C6510">
        <v>0</v>
      </c>
      <c r="D6510">
        <v>0</v>
      </c>
      <c r="E6510">
        <v>0</v>
      </c>
      <c r="F6510">
        <v>1</v>
      </c>
      <c r="G6510">
        <v>0</v>
      </c>
      <c r="H6510">
        <v>0</v>
      </c>
      <c r="I6510">
        <v>0</v>
      </c>
      <c r="J6510">
        <v>9546.5604880539904</v>
      </c>
      <c r="K6510">
        <v>6261.85087166215</v>
      </c>
      <c r="L6510">
        <v>44.4</v>
      </c>
      <c r="M6510">
        <v>73.542000000000002</v>
      </c>
      <c r="N6510">
        <v>19.350000000000001</v>
      </c>
    </row>
    <row r="6511" spans="1:14" x14ac:dyDescent="0.45">
      <c r="A6511">
        <v>2010</v>
      </c>
      <c r="B6511" t="s">
        <v>241</v>
      </c>
      <c r="C6511">
        <v>0</v>
      </c>
      <c r="D6511">
        <v>1</v>
      </c>
      <c r="E6511">
        <v>0</v>
      </c>
      <c r="F6511">
        <v>0</v>
      </c>
      <c r="G6511">
        <v>0</v>
      </c>
      <c r="H6511">
        <v>1</v>
      </c>
      <c r="I6511">
        <v>1</v>
      </c>
      <c r="J6511">
        <v>17000.2227766463</v>
      </c>
      <c r="K6511">
        <v>26466.579845310702</v>
      </c>
      <c r="L6511">
        <v>9.7720000000000091</v>
      </c>
      <c r="M6511">
        <v>76.784000000000006</v>
      </c>
      <c r="N6511">
        <v>7.6360000000000001</v>
      </c>
    </row>
    <row r="6512" spans="1:14" x14ac:dyDescent="0.45">
      <c r="A6512">
        <v>2010</v>
      </c>
      <c r="B6512" t="s">
        <v>242</v>
      </c>
      <c r="C6512">
        <v>0</v>
      </c>
      <c r="D6512">
        <v>0</v>
      </c>
      <c r="E6512">
        <v>1</v>
      </c>
      <c r="F6512">
        <v>0</v>
      </c>
      <c r="G6512">
        <v>0</v>
      </c>
      <c r="H6512">
        <v>0</v>
      </c>
      <c r="I6512">
        <v>0</v>
      </c>
      <c r="J6512">
        <v>2717.5076266485898</v>
      </c>
      <c r="K6512">
        <v>2282.8047220636499</v>
      </c>
      <c r="L6512">
        <v>78.015000000000001</v>
      </c>
      <c r="M6512">
        <v>50.106999999999999</v>
      </c>
      <c r="N6512">
        <v>147.744</v>
      </c>
    </row>
    <row r="6513" spans="1:14" x14ac:dyDescent="0.45">
      <c r="A6513">
        <v>2010</v>
      </c>
      <c r="B6513" t="s">
        <v>243</v>
      </c>
      <c r="C6513">
        <v>0</v>
      </c>
      <c r="D6513">
        <v>0</v>
      </c>
      <c r="E6513">
        <v>1</v>
      </c>
      <c r="F6513">
        <v>0</v>
      </c>
      <c r="G6513">
        <v>0</v>
      </c>
      <c r="H6513">
        <v>0</v>
      </c>
      <c r="I6513">
        <v>0</v>
      </c>
      <c r="J6513">
        <v>1988.95210506479</v>
      </c>
      <c r="K6513">
        <v>1652.8942685300999</v>
      </c>
      <c r="L6513">
        <v>62.466999999999999</v>
      </c>
      <c r="M6513">
        <v>57.226999999999997</v>
      </c>
      <c r="N6513">
        <v>88.983999999999995</v>
      </c>
    </row>
    <row r="6514" spans="1:14" x14ac:dyDescent="0.45">
      <c r="A6514">
        <v>2010</v>
      </c>
      <c r="B6514" t="s">
        <v>244</v>
      </c>
      <c r="C6514">
        <v>0</v>
      </c>
      <c r="D6514">
        <v>0</v>
      </c>
      <c r="E6514">
        <v>0</v>
      </c>
      <c r="F6514">
        <v>0</v>
      </c>
      <c r="G6514">
        <v>1</v>
      </c>
      <c r="H6514">
        <v>0</v>
      </c>
      <c r="I6514">
        <v>0</v>
      </c>
      <c r="J6514">
        <v>16730.369788448799</v>
      </c>
      <c r="K6514">
        <v>14631.1613541197</v>
      </c>
      <c r="L6514">
        <v>56.143999999999998</v>
      </c>
      <c r="M6514">
        <v>75.012</v>
      </c>
      <c r="N6514">
        <v>12.686999999999999</v>
      </c>
    </row>
    <row r="6515" spans="1:14" x14ac:dyDescent="0.45">
      <c r="A6515">
        <v>2010</v>
      </c>
      <c r="B6515" t="s">
        <v>245</v>
      </c>
      <c r="C6515">
        <v>1</v>
      </c>
      <c r="D6515">
        <v>0</v>
      </c>
      <c r="E6515">
        <v>0</v>
      </c>
      <c r="F6515">
        <v>0</v>
      </c>
      <c r="G6515">
        <v>0</v>
      </c>
      <c r="H6515">
        <v>0</v>
      </c>
      <c r="I6515">
        <v>0</v>
      </c>
      <c r="J6515">
        <v>2449.2735874535902</v>
      </c>
      <c r="K6515">
        <v>2230.6396766996099</v>
      </c>
      <c r="L6515">
        <v>73.48</v>
      </c>
      <c r="M6515">
        <v>68.37</v>
      </c>
      <c r="N6515">
        <v>43.969000000000001</v>
      </c>
    </row>
    <row r="6516" spans="1:14" x14ac:dyDescent="0.45">
      <c r="A6516">
        <v>2010</v>
      </c>
      <c r="B6516" t="s">
        <v>246</v>
      </c>
      <c r="C6516">
        <v>1</v>
      </c>
      <c r="D6516">
        <v>0</v>
      </c>
      <c r="E6516">
        <v>0</v>
      </c>
      <c r="F6516">
        <v>1</v>
      </c>
      <c r="G6516">
        <v>0</v>
      </c>
      <c r="H6516">
        <v>0</v>
      </c>
      <c r="I6516">
        <v>0</v>
      </c>
      <c r="J6516">
        <v>8842.3328358511208</v>
      </c>
      <c r="K6516">
        <v>8322.5709846742593</v>
      </c>
      <c r="L6516">
        <v>51.509</v>
      </c>
      <c r="M6516">
        <v>68.608000000000004</v>
      </c>
      <c r="N6516">
        <v>43.789000000000001</v>
      </c>
    </row>
    <row r="6517" spans="1:14" x14ac:dyDescent="0.45">
      <c r="A6517">
        <v>2010</v>
      </c>
      <c r="B6517" t="s">
        <v>247</v>
      </c>
      <c r="C6517">
        <v>0</v>
      </c>
      <c r="D6517">
        <v>0</v>
      </c>
      <c r="E6517">
        <v>0</v>
      </c>
      <c r="F6517">
        <v>1</v>
      </c>
      <c r="G6517">
        <v>0</v>
      </c>
      <c r="H6517">
        <v>0</v>
      </c>
      <c r="I6517">
        <v>0</v>
      </c>
      <c r="J6517">
        <v>4049.1850082103401</v>
      </c>
      <c r="K6517">
        <v>3267.13612447881</v>
      </c>
      <c r="L6517">
        <v>72.268000000000001</v>
      </c>
      <c r="M6517">
        <v>63.66</v>
      </c>
      <c r="N6517">
        <v>71.906000000000006</v>
      </c>
    </row>
    <row r="6518" spans="1:14" x14ac:dyDescent="0.45">
      <c r="A6518">
        <v>2010</v>
      </c>
      <c r="B6518" t="s">
        <v>248</v>
      </c>
      <c r="C6518">
        <v>0</v>
      </c>
      <c r="D6518">
        <v>0</v>
      </c>
      <c r="E6518">
        <v>0</v>
      </c>
      <c r="F6518">
        <v>1</v>
      </c>
      <c r="G6518">
        <v>0</v>
      </c>
      <c r="H6518">
        <v>0</v>
      </c>
      <c r="I6518">
        <v>0</v>
      </c>
      <c r="J6518">
        <v>5488.7504032659799</v>
      </c>
      <c r="K6518">
        <v>4968.5885008609503</v>
      </c>
      <c r="L6518">
        <v>76.611000000000004</v>
      </c>
      <c r="M6518">
        <v>71.319000000000003</v>
      </c>
      <c r="N6518">
        <v>13.308</v>
      </c>
    </row>
    <row r="6519" spans="1:14" x14ac:dyDescent="0.45">
      <c r="A6519">
        <v>2010</v>
      </c>
      <c r="B6519" t="s">
        <v>249</v>
      </c>
      <c r="C6519">
        <v>0</v>
      </c>
      <c r="D6519">
        <v>1</v>
      </c>
      <c r="E6519">
        <v>0</v>
      </c>
      <c r="F6519">
        <v>0</v>
      </c>
      <c r="G6519">
        <v>0</v>
      </c>
      <c r="H6519">
        <v>1</v>
      </c>
      <c r="I6519">
        <v>1</v>
      </c>
      <c r="J6519">
        <v>35190.216664680302</v>
      </c>
      <c r="K6519">
        <v>29369.509380339699</v>
      </c>
      <c r="L6519">
        <v>45.975000000000001</v>
      </c>
      <c r="M6519">
        <v>71.808999999999997</v>
      </c>
      <c r="N6519">
        <v>22.318999999999999</v>
      </c>
    </row>
    <row r="6520" spans="1:14" x14ac:dyDescent="0.45">
      <c r="A6520">
        <v>2010</v>
      </c>
      <c r="B6520" t="s">
        <v>250</v>
      </c>
      <c r="C6520">
        <v>0</v>
      </c>
      <c r="D6520">
        <v>0</v>
      </c>
      <c r="E6520">
        <v>0</v>
      </c>
      <c r="F6520">
        <v>0</v>
      </c>
      <c r="G6520">
        <v>1</v>
      </c>
      <c r="H6520">
        <v>0</v>
      </c>
      <c r="I6520">
        <v>0</v>
      </c>
      <c r="J6520">
        <v>12458.2573541291</v>
      </c>
      <c r="K6520">
        <v>10857.163177045901</v>
      </c>
      <c r="L6520">
        <v>33.343000000000004</v>
      </c>
      <c r="M6520">
        <v>74.438000000000002</v>
      </c>
      <c r="N6520">
        <v>19</v>
      </c>
    </row>
    <row r="6521" spans="1:14" x14ac:dyDescent="0.45">
      <c r="A6521">
        <v>2010</v>
      </c>
      <c r="B6521" t="s">
        <v>251</v>
      </c>
      <c r="C6521">
        <v>1</v>
      </c>
      <c r="D6521">
        <v>0</v>
      </c>
      <c r="E6521">
        <v>0</v>
      </c>
      <c r="F6521">
        <v>0</v>
      </c>
      <c r="G6521">
        <v>1</v>
      </c>
      <c r="H6521">
        <v>0</v>
      </c>
      <c r="I6521">
        <v>0</v>
      </c>
      <c r="J6521">
        <v>19564.788895310699</v>
      </c>
      <c r="K6521">
        <v>19617.1278457439</v>
      </c>
      <c r="L6521">
        <v>29.175000000000001</v>
      </c>
      <c r="M6521">
        <v>74.963999999999999</v>
      </c>
      <c r="N6521">
        <v>18.044</v>
      </c>
    </row>
    <row r="6522" spans="1:14" x14ac:dyDescent="0.45">
      <c r="A6522">
        <v>2010</v>
      </c>
      <c r="B6522" t="s">
        <v>252</v>
      </c>
      <c r="C6522">
        <v>0</v>
      </c>
      <c r="D6522">
        <v>0</v>
      </c>
      <c r="E6522">
        <v>0</v>
      </c>
      <c r="F6522">
        <v>1</v>
      </c>
      <c r="G6522">
        <v>0</v>
      </c>
      <c r="H6522">
        <v>0</v>
      </c>
      <c r="I6522">
        <v>0</v>
      </c>
      <c r="J6522">
        <v>3506.0602338092999</v>
      </c>
      <c r="K6522">
        <v>3171.7728729047899</v>
      </c>
      <c r="L6522">
        <v>45.204000000000001</v>
      </c>
      <c r="M6522">
        <v>64.834000000000003</v>
      </c>
      <c r="N6522">
        <v>31.381</v>
      </c>
    </row>
    <row r="6523" spans="1:14" x14ac:dyDescent="0.45">
      <c r="A6523">
        <v>2010</v>
      </c>
      <c r="B6523" t="s">
        <v>253</v>
      </c>
      <c r="C6523">
        <v>0</v>
      </c>
      <c r="D6523">
        <v>0</v>
      </c>
      <c r="E6523">
        <v>0</v>
      </c>
      <c r="F6523">
        <v>0</v>
      </c>
      <c r="G6523">
        <v>0</v>
      </c>
      <c r="H6523">
        <v>1</v>
      </c>
      <c r="I6523">
        <v>1</v>
      </c>
      <c r="L6523">
        <v>50.774000000000001</v>
      </c>
      <c r="M6523">
        <v>79.036000000000001</v>
      </c>
      <c r="N6523">
        <v>5.681</v>
      </c>
    </row>
    <row r="6524" spans="1:14" x14ac:dyDescent="0.45">
      <c r="A6524">
        <v>2010</v>
      </c>
      <c r="B6524" t="s">
        <v>254</v>
      </c>
      <c r="C6524">
        <v>0</v>
      </c>
      <c r="D6524">
        <v>0</v>
      </c>
      <c r="E6524">
        <v>1</v>
      </c>
      <c r="F6524">
        <v>0</v>
      </c>
      <c r="G6524">
        <v>0</v>
      </c>
      <c r="H6524">
        <v>0</v>
      </c>
      <c r="I6524">
        <v>0</v>
      </c>
      <c r="J6524">
        <v>2654.80346679688</v>
      </c>
      <c r="K6524">
        <v>1977.47479530747</v>
      </c>
      <c r="L6524">
        <v>71.885999999999996</v>
      </c>
      <c r="M6524">
        <v>61.127000000000002</v>
      </c>
      <c r="N6524">
        <v>69.149000000000001</v>
      </c>
    </row>
    <row r="6525" spans="1:14" x14ac:dyDescent="0.45">
      <c r="A6525">
        <v>2010</v>
      </c>
      <c r="B6525" t="s">
        <v>255</v>
      </c>
      <c r="C6525">
        <v>0</v>
      </c>
      <c r="D6525">
        <v>0</v>
      </c>
      <c r="E6525">
        <v>1</v>
      </c>
      <c r="F6525">
        <v>0</v>
      </c>
      <c r="G6525">
        <v>0</v>
      </c>
      <c r="H6525">
        <v>0</v>
      </c>
      <c r="I6525">
        <v>0</v>
      </c>
      <c r="J6525">
        <v>2244.6059519458399</v>
      </c>
      <c r="K6525">
        <v>1904.10944290721</v>
      </c>
      <c r="L6525">
        <v>80.617000000000004</v>
      </c>
      <c r="M6525">
        <v>59.959000000000003</v>
      </c>
      <c r="N6525">
        <v>76.212000000000003</v>
      </c>
    </row>
    <row r="6526" spans="1:14" x14ac:dyDescent="0.45">
      <c r="A6526">
        <v>2010</v>
      </c>
      <c r="B6526" t="s">
        <v>256</v>
      </c>
      <c r="C6526">
        <v>1</v>
      </c>
      <c r="D6526">
        <v>0</v>
      </c>
      <c r="E6526">
        <v>0</v>
      </c>
      <c r="F6526">
        <v>1</v>
      </c>
      <c r="G6526">
        <v>0</v>
      </c>
      <c r="H6526">
        <v>0</v>
      </c>
      <c r="I6526">
        <v>0</v>
      </c>
      <c r="J6526">
        <v>16811.794921875</v>
      </c>
      <c r="K6526">
        <v>11890.7393351846</v>
      </c>
      <c r="L6526">
        <v>31.404</v>
      </c>
      <c r="M6526">
        <v>70.188000000000002</v>
      </c>
      <c r="N6526">
        <v>10.97</v>
      </c>
    </row>
    <row r="6527" spans="1:14" x14ac:dyDescent="0.45">
      <c r="A6527">
        <v>2010</v>
      </c>
      <c r="B6527" t="s">
        <v>257</v>
      </c>
      <c r="C6527">
        <v>0</v>
      </c>
      <c r="D6527">
        <v>1</v>
      </c>
      <c r="E6527">
        <v>0</v>
      </c>
      <c r="F6527">
        <v>0</v>
      </c>
      <c r="G6527">
        <v>1</v>
      </c>
      <c r="H6527">
        <v>0</v>
      </c>
      <c r="I6527">
        <v>0</v>
      </c>
      <c r="J6527">
        <v>24879.835019261802</v>
      </c>
      <c r="K6527">
        <v>19733.903388825202</v>
      </c>
      <c r="L6527">
        <v>5.5860000000000003</v>
      </c>
      <c r="M6527">
        <v>76.691000000000003</v>
      </c>
      <c r="N6527">
        <v>9.9499999999999993</v>
      </c>
    </row>
    <row r="6528" spans="1:14" x14ac:dyDescent="0.45">
      <c r="A6528">
        <v>2010</v>
      </c>
      <c r="B6528" t="s">
        <v>258</v>
      </c>
      <c r="C6528">
        <v>0</v>
      </c>
      <c r="D6528">
        <v>0</v>
      </c>
      <c r="E6528">
        <v>0</v>
      </c>
      <c r="F6528">
        <v>0</v>
      </c>
      <c r="G6528">
        <v>0</v>
      </c>
      <c r="H6528">
        <v>1</v>
      </c>
      <c r="I6528">
        <v>1</v>
      </c>
      <c r="J6528">
        <v>59789.412907760903</v>
      </c>
      <c r="K6528">
        <v>54269.331882112798</v>
      </c>
      <c r="L6528">
        <v>19.228000000000002</v>
      </c>
      <c r="M6528">
        <v>78.668000000000006</v>
      </c>
      <c r="N6528">
        <v>7.2460000000000004</v>
      </c>
    </row>
    <row r="6529" spans="1:14" x14ac:dyDescent="0.45">
      <c r="A6529">
        <v>2010</v>
      </c>
      <c r="B6529" t="s">
        <v>259</v>
      </c>
      <c r="C6529">
        <v>1</v>
      </c>
      <c r="D6529">
        <v>0</v>
      </c>
      <c r="E6529">
        <v>0</v>
      </c>
      <c r="F6529">
        <v>1</v>
      </c>
      <c r="G6529">
        <v>0</v>
      </c>
      <c r="H6529">
        <v>0</v>
      </c>
      <c r="I6529">
        <v>0</v>
      </c>
      <c r="J6529">
        <v>5760.8051195779099</v>
      </c>
      <c r="K6529">
        <v>5596.8353343906801</v>
      </c>
      <c r="L6529">
        <v>49.043999999999997</v>
      </c>
      <c r="M6529">
        <v>69.835999999999999</v>
      </c>
      <c r="N6529">
        <v>30.265000000000001</v>
      </c>
    </row>
    <row r="6530" spans="1:14" x14ac:dyDescent="0.45">
      <c r="A6530">
        <v>2010</v>
      </c>
      <c r="B6530" t="s">
        <v>260</v>
      </c>
      <c r="C6530">
        <v>0</v>
      </c>
      <c r="D6530">
        <v>1</v>
      </c>
      <c r="E6530">
        <v>0</v>
      </c>
      <c r="F6530">
        <v>0</v>
      </c>
      <c r="G6530">
        <v>1</v>
      </c>
      <c r="H6530">
        <v>0</v>
      </c>
      <c r="I6530">
        <v>0</v>
      </c>
      <c r="J6530">
        <v>13175.7230154228</v>
      </c>
      <c r="K6530">
        <v>11515.070413261599</v>
      </c>
      <c r="L6530">
        <v>51.039000000000001</v>
      </c>
      <c r="M6530">
        <v>70.66</v>
      </c>
      <c r="N6530">
        <v>22.402999999999999</v>
      </c>
    </row>
    <row r="6531" spans="1:14" x14ac:dyDescent="0.45">
      <c r="A6531">
        <v>2010</v>
      </c>
      <c r="B6531" t="s">
        <v>261</v>
      </c>
      <c r="C6531">
        <v>0</v>
      </c>
      <c r="D6531">
        <v>1</v>
      </c>
      <c r="E6531">
        <v>0</v>
      </c>
      <c r="F6531">
        <v>0</v>
      </c>
      <c r="G6531">
        <v>1</v>
      </c>
      <c r="H6531">
        <v>0</v>
      </c>
      <c r="I6531">
        <v>0</v>
      </c>
      <c r="L6531">
        <v>11.917</v>
      </c>
      <c r="M6531">
        <v>73.091999999999999</v>
      </c>
      <c r="N6531">
        <v>17.542000000000002</v>
      </c>
    </row>
    <row r="6532" spans="1:14" x14ac:dyDescent="0.45">
      <c r="A6532">
        <v>2010</v>
      </c>
      <c r="B6532" t="s">
        <v>262</v>
      </c>
      <c r="C6532">
        <v>0</v>
      </c>
      <c r="D6532">
        <v>1</v>
      </c>
      <c r="E6532">
        <v>0</v>
      </c>
      <c r="F6532">
        <v>0</v>
      </c>
      <c r="G6532">
        <v>0</v>
      </c>
      <c r="H6532">
        <v>1</v>
      </c>
      <c r="I6532">
        <v>1</v>
      </c>
      <c r="L6532">
        <v>55.186</v>
      </c>
      <c r="M6532">
        <v>76.289000000000001</v>
      </c>
      <c r="N6532">
        <v>15.602</v>
      </c>
    </row>
    <row r="6533" spans="1:14" x14ac:dyDescent="0.45">
      <c r="A6533">
        <v>2010</v>
      </c>
      <c r="B6533" t="s">
        <v>263</v>
      </c>
      <c r="C6533">
        <v>0</v>
      </c>
      <c r="D6533">
        <v>1</v>
      </c>
      <c r="E6533">
        <v>0</v>
      </c>
      <c r="F6533">
        <v>0</v>
      </c>
      <c r="G6533">
        <v>0</v>
      </c>
      <c r="H6533">
        <v>1</v>
      </c>
      <c r="I6533">
        <v>1</v>
      </c>
      <c r="J6533">
        <v>59272.245685634298</v>
      </c>
      <c r="K6533">
        <v>46420.494517615603</v>
      </c>
      <c r="L6533">
        <v>5.4060000000000104</v>
      </c>
      <c r="M6533">
        <v>73.234999999999999</v>
      </c>
      <c r="N6533">
        <v>9.7940000000000005</v>
      </c>
    </row>
    <row r="6534" spans="1:14" x14ac:dyDescent="0.45">
      <c r="A6534">
        <v>2010</v>
      </c>
      <c r="B6534" t="s">
        <v>264</v>
      </c>
      <c r="C6534">
        <v>0</v>
      </c>
      <c r="D6534">
        <v>0</v>
      </c>
      <c r="E6534">
        <v>0</v>
      </c>
      <c r="F6534">
        <v>1</v>
      </c>
      <c r="G6534">
        <v>0</v>
      </c>
      <c r="H6534">
        <v>0</v>
      </c>
      <c r="I6534">
        <v>0</v>
      </c>
      <c r="J6534">
        <v>7274.7331069801603</v>
      </c>
      <c r="K6534">
        <v>6482.3902085584696</v>
      </c>
      <c r="L6534">
        <v>69.582999999999998</v>
      </c>
      <c r="M6534">
        <v>73.611000000000004</v>
      </c>
      <c r="N6534">
        <v>23.271999999999998</v>
      </c>
    </row>
    <row r="6535" spans="1:14" x14ac:dyDescent="0.45">
      <c r="A6535">
        <v>2010</v>
      </c>
      <c r="B6535" t="s">
        <v>265</v>
      </c>
      <c r="C6535">
        <v>0</v>
      </c>
      <c r="D6535">
        <v>0</v>
      </c>
      <c r="E6535">
        <v>0</v>
      </c>
      <c r="F6535">
        <v>1</v>
      </c>
      <c r="G6535">
        <v>0</v>
      </c>
      <c r="H6535">
        <v>0</v>
      </c>
      <c r="I6535">
        <v>0</v>
      </c>
      <c r="J6535">
        <v>3359.84954476435</v>
      </c>
      <c r="K6535">
        <v>3039.32442025614</v>
      </c>
      <c r="L6535">
        <v>75.537999999999997</v>
      </c>
      <c r="M6535">
        <v>69.569999999999993</v>
      </c>
      <c r="N6535">
        <v>23.795000000000002</v>
      </c>
    </row>
    <row r="6536" spans="1:14" x14ac:dyDescent="0.45">
      <c r="A6536">
        <v>2010</v>
      </c>
      <c r="B6536" t="s">
        <v>266</v>
      </c>
      <c r="C6536">
        <v>0</v>
      </c>
      <c r="D6536">
        <v>0</v>
      </c>
      <c r="E6536">
        <v>0</v>
      </c>
      <c r="F6536">
        <v>1</v>
      </c>
      <c r="G6536">
        <v>0</v>
      </c>
      <c r="H6536">
        <v>0</v>
      </c>
      <c r="I6536">
        <v>0</v>
      </c>
      <c r="J6536">
        <v>6427.3115622769801</v>
      </c>
      <c r="K6536">
        <v>5814.1546898324596</v>
      </c>
      <c r="L6536">
        <v>79.921999999999997</v>
      </c>
      <c r="M6536">
        <v>71.450999999999993</v>
      </c>
      <c r="N6536">
        <v>19.212</v>
      </c>
    </row>
    <row r="6537" spans="1:14" x14ac:dyDescent="0.45">
      <c r="A6537">
        <v>2010</v>
      </c>
      <c r="B6537" t="s">
        <v>267</v>
      </c>
      <c r="C6537">
        <v>1</v>
      </c>
      <c r="D6537">
        <v>0</v>
      </c>
      <c r="E6537">
        <v>0</v>
      </c>
      <c r="F6537">
        <v>1</v>
      </c>
      <c r="G6537">
        <v>0</v>
      </c>
      <c r="H6537">
        <v>0</v>
      </c>
      <c r="I6537">
        <v>0</v>
      </c>
      <c r="J6537">
        <v>7877.10199850556</v>
      </c>
      <c r="K6537">
        <v>7149.8330850411903</v>
      </c>
      <c r="L6537">
        <v>45.006999999999998</v>
      </c>
      <c r="M6537">
        <v>74.608999999999995</v>
      </c>
      <c r="N6537">
        <v>20.207999999999998</v>
      </c>
    </row>
    <row r="6538" spans="1:14" x14ac:dyDescent="0.45">
      <c r="A6538">
        <v>2010</v>
      </c>
      <c r="B6538" t="s">
        <v>268</v>
      </c>
      <c r="C6538">
        <v>0</v>
      </c>
      <c r="D6538">
        <v>0</v>
      </c>
      <c r="E6538">
        <v>0</v>
      </c>
      <c r="F6538">
        <v>1</v>
      </c>
      <c r="G6538">
        <v>0</v>
      </c>
      <c r="H6538">
        <v>0</v>
      </c>
      <c r="I6538">
        <v>0</v>
      </c>
      <c r="L6538">
        <v>68.224000000000004</v>
      </c>
      <c r="M6538">
        <v>67.222999999999999</v>
      </c>
      <c r="N6538">
        <v>56.11</v>
      </c>
    </row>
    <row r="6539" spans="1:14" x14ac:dyDescent="0.45">
      <c r="A6539">
        <v>2010</v>
      </c>
      <c r="B6539" t="s">
        <v>269</v>
      </c>
      <c r="C6539">
        <v>0</v>
      </c>
      <c r="D6539">
        <v>0</v>
      </c>
      <c r="E6539">
        <v>1</v>
      </c>
      <c r="F6539">
        <v>0</v>
      </c>
      <c r="G6539">
        <v>1</v>
      </c>
      <c r="H6539">
        <v>0</v>
      </c>
      <c r="I6539">
        <v>0</v>
      </c>
      <c r="J6539">
        <v>14182.3342847818</v>
      </c>
      <c r="K6539">
        <v>13353.251094007101</v>
      </c>
      <c r="L6539">
        <v>37.781999999999996</v>
      </c>
      <c r="M6539">
        <v>58.886000000000003</v>
      </c>
      <c r="N6539">
        <v>53.488</v>
      </c>
    </row>
    <row r="6540" spans="1:14" x14ac:dyDescent="0.45">
      <c r="A6540">
        <v>2010</v>
      </c>
      <c r="B6540" t="s">
        <v>270</v>
      </c>
      <c r="C6540">
        <v>0</v>
      </c>
      <c r="D6540">
        <v>0</v>
      </c>
      <c r="E6540">
        <v>1</v>
      </c>
      <c r="F6540">
        <v>1</v>
      </c>
      <c r="G6540">
        <v>0</v>
      </c>
      <c r="H6540">
        <v>0</v>
      </c>
      <c r="I6540">
        <v>0</v>
      </c>
      <c r="J6540">
        <v>3266.5074929382799</v>
      </c>
      <c r="K6540">
        <v>3066.7842974321102</v>
      </c>
      <c r="L6540">
        <v>60.645000000000003</v>
      </c>
      <c r="M6540">
        <v>56.896000000000001</v>
      </c>
      <c r="N6540">
        <v>80.084000000000003</v>
      </c>
    </row>
    <row r="6541" spans="1:14" x14ac:dyDescent="0.45">
      <c r="A6541">
        <v>2010</v>
      </c>
      <c r="B6541" t="s">
        <v>271</v>
      </c>
      <c r="C6541">
        <v>0</v>
      </c>
      <c r="D6541">
        <v>0</v>
      </c>
      <c r="E6541">
        <v>1</v>
      </c>
      <c r="F6541">
        <v>0</v>
      </c>
      <c r="G6541">
        <v>0</v>
      </c>
      <c r="H6541">
        <v>0</v>
      </c>
      <c r="I6541">
        <v>0</v>
      </c>
      <c r="J6541">
        <v>2563.4783506973099</v>
      </c>
      <c r="K6541">
        <v>1706.8558822580001</v>
      </c>
      <c r="L6541">
        <v>66.804000000000002</v>
      </c>
      <c r="M6541">
        <v>51.924999999999997</v>
      </c>
      <c r="N6541">
        <v>82.685000000000002</v>
      </c>
    </row>
    <row r="6542" spans="1:14" x14ac:dyDescent="0.45">
      <c r="A6542">
        <v>2011</v>
      </c>
      <c r="B6542" t="s">
        <v>54</v>
      </c>
      <c r="C6542">
        <v>0</v>
      </c>
      <c r="D6542">
        <v>1</v>
      </c>
      <c r="E6542">
        <v>0</v>
      </c>
      <c r="F6542">
        <v>0</v>
      </c>
      <c r="G6542">
        <v>0</v>
      </c>
      <c r="H6542">
        <v>1</v>
      </c>
      <c r="I6542">
        <v>1</v>
      </c>
      <c r="J6542">
        <v>36435.555332822099</v>
      </c>
      <c r="K6542">
        <v>35459.348389266597</v>
      </c>
      <c r="L6542">
        <v>57.06</v>
      </c>
      <c r="M6542">
        <v>74.578000000000003</v>
      </c>
      <c r="N6542">
        <v>17.704000000000001</v>
      </c>
    </row>
    <row r="6543" spans="1:14" x14ac:dyDescent="0.45">
      <c r="A6543">
        <v>2011</v>
      </c>
      <c r="B6543" t="s">
        <v>55</v>
      </c>
      <c r="C6543">
        <v>0</v>
      </c>
      <c r="D6543">
        <v>0</v>
      </c>
      <c r="E6543">
        <v>0</v>
      </c>
      <c r="F6543">
        <v>0</v>
      </c>
      <c r="G6543">
        <v>0</v>
      </c>
      <c r="H6543">
        <v>0</v>
      </c>
      <c r="I6543">
        <v>0</v>
      </c>
      <c r="J6543">
        <v>2757.0525874772502</v>
      </c>
      <c r="K6543">
        <v>2180.8041265596198</v>
      </c>
      <c r="L6543">
        <v>76.052000000000007</v>
      </c>
      <c r="M6543">
        <v>61.25</v>
      </c>
      <c r="N6543">
        <v>86.316999999999993</v>
      </c>
    </row>
    <row r="6544" spans="1:14" x14ac:dyDescent="0.45">
      <c r="A6544">
        <v>2011</v>
      </c>
      <c r="B6544" t="s">
        <v>56</v>
      </c>
      <c r="C6544">
        <v>0</v>
      </c>
      <c r="D6544">
        <v>0</v>
      </c>
      <c r="E6544">
        <v>1</v>
      </c>
      <c r="F6544">
        <v>0</v>
      </c>
      <c r="G6544">
        <v>1</v>
      </c>
      <c r="H6544">
        <v>0</v>
      </c>
      <c r="I6544">
        <v>0</v>
      </c>
      <c r="J6544">
        <v>9627.0205977697806</v>
      </c>
      <c r="K6544">
        <v>7445.0640372140597</v>
      </c>
      <c r="L6544">
        <v>39.472000000000001</v>
      </c>
      <c r="M6544">
        <v>58.093000000000004</v>
      </c>
      <c r="N6544">
        <v>112.06</v>
      </c>
    </row>
    <row r="6545" spans="1:14" x14ac:dyDescent="0.45">
      <c r="A6545">
        <v>2011</v>
      </c>
      <c r="B6545" t="s">
        <v>57</v>
      </c>
      <c r="C6545">
        <v>1</v>
      </c>
      <c r="D6545">
        <v>0</v>
      </c>
      <c r="E6545">
        <v>0</v>
      </c>
      <c r="F6545">
        <v>1</v>
      </c>
      <c r="G6545">
        <v>0</v>
      </c>
      <c r="H6545">
        <v>0</v>
      </c>
      <c r="I6545">
        <v>0</v>
      </c>
      <c r="J6545">
        <v>12152.417155232901</v>
      </c>
      <c r="K6545">
        <v>11009.5325394883</v>
      </c>
      <c r="L6545">
        <v>46.753</v>
      </c>
      <c r="M6545">
        <v>78.302999999999997</v>
      </c>
      <c r="N6545">
        <v>12.455</v>
      </c>
    </row>
    <row r="6546" spans="1:14" x14ac:dyDescent="0.45">
      <c r="A6546">
        <v>2011</v>
      </c>
      <c r="B6546" t="s">
        <v>58</v>
      </c>
      <c r="C6546">
        <v>1</v>
      </c>
      <c r="D6546">
        <v>0</v>
      </c>
      <c r="E6546">
        <v>0</v>
      </c>
      <c r="F6546">
        <v>0</v>
      </c>
      <c r="G6546">
        <v>0</v>
      </c>
      <c r="H6546">
        <v>1</v>
      </c>
      <c r="I6546">
        <v>1</v>
      </c>
      <c r="J6546">
        <v>60470.466237704401</v>
      </c>
      <c r="K6546">
        <v>50760.338491492199</v>
      </c>
      <c r="L6546">
        <v>11.273999999999999</v>
      </c>
      <c r="M6546">
        <v>84.296000000000006</v>
      </c>
      <c r="N6546">
        <v>5.8849999999999998</v>
      </c>
    </row>
    <row r="6547" spans="1:14" x14ac:dyDescent="0.45">
      <c r="A6547">
        <v>2011</v>
      </c>
      <c r="B6547" t="s">
        <v>59</v>
      </c>
      <c r="C6547">
        <v>0</v>
      </c>
      <c r="D6547">
        <v>0</v>
      </c>
      <c r="E6547">
        <v>0</v>
      </c>
      <c r="F6547">
        <v>0</v>
      </c>
      <c r="G6547">
        <v>0</v>
      </c>
      <c r="H6547">
        <v>1</v>
      </c>
      <c r="I6547">
        <v>1</v>
      </c>
      <c r="J6547">
        <v>70662.515951891997</v>
      </c>
      <c r="K6547">
        <v>69812.353331987804</v>
      </c>
      <c r="L6547">
        <v>15.577</v>
      </c>
      <c r="M6547">
        <v>81.897999999999996</v>
      </c>
      <c r="N6547">
        <v>8.4139999999999997</v>
      </c>
    </row>
    <row r="6548" spans="1:14" x14ac:dyDescent="0.45">
      <c r="A6548">
        <v>2011</v>
      </c>
      <c r="B6548" t="s">
        <v>60</v>
      </c>
      <c r="C6548">
        <v>0</v>
      </c>
      <c r="D6548">
        <v>1</v>
      </c>
      <c r="E6548">
        <v>0</v>
      </c>
      <c r="F6548">
        <v>0</v>
      </c>
      <c r="G6548">
        <v>1</v>
      </c>
      <c r="H6548">
        <v>0</v>
      </c>
      <c r="I6548">
        <v>0</v>
      </c>
      <c r="J6548">
        <v>29425.759387608399</v>
      </c>
      <c r="K6548">
        <v>24285.3673287163</v>
      </c>
      <c r="L6548">
        <v>9.0100000000000104</v>
      </c>
      <c r="M6548">
        <v>76.099999999999994</v>
      </c>
      <c r="N6548">
        <v>14.641999999999999</v>
      </c>
    </row>
    <row r="6549" spans="1:14" x14ac:dyDescent="0.45">
      <c r="A6549">
        <v>2011</v>
      </c>
      <c r="B6549" t="s">
        <v>61</v>
      </c>
      <c r="C6549">
        <v>1</v>
      </c>
      <c r="D6549">
        <v>0</v>
      </c>
      <c r="E6549">
        <v>0</v>
      </c>
      <c r="F6549">
        <v>1</v>
      </c>
      <c r="G6549">
        <v>0</v>
      </c>
      <c r="H6549">
        <v>0</v>
      </c>
      <c r="I6549">
        <v>0</v>
      </c>
      <c r="J6549">
        <v>10990.177099035</v>
      </c>
      <c r="K6549">
        <v>9309.7925534395308</v>
      </c>
      <c r="L6549">
        <v>36.659999999999997</v>
      </c>
      <c r="M6549">
        <v>73.185000000000002</v>
      </c>
      <c r="N6549">
        <v>17.73</v>
      </c>
    </row>
    <row r="6550" spans="1:14" x14ac:dyDescent="0.45">
      <c r="A6550">
        <v>2011</v>
      </c>
      <c r="B6550" t="s">
        <v>62</v>
      </c>
      <c r="C6550">
        <v>0</v>
      </c>
      <c r="D6550">
        <v>0</v>
      </c>
      <c r="E6550">
        <v>0</v>
      </c>
      <c r="F6550">
        <v>0</v>
      </c>
      <c r="G6550">
        <v>1</v>
      </c>
      <c r="H6550">
        <v>0</v>
      </c>
      <c r="I6550">
        <v>0</v>
      </c>
      <c r="L6550">
        <v>12.497999999999999</v>
      </c>
      <c r="M6550">
        <v>72.662000000000006</v>
      </c>
      <c r="N6550">
        <v>11.055999999999999</v>
      </c>
    </row>
    <row r="6551" spans="1:14" x14ac:dyDescent="0.45">
      <c r="A6551">
        <v>2011</v>
      </c>
      <c r="B6551" t="s">
        <v>63</v>
      </c>
      <c r="C6551">
        <v>0</v>
      </c>
      <c r="D6551">
        <v>1</v>
      </c>
      <c r="E6551">
        <v>0</v>
      </c>
      <c r="F6551">
        <v>0</v>
      </c>
      <c r="G6551">
        <v>1</v>
      </c>
      <c r="H6551">
        <v>0</v>
      </c>
      <c r="I6551">
        <v>0</v>
      </c>
      <c r="J6551">
        <v>25023.917448817901</v>
      </c>
      <c r="K6551">
        <v>19708.758084416899</v>
      </c>
      <c r="L6551">
        <v>74.296999999999997</v>
      </c>
      <c r="M6551">
        <v>77.022999999999996</v>
      </c>
      <c r="N6551">
        <v>11.704000000000001</v>
      </c>
    </row>
    <row r="6552" spans="1:14" x14ac:dyDescent="0.45">
      <c r="A6552">
        <v>2011</v>
      </c>
      <c r="B6552" t="s">
        <v>64</v>
      </c>
      <c r="C6552">
        <v>0</v>
      </c>
      <c r="D6552">
        <v>0</v>
      </c>
      <c r="E6552">
        <v>0</v>
      </c>
      <c r="F6552">
        <v>0</v>
      </c>
      <c r="G6552">
        <v>0</v>
      </c>
      <c r="H6552">
        <v>1</v>
      </c>
      <c r="I6552">
        <v>1</v>
      </c>
      <c r="J6552">
        <v>53112.532869285496</v>
      </c>
      <c r="K6552">
        <v>46003.504843721603</v>
      </c>
      <c r="L6552">
        <v>14.7</v>
      </c>
      <c r="M6552">
        <v>82.090999999999994</v>
      </c>
      <c r="N6552">
        <v>4.4859999999999998</v>
      </c>
    </row>
    <row r="6553" spans="1:14" x14ac:dyDescent="0.45">
      <c r="A6553">
        <v>2011</v>
      </c>
      <c r="B6553" t="s">
        <v>65</v>
      </c>
      <c r="C6553">
        <v>1</v>
      </c>
      <c r="D6553">
        <v>0</v>
      </c>
      <c r="E6553">
        <v>0</v>
      </c>
      <c r="F6553">
        <v>0</v>
      </c>
      <c r="G6553">
        <v>0</v>
      </c>
      <c r="H6553">
        <v>1</v>
      </c>
      <c r="I6553">
        <v>1</v>
      </c>
      <c r="J6553">
        <v>61346.9594696188</v>
      </c>
      <c r="K6553">
        <v>52277.151014372503</v>
      </c>
      <c r="L6553">
        <v>42.884999999999998</v>
      </c>
      <c r="M6553">
        <v>80.828000000000003</v>
      </c>
      <c r="N6553">
        <v>4.28</v>
      </c>
    </row>
    <row r="6554" spans="1:14" x14ac:dyDescent="0.45">
      <c r="A6554">
        <v>2011</v>
      </c>
      <c r="B6554" t="s">
        <v>66</v>
      </c>
      <c r="C6554">
        <v>1</v>
      </c>
      <c r="D6554">
        <v>0</v>
      </c>
      <c r="E6554">
        <v>0</v>
      </c>
      <c r="F6554">
        <v>0</v>
      </c>
      <c r="G6554">
        <v>1</v>
      </c>
      <c r="H6554">
        <v>0</v>
      </c>
      <c r="I6554">
        <v>0</v>
      </c>
      <c r="J6554">
        <v>19358.077787240501</v>
      </c>
      <c r="K6554">
        <v>14096.7914180185</v>
      </c>
      <c r="L6554">
        <v>46.363</v>
      </c>
      <c r="M6554">
        <v>70.564999999999998</v>
      </c>
      <c r="N6554">
        <v>35.466999999999999</v>
      </c>
    </row>
    <row r="6555" spans="1:14" x14ac:dyDescent="0.45">
      <c r="A6555">
        <v>2011</v>
      </c>
      <c r="B6555" t="s">
        <v>67</v>
      </c>
      <c r="C6555">
        <v>0</v>
      </c>
      <c r="D6555">
        <v>0</v>
      </c>
      <c r="E6555">
        <v>1</v>
      </c>
      <c r="F6555">
        <v>0</v>
      </c>
      <c r="G6555">
        <v>0</v>
      </c>
      <c r="H6555">
        <v>0</v>
      </c>
      <c r="I6555">
        <v>0</v>
      </c>
      <c r="J6555">
        <v>951.18846039130904</v>
      </c>
      <c r="K6555">
        <v>821.92503349045501</v>
      </c>
      <c r="L6555">
        <v>89.084999999999994</v>
      </c>
      <c r="M6555">
        <v>57.804000000000002</v>
      </c>
      <c r="N6555">
        <v>85.566000000000003</v>
      </c>
    </row>
    <row r="6556" spans="1:14" x14ac:dyDescent="0.45">
      <c r="A6556">
        <v>2011</v>
      </c>
      <c r="B6556" t="s">
        <v>68</v>
      </c>
      <c r="C6556">
        <v>1</v>
      </c>
      <c r="D6556">
        <v>0</v>
      </c>
      <c r="E6556">
        <v>0</v>
      </c>
      <c r="F6556">
        <v>0</v>
      </c>
      <c r="G6556">
        <v>0</v>
      </c>
      <c r="H6556">
        <v>1</v>
      </c>
      <c r="I6556">
        <v>1</v>
      </c>
      <c r="J6556">
        <v>56610.267007898801</v>
      </c>
      <c r="K6556">
        <v>47638.480916231201</v>
      </c>
      <c r="L6556">
        <v>2.3020000000000098</v>
      </c>
      <c r="M6556">
        <v>80.366</v>
      </c>
      <c r="N6556">
        <v>4.1970000000000001</v>
      </c>
    </row>
    <row r="6557" spans="1:14" x14ac:dyDescent="0.45">
      <c r="A6557">
        <v>2011</v>
      </c>
      <c r="B6557" t="s">
        <v>69</v>
      </c>
      <c r="C6557">
        <v>0</v>
      </c>
      <c r="D6557">
        <v>0</v>
      </c>
      <c r="E6557">
        <v>1</v>
      </c>
      <c r="F6557">
        <v>0</v>
      </c>
      <c r="G6557">
        <v>0</v>
      </c>
      <c r="H6557">
        <v>0</v>
      </c>
      <c r="I6557">
        <v>0</v>
      </c>
      <c r="J6557">
        <v>2732.01249647957</v>
      </c>
      <c r="K6557">
        <v>2592.00200459282</v>
      </c>
      <c r="L6557">
        <v>56.392000000000003</v>
      </c>
      <c r="M6557">
        <v>58.462000000000003</v>
      </c>
      <c r="N6557">
        <v>106.185</v>
      </c>
    </row>
    <row r="6558" spans="1:14" x14ac:dyDescent="0.45">
      <c r="A6558">
        <v>2011</v>
      </c>
      <c r="B6558" t="s">
        <v>70</v>
      </c>
      <c r="C6558">
        <v>0</v>
      </c>
      <c r="D6558">
        <v>0</v>
      </c>
      <c r="E6558">
        <v>1</v>
      </c>
      <c r="F6558">
        <v>0</v>
      </c>
      <c r="G6558">
        <v>0</v>
      </c>
      <c r="H6558">
        <v>0</v>
      </c>
      <c r="I6558">
        <v>0</v>
      </c>
      <c r="J6558">
        <v>1939.8665998940601</v>
      </c>
      <c r="K6558">
        <v>1774.8558957252501</v>
      </c>
      <c r="L6558">
        <v>74.804000000000002</v>
      </c>
      <c r="M6558">
        <v>57.000999999999998</v>
      </c>
      <c r="N6558">
        <v>117.276</v>
      </c>
    </row>
    <row r="6559" spans="1:14" x14ac:dyDescent="0.45">
      <c r="A6559">
        <v>2011</v>
      </c>
      <c r="B6559" t="s">
        <v>71</v>
      </c>
      <c r="C6559">
        <v>0</v>
      </c>
      <c r="D6559">
        <v>0</v>
      </c>
      <c r="E6559">
        <v>0</v>
      </c>
      <c r="F6559">
        <v>0</v>
      </c>
      <c r="G6559">
        <v>0</v>
      </c>
      <c r="H6559">
        <v>0</v>
      </c>
      <c r="I6559">
        <v>0</v>
      </c>
      <c r="J6559">
        <v>4352.4264335932503</v>
      </c>
      <c r="K6559">
        <v>3538.4990347360199</v>
      </c>
      <c r="L6559">
        <v>68.775000000000006</v>
      </c>
      <c r="M6559">
        <v>68.498999999999995</v>
      </c>
      <c r="N6559">
        <v>47.042000000000002</v>
      </c>
    </row>
    <row r="6560" spans="1:14" x14ac:dyDescent="0.45">
      <c r="A6560">
        <v>2011</v>
      </c>
      <c r="B6560" t="s">
        <v>72</v>
      </c>
      <c r="C6560">
        <v>1</v>
      </c>
      <c r="D6560">
        <v>0</v>
      </c>
      <c r="E6560">
        <v>0</v>
      </c>
      <c r="F6560">
        <v>0</v>
      </c>
      <c r="G6560">
        <v>1</v>
      </c>
      <c r="H6560">
        <v>0</v>
      </c>
      <c r="I6560">
        <v>0</v>
      </c>
      <c r="J6560">
        <v>22312.395177738399</v>
      </c>
      <c r="K6560">
        <v>18514.813754001501</v>
      </c>
      <c r="L6560">
        <v>27.361999999999998</v>
      </c>
      <c r="M6560">
        <v>74.168999999999997</v>
      </c>
      <c r="N6560">
        <v>9.9459999999999997</v>
      </c>
    </row>
    <row r="6561" spans="1:14" x14ac:dyDescent="0.45">
      <c r="A6561">
        <v>2011</v>
      </c>
      <c r="B6561" t="s">
        <v>73</v>
      </c>
      <c r="C6561">
        <v>0</v>
      </c>
      <c r="D6561">
        <v>0</v>
      </c>
      <c r="E6561">
        <v>0</v>
      </c>
      <c r="F6561">
        <v>0</v>
      </c>
      <c r="G6561">
        <v>0</v>
      </c>
      <c r="H6561">
        <v>1</v>
      </c>
      <c r="I6561">
        <v>1</v>
      </c>
      <c r="J6561">
        <v>53132.328416261102</v>
      </c>
      <c r="K6561">
        <v>49506.697773282402</v>
      </c>
      <c r="L6561">
        <v>11.305</v>
      </c>
      <c r="M6561">
        <v>79.141000000000005</v>
      </c>
      <c r="N6561">
        <v>8.4749999999999996</v>
      </c>
    </row>
    <row r="6562" spans="1:14" x14ac:dyDescent="0.45">
      <c r="A6562">
        <v>2011</v>
      </c>
      <c r="B6562" t="s">
        <v>74</v>
      </c>
      <c r="C6562">
        <v>0</v>
      </c>
      <c r="D6562">
        <v>1</v>
      </c>
      <c r="E6562">
        <v>0</v>
      </c>
      <c r="F6562">
        <v>0</v>
      </c>
      <c r="G6562">
        <v>0</v>
      </c>
      <c r="H6562">
        <v>1</v>
      </c>
      <c r="I6562">
        <v>1</v>
      </c>
      <c r="J6562">
        <v>32535.580796336799</v>
      </c>
      <c r="K6562">
        <v>33748.701968987603</v>
      </c>
      <c r="L6562">
        <v>17.524000000000001</v>
      </c>
      <c r="M6562">
        <v>73.570999999999998</v>
      </c>
      <c r="N6562">
        <v>15.099</v>
      </c>
    </row>
    <row r="6563" spans="1:14" x14ac:dyDescent="0.45">
      <c r="A6563">
        <v>2011</v>
      </c>
      <c r="B6563" t="s">
        <v>75</v>
      </c>
      <c r="C6563">
        <v>1</v>
      </c>
      <c r="D6563">
        <v>0</v>
      </c>
      <c r="E6563">
        <v>0</v>
      </c>
      <c r="F6563">
        <v>0</v>
      </c>
      <c r="G6563">
        <v>1</v>
      </c>
      <c r="H6563">
        <v>0</v>
      </c>
      <c r="I6563">
        <v>0</v>
      </c>
      <c r="J6563">
        <v>12483.502790856999</v>
      </c>
      <c r="K6563">
        <v>10784.014841046401</v>
      </c>
      <c r="L6563">
        <v>54.122</v>
      </c>
      <c r="M6563">
        <v>76.962999999999994</v>
      </c>
      <c r="N6563">
        <v>6.649</v>
      </c>
    </row>
    <row r="6564" spans="1:14" x14ac:dyDescent="0.45">
      <c r="A6564">
        <v>2011</v>
      </c>
      <c r="B6564" t="s">
        <v>76</v>
      </c>
      <c r="C6564">
        <v>1</v>
      </c>
      <c r="D6564">
        <v>0</v>
      </c>
      <c r="E6564">
        <v>0</v>
      </c>
      <c r="F6564">
        <v>0</v>
      </c>
      <c r="G6564">
        <v>1</v>
      </c>
      <c r="H6564">
        <v>0</v>
      </c>
      <c r="I6564">
        <v>0</v>
      </c>
      <c r="J6564">
        <v>25404.756603449001</v>
      </c>
      <c r="K6564">
        <v>18342.108978387801</v>
      </c>
      <c r="L6564">
        <v>24.812000000000001</v>
      </c>
      <c r="M6564">
        <v>71.067999999999998</v>
      </c>
      <c r="N6564">
        <v>5.3209999999999997</v>
      </c>
    </row>
    <row r="6565" spans="1:14" x14ac:dyDescent="0.45">
      <c r="A6565">
        <v>2011</v>
      </c>
      <c r="B6565" t="s">
        <v>77</v>
      </c>
      <c r="C6565">
        <v>0</v>
      </c>
      <c r="D6565">
        <v>1</v>
      </c>
      <c r="E6565">
        <v>0</v>
      </c>
      <c r="F6565">
        <v>1</v>
      </c>
      <c r="G6565">
        <v>0</v>
      </c>
      <c r="H6565">
        <v>0</v>
      </c>
      <c r="I6565">
        <v>0</v>
      </c>
      <c r="J6565">
        <v>11584.285160706801</v>
      </c>
      <c r="K6565">
        <v>9129.49609879747</v>
      </c>
      <c r="L6565">
        <v>54.771999999999998</v>
      </c>
      <c r="M6565">
        <v>70.974999999999994</v>
      </c>
      <c r="N6565">
        <v>18.103999999999999</v>
      </c>
    </row>
    <row r="6566" spans="1:14" x14ac:dyDescent="0.45">
      <c r="A6566">
        <v>2011</v>
      </c>
      <c r="B6566" t="s">
        <v>78</v>
      </c>
      <c r="C6566">
        <v>0</v>
      </c>
      <c r="D6566">
        <v>0</v>
      </c>
      <c r="E6566">
        <v>0</v>
      </c>
      <c r="F6566">
        <v>0</v>
      </c>
      <c r="G6566">
        <v>0</v>
      </c>
      <c r="H6566">
        <v>1</v>
      </c>
      <c r="I6566">
        <v>1</v>
      </c>
      <c r="J6566">
        <v>101989.927295974</v>
      </c>
      <c r="K6566">
        <v>90614.370427271206</v>
      </c>
      <c r="L6566">
        <v>0</v>
      </c>
      <c r="M6566">
        <v>79.650999999999996</v>
      </c>
      <c r="N6566">
        <v>4.3689999999999998</v>
      </c>
    </row>
    <row r="6567" spans="1:14" x14ac:dyDescent="0.45">
      <c r="A6567">
        <v>2011</v>
      </c>
      <c r="B6567" t="s">
        <v>79</v>
      </c>
      <c r="C6567">
        <v>0</v>
      </c>
      <c r="D6567">
        <v>1</v>
      </c>
      <c r="E6567">
        <v>0</v>
      </c>
      <c r="F6567">
        <v>1</v>
      </c>
      <c r="G6567">
        <v>0</v>
      </c>
      <c r="H6567">
        <v>0</v>
      </c>
      <c r="I6567">
        <v>0</v>
      </c>
      <c r="J6567">
        <v>7837.4931880132699</v>
      </c>
      <c r="K6567">
        <v>6916.9812801935504</v>
      </c>
      <c r="L6567">
        <v>33.125999999999998</v>
      </c>
      <c r="M6567">
        <v>66.281999999999996</v>
      </c>
      <c r="N6567">
        <v>59.206000000000003</v>
      </c>
    </row>
    <row r="6568" spans="1:14" x14ac:dyDescent="0.45">
      <c r="A6568">
        <v>2011</v>
      </c>
      <c r="B6568" t="s">
        <v>80</v>
      </c>
      <c r="C6568">
        <v>0</v>
      </c>
      <c r="D6568">
        <v>1</v>
      </c>
      <c r="E6568">
        <v>0</v>
      </c>
      <c r="F6568">
        <v>0</v>
      </c>
      <c r="G6568">
        <v>1</v>
      </c>
      <c r="H6568">
        <v>0</v>
      </c>
      <c r="I6568">
        <v>0</v>
      </c>
      <c r="J6568">
        <v>18627.810452939699</v>
      </c>
      <c r="K6568">
        <v>15301.0537899795</v>
      </c>
      <c r="L6568">
        <v>15.369</v>
      </c>
      <c r="M6568">
        <v>74.046999999999997</v>
      </c>
      <c r="N6568">
        <v>18.178999999999998</v>
      </c>
    </row>
    <row r="6569" spans="1:14" x14ac:dyDescent="0.45">
      <c r="A6569">
        <v>2011</v>
      </c>
      <c r="B6569" t="s">
        <v>81</v>
      </c>
      <c r="C6569">
        <v>0</v>
      </c>
      <c r="D6569">
        <v>1</v>
      </c>
      <c r="E6569">
        <v>0</v>
      </c>
      <c r="F6569">
        <v>0</v>
      </c>
      <c r="G6569">
        <v>0</v>
      </c>
      <c r="H6569">
        <v>1</v>
      </c>
      <c r="I6569">
        <v>1</v>
      </c>
      <c r="J6569">
        <v>19050.5673740077</v>
      </c>
      <c r="K6569">
        <v>18195.188696273101</v>
      </c>
      <c r="L6569">
        <v>68.3</v>
      </c>
      <c r="M6569">
        <v>75.599000000000004</v>
      </c>
      <c r="N6569">
        <v>14.223000000000001</v>
      </c>
    </row>
    <row r="6570" spans="1:14" x14ac:dyDescent="0.45">
      <c r="A6570">
        <v>2011</v>
      </c>
      <c r="B6570" t="s">
        <v>82</v>
      </c>
      <c r="C6570">
        <v>0</v>
      </c>
      <c r="D6570">
        <v>0</v>
      </c>
      <c r="E6570">
        <v>0</v>
      </c>
      <c r="F6570">
        <v>0</v>
      </c>
      <c r="G6570">
        <v>0</v>
      </c>
      <c r="H6570">
        <v>1</v>
      </c>
      <c r="I6570">
        <v>1</v>
      </c>
      <c r="J6570">
        <v>90279.663340281899</v>
      </c>
      <c r="K6570">
        <v>70490.765025286804</v>
      </c>
      <c r="L6570">
        <v>24.69</v>
      </c>
      <c r="M6570">
        <v>74.834999999999994</v>
      </c>
      <c r="N6570">
        <v>9.7270000000000003</v>
      </c>
    </row>
    <row r="6571" spans="1:14" x14ac:dyDescent="0.45">
      <c r="A6571">
        <v>2011</v>
      </c>
      <c r="B6571" t="s">
        <v>83</v>
      </c>
      <c r="C6571">
        <v>0</v>
      </c>
      <c r="D6571">
        <v>0</v>
      </c>
      <c r="E6571">
        <v>0</v>
      </c>
      <c r="F6571">
        <v>1</v>
      </c>
      <c r="G6571">
        <v>0</v>
      </c>
      <c r="H6571">
        <v>0</v>
      </c>
      <c r="I6571">
        <v>0</v>
      </c>
      <c r="J6571">
        <v>10714.686566371</v>
      </c>
      <c r="K6571">
        <v>9280.2735563697497</v>
      </c>
      <c r="L6571">
        <v>64.415000000000006</v>
      </c>
      <c r="M6571">
        <v>69.28</v>
      </c>
      <c r="N6571">
        <v>37.703000000000003</v>
      </c>
    </row>
    <row r="6572" spans="1:14" x14ac:dyDescent="0.45">
      <c r="A6572">
        <v>2011</v>
      </c>
      <c r="B6572" t="s">
        <v>84</v>
      </c>
      <c r="C6572">
        <v>0</v>
      </c>
      <c r="D6572">
        <v>0</v>
      </c>
      <c r="E6572">
        <v>1</v>
      </c>
      <c r="F6572">
        <v>0</v>
      </c>
      <c r="G6572">
        <v>1</v>
      </c>
      <c r="H6572">
        <v>0</v>
      </c>
      <c r="I6572">
        <v>0</v>
      </c>
      <c r="J6572">
        <v>15236.7188806459</v>
      </c>
      <c r="K6572">
        <v>13785.9765566351</v>
      </c>
      <c r="L6572">
        <v>36.134999999999998</v>
      </c>
      <c r="M6572">
        <v>59.715000000000003</v>
      </c>
      <c r="N6572">
        <v>56.482999999999997</v>
      </c>
    </row>
    <row r="6573" spans="1:14" x14ac:dyDescent="0.45">
      <c r="A6573">
        <v>2011</v>
      </c>
      <c r="B6573" t="s">
        <v>85</v>
      </c>
      <c r="C6573">
        <v>0</v>
      </c>
      <c r="D6573">
        <v>0</v>
      </c>
      <c r="E6573">
        <v>1</v>
      </c>
      <c r="F6573">
        <v>0</v>
      </c>
      <c r="G6573">
        <v>0</v>
      </c>
      <c r="H6573">
        <v>0</v>
      </c>
      <c r="I6573">
        <v>0</v>
      </c>
      <c r="J6573">
        <v>1517.14839091011</v>
      </c>
      <c r="K6573">
        <v>1214.70535036514</v>
      </c>
      <c r="L6573">
        <v>60.865000000000002</v>
      </c>
      <c r="M6573">
        <v>50.106999999999999</v>
      </c>
      <c r="N6573">
        <v>133.07300000000001</v>
      </c>
    </row>
    <row r="6574" spans="1:14" x14ac:dyDescent="0.45">
      <c r="A6574">
        <v>2011</v>
      </c>
      <c r="B6574" t="s">
        <v>86</v>
      </c>
      <c r="C6574">
        <v>0</v>
      </c>
      <c r="D6574">
        <v>0</v>
      </c>
      <c r="E6574">
        <v>0</v>
      </c>
      <c r="F6574">
        <v>0</v>
      </c>
      <c r="G6574">
        <v>0</v>
      </c>
      <c r="H6574">
        <v>1</v>
      </c>
      <c r="I6574">
        <v>1</v>
      </c>
      <c r="J6574">
        <v>53681.1296700569</v>
      </c>
      <c r="K6574">
        <v>46467.275636204897</v>
      </c>
      <c r="L6574">
        <v>18.904</v>
      </c>
      <c r="M6574">
        <v>81.513000000000005</v>
      </c>
      <c r="N6574">
        <v>5.5709999999999997</v>
      </c>
    </row>
    <row r="6575" spans="1:14" x14ac:dyDescent="0.45">
      <c r="A6575">
        <v>2011</v>
      </c>
      <c r="B6575" t="s">
        <v>87</v>
      </c>
      <c r="C6575">
        <v>1</v>
      </c>
      <c r="D6575">
        <v>0</v>
      </c>
      <c r="E6575">
        <v>0</v>
      </c>
      <c r="F6575">
        <v>0</v>
      </c>
      <c r="G6575">
        <v>0</v>
      </c>
      <c r="H6575">
        <v>1</v>
      </c>
      <c r="I6575">
        <v>1</v>
      </c>
      <c r="J6575">
        <v>74800.888635353302</v>
      </c>
      <c r="K6575">
        <v>65074.297319158599</v>
      </c>
      <c r="L6575">
        <v>26.369</v>
      </c>
      <c r="M6575">
        <v>82.573999999999998</v>
      </c>
      <c r="N6575">
        <v>4.3689999999999998</v>
      </c>
    </row>
    <row r="6576" spans="1:14" x14ac:dyDescent="0.45">
      <c r="A6576">
        <v>2011</v>
      </c>
      <c r="B6576" t="s">
        <v>88</v>
      </c>
      <c r="C6576">
        <v>1</v>
      </c>
      <c r="D6576">
        <v>0</v>
      </c>
      <c r="E6576">
        <v>0</v>
      </c>
      <c r="F6576">
        <v>0</v>
      </c>
      <c r="G6576">
        <v>0</v>
      </c>
      <c r="H6576">
        <v>1</v>
      </c>
      <c r="I6576">
        <v>1</v>
      </c>
      <c r="L6576">
        <v>68.909000000000006</v>
      </c>
      <c r="M6576">
        <v>81.4281131704507</v>
      </c>
      <c r="N6576">
        <v>8.3659383492166892</v>
      </c>
    </row>
    <row r="6577" spans="1:14" x14ac:dyDescent="0.45">
      <c r="A6577">
        <v>2011</v>
      </c>
      <c r="B6577" t="s">
        <v>89</v>
      </c>
      <c r="C6577">
        <v>0</v>
      </c>
      <c r="D6577">
        <v>1</v>
      </c>
      <c r="E6577">
        <v>0</v>
      </c>
      <c r="F6577">
        <v>0</v>
      </c>
      <c r="G6577">
        <v>1</v>
      </c>
      <c r="H6577">
        <v>0</v>
      </c>
      <c r="I6577">
        <v>0</v>
      </c>
      <c r="J6577">
        <v>25366.269024982499</v>
      </c>
      <c r="K6577">
        <v>22096.099010490299</v>
      </c>
      <c r="L6577">
        <v>12.868</v>
      </c>
      <c r="M6577">
        <v>79.236000000000004</v>
      </c>
      <c r="N6577">
        <v>8.9120000000000008</v>
      </c>
    </row>
    <row r="6578" spans="1:14" x14ac:dyDescent="0.45">
      <c r="A6578">
        <v>2011</v>
      </c>
      <c r="B6578" t="s">
        <v>90</v>
      </c>
      <c r="C6578">
        <v>0</v>
      </c>
      <c r="D6578">
        <v>0</v>
      </c>
      <c r="E6578">
        <v>0</v>
      </c>
      <c r="F6578">
        <v>0</v>
      </c>
      <c r="G6578">
        <v>1</v>
      </c>
      <c r="H6578">
        <v>0</v>
      </c>
      <c r="I6578">
        <v>0</v>
      </c>
      <c r="J6578">
        <v>11405.0172845617</v>
      </c>
      <c r="K6578">
        <v>10223.859525207199</v>
      </c>
      <c r="L6578">
        <v>49.488999999999997</v>
      </c>
      <c r="M6578">
        <v>75.888999999999996</v>
      </c>
      <c r="N6578">
        <v>14.675000000000001</v>
      </c>
    </row>
    <row r="6579" spans="1:14" x14ac:dyDescent="0.45">
      <c r="A6579">
        <v>2011</v>
      </c>
      <c r="B6579" t="s">
        <v>91</v>
      </c>
      <c r="C6579">
        <v>0</v>
      </c>
      <c r="D6579">
        <v>0</v>
      </c>
      <c r="E6579">
        <v>1</v>
      </c>
      <c r="F6579">
        <v>1</v>
      </c>
      <c r="G6579">
        <v>0</v>
      </c>
      <c r="H6579">
        <v>0</v>
      </c>
      <c r="I6579">
        <v>0</v>
      </c>
      <c r="J6579">
        <v>4017.4078204020798</v>
      </c>
      <c r="K6579">
        <v>3391.2838532799101</v>
      </c>
      <c r="L6579">
        <v>52.249000000000002</v>
      </c>
      <c r="M6579">
        <v>55.972000000000001</v>
      </c>
      <c r="N6579">
        <v>99.451999999999998</v>
      </c>
    </row>
    <row r="6580" spans="1:14" x14ac:dyDescent="0.45">
      <c r="A6580">
        <v>2011</v>
      </c>
      <c r="B6580" t="s">
        <v>92</v>
      </c>
      <c r="C6580">
        <v>0</v>
      </c>
      <c r="D6580">
        <v>0</v>
      </c>
      <c r="E6580">
        <v>1</v>
      </c>
      <c r="F6580">
        <v>1</v>
      </c>
      <c r="G6580">
        <v>0</v>
      </c>
      <c r="H6580">
        <v>0</v>
      </c>
      <c r="I6580">
        <v>0</v>
      </c>
      <c r="J6580">
        <v>4307.8519555852699</v>
      </c>
      <c r="K6580">
        <v>3382.5794831974299</v>
      </c>
      <c r="L6580">
        <v>47.835999999999999</v>
      </c>
      <c r="M6580">
        <v>57.481999999999999</v>
      </c>
      <c r="N6580">
        <v>105.899</v>
      </c>
    </row>
    <row r="6581" spans="1:14" x14ac:dyDescent="0.45">
      <c r="A6581">
        <v>2011</v>
      </c>
      <c r="B6581" t="s">
        <v>93</v>
      </c>
      <c r="C6581">
        <v>0</v>
      </c>
      <c r="D6581">
        <v>0</v>
      </c>
      <c r="E6581">
        <v>1</v>
      </c>
      <c r="F6581">
        <v>0</v>
      </c>
      <c r="G6581">
        <v>0</v>
      </c>
      <c r="H6581">
        <v>0</v>
      </c>
      <c r="I6581">
        <v>0</v>
      </c>
      <c r="J6581">
        <v>1066.5795145038201</v>
      </c>
      <c r="K6581">
        <v>853.86571226877004</v>
      </c>
      <c r="L6581">
        <v>59.456000000000003</v>
      </c>
      <c r="M6581">
        <v>56.911000000000001</v>
      </c>
      <c r="N6581">
        <v>109.86799999999999</v>
      </c>
    </row>
    <row r="6582" spans="1:14" x14ac:dyDescent="0.45">
      <c r="A6582">
        <v>2011</v>
      </c>
      <c r="B6582" t="s">
        <v>94</v>
      </c>
      <c r="C6582">
        <v>0</v>
      </c>
      <c r="D6582">
        <v>0</v>
      </c>
      <c r="E6582">
        <v>1</v>
      </c>
      <c r="F6582">
        <v>1</v>
      </c>
      <c r="G6582">
        <v>0</v>
      </c>
      <c r="H6582">
        <v>0</v>
      </c>
      <c r="I6582">
        <v>0</v>
      </c>
      <c r="J6582">
        <v>8492.4209839210307</v>
      </c>
      <c r="K6582">
        <v>5119.6153256096804</v>
      </c>
      <c r="L6582">
        <v>36.287999999999997</v>
      </c>
      <c r="M6582">
        <v>62.286000000000001</v>
      </c>
      <c r="N6582">
        <v>60.537999999999997</v>
      </c>
    </row>
    <row r="6583" spans="1:14" x14ac:dyDescent="0.45">
      <c r="A6583">
        <v>2011</v>
      </c>
      <c r="B6583" t="s">
        <v>95</v>
      </c>
      <c r="C6583">
        <v>0</v>
      </c>
      <c r="D6583">
        <v>1</v>
      </c>
      <c r="E6583">
        <v>0</v>
      </c>
      <c r="F6583">
        <v>0</v>
      </c>
      <c r="G6583">
        <v>1</v>
      </c>
      <c r="H6583">
        <v>0</v>
      </c>
      <c r="I6583">
        <v>0</v>
      </c>
      <c r="J6583">
        <v>14852.3699513061</v>
      </c>
      <c r="K6583">
        <v>12366.2240921424</v>
      </c>
      <c r="L6583">
        <v>21.664999999999999</v>
      </c>
      <c r="M6583">
        <v>75.180000000000007</v>
      </c>
      <c r="N6583">
        <v>17.951000000000001</v>
      </c>
    </row>
    <row r="6584" spans="1:14" x14ac:dyDescent="0.45">
      <c r="A6584">
        <v>2011</v>
      </c>
      <c r="B6584" t="s">
        <v>96</v>
      </c>
      <c r="C6584">
        <v>0</v>
      </c>
      <c r="D6584">
        <v>0</v>
      </c>
      <c r="E6584">
        <v>1</v>
      </c>
      <c r="F6584">
        <v>0</v>
      </c>
      <c r="G6584">
        <v>0</v>
      </c>
      <c r="H6584">
        <v>0</v>
      </c>
      <c r="I6584">
        <v>0</v>
      </c>
      <c r="J6584">
        <v>2752.9529559795201</v>
      </c>
      <c r="K6584">
        <v>2846.90469193428</v>
      </c>
      <c r="L6584">
        <v>71.959999999999994</v>
      </c>
      <c r="M6584">
        <v>63.104999999999997</v>
      </c>
      <c r="N6584">
        <v>70.147999999999996</v>
      </c>
    </row>
    <row r="6585" spans="1:14" x14ac:dyDescent="0.45">
      <c r="A6585">
        <v>2011</v>
      </c>
      <c r="B6585" t="s">
        <v>97</v>
      </c>
      <c r="C6585">
        <v>0</v>
      </c>
      <c r="D6585">
        <v>0</v>
      </c>
      <c r="E6585">
        <v>1</v>
      </c>
      <c r="F6585">
        <v>1</v>
      </c>
      <c r="G6585">
        <v>0</v>
      </c>
      <c r="H6585">
        <v>0</v>
      </c>
      <c r="I6585">
        <v>0</v>
      </c>
      <c r="J6585">
        <v>7325.7844183469197</v>
      </c>
      <c r="K6585">
        <v>7059.9617848672597</v>
      </c>
      <c r="L6585">
        <v>37.677999999999997</v>
      </c>
      <c r="M6585">
        <v>72.912999999999997</v>
      </c>
      <c r="N6585">
        <v>23.658000000000001</v>
      </c>
    </row>
    <row r="6586" spans="1:14" x14ac:dyDescent="0.45">
      <c r="A6586">
        <v>2011</v>
      </c>
      <c r="B6586" t="s">
        <v>98</v>
      </c>
      <c r="C6586">
        <v>0</v>
      </c>
      <c r="D6586">
        <v>1</v>
      </c>
      <c r="E6586">
        <v>0</v>
      </c>
      <c r="F6586">
        <v>0</v>
      </c>
      <c r="G6586">
        <v>1</v>
      </c>
      <c r="H6586">
        <v>0</v>
      </c>
      <c r="I6586">
        <v>0</v>
      </c>
      <c r="J6586">
        <v>19254.914215321602</v>
      </c>
      <c r="K6586">
        <v>17239.972973309199</v>
      </c>
      <c r="L6586">
        <v>27.132000000000001</v>
      </c>
      <c r="M6586">
        <v>79.623999999999995</v>
      </c>
      <c r="N6586">
        <v>10.148</v>
      </c>
    </row>
    <row r="6587" spans="1:14" x14ac:dyDescent="0.45">
      <c r="A6587">
        <v>2011</v>
      </c>
      <c r="B6587" t="s">
        <v>99</v>
      </c>
      <c r="C6587">
        <v>0</v>
      </c>
      <c r="D6587">
        <v>1</v>
      </c>
      <c r="E6587">
        <v>0</v>
      </c>
      <c r="F6587">
        <v>0</v>
      </c>
      <c r="G6587">
        <v>1</v>
      </c>
      <c r="H6587">
        <v>0</v>
      </c>
      <c r="I6587">
        <v>0</v>
      </c>
      <c r="L6587">
        <v>23.311</v>
      </c>
      <c r="M6587">
        <v>78.051000000000002</v>
      </c>
      <c r="N6587">
        <v>6.2110000000000003</v>
      </c>
    </row>
    <row r="6588" spans="1:14" x14ac:dyDescent="0.45">
      <c r="A6588">
        <v>2011</v>
      </c>
      <c r="B6588" t="s">
        <v>100</v>
      </c>
      <c r="C6588">
        <v>0</v>
      </c>
      <c r="D6588">
        <v>1</v>
      </c>
      <c r="E6588">
        <v>0</v>
      </c>
      <c r="F6588">
        <v>0</v>
      </c>
      <c r="G6588">
        <v>0</v>
      </c>
      <c r="H6588">
        <v>1</v>
      </c>
      <c r="I6588">
        <v>1</v>
      </c>
      <c r="J6588">
        <v>32704.355444635901</v>
      </c>
      <c r="K6588">
        <v>26755.838914314001</v>
      </c>
      <c r="L6588">
        <v>10.225</v>
      </c>
      <c r="M6588">
        <v>75.575999999999993</v>
      </c>
      <c r="N6588">
        <v>13.474</v>
      </c>
    </row>
    <row r="6589" spans="1:14" x14ac:dyDescent="0.45">
      <c r="A6589">
        <v>2011</v>
      </c>
      <c r="B6589" t="s">
        <v>101</v>
      </c>
      <c r="C6589">
        <v>0</v>
      </c>
      <c r="D6589">
        <v>1</v>
      </c>
      <c r="E6589">
        <v>0</v>
      </c>
      <c r="F6589">
        <v>0</v>
      </c>
      <c r="G6589">
        <v>0</v>
      </c>
      <c r="H6589">
        <v>1</v>
      </c>
      <c r="I6589">
        <v>1</v>
      </c>
      <c r="J6589">
        <v>75059.658067876095</v>
      </c>
      <c r="K6589">
        <v>68469.140264636299</v>
      </c>
      <c r="L6589">
        <v>0</v>
      </c>
      <c r="M6589">
        <v>76.561999999999998</v>
      </c>
      <c r="N6589">
        <v>3.95</v>
      </c>
    </row>
    <row r="6590" spans="1:14" x14ac:dyDescent="0.45">
      <c r="A6590">
        <v>2011</v>
      </c>
      <c r="B6590" t="s">
        <v>102</v>
      </c>
      <c r="C6590">
        <v>1</v>
      </c>
      <c r="D6590">
        <v>0</v>
      </c>
      <c r="E6590">
        <v>0</v>
      </c>
      <c r="F6590">
        <v>0</v>
      </c>
      <c r="G6590">
        <v>0</v>
      </c>
      <c r="H6590">
        <v>1</v>
      </c>
      <c r="I6590">
        <v>1</v>
      </c>
      <c r="J6590">
        <v>41213.87109375</v>
      </c>
      <c r="K6590">
        <v>36715.053628039001</v>
      </c>
      <c r="L6590">
        <v>32.594000000000001</v>
      </c>
      <c r="M6590">
        <v>80.855000000000004</v>
      </c>
      <c r="N6590">
        <v>3.3210000000000002</v>
      </c>
    </row>
    <row r="6591" spans="1:14" x14ac:dyDescent="0.45">
      <c r="A6591">
        <v>2011</v>
      </c>
      <c r="B6591" t="s">
        <v>103</v>
      </c>
      <c r="C6591">
        <v>1</v>
      </c>
      <c r="D6591">
        <v>0</v>
      </c>
      <c r="E6591">
        <v>0</v>
      </c>
      <c r="F6591">
        <v>0</v>
      </c>
      <c r="G6591">
        <v>0</v>
      </c>
      <c r="H6591">
        <v>1</v>
      </c>
      <c r="I6591">
        <v>1</v>
      </c>
      <c r="J6591">
        <v>39708.162628019498</v>
      </c>
      <c r="K6591">
        <v>33061.1171813767</v>
      </c>
      <c r="L6591">
        <v>26.815000000000001</v>
      </c>
      <c r="M6591">
        <v>77.813999999999993</v>
      </c>
      <c r="N6591">
        <v>3.2410000000000001</v>
      </c>
    </row>
    <row r="6592" spans="1:14" x14ac:dyDescent="0.45">
      <c r="A6592">
        <v>2011</v>
      </c>
      <c r="B6592" t="s">
        <v>104</v>
      </c>
      <c r="C6592">
        <v>1</v>
      </c>
      <c r="D6592">
        <v>0</v>
      </c>
      <c r="E6592">
        <v>0</v>
      </c>
      <c r="F6592">
        <v>0</v>
      </c>
      <c r="G6592">
        <v>0</v>
      </c>
      <c r="H6592">
        <v>1</v>
      </c>
      <c r="I6592">
        <v>1</v>
      </c>
      <c r="J6592">
        <v>57992.366744764702</v>
      </c>
      <c r="K6592">
        <v>50282.405286905101</v>
      </c>
      <c r="L6592">
        <v>22.84</v>
      </c>
      <c r="M6592">
        <v>80.355000000000004</v>
      </c>
      <c r="N6592">
        <v>4.2759999999999998</v>
      </c>
    </row>
    <row r="6593" spans="1:14" x14ac:dyDescent="0.45">
      <c r="A6593">
        <v>2011</v>
      </c>
      <c r="B6593" t="s">
        <v>105</v>
      </c>
      <c r="C6593">
        <v>0</v>
      </c>
      <c r="D6593">
        <v>0</v>
      </c>
      <c r="E6593">
        <v>0</v>
      </c>
      <c r="F6593">
        <v>1</v>
      </c>
      <c r="G6593">
        <v>0</v>
      </c>
      <c r="H6593">
        <v>0</v>
      </c>
      <c r="I6593">
        <v>0</v>
      </c>
      <c r="J6593">
        <v>4126.8821869222502</v>
      </c>
      <c r="K6593">
        <v>3559.6457184491201</v>
      </c>
      <c r="L6593">
        <v>22.936</v>
      </c>
      <c r="M6593">
        <v>61.337000000000003</v>
      </c>
      <c r="N6593">
        <v>73.546000000000006</v>
      </c>
    </row>
    <row r="6594" spans="1:14" x14ac:dyDescent="0.45">
      <c r="A6594">
        <v>2011</v>
      </c>
      <c r="B6594" t="s">
        <v>106</v>
      </c>
      <c r="C6594">
        <v>0</v>
      </c>
      <c r="D6594">
        <v>1</v>
      </c>
      <c r="E6594">
        <v>0</v>
      </c>
      <c r="F6594">
        <v>0</v>
      </c>
      <c r="G6594">
        <v>1</v>
      </c>
      <c r="H6594">
        <v>0</v>
      </c>
      <c r="I6594">
        <v>0</v>
      </c>
      <c r="J6594">
        <v>17475.0411061698</v>
      </c>
      <c r="K6594">
        <v>13599.572063288801</v>
      </c>
      <c r="L6594">
        <v>31.611000000000001</v>
      </c>
      <c r="M6594">
        <v>71.516999999999996</v>
      </c>
      <c r="N6594">
        <v>23.838999999999999</v>
      </c>
    </row>
    <row r="6595" spans="1:14" x14ac:dyDescent="0.45">
      <c r="A6595">
        <v>2011</v>
      </c>
      <c r="B6595" t="s">
        <v>107</v>
      </c>
      <c r="C6595">
        <v>1</v>
      </c>
      <c r="D6595">
        <v>0</v>
      </c>
      <c r="E6595">
        <v>0</v>
      </c>
      <c r="F6595">
        <v>0</v>
      </c>
      <c r="G6595">
        <v>0</v>
      </c>
      <c r="H6595">
        <v>1</v>
      </c>
      <c r="I6595">
        <v>1</v>
      </c>
      <c r="J6595">
        <v>60230.354178393798</v>
      </c>
      <c r="K6595">
        <v>50903.5084767718</v>
      </c>
      <c r="L6595">
        <v>13.042999999999999</v>
      </c>
      <c r="M6595">
        <v>79.786000000000001</v>
      </c>
      <c r="N6595">
        <v>3.9809999999999999</v>
      </c>
    </row>
    <row r="6596" spans="1:14" x14ac:dyDescent="0.45">
      <c r="A6596">
        <v>2011</v>
      </c>
      <c r="B6596" t="s">
        <v>108</v>
      </c>
      <c r="C6596">
        <v>0</v>
      </c>
      <c r="D6596">
        <v>1</v>
      </c>
      <c r="E6596">
        <v>0</v>
      </c>
      <c r="F6596">
        <v>0</v>
      </c>
      <c r="G6596">
        <v>1</v>
      </c>
      <c r="H6596">
        <v>0</v>
      </c>
      <c r="I6596">
        <v>0</v>
      </c>
      <c r="J6596">
        <v>15258.085814850299</v>
      </c>
      <c r="K6596">
        <v>13180.315931405201</v>
      </c>
      <c r="L6596">
        <v>25.172999999999998</v>
      </c>
      <c r="M6596">
        <v>72.495999999999995</v>
      </c>
      <c r="N6596">
        <v>35.405000000000001</v>
      </c>
    </row>
    <row r="6597" spans="1:14" x14ac:dyDescent="0.45">
      <c r="A6597">
        <v>2011</v>
      </c>
      <c r="B6597" t="s">
        <v>109</v>
      </c>
      <c r="C6597">
        <v>0</v>
      </c>
      <c r="D6597">
        <v>0</v>
      </c>
      <c r="E6597">
        <v>0</v>
      </c>
      <c r="F6597">
        <v>0</v>
      </c>
      <c r="G6597">
        <v>1</v>
      </c>
      <c r="H6597">
        <v>0</v>
      </c>
      <c r="I6597">
        <v>0</v>
      </c>
      <c r="J6597">
        <v>14641.9640935685</v>
      </c>
      <c r="K6597">
        <v>12806.361420944</v>
      </c>
      <c r="L6597">
        <v>31.763999999999999</v>
      </c>
      <c r="M6597">
        <v>74.382999999999996</v>
      </c>
      <c r="N6597">
        <v>27.349</v>
      </c>
    </row>
    <row r="6598" spans="1:14" x14ac:dyDescent="0.45">
      <c r="A6598">
        <v>2011</v>
      </c>
      <c r="B6598" t="s">
        <v>110</v>
      </c>
      <c r="C6598">
        <v>0</v>
      </c>
      <c r="D6598">
        <v>1</v>
      </c>
      <c r="E6598">
        <v>0</v>
      </c>
      <c r="F6598">
        <v>0</v>
      </c>
      <c r="G6598">
        <v>1</v>
      </c>
      <c r="H6598">
        <v>0</v>
      </c>
      <c r="I6598">
        <v>0</v>
      </c>
      <c r="J6598">
        <v>12449.0785549218</v>
      </c>
      <c r="K6598">
        <v>10354.493403705401</v>
      </c>
      <c r="L6598">
        <v>37.149000000000001</v>
      </c>
      <c r="M6598">
        <v>75.179000000000002</v>
      </c>
      <c r="N6598">
        <v>18.105</v>
      </c>
    </row>
    <row r="6599" spans="1:14" x14ac:dyDescent="0.45">
      <c r="A6599">
        <v>2011</v>
      </c>
      <c r="B6599" t="s">
        <v>111</v>
      </c>
      <c r="C6599">
        <v>0</v>
      </c>
      <c r="D6599">
        <v>0</v>
      </c>
      <c r="E6599">
        <v>0</v>
      </c>
      <c r="F6599">
        <v>1</v>
      </c>
      <c r="G6599">
        <v>0</v>
      </c>
      <c r="H6599">
        <v>0</v>
      </c>
      <c r="I6599">
        <v>0</v>
      </c>
      <c r="J6599">
        <v>13082.426368070101</v>
      </c>
      <c r="K6599">
        <v>10381.9931447827</v>
      </c>
      <c r="L6599">
        <v>57</v>
      </c>
      <c r="M6599">
        <v>69.231999999999999</v>
      </c>
      <c r="N6599">
        <v>27.561</v>
      </c>
    </row>
    <row r="6600" spans="1:14" x14ac:dyDescent="0.45">
      <c r="A6600">
        <v>2011</v>
      </c>
      <c r="B6600" t="s">
        <v>112</v>
      </c>
      <c r="C6600">
        <v>0</v>
      </c>
      <c r="D6600">
        <v>0</v>
      </c>
      <c r="E6600">
        <v>1</v>
      </c>
      <c r="F6600">
        <v>0</v>
      </c>
      <c r="G6600">
        <v>0</v>
      </c>
      <c r="H6600">
        <v>0</v>
      </c>
      <c r="I6600">
        <v>0</v>
      </c>
      <c r="L6600">
        <v>64.228999999999999</v>
      </c>
      <c r="M6600">
        <v>64.230999999999995</v>
      </c>
      <c r="N6600">
        <v>53.42</v>
      </c>
    </row>
    <row r="6601" spans="1:14" x14ac:dyDescent="0.45">
      <c r="A6601">
        <v>2011</v>
      </c>
      <c r="B6601" t="s">
        <v>113</v>
      </c>
      <c r="C6601">
        <v>1</v>
      </c>
      <c r="D6601">
        <v>0</v>
      </c>
      <c r="E6601">
        <v>0</v>
      </c>
      <c r="F6601">
        <v>0</v>
      </c>
      <c r="G6601">
        <v>0</v>
      </c>
      <c r="H6601">
        <v>1</v>
      </c>
      <c r="I6601">
        <v>1</v>
      </c>
      <c r="J6601">
        <v>42271.834678823798</v>
      </c>
      <c r="K6601">
        <v>37200.338783737701</v>
      </c>
      <c r="L6601">
        <v>21.327000000000002</v>
      </c>
      <c r="M6601">
        <v>82.18</v>
      </c>
      <c r="N6601">
        <v>3.6869999999999998</v>
      </c>
    </row>
    <row r="6602" spans="1:14" x14ac:dyDescent="0.45">
      <c r="A6602">
        <v>2011</v>
      </c>
      <c r="B6602" t="s">
        <v>114</v>
      </c>
      <c r="C6602">
        <v>1</v>
      </c>
      <c r="D6602">
        <v>0</v>
      </c>
      <c r="E6602">
        <v>0</v>
      </c>
      <c r="F6602">
        <v>0</v>
      </c>
      <c r="G6602">
        <v>0</v>
      </c>
      <c r="H6602">
        <v>1</v>
      </c>
      <c r="I6602">
        <v>1</v>
      </c>
      <c r="J6602">
        <v>32789.4323795893</v>
      </c>
      <c r="K6602">
        <v>27818.747073311199</v>
      </c>
      <c r="L6602">
        <v>32.034999999999997</v>
      </c>
      <c r="M6602">
        <v>76.346000000000004</v>
      </c>
      <c r="N6602">
        <v>3.0619999999999998</v>
      </c>
    </row>
    <row r="6603" spans="1:14" x14ac:dyDescent="0.45">
      <c r="A6603">
        <v>2011</v>
      </c>
      <c r="B6603" t="s">
        <v>115</v>
      </c>
      <c r="C6603">
        <v>0</v>
      </c>
      <c r="D6603">
        <v>0</v>
      </c>
      <c r="E6603">
        <v>1</v>
      </c>
      <c r="F6603">
        <v>0</v>
      </c>
      <c r="G6603">
        <v>0</v>
      </c>
      <c r="H6603">
        <v>0</v>
      </c>
      <c r="I6603">
        <v>0</v>
      </c>
      <c r="J6603">
        <v>1492.5339647394901</v>
      </c>
      <c r="K6603">
        <v>1346.1020587785399</v>
      </c>
      <c r="L6603">
        <v>82.265000000000001</v>
      </c>
      <c r="M6603">
        <v>60.594999999999999</v>
      </c>
      <c r="N6603">
        <v>78.290000000000006</v>
      </c>
    </row>
    <row r="6604" spans="1:14" x14ac:dyDescent="0.45">
      <c r="A6604">
        <v>2011</v>
      </c>
      <c r="B6604" t="s">
        <v>116</v>
      </c>
      <c r="C6604">
        <v>1</v>
      </c>
      <c r="D6604">
        <v>0</v>
      </c>
      <c r="E6604">
        <v>0</v>
      </c>
      <c r="F6604">
        <v>0</v>
      </c>
      <c r="G6604">
        <v>0</v>
      </c>
      <c r="H6604">
        <v>1</v>
      </c>
      <c r="I6604">
        <v>1</v>
      </c>
      <c r="J6604">
        <v>55053.390685032296</v>
      </c>
      <c r="K6604">
        <v>46282.439283417698</v>
      </c>
      <c r="L6604">
        <v>15.686999999999999</v>
      </c>
      <c r="M6604">
        <v>80.391999999999996</v>
      </c>
      <c r="N6604">
        <v>2.9769999999999999</v>
      </c>
    </row>
    <row r="6605" spans="1:14" x14ac:dyDescent="0.45">
      <c r="A6605">
        <v>2011</v>
      </c>
      <c r="B6605" t="s">
        <v>117</v>
      </c>
      <c r="C6605">
        <v>0</v>
      </c>
      <c r="D6605">
        <v>0</v>
      </c>
      <c r="E6605">
        <v>0</v>
      </c>
      <c r="F6605">
        <v>1</v>
      </c>
      <c r="G6605">
        <v>0</v>
      </c>
      <c r="H6605">
        <v>0</v>
      </c>
      <c r="I6605">
        <v>0</v>
      </c>
      <c r="J6605">
        <v>10412.9963753257</v>
      </c>
      <c r="K6605">
        <v>10197.475442802701</v>
      </c>
      <c r="L6605">
        <v>47.317</v>
      </c>
      <c r="M6605">
        <v>66.88</v>
      </c>
      <c r="N6605">
        <v>21.852</v>
      </c>
    </row>
    <row r="6606" spans="1:14" x14ac:dyDescent="0.45">
      <c r="A6606">
        <v>2011</v>
      </c>
      <c r="B6606" t="s">
        <v>118</v>
      </c>
      <c r="C6606">
        <v>1</v>
      </c>
      <c r="D6606">
        <v>0</v>
      </c>
      <c r="E6606">
        <v>0</v>
      </c>
      <c r="F6606">
        <v>0</v>
      </c>
      <c r="G6606">
        <v>0</v>
      </c>
      <c r="H6606">
        <v>1</v>
      </c>
      <c r="I6606">
        <v>1</v>
      </c>
      <c r="J6606">
        <v>50085.682977910903</v>
      </c>
      <c r="K6606">
        <v>41816.476004517302</v>
      </c>
      <c r="L6606">
        <v>21.378</v>
      </c>
      <c r="M6606">
        <v>81.781000000000006</v>
      </c>
      <c r="N6606">
        <v>4.0149999999999997</v>
      </c>
    </row>
    <row r="6607" spans="1:14" x14ac:dyDescent="0.45">
      <c r="A6607">
        <v>2011</v>
      </c>
      <c r="B6607" t="s">
        <v>119</v>
      </c>
      <c r="C6607">
        <v>1</v>
      </c>
      <c r="D6607">
        <v>0</v>
      </c>
      <c r="E6607">
        <v>0</v>
      </c>
      <c r="F6607">
        <v>0</v>
      </c>
      <c r="G6607">
        <v>0</v>
      </c>
      <c r="H6607">
        <v>1</v>
      </c>
      <c r="I6607">
        <v>1</v>
      </c>
      <c r="J6607">
        <v>52716.933935157998</v>
      </c>
      <c r="K6607">
        <v>46056.747809905799</v>
      </c>
      <c r="L6607">
        <v>58.911999999999999</v>
      </c>
      <c r="M6607">
        <v>78.89</v>
      </c>
      <c r="N6607">
        <v>8.5440000000000005</v>
      </c>
    </row>
    <row r="6608" spans="1:14" x14ac:dyDescent="0.45">
      <c r="A6608">
        <v>2011</v>
      </c>
      <c r="B6608" t="s">
        <v>120</v>
      </c>
      <c r="C6608">
        <v>0</v>
      </c>
      <c r="D6608">
        <v>0</v>
      </c>
      <c r="E6608">
        <v>0</v>
      </c>
      <c r="F6608">
        <v>1</v>
      </c>
      <c r="G6608">
        <v>0</v>
      </c>
      <c r="H6608">
        <v>0</v>
      </c>
      <c r="I6608">
        <v>0</v>
      </c>
      <c r="J6608">
        <v>3958.9321521748702</v>
      </c>
      <c r="K6608">
        <v>3583.3798932570598</v>
      </c>
      <c r="L6608">
        <v>77.694999999999993</v>
      </c>
      <c r="M6608">
        <v>64.968999999999994</v>
      </c>
      <c r="N6608">
        <v>32.847999999999999</v>
      </c>
    </row>
    <row r="6609" spans="1:14" x14ac:dyDescent="0.45">
      <c r="A6609">
        <v>2011</v>
      </c>
      <c r="B6609" t="s">
        <v>121</v>
      </c>
      <c r="C6609">
        <v>0</v>
      </c>
      <c r="D6609">
        <v>0</v>
      </c>
      <c r="E6609">
        <v>1</v>
      </c>
      <c r="F6609">
        <v>0</v>
      </c>
      <c r="G6609">
        <v>1</v>
      </c>
      <c r="H6609">
        <v>0</v>
      </c>
      <c r="I6609">
        <v>0</v>
      </c>
      <c r="J6609">
        <v>19153.087820094501</v>
      </c>
      <c r="K6609">
        <v>14491.990797618801</v>
      </c>
      <c r="L6609">
        <v>13.907999999999999</v>
      </c>
      <c r="M6609">
        <v>65.102000000000004</v>
      </c>
      <c r="N6609">
        <v>59.277999999999999</v>
      </c>
    </row>
    <row r="6610" spans="1:14" x14ac:dyDescent="0.45">
      <c r="A6610">
        <v>2011</v>
      </c>
      <c r="B6610" t="s">
        <v>122</v>
      </c>
      <c r="C6610">
        <v>1</v>
      </c>
      <c r="D6610">
        <v>0</v>
      </c>
      <c r="E6610">
        <v>0</v>
      </c>
      <c r="F6610">
        <v>0</v>
      </c>
      <c r="G6610">
        <v>0</v>
      </c>
      <c r="H6610">
        <v>1</v>
      </c>
      <c r="I6610">
        <v>1</v>
      </c>
      <c r="J6610">
        <v>47178.919917484702</v>
      </c>
      <c r="K6610">
        <v>40646.062277211196</v>
      </c>
      <c r="L6610">
        <v>18.43</v>
      </c>
      <c r="M6610">
        <v>80.796000000000006</v>
      </c>
      <c r="N6610">
        <v>5.0469999999999997</v>
      </c>
    </row>
    <row r="6611" spans="1:14" x14ac:dyDescent="0.45">
      <c r="A6611">
        <v>2011</v>
      </c>
      <c r="B6611" t="s">
        <v>123</v>
      </c>
      <c r="C6611">
        <v>1</v>
      </c>
      <c r="D6611">
        <v>0</v>
      </c>
      <c r="E6611">
        <v>0</v>
      </c>
      <c r="F6611">
        <v>1</v>
      </c>
      <c r="G6611">
        <v>0</v>
      </c>
      <c r="H6611">
        <v>0</v>
      </c>
      <c r="I6611">
        <v>0</v>
      </c>
      <c r="J6611">
        <v>12288.682886115599</v>
      </c>
      <c r="K6611">
        <v>10382.532193867701</v>
      </c>
      <c r="L6611">
        <v>44.081000000000003</v>
      </c>
      <c r="M6611">
        <v>72.484999999999999</v>
      </c>
      <c r="N6611">
        <v>13.343</v>
      </c>
    </row>
    <row r="6612" spans="1:14" x14ac:dyDescent="0.45">
      <c r="A6612">
        <v>2011</v>
      </c>
      <c r="B6612" t="s">
        <v>124</v>
      </c>
      <c r="C6612">
        <v>0</v>
      </c>
      <c r="D6612">
        <v>0</v>
      </c>
      <c r="E6612">
        <v>1</v>
      </c>
      <c r="F6612">
        <v>1</v>
      </c>
      <c r="G6612">
        <v>0</v>
      </c>
      <c r="H6612">
        <v>0</v>
      </c>
      <c r="I6612">
        <v>0</v>
      </c>
      <c r="J6612">
        <v>5005.3673249818703</v>
      </c>
      <c r="K6612">
        <v>4318.3442531369401</v>
      </c>
      <c r="L6612">
        <v>48.606000000000002</v>
      </c>
      <c r="M6612">
        <v>61.616999999999997</v>
      </c>
      <c r="N6612">
        <v>66.465999999999994</v>
      </c>
    </row>
    <row r="6613" spans="1:14" x14ac:dyDescent="0.45">
      <c r="A6613">
        <v>2011</v>
      </c>
      <c r="B6613" t="s">
        <v>125</v>
      </c>
      <c r="C6613">
        <v>1</v>
      </c>
      <c r="D6613">
        <v>0</v>
      </c>
      <c r="E6613">
        <v>0</v>
      </c>
      <c r="F6613">
        <v>0</v>
      </c>
      <c r="G6613">
        <v>0</v>
      </c>
      <c r="H6613">
        <v>1</v>
      </c>
      <c r="I6613">
        <v>1</v>
      </c>
      <c r="L6613">
        <v>0</v>
      </c>
      <c r="M6613">
        <v>82.332999999999998</v>
      </c>
      <c r="N6613">
        <v>11.96</v>
      </c>
    </row>
    <row r="6614" spans="1:14" x14ac:dyDescent="0.45">
      <c r="A6614">
        <v>2011</v>
      </c>
      <c r="B6614" t="s">
        <v>126</v>
      </c>
      <c r="C6614">
        <v>0</v>
      </c>
      <c r="D6614">
        <v>0</v>
      </c>
      <c r="E6614">
        <v>1</v>
      </c>
      <c r="F6614">
        <v>0</v>
      </c>
      <c r="G6614">
        <v>0</v>
      </c>
      <c r="H6614">
        <v>0</v>
      </c>
      <c r="I6614">
        <v>0</v>
      </c>
      <c r="J6614">
        <v>2673.4087302995499</v>
      </c>
      <c r="K6614">
        <v>2155.4780591797999</v>
      </c>
      <c r="L6614">
        <v>66.034000000000006</v>
      </c>
      <c r="M6614">
        <v>56.777999999999999</v>
      </c>
      <c r="N6614">
        <v>119.937</v>
      </c>
    </row>
    <row r="6615" spans="1:14" x14ac:dyDescent="0.45">
      <c r="A6615">
        <v>2011</v>
      </c>
      <c r="B6615" t="s">
        <v>127</v>
      </c>
      <c r="C6615">
        <v>0</v>
      </c>
      <c r="D6615">
        <v>0</v>
      </c>
      <c r="E6615">
        <v>1</v>
      </c>
      <c r="F6615">
        <v>0</v>
      </c>
      <c r="G6615">
        <v>0</v>
      </c>
      <c r="H6615">
        <v>0</v>
      </c>
      <c r="I6615">
        <v>0</v>
      </c>
      <c r="J6615">
        <v>2519.83983255672</v>
      </c>
      <c r="K6615">
        <v>2028.21143403417</v>
      </c>
      <c r="L6615">
        <v>43.616</v>
      </c>
      <c r="M6615">
        <v>61.561</v>
      </c>
      <c r="N6615">
        <v>70.366</v>
      </c>
    </row>
    <row r="6616" spans="1:14" x14ac:dyDescent="0.45">
      <c r="A6616">
        <v>2011</v>
      </c>
      <c r="B6616" t="s">
        <v>128</v>
      </c>
      <c r="C6616">
        <v>0</v>
      </c>
      <c r="D6616">
        <v>0</v>
      </c>
      <c r="E6616">
        <v>1</v>
      </c>
      <c r="F6616">
        <v>0</v>
      </c>
      <c r="G6616">
        <v>0</v>
      </c>
      <c r="H6616">
        <v>0</v>
      </c>
      <c r="I6616">
        <v>0</v>
      </c>
      <c r="J6616">
        <v>2250.9205232358399</v>
      </c>
      <c r="K6616">
        <v>2024.92461085432</v>
      </c>
      <c r="L6616">
        <v>59.491999999999997</v>
      </c>
      <c r="M6616">
        <v>57.662999999999997</v>
      </c>
      <c r="N6616">
        <v>109.126</v>
      </c>
    </row>
    <row r="6617" spans="1:14" x14ac:dyDescent="0.45">
      <c r="A6617">
        <v>2011</v>
      </c>
      <c r="B6617" t="s">
        <v>129</v>
      </c>
      <c r="C6617">
        <v>0</v>
      </c>
      <c r="D6617">
        <v>0</v>
      </c>
      <c r="E6617">
        <v>1</v>
      </c>
      <c r="F6617">
        <v>0</v>
      </c>
      <c r="G6617">
        <v>0</v>
      </c>
      <c r="H6617">
        <v>1</v>
      </c>
      <c r="I6617">
        <v>1</v>
      </c>
      <c r="J6617">
        <v>34341.934260750502</v>
      </c>
      <c r="K6617">
        <v>28452.730686519</v>
      </c>
      <c r="L6617">
        <v>32.512</v>
      </c>
      <c r="M6617">
        <v>58.826999999999998</v>
      </c>
      <c r="N6617">
        <v>107.34399999999999</v>
      </c>
    </row>
    <row r="6618" spans="1:14" x14ac:dyDescent="0.45">
      <c r="A6618">
        <v>2011</v>
      </c>
      <c r="B6618" t="s">
        <v>130</v>
      </c>
      <c r="C6618">
        <v>1</v>
      </c>
      <c r="D6618">
        <v>0</v>
      </c>
      <c r="E6618">
        <v>0</v>
      </c>
      <c r="F6618">
        <v>0</v>
      </c>
      <c r="G6618">
        <v>0</v>
      </c>
      <c r="H6618">
        <v>1</v>
      </c>
      <c r="I6618">
        <v>1</v>
      </c>
      <c r="J6618">
        <v>33906.491743567603</v>
      </c>
      <c r="K6618">
        <v>30352.891774524898</v>
      </c>
      <c r="L6618">
        <v>23.350999999999999</v>
      </c>
      <c r="M6618">
        <v>80.625</v>
      </c>
      <c r="N6618">
        <v>4.0970000000000004</v>
      </c>
    </row>
    <row r="6619" spans="1:14" x14ac:dyDescent="0.45">
      <c r="A6619">
        <v>2011</v>
      </c>
      <c r="B6619" t="s">
        <v>131</v>
      </c>
      <c r="C6619">
        <v>0</v>
      </c>
      <c r="D6619">
        <v>1</v>
      </c>
      <c r="E6619">
        <v>0</v>
      </c>
      <c r="F6619">
        <v>0</v>
      </c>
      <c r="G6619">
        <v>1</v>
      </c>
      <c r="H6619">
        <v>0</v>
      </c>
      <c r="I6619">
        <v>0</v>
      </c>
      <c r="J6619">
        <v>13406.0598778032</v>
      </c>
      <c r="K6619">
        <v>12369.839447910699</v>
      </c>
      <c r="L6619">
        <v>64.141000000000005</v>
      </c>
      <c r="M6619">
        <v>74.861000000000004</v>
      </c>
      <c r="N6619">
        <v>14.537000000000001</v>
      </c>
    </row>
    <row r="6620" spans="1:14" x14ac:dyDescent="0.45">
      <c r="A6620">
        <v>2011</v>
      </c>
      <c r="B6620" t="s">
        <v>132</v>
      </c>
      <c r="C6620">
        <v>1</v>
      </c>
      <c r="D6620">
        <v>0</v>
      </c>
      <c r="E6620">
        <v>0</v>
      </c>
      <c r="F6620">
        <v>0</v>
      </c>
      <c r="G6620">
        <v>0</v>
      </c>
      <c r="H6620">
        <v>1</v>
      </c>
      <c r="I6620">
        <v>1</v>
      </c>
      <c r="J6620">
        <v>61170.920365832098</v>
      </c>
      <c r="K6620">
        <v>55369.9700552387</v>
      </c>
      <c r="L6620">
        <v>15.244999999999999</v>
      </c>
      <c r="M6620">
        <v>68.793999999999997</v>
      </c>
      <c r="N6620">
        <v>11.625</v>
      </c>
    </row>
    <row r="6621" spans="1:14" x14ac:dyDescent="0.45">
      <c r="A6621">
        <v>2011</v>
      </c>
      <c r="B6621" t="s">
        <v>133</v>
      </c>
      <c r="C6621">
        <v>0</v>
      </c>
      <c r="D6621">
        <v>1</v>
      </c>
      <c r="E6621">
        <v>0</v>
      </c>
      <c r="F6621">
        <v>1</v>
      </c>
      <c r="G6621">
        <v>0</v>
      </c>
      <c r="H6621">
        <v>0</v>
      </c>
      <c r="I6621">
        <v>0</v>
      </c>
      <c r="J6621">
        <v>10032.0883470849</v>
      </c>
      <c r="K6621">
        <v>8714.6309633568399</v>
      </c>
      <c r="L6621">
        <v>51.298999999999999</v>
      </c>
      <c r="M6621">
        <v>70.320999999999998</v>
      </c>
      <c r="N6621">
        <v>33.441000000000003</v>
      </c>
    </row>
    <row r="6622" spans="1:14" x14ac:dyDescent="0.45">
      <c r="A6622">
        <v>2011</v>
      </c>
      <c r="B6622" t="s">
        <v>134</v>
      </c>
      <c r="C6622">
        <v>0</v>
      </c>
      <c r="D6622">
        <v>0</v>
      </c>
      <c r="E6622">
        <v>0</v>
      </c>
      <c r="F6622">
        <v>0</v>
      </c>
      <c r="G6622">
        <v>0</v>
      </c>
      <c r="H6622">
        <v>1</v>
      </c>
      <c r="I6622">
        <v>1</v>
      </c>
      <c r="L6622">
        <v>5.8120000000000003</v>
      </c>
      <c r="M6622">
        <v>76.153000000000006</v>
      </c>
      <c r="N6622">
        <v>13.118</v>
      </c>
    </row>
    <row r="6623" spans="1:14" x14ac:dyDescent="0.45">
      <c r="A6623">
        <v>2011</v>
      </c>
      <c r="B6623" t="s">
        <v>135</v>
      </c>
      <c r="C6623">
        <v>0</v>
      </c>
      <c r="D6623">
        <v>1</v>
      </c>
      <c r="E6623">
        <v>0</v>
      </c>
      <c r="F6623">
        <v>1</v>
      </c>
      <c r="G6623">
        <v>0</v>
      </c>
      <c r="H6623">
        <v>0</v>
      </c>
      <c r="I6623">
        <v>0</v>
      </c>
      <c r="J6623">
        <v>10958.859883843799</v>
      </c>
      <c r="K6623">
        <v>10480.824972557</v>
      </c>
      <c r="L6623">
        <v>73.599999999999994</v>
      </c>
      <c r="M6623">
        <v>66.468999999999994</v>
      </c>
      <c r="N6623">
        <v>36.497999999999998</v>
      </c>
    </row>
    <row r="6624" spans="1:14" x14ac:dyDescent="0.45">
      <c r="A6624">
        <v>2011</v>
      </c>
      <c r="B6624" t="s">
        <v>136</v>
      </c>
      <c r="C6624">
        <v>0</v>
      </c>
      <c r="D6624">
        <v>0</v>
      </c>
      <c r="E6624">
        <v>0</v>
      </c>
      <c r="F6624">
        <v>0</v>
      </c>
      <c r="G6624">
        <v>0</v>
      </c>
      <c r="H6624">
        <v>1</v>
      </c>
      <c r="I6624">
        <v>1</v>
      </c>
      <c r="J6624">
        <v>58672.806887180501</v>
      </c>
      <c r="K6624">
        <v>52952.410512935901</v>
      </c>
      <c r="L6624">
        <v>0</v>
      </c>
      <c r="M6624">
        <v>83.16</v>
      </c>
      <c r="N6624">
        <v>3.0409999999999999</v>
      </c>
    </row>
    <row r="6625" spans="1:14" x14ac:dyDescent="0.45">
      <c r="A6625">
        <v>2011</v>
      </c>
      <c r="B6625" t="s">
        <v>137</v>
      </c>
      <c r="C6625">
        <v>0</v>
      </c>
      <c r="D6625">
        <v>1</v>
      </c>
      <c r="E6625">
        <v>0</v>
      </c>
      <c r="F6625">
        <v>1</v>
      </c>
      <c r="G6625">
        <v>0</v>
      </c>
      <c r="H6625">
        <v>0</v>
      </c>
      <c r="I6625">
        <v>0</v>
      </c>
      <c r="J6625">
        <v>5488.4337159633196</v>
      </c>
      <c r="K6625">
        <v>5057.4711015093098</v>
      </c>
      <c r="L6625">
        <v>47.457000000000001</v>
      </c>
      <c r="M6625">
        <v>70.116</v>
      </c>
      <c r="N6625">
        <v>23.798999999999999</v>
      </c>
    </row>
    <row r="6626" spans="1:14" x14ac:dyDescent="0.45">
      <c r="A6626">
        <v>2011</v>
      </c>
      <c r="B6626" t="s">
        <v>138</v>
      </c>
      <c r="C6626">
        <v>1</v>
      </c>
      <c r="D6626">
        <v>0</v>
      </c>
      <c r="E6626">
        <v>0</v>
      </c>
      <c r="F6626">
        <v>0</v>
      </c>
      <c r="G6626">
        <v>0</v>
      </c>
      <c r="H6626">
        <v>1</v>
      </c>
      <c r="I6626">
        <v>1</v>
      </c>
      <c r="J6626">
        <v>28775.648823144598</v>
      </c>
      <c r="K6626">
        <v>24816.382563102401</v>
      </c>
      <c r="L6626">
        <v>44.677999999999997</v>
      </c>
      <c r="M6626">
        <v>76.992999999999995</v>
      </c>
      <c r="N6626">
        <v>4.9169999999999998</v>
      </c>
    </row>
    <row r="6627" spans="1:14" x14ac:dyDescent="0.45">
      <c r="A6627">
        <v>2011</v>
      </c>
      <c r="B6627" t="s">
        <v>139</v>
      </c>
      <c r="C6627">
        <v>0</v>
      </c>
      <c r="D6627">
        <v>1</v>
      </c>
      <c r="E6627">
        <v>0</v>
      </c>
      <c r="F6627">
        <v>0</v>
      </c>
      <c r="G6627">
        <v>0</v>
      </c>
      <c r="H6627">
        <v>0</v>
      </c>
      <c r="I6627">
        <v>0</v>
      </c>
      <c r="J6627">
        <v>3320.34680581165</v>
      </c>
      <c r="K6627">
        <v>3191.3704572132301</v>
      </c>
      <c r="L6627">
        <v>51.508000000000003</v>
      </c>
      <c r="M6627">
        <v>61.581000000000003</v>
      </c>
      <c r="N6627">
        <v>79.647999999999996</v>
      </c>
    </row>
    <row r="6628" spans="1:14" x14ac:dyDescent="0.45">
      <c r="A6628">
        <v>2011</v>
      </c>
      <c r="B6628" t="s">
        <v>140</v>
      </c>
      <c r="C6628">
        <v>1</v>
      </c>
      <c r="D6628">
        <v>0</v>
      </c>
      <c r="E6628">
        <v>0</v>
      </c>
      <c r="F6628">
        <v>0</v>
      </c>
      <c r="G6628">
        <v>0</v>
      </c>
      <c r="H6628">
        <v>1</v>
      </c>
      <c r="I6628">
        <v>1</v>
      </c>
      <c r="J6628">
        <v>28415.117344289702</v>
      </c>
      <c r="K6628">
        <v>24761.429947210501</v>
      </c>
      <c r="L6628">
        <v>30.641999999999999</v>
      </c>
      <c r="M6628">
        <v>74.923000000000002</v>
      </c>
      <c r="N6628">
        <v>5.8840000000000003</v>
      </c>
    </row>
    <row r="6629" spans="1:14" x14ac:dyDescent="0.45">
      <c r="A6629">
        <v>2011</v>
      </c>
      <c r="B6629" t="s">
        <v>141</v>
      </c>
      <c r="C6629">
        <v>0</v>
      </c>
      <c r="D6629">
        <v>0</v>
      </c>
      <c r="E6629">
        <v>0</v>
      </c>
      <c r="F6629">
        <v>1</v>
      </c>
      <c r="G6629">
        <v>0</v>
      </c>
      <c r="H6629">
        <v>0</v>
      </c>
      <c r="I6629">
        <v>0</v>
      </c>
      <c r="J6629">
        <v>9274.9695518170192</v>
      </c>
      <c r="K6629">
        <v>8420.2104944437306</v>
      </c>
      <c r="L6629">
        <v>49.405000000000001</v>
      </c>
      <c r="M6629">
        <v>68.629000000000005</v>
      </c>
      <c r="N6629">
        <v>32.344000000000001</v>
      </c>
    </row>
    <row r="6630" spans="1:14" x14ac:dyDescent="0.45">
      <c r="A6630">
        <v>2011</v>
      </c>
      <c r="B6630" t="s">
        <v>142</v>
      </c>
      <c r="C6630">
        <v>1</v>
      </c>
      <c r="D6630">
        <v>0</v>
      </c>
      <c r="E6630">
        <v>0</v>
      </c>
      <c r="F6630">
        <v>0</v>
      </c>
      <c r="G6630">
        <v>0</v>
      </c>
      <c r="H6630">
        <v>1</v>
      </c>
      <c r="I6630">
        <v>1</v>
      </c>
      <c r="L6630">
        <v>47.988</v>
      </c>
      <c r="M6630">
        <v>79.835999999999999</v>
      </c>
      <c r="N6630">
        <v>15.177</v>
      </c>
    </row>
    <row r="6631" spans="1:14" x14ac:dyDescent="0.45">
      <c r="A6631">
        <v>2011</v>
      </c>
      <c r="B6631" t="s">
        <v>143</v>
      </c>
      <c r="C6631">
        <v>0</v>
      </c>
      <c r="D6631">
        <v>0</v>
      </c>
      <c r="E6631">
        <v>0</v>
      </c>
      <c r="F6631">
        <v>1</v>
      </c>
      <c r="G6631">
        <v>0</v>
      </c>
      <c r="H6631">
        <v>0</v>
      </c>
      <c r="I6631">
        <v>0</v>
      </c>
      <c r="J6631">
        <v>5249.5492569402604</v>
      </c>
      <c r="K6631">
        <v>4402.7200402838898</v>
      </c>
      <c r="L6631">
        <v>68.724000000000004</v>
      </c>
      <c r="M6631">
        <v>67.623000000000005</v>
      </c>
      <c r="N6631">
        <v>54.686</v>
      </c>
    </row>
    <row r="6632" spans="1:14" x14ac:dyDescent="0.45">
      <c r="A6632">
        <v>2011</v>
      </c>
      <c r="B6632" t="s">
        <v>144</v>
      </c>
      <c r="C6632">
        <v>1</v>
      </c>
      <c r="D6632">
        <v>0</v>
      </c>
      <c r="E6632">
        <v>0</v>
      </c>
      <c r="F6632">
        <v>0</v>
      </c>
      <c r="G6632">
        <v>0</v>
      </c>
      <c r="H6632">
        <v>1</v>
      </c>
      <c r="I6632">
        <v>1</v>
      </c>
      <c r="J6632">
        <v>60001.077844453102</v>
      </c>
      <c r="K6632">
        <v>55167.860680057303</v>
      </c>
      <c r="L6632">
        <v>38.258000000000003</v>
      </c>
      <c r="M6632">
        <v>80.727000000000004</v>
      </c>
      <c r="N6632">
        <v>4.0090000000000003</v>
      </c>
    </row>
    <row r="6633" spans="1:14" x14ac:dyDescent="0.45">
      <c r="A6633">
        <v>2011</v>
      </c>
      <c r="B6633" t="s">
        <v>145</v>
      </c>
      <c r="C6633">
        <v>0</v>
      </c>
      <c r="D6633">
        <v>0</v>
      </c>
      <c r="E6633">
        <v>0</v>
      </c>
      <c r="F6633">
        <v>0</v>
      </c>
      <c r="G6633">
        <v>1</v>
      </c>
      <c r="H6633">
        <v>0</v>
      </c>
      <c r="I6633">
        <v>0</v>
      </c>
      <c r="J6633">
        <v>14941.2594887409</v>
      </c>
      <c r="K6633">
        <v>14903.826731672099</v>
      </c>
      <c r="L6633">
        <v>28.8</v>
      </c>
      <c r="M6633">
        <v>74.721000000000004</v>
      </c>
      <c r="N6633">
        <v>18.498999999999999</v>
      </c>
    </row>
    <row r="6634" spans="1:14" x14ac:dyDescent="0.45">
      <c r="A6634">
        <v>2011</v>
      </c>
      <c r="B6634" t="s">
        <v>146</v>
      </c>
      <c r="C6634">
        <v>0</v>
      </c>
      <c r="D6634">
        <v>0</v>
      </c>
      <c r="E6634">
        <v>0</v>
      </c>
      <c r="F6634">
        <v>1</v>
      </c>
      <c r="G6634">
        <v>0</v>
      </c>
      <c r="H6634">
        <v>0</v>
      </c>
      <c r="I6634">
        <v>0</v>
      </c>
      <c r="J6634">
        <v>12267.5848940673</v>
      </c>
      <c r="K6634">
        <v>8671.8179614471992</v>
      </c>
      <c r="L6634">
        <v>30.731999999999999</v>
      </c>
      <c r="M6634">
        <v>68.435000000000002</v>
      </c>
      <c r="N6634">
        <v>33.874000000000002</v>
      </c>
    </row>
    <row r="6635" spans="1:14" x14ac:dyDescent="0.45">
      <c r="A6635">
        <v>2011</v>
      </c>
      <c r="B6635" t="s">
        <v>147</v>
      </c>
      <c r="C6635">
        <v>1</v>
      </c>
      <c r="D6635">
        <v>0</v>
      </c>
      <c r="E6635">
        <v>0</v>
      </c>
      <c r="F6635">
        <v>0</v>
      </c>
      <c r="G6635">
        <v>0</v>
      </c>
      <c r="H6635">
        <v>1</v>
      </c>
      <c r="I6635">
        <v>1</v>
      </c>
      <c r="J6635">
        <v>55426.991982040898</v>
      </c>
      <c r="K6635">
        <v>47960.360135073897</v>
      </c>
      <c r="L6635">
        <v>6.4130000000000003</v>
      </c>
      <c r="M6635">
        <v>81.971999999999994</v>
      </c>
      <c r="N6635">
        <v>1.73</v>
      </c>
    </row>
    <row r="6636" spans="1:14" x14ac:dyDescent="0.45">
      <c r="A6636">
        <v>2011</v>
      </c>
      <c r="B6636" t="s">
        <v>148</v>
      </c>
      <c r="C6636">
        <v>0</v>
      </c>
      <c r="D6636">
        <v>0</v>
      </c>
      <c r="E6636">
        <v>0</v>
      </c>
      <c r="F6636">
        <v>0</v>
      </c>
      <c r="G6636">
        <v>0</v>
      </c>
      <c r="H6636">
        <v>1</v>
      </c>
      <c r="I6636">
        <v>1</v>
      </c>
      <c r="J6636">
        <v>39075.375376272001</v>
      </c>
      <c r="K6636">
        <v>35842.949919771199</v>
      </c>
      <c r="L6636">
        <v>8.1080000000000005</v>
      </c>
      <c r="M6636">
        <v>81.989000000000004</v>
      </c>
      <c r="N6636">
        <v>4.3810000000000002</v>
      </c>
    </row>
    <row r="6637" spans="1:14" x14ac:dyDescent="0.45">
      <c r="A6637">
        <v>2011</v>
      </c>
      <c r="B6637" t="s">
        <v>149</v>
      </c>
      <c r="C6637">
        <v>1</v>
      </c>
      <c r="D6637">
        <v>0</v>
      </c>
      <c r="E6637">
        <v>0</v>
      </c>
      <c r="F6637">
        <v>0</v>
      </c>
      <c r="G6637">
        <v>0</v>
      </c>
      <c r="H6637">
        <v>1</v>
      </c>
      <c r="I6637">
        <v>1</v>
      </c>
      <c r="J6637">
        <v>49473.014923563402</v>
      </c>
      <c r="K6637">
        <v>42139.487243703799</v>
      </c>
      <c r="L6637">
        <v>31.556000000000001</v>
      </c>
      <c r="M6637">
        <v>82.227999999999994</v>
      </c>
      <c r="N6637">
        <v>3.5979999999999999</v>
      </c>
    </row>
    <row r="6638" spans="1:14" x14ac:dyDescent="0.45">
      <c r="A6638">
        <v>2011</v>
      </c>
      <c r="B6638" t="s">
        <v>150</v>
      </c>
      <c r="C6638">
        <v>0</v>
      </c>
      <c r="D6638">
        <v>1</v>
      </c>
      <c r="E6638">
        <v>0</v>
      </c>
      <c r="F6638">
        <v>0</v>
      </c>
      <c r="G6638">
        <v>1</v>
      </c>
      <c r="H6638">
        <v>0</v>
      </c>
      <c r="I6638">
        <v>0</v>
      </c>
      <c r="J6638">
        <v>9778.6945357734803</v>
      </c>
      <c r="K6638">
        <v>9637.1983662562507</v>
      </c>
      <c r="L6638">
        <v>46.07</v>
      </c>
      <c r="M6638">
        <v>72.245000000000005</v>
      </c>
      <c r="N6638">
        <v>18.968</v>
      </c>
    </row>
    <row r="6639" spans="1:14" x14ac:dyDescent="0.45">
      <c r="A6639">
        <v>2011</v>
      </c>
      <c r="B6639" t="s">
        <v>151</v>
      </c>
      <c r="C6639">
        <v>0</v>
      </c>
      <c r="D6639">
        <v>0</v>
      </c>
      <c r="E6639">
        <v>0</v>
      </c>
      <c r="F6639">
        <v>0</v>
      </c>
      <c r="G6639">
        <v>1</v>
      </c>
      <c r="H6639">
        <v>0</v>
      </c>
      <c r="I6639">
        <v>0</v>
      </c>
      <c r="J6639">
        <v>10977.482045086799</v>
      </c>
      <c r="K6639">
        <v>10890.1593712951</v>
      </c>
      <c r="L6639">
        <v>12.827999999999999</v>
      </c>
      <c r="M6639">
        <v>73.929000000000002</v>
      </c>
      <c r="N6639">
        <v>19.641999999999999</v>
      </c>
    </row>
    <row r="6640" spans="1:14" x14ac:dyDescent="0.45">
      <c r="A6640">
        <v>2011</v>
      </c>
      <c r="B6640" t="s">
        <v>152</v>
      </c>
      <c r="C6640">
        <v>0</v>
      </c>
      <c r="D6640">
        <v>0</v>
      </c>
      <c r="E6640">
        <v>0</v>
      </c>
      <c r="F6640">
        <v>0</v>
      </c>
      <c r="G6640">
        <v>0</v>
      </c>
      <c r="H6640">
        <v>1</v>
      </c>
      <c r="I6640">
        <v>1</v>
      </c>
      <c r="J6640">
        <v>40967.343140083198</v>
      </c>
      <c r="K6640">
        <v>37949.3741530103</v>
      </c>
      <c r="L6640">
        <v>8.9309999999999992</v>
      </c>
      <c r="M6640">
        <v>82.671000000000006</v>
      </c>
      <c r="N6640">
        <v>3.4529999999999998</v>
      </c>
    </row>
    <row r="6641" spans="1:14" x14ac:dyDescent="0.45">
      <c r="A6641">
        <v>2011</v>
      </c>
      <c r="B6641" t="s">
        <v>153</v>
      </c>
      <c r="C6641">
        <v>1</v>
      </c>
      <c r="D6641">
        <v>0</v>
      </c>
      <c r="E6641">
        <v>0</v>
      </c>
      <c r="F6641">
        <v>0</v>
      </c>
      <c r="G6641">
        <v>1</v>
      </c>
      <c r="H6641">
        <v>0</v>
      </c>
      <c r="I6641">
        <v>0</v>
      </c>
      <c r="J6641">
        <v>27946.160343294399</v>
      </c>
      <c r="K6641">
        <v>21251.920657690102</v>
      </c>
      <c r="L6641">
        <v>43.1</v>
      </c>
      <c r="M6641">
        <v>69.108000000000004</v>
      </c>
      <c r="N6641">
        <v>18.164999999999999</v>
      </c>
    </row>
    <row r="6642" spans="1:14" x14ac:dyDescent="0.45">
      <c r="A6642">
        <v>2011</v>
      </c>
      <c r="B6642" t="s">
        <v>154</v>
      </c>
      <c r="C6642">
        <v>0</v>
      </c>
      <c r="D6642">
        <v>0</v>
      </c>
      <c r="E6642">
        <v>1</v>
      </c>
      <c r="F6642">
        <v>0</v>
      </c>
      <c r="G6642">
        <v>0</v>
      </c>
      <c r="H6642">
        <v>0</v>
      </c>
      <c r="I6642">
        <v>0</v>
      </c>
      <c r="J6642">
        <v>4307.1061155685802</v>
      </c>
      <c r="K6642">
        <v>3712.0632075357298</v>
      </c>
      <c r="L6642">
        <v>76.031000000000006</v>
      </c>
      <c r="M6642">
        <v>61.283000000000001</v>
      </c>
      <c r="N6642">
        <v>52.276000000000003</v>
      </c>
    </row>
    <row r="6643" spans="1:14" x14ac:dyDescent="0.45">
      <c r="A6643">
        <v>2011</v>
      </c>
      <c r="B6643" t="s">
        <v>155</v>
      </c>
      <c r="C6643">
        <v>1</v>
      </c>
      <c r="D6643">
        <v>0</v>
      </c>
      <c r="E6643">
        <v>0</v>
      </c>
      <c r="F6643">
        <v>0</v>
      </c>
      <c r="G6643">
        <v>0</v>
      </c>
      <c r="H6643">
        <v>0</v>
      </c>
      <c r="I6643">
        <v>0</v>
      </c>
      <c r="J6643">
        <v>5092.8516575167796</v>
      </c>
      <c r="K6643">
        <v>4304.3154304688096</v>
      </c>
      <c r="L6643">
        <v>64.647999999999996</v>
      </c>
      <c r="M6643">
        <v>67.748000000000005</v>
      </c>
      <c r="N6643">
        <v>27.888000000000002</v>
      </c>
    </row>
    <row r="6644" spans="1:14" x14ac:dyDescent="0.45">
      <c r="A6644">
        <v>2011</v>
      </c>
      <c r="B6644" t="s">
        <v>156</v>
      </c>
      <c r="C6644">
        <v>0</v>
      </c>
      <c r="D6644">
        <v>0</v>
      </c>
      <c r="E6644">
        <v>0</v>
      </c>
      <c r="F6644">
        <v>0</v>
      </c>
      <c r="G6644">
        <v>0</v>
      </c>
      <c r="H6644">
        <v>0</v>
      </c>
      <c r="I6644">
        <v>0</v>
      </c>
      <c r="J6644">
        <v>3921.9791156318101</v>
      </c>
      <c r="K6644">
        <v>3516.71429580105</v>
      </c>
      <c r="L6644">
        <v>79.337000000000003</v>
      </c>
      <c r="M6644">
        <v>67.869</v>
      </c>
      <c r="N6644">
        <v>41.232999999999997</v>
      </c>
    </row>
    <row r="6645" spans="1:14" x14ac:dyDescent="0.45">
      <c r="A6645">
        <v>2011</v>
      </c>
      <c r="B6645" t="s">
        <v>157</v>
      </c>
      <c r="C6645">
        <v>0</v>
      </c>
      <c r="D6645">
        <v>0</v>
      </c>
      <c r="E6645">
        <v>0</v>
      </c>
      <c r="F6645">
        <v>1</v>
      </c>
      <c r="G6645">
        <v>0</v>
      </c>
      <c r="H6645">
        <v>0</v>
      </c>
      <c r="I6645">
        <v>0</v>
      </c>
      <c r="J6645">
        <v>2150.3830183765399</v>
      </c>
      <c r="K6645">
        <v>1945.23496752042</v>
      </c>
      <c r="L6645">
        <v>51.765000000000001</v>
      </c>
      <c r="M6645">
        <v>65.896000000000001</v>
      </c>
      <c r="N6645">
        <v>58.271000000000001</v>
      </c>
    </row>
    <row r="6646" spans="1:14" x14ac:dyDescent="0.45">
      <c r="A6646">
        <v>2011</v>
      </c>
      <c r="B6646" t="s">
        <v>158</v>
      </c>
      <c r="C6646">
        <v>0</v>
      </c>
      <c r="D6646">
        <v>1</v>
      </c>
      <c r="E6646">
        <v>0</v>
      </c>
      <c r="F6646">
        <v>0</v>
      </c>
      <c r="G6646">
        <v>0</v>
      </c>
      <c r="H6646">
        <v>1</v>
      </c>
      <c r="I6646">
        <v>1</v>
      </c>
      <c r="J6646">
        <v>25380.008734821498</v>
      </c>
      <c r="K6646">
        <v>25066.210769302299</v>
      </c>
      <c r="L6646">
        <v>68.817999999999998</v>
      </c>
      <c r="M6646">
        <v>71.400000000000006</v>
      </c>
      <c r="N6646">
        <v>18.256</v>
      </c>
    </row>
    <row r="6647" spans="1:14" x14ac:dyDescent="0.45">
      <c r="A6647">
        <v>2011</v>
      </c>
      <c r="B6647" t="s">
        <v>159</v>
      </c>
      <c r="C6647">
        <v>0</v>
      </c>
      <c r="D6647">
        <v>0</v>
      </c>
      <c r="E6647">
        <v>0</v>
      </c>
      <c r="F6647">
        <v>0</v>
      </c>
      <c r="G6647">
        <v>0</v>
      </c>
      <c r="H6647">
        <v>1</v>
      </c>
      <c r="I6647">
        <v>1</v>
      </c>
      <c r="J6647">
        <v>38698.4610967111</v>
      </c>
      <c r="K6647">
        <v>35278.387717022699</v>
      </c>
      <c r="L6647">
        <v>18.077000000000002</v>
      </c>
      <c r="M6647">
        <v>81.168000000000006</v>
      </c>
      <c r="N6647">
        <v>4.0439999999999996</v>
      </c>
    </row>
    <row r="6648" spans="1:14" x14ac:dyDescent="0.45">
      <c r="A6648">
        <v>2011</v>
      </c>
      <c r="B6648" t="s">
        <v>160</v>
      </c>
      <c r="C6648">
        <v>0</v>
      </c>
      <c r="D6648">
        <v>0</v>
      </c>
      <c r="E6648">
        <v>0</v>
      </c>
      <c r="F6648">
        <v>0</v>
      </c>
      <c r="G6648">
        <v>0</v>
      </c>
      <c r="H6648">
        <v>1</v>
      </c>
      <c r="I6648">
        <v>1</v>
      </c>
      <c r="J6648">
        <v>64844.501894860099</v>
      </c>
      <c r="K6648">
        <v>57750.521507022197</v>
      </c>
      <c r="L6648">
        <v>0</v>
      </c>
      <c r="M6648">
        <v>77.864000000000004</v>
      </c>
      <c r="N6648">
        <v>10.263</v>
      </c>
    </row>
    <row r="6649" spans="1:14" x14ac:dyDescent="0.45">
      <c r="A6649">
        <v>2011</v>
      </c>
      <c r="B6649" t="s">
        <v>161</v>
      </c>
      <c r="C6649">
        <v>0</v>
      </c>
      <c r="D6649">
        <v>0</v>
      </c>
      <c r="E6649">
        <v>0</v>
      </c>
      <c r="F6649">
        <v>1</v>
      </c>
      <c r="G6649">
        <v>0</v>
      </c>
      <c r="H6649">
        <v>0</v>
      </c>
      <c r="I6649">
        <v>0</v>
      </c>
      <c r="J6649">
        <v>5266.8786692420599</v>
      </c>
      <c r="K6649">
        <v>5060.9837179701599</v>
      </c>
      <c r="L6649">
        <v>69.34</v>
      </c>
      <c r="M6649">
        <v>64.504999999999995</v>
      </c>
      <c r="N6649">
        <v>64.617000000000004</v>
      </c>
    </row>
    <row r="6650" spans="1:14" x14ac:dyDescent="0.45">
      <c r="A6650">
        <v>2011</v>
      </c>
      <c r="B6650" t="s">
        <v>162</v>
      </c>
      <c r="C6650">
        <v>0</v>
      </c>
      <c r="D6650">
        <v>0</v>
      </c>
      <c r="E6650">
        <v>0</v>
      </c>
      <c r="F6650">
        <v>0</v>
      </c>
      <c r="G6650">
        <v>1</v>
      </c>
      <c r="H6650">
        <v>0</v>
      </c>
      <c r="I6650">
        <v>0</v>
      </c>
      <c r="J6650">
        <v>17353.196084529402</v>
      </c>
      <c r="K6650">
        <v>22555.5698882336</v>
      </c>
      <c r="L6650">
        <v>12.516</v>
      </c>
      <c r="M6650">
        <v>77.768000000000001</v>
      </c>
      <c r="N6650">
        <v>12.597</v>
      </c>
    </row>
    <row r="6651" spans="1:14" x14ac:dyDescent="0.45">
      <c r="A6651">
        <v>2011</v>
      </c>
      <c r="B6651" t="s">
        <v>163</v>
      </c>
      <c r="C6651">
        <v>0</v>
      </c>
      <c r="D6651">
        <v>0</v>
      </c>
      <c r="E6651">
        <v>1</v>
      </c>
      <c r="F6651">
        <v>0</v>
      </c>
      <c r="G6651">
        <v>0</v>
      </c>
      <c r="H6651">
        <v>0</v>
      </c>
      <c r="I6651">
        <v>0</v>
      </c>
      <c r="J6651">
        <v>1601.03374045996</v>
      </c>
      <c r="K6651">
        <v>2365.44001205618</v>
      </c>
      <c r="L6651">
        <v>51.807000000000002</v>
      </c>
      <c r="M6651">
        <v>59.485999999999997</v>
      </c>
      <c r="N6651">
        <v>98.096000000000004</v>
      </c>
    </row>
    <row r="6652" spans="1:14" x14ac:dyDescent="0.45">
      <c r="A6652">
        <v>2011</v>
      </c>
      <c r="B6652" t="s">
        <v>164</v>
      </c>
      <c r="C6652">
        <v>0</v>
      </c>
      <c r="D6652">
        <v>0</v>
      </c>
      <c r="E6652">
        <v>0</v>
      </c>
      <c r="F6652">
        <v>0</v>
      </c>
      <c r="G6652">
        <v>1</v>
      </c>
      <c r="H6652">
        <v>0</v>
      </c>
      <c r="I6652">
        <v>0</v>
      </c>
      <c r="J6652">
        <v>10739.0931713183</v>
      </c>
      <c r="K6652">
        <v>12550.726043770401</v>
      </c>
      <c r="L6652">
        <v>21.722999999999999</v>
      </c>
      <c r="M6652">
        <v>69.95</v>
      </c>
      <c r="N6652">
        <v>20.024000000000001</v>
      </c>
    </row>
    <row r="6653" spans="1:14" x14ac:dyDescent="0.45">
      <c r="A6653">
        <v>2011</v>
      </c>
      <c r="B6653" t="s">
        <v>165</v>
      </c>
      <c r="C6653">
        <v>0</v>
      </c>
      <c r="D6653">
        <v>1</v>
      </c>
      <c r="E6653">
        <v>0</v>
      </c>
      <c r="F6653">
        <v>0</v>
      </c>
      <c r="G6653">
        <v>1</v>
      </c>
      <c r="H6653">
        <v>0</v>
      </c>
      <c r="I6653">
        <v>0</v>
      </c>
      <c r="J6653">
        <v>21637.868692599201</v>
      </c>
      <c r="K6653">
        <v>15566.4343615003</v>
      </c>
      <c r="L6653">
        <v>81.55</v>
      </c>
      <c r="M6653">
        <v>72.962000000000003</v>
      </c>
      <c r="N6653">
        <v>17.885000000000002</v>
      </c>
    </row>
    <row r="6654" spans="1:14" x14ac:dyDescent="0.45">
      <c r="A6654">
        <v>2011</v>
      </c>
      <c r="B6654" t="s">
        <v>166</v>
      </c>
      <c r="C6654">
        <v>1</v>
      </c>
      <c r="D6654">
        <v>0</v>
      </c>
      <c r="E6654">
        <v>0</v>
      </c>
      <c r="F6654">
        <v>0</v>
      </c>
      <c r="G6654">
        <v>0</v>
      </c>
      <c r="H6654">
        <v>1</v>
      </c>
      <c r="I6654">
        <v>1</v>
      </c>
      <c r="L6654">
        <v>85.59</v>
      </c>
      <c r="M6654">
        <v>82.156999999999996</v>
      </c>
      <c r="N6654">
        <v>7.6980000000000004</v>
      </c>
    </row>
    <row r="6655" spans="1:14" x14ac:dyDescent="0.45">
      <c r="A6655">
        <v>2011</v>
      </c>
      <c r="B6655" t="s">
        <v>167</v>
      </c>
      <c r="C6655">
        <v>0</v>
      </c>
      <c r="D6655">
        <v>0</v>
      </c>
      <c r="E6655">
        <v>0</v>
      </c>
      <c r="F6655">
        <v>1</v>
      </c>
      <c r="G6655">
        <v>0</v>
      </c>
      <c r="H6655">
        <v>0</v>
      </c>
      <c r="I6655">
        <v>0</v>
      </c>
      <c r="J6655">
        <v>10618.492599994301</v>
      </c>
      <c r="K6655">
        <v>9917.5042620520908</v>
      </c>
      <c r="L6655">
        <v>81.789000000000001</v>
      </c>
      <c r="M6655">
        <v>74.739999999999995</v>
      </c>
      <c r="N6655">
        <v>10.843999999999999</v>
      </c>
    </row>
    <row r="6656" spans="1:14" x14ac:dyDescent="0.45">
      <c r="A6656">
        <v>2011</v>
      </c>
      <c r="B6656" t="s">
        <v>168</v>
      </c>
      <c r="C6656">
        <v>0</v>
      </c>
      <c r="D6656">
        <v>0</v>
      </c>
      <c r="E6656">
        <v>1</v>
      </c>
      <c r="F6656">
        <v>1</v>
      </c>
      <c r="G6656">
        <v>0</v>
      </c>
      <c r="H6656">
        <v>0</v>
      </c>
      <c r="I6656">
        <v>0</v>
      </c>
      <c r="J6656">
        <v>2749.3195816657299</v>
      </c>
      <c r="K6656">
        <v>2461.79627799029</v>
      </c>
      <c r="L6656">
        <v>74.69</v>
      </c>
      <c r="M6656">
        <v>46.93</v>
      </c>
      <c r="N6656">
        <v>91.096000000000004</v>
      </c>
    </row>
    <row r="6657" spans="1:14" x14ac:dyDescent="0.45">
      <c r="A6657">
        <v>2011</v>
      </c>
      <c r="B6657" t="s">
        <v>169</v>
      </c>
      <c r="C6657">
        <v>1</v>
      </c>
      <c r="D6657">
        <v>0</v>
      </c>
      <c r="E6657">
        <v>0</v>
      </c>
      <c r="F6657">
        <v>0</v>
      </c>
      <c r="G6657">
        <v>1</v>
      </c>
      <c r="H6657">
        <v>0</v>
      </c>
      <c r="I6657">
        <v>0</v>
      </c>
      <c r="J6657">
        <v>29240.7487851392</v>
      </c>
      <c r="K6657">
        <v>25017.410375228701</v>
      </c>
      <c r="L6657">
        <v>33.259</v>
      </c>
      <c r="M6657">
        <v>73.608000000000004</v>
      </c>
      <c r="N6657">
        <v>5.8010000000000002</v>
      </c>
    </row>
    <row r="6658" spans="1:14" x14ac:dyDescent="0.45">
      <c r="A6658">
        <v>2011</v>
      </c>
      <c r="B6658" t="s">
        <v>170</v>
      </c>
      <c r="C6658">
        <v>1</v>
      </c>
      <c r="D6658">
        <v>0</v>
      </c>
      <c r="E6658">
        <v>0</v>
      </c>
      <c r="F6658">
        <v>0</v>
      </c>
      <c r="G6658">
        <v>0</v>
      </c>
      <c r="H6658">
        <v>1</v>
      </c>
      <c r="I6658">
        <v>1</v>
      </c>
      <c r="J6658">
        <v>129885.369760706</v>
      </c>
      <c r="K6658">
        <v>110995.01214591401</v>
      </c>
      <c r="L6658">
        <v>11.093999999999999</v>
      </c>
      <c r="M6658">
        <v>80.284999999999997</v>
      </c>
      <c r="N6658">
        <v>6.6390000000000002</v>
      </c>
    </row>
    <row r="6659" spans="1:14" x14ac:dyDescent="0.45">
      <c r="A6659">
        <v>2011</v>
      </c>
      <c r="B6659" t="s">
        <v>171</v>
      </c>
      <c r="C6659">
        <v>1</v>
      </c>
      <c r="D6659">
        <v>0</v>
      </c>
      <c r="E6659">
        <v>0</v>
      </c>
      <c r="F6659">
        <v>0</v>
      </c>
      <c r="G6659">
        <v>1</v>
      </c>
      <c r="H6659">
        <v>0</v>
      </c>
      <c r="I6659">
        <v>0</v>
      </c>
      <c r="J6659">
        <v>25308.732207462599</v>
      </c>
      <c r="K6659">
        <v>21957.5848538018</v>
      </c>
      <c r="L6659">
        <v>32.131</v>
      </c>
      <c r="M6659">
        <v>73.718000000000004</v>
      </c>
      <c r="N6659">
        <v>7.7779999999999996</v>
      </c>
    </row>
    <row r="6660" spans="1:14" x14ac:dyDescent="0.45">
      <c r="A6660">
        <v>2011</v>
      </c>
      <c r="B6660" t="s">
        <v>172</v>
      </c>
      <c r="C6660">
        <v>0</v>
      </c>
      <c r="D6660">
        <v>0</v>
      </c>
      <c r="E6660">
        <v>0</v>
      </c>
      <c r="F6660">
        <v>0</v>
      </c>
      <c r="G6660">
        <v>0</v>
      </c>
      <c r="H6660">
        <v>1</v>
      </c>
      <c r="I6660">
        <v>1</v>
      </c>
      <c r="J6660">
        <v>155185.405305391</v>
      </c>
      <c r="K6660">
        <v>140635.45226232201</v>
      </c>
      <c r="L6660">
        <v>0</v>
      </c>
      <c r="M6660">
        <v>81.992000000000004</v>
      </c>
      <c r="N6660">
        <v>4.4480000000000004</v>
      </c>
    </row>
    <row r="6661" spans="1:14" x14ac:dyDescent="0.45">
      <c r="A6661">
        <v>2011</v>
      </c>
      <c r="B6661" t="s">
        <v>173</v>
      </c>
      <c r="C6661">
        <v>0</v>
      </c>
      <c r="D6661">
        <v>1</v>
      </c>
      <c r="E6661">
        <v>0</v>
      </c>
      <c r="F6661">
        <v>0</v>
      </c>
      <c r="G6661">
        <v>0</v>
      </c>
      <c r="H6661">
        <v>1</v>
      </c>
      <c r="I6661">
        <v>1</v>
      </c>
      <c r="L6661">
        <v>0</v>
      </c>
      <c r="M6661">
        <v>79.016000000000005</v>
      </c>
      <c r="N6661">
        <v>11.019</v>
      </c>
    </row>
    <row r="6662" spans="1:14" x14ac:dyDescent="0.45">
      <c r="A6662">
        <v>2011</v>
      </c>
      <c r="B6662" t="s">
        <v>174</v>
      </c>
      <c r="C6662">
        <v>0</v>
      </c>
      <c r="D6662">
        <v>0</v>
      </c>
      <c r="E6662">
        <v>0</v>
      </c>
      <c r="F6662">
        <v>1</v>
      </c>
      <c r="G6662">
        <v>0</v>
      </c>
      <c r="H6662">
        <v>0</v>
      </c>
      <c r="I6662">
        <v>0</v>
      </c>
      <c r="J6662">
        <v>7503.79296875</v>
      </c>
      <c r="K6662">
        <v>7206.4059451519197</v>
      </c>
      <c r="L6662">
        <v>41.418999999999997</v>
      </c>
      <c r="M6662">
        <v>71.263000000000005</v>
      </c>
      <c r="N6662">
        <v>29.22</v>
      </c>
    </row>
    <row r="6663" spans="1:14" x14ac:dyDescent="0.45">
      <c r="A6663">
        <v>2011</v>
      </c>
      <c r="B6663" t="s">
        <v>175</v>
      </c>
      <c r="C6663">
        <v>1</v>
      </c>
      <c r="D6663">
        <v>0</v>
      </c>
      <c r="E6663">
        <v>0</v>
      </c>
      <c r="F6663">
        <v>0</v>
      </c>
      <c r="G6663">
        <v>0</v>
      </c>
      <c r="H6663">
        <v>1</v>
      </c>
      <c r="I6663">
        <v>1</v>
      </c>
      <c r="L6663">
        <v>0</v>
      </c>
      <c r="M6663">
        <v>85.01</v>
      </c>
      <c r="N6663">
        <v>5.4770000000000003</v>
      </c>
    </row>
    <row r="6664" spans="1:14" x14ac:dyDescent="0.45">
      <c r="A6664">
        <v>2011</v>
      </c>
      <c r="B6664" t="s">
        <v>176</v>
      </c>
      <c r="C6664">
        <v>1</v>
      </c>
      <c r="D6664">
        <v>0</v>
      </c>
      <c r="E6664">
        <v>0</v>
      </c>
      <c r="F6664">
        <v>1</v>
      </c>
      <c r="G6664">
        <v>0</v>
      </c>
      <c r="H6664">
        <v>0</v>
      </c>
      <c r="I6664">
        <v>0</v>
      </c>
      <c r="J6664">
        <v>10217.308776125499</v>
      </c>
      <c r="K6664">
        <v>8763.4637852733595</v>
      </c>
      <c r="L6664">
        <v>57.411000000000001</v>
      </c>
      <c r="M6664">
        <v>70.173000000000002</v>
      </c>
      <c r="N6664">
        <v>16.847999999999999</v>
      </c>
    </row>
    <row r="6665" spans="1:14" x14ac:dyDescent="0.45">
      <c r="A6665">
        <v>2011</v>
      </c>
      <c r="B6665" t="s">
        <v>177</v>
      </c>
      <c r="C6665">
        <v>0</v>
      </c>
      <c r="D6665">
        <v>0</v>
      </c>
      <c r="E6665">
        <v>1</v>
      </c>
      <c r="F6665">
        <v>0</v>
      </c>
      <c r="G6665">
        <v>0</v>
      </c>
      <c r="H6665">
        <v>0</v>
      </c>
      <c r="I6665">
        <v>0</v>
      </c>
      <c r="J6665">
        <v>1614.5513777353999</v>
      </c>
      <c r="K6665">
        <v>1495.7632535140399</v>
      </c>
      <c r="L6665">
        <v>67.42</v>
      </c>
      <c r="M6665">
        <v>62.86</v>
      </c>
      <c r="N6665">
        <v>69.667000000000002</v>
      </c>
    </row>
    <row r="6666" spans="1:14" x14ac:dyDescent="0.45">
      <c r="A6666">
        <v>2011</v>
      </c>
      <c r="B6666" t="s">
        <v>178</v>
      </c>
      <c r="C6666">
        <v>0</v>
      </c>
      <c r="D6666">
        <v>0</v>
      </c>
      <c r="E6666">
        <v>0</v>
      </c>
      <c r="F6666">
        <v>0</v>
      </c>
      <c r="G6666">
        <v>1</v>
      </c>
      <c r="H6666">
        <v>0</v>
      </c>
      <c r="I6666">
        <v>0</v>
      </c>
      <c r="J6666">
        <v>17581.7676650496</v>
      </c>
      <c r="K6666">
        <v>17345.878336466401</v>
      </c>
      <c r="L6666">
        <v>63.151000000000003</v>
      </c>
      <c r="M6666">
        <v>77.141000000000005</v>
      </c>
      <c r="N6666">
        <v>13.103</v>
      </c>
    </row>
    <row r="6667" spans="1:14" x14ac:dyDescent="0.45">
      <c r="A6667">
        <v>2011</v>
      </c>
      <c r="B6667" t="s">
        <v>179</v>
      </c>
      <c r="C6667">
        <v>0</v>
      </c>
      <c r="D6667">
        <v>1</v>
      </c>
      <c r="E6667">
        <v>0</v>
      </c>
      <c r="F6667">
        <v>0</v>
      </c>
      <c r="G6667">
        <v>1</v>
      </c>
      <c r="H6667">
        <v>0</v>
      </c>
      <c r="I6667">
        <v>0</v>
      </c>
      <c r="J6667">
        <v>20457.600166354699</v>
      </c>
      <c r="K6667">
        <v>19018.9233501661</v>
      </c>
      <c r="L6667">
        <v>21.888999999999999</v>
      </c>
      <c r="M6667">
        <v>73.921000000000006</v>
      </c>
      <c r="N6667">
        <v>18.530999999999999</v>
      </c>
    </row>
    <row r="6668" spans="1:14" x14ac:dyDescent="0.45">
      <c r="A6668">
        <v>2011</v>
      </c>
      <c r="B6668" t="s">
        <v>180</v>
      </c>
      <c r="C6668">
        <v>0</v>
      </c>
      <c r="D6668">
        <v>0</v>
      </c>
      <c r="E6668">
        <v>0</v>
      </c>
      <c r="F6668">
        <v>1</v>
      </c>
      <c r="G6668">
        <v>0</v>
      </c>
      <c r="H6668">
        <v>0</v>
      </c>
      <c r="I6668">
        <v>0</v>
      </c>
      <c r="J6668">
        <v>4259.1160160660202</v>
      </c>
      <c r="K6668">
        <v>3852.3060682353098</v>
      </c>
      <c r="L6668">
        <v>25.962</v>
      </c>
      <c r="M6668">
        <v>64.641000000000005</v>
      </c>
      <c r="N6668">
        <v>38.326000000000001</v>
      </c>
    </row>
    <row r="6669" spans="1:14" x14ac:dyDescent="0.45">
      <c r="A6669">
        <v>2011</v>
      </c>
      <c r="B6669" t="s">
        <v>181</v>
      </c>
      <c r="C6669">
        <v>1</v>
      </c>
      <c r="D6669">
        <v>0</v>
      </c>
      <c r="E6669">
        <v>0</v>
      </c>
      <c r="F6669">
        <v>0</v>
      </c>
      <c r="G6669">
        <v>1</v>
      </c>
      <c r="H6669">
        <v>0</v>
      </c>
      <c r="I6669">
        <v>0</v>
      </c>
      <c r="J6669">
        <v>17200.288834278501</v>
      </c>
      <c r="K6669">
        <v>14520.2753452652</v>
      </c>
      <c r="L6669">
        <v>42.908000000000001</v>
      </c>
      <c r="M6669">
        <v>75.141999999999996</v>
      </c>
      <c r="N6669">
        <v>8.4030000000000005</v>
      </c>
    </row>
    <row r="6670" spans="1:14" x14ac:dyDescent="0.45">
      <c r="A6670">
        <v>2011</v>
      </c>
      <c r="B6670" t="s">
        <v>182</v>
      </c>
      <c r="C6670">
        <v>0</v>
      </c>
      <c r="D6670">
        <v>0</v>
      </c>
      <c r="E6670">
        <v>1</v>
      </c>
      <c r="F6670">
        <v>0</v>
      </c>
      <c r="G6670">
        <v>0</v>
      </c>
      <c r="H6670">
        <v>0</v>
      </c>
      <c r="I6670">
        <v>0</v>
      </c>
      <c r="J6670">
        <v>2612.8482600592201</v>
      </c>
      <c r="K6670">
        <v>2418.47790786733</v>
      </c>
      <c r="L6670">
        <v>63.201000000000001</v>
      </c>
      <c r="M6670">
        <v>56.366999999999997</v>
      </c>
      <c r="N6670">
        <v>130.67500000000001</v>
      </c>
    </row>
    <row r="6671" spans="1:14" x14ac:dyDescent="0.45">
      <c r="A6671">
        <v>2011</v>
      </c>
      <c r="B6671" t="s">
        <v>183</v>
      </c>
      <c r="C6671">
        <v>0</v>
      </c>
      <c r="D6671">
        <v>0</v>
      </c>
      <c r="E6671">
        <v>0</v>
      </c>
      <c r="F6671">
        <v>0</v>
      </c>
      <c r="G6671">
        <v>0</v>
      </c>
      <c r="H6671">
        <v>1</v>
      </c>
      <c r="I6671">
        <v>1</v>
      </c>
      <c r="J6671">
        <v>37704.4960044256</v>
      </c>
      <c r="K6671">
        <v>32616.23451921</v>
      </c>
      <c r="L6671">
        <v>5.8589999999999902</v>
      </c>
      <c r="M6671">
        <v>80.804000000000002</v>
      </c>
      <c r="N6671">
        <v>7.5529999999999999</v>
      </c>
    </row>
    <row r="6672" spans="1:14" x14ac:dyDescent="0.45">
      <c r="A6672">
        <v>2011</v>
      </c>
      <c r="B6672" t="s">
        <v>184</v>
      </c>
      <c r="C6672">
        <v>0</v>
      </c>
      <c r="D6672">
        <v>0</v>
      </c>
      <c r="E6672">
        <v>0</v>
      </c>
      <c r="F6672">
        <v>0</v>
      </c>
      <c r="G6672">
        <v>0</v>
      </c>
      <c r="H6672">
        <v>0</v>
      </c>
      <c r="I6672">
        <v>0</v>
      </c>
      <c r="J6672">
        <v>4078.6122091996499</v>
      </c>
      <c r="K6672">
        <v>3265.7575705241402</v>
      </c>
      <c r="L6672">
        <v>70.924999999999997</v>
      </c>
      <c r="M6672">
        <v>63.859000000000002</v>
      </c>
      <c r="N6672">
        <v>60.624000000000002</v>
      </c>
    </row>
    <row r="6673" spans="1:14" x14ac:dyDescent="0.45">
      <c r="A6673">
        <v>2011</v>
      </c>
      <c r="B6673" t="s">
        <v>185</v>
      </c>
      <c r="C6673">
        <v>1</v>
      </c>
      <c r="D6673">
        <v>0</v>
      </c>
      <c r="E6673">
        <v>0</v>
      </c>
      <c r="F6673">
        <v>0</v>
      </c>
      <c r="G6673">
        <v>1</v>
      </c>
      <c r="H6673">
        <v>0</v>
      </c>
      <c r="I6673">
        <v>0</v>
      </c>
      <c r="J6673">
        <v>20080.627557989399</v>
      </c>
      <c r="K6673">
        <v>16966.904421443101</v>
      </c>
      <c r="L6673">
        <v>35.527999999999999</v>
      </c>
      <c r="M6673">
        <v>75.960999999999999</v>
      </c>
      <c r="N6673">
        <v>6.5289999999999999</v>
      </c>
    </row>
    <row r="6674" spans="1:14" x14ac:dyDescent="0.45">
      <c r="A6674">
        <v>2011</v>
      </c>
      <c r="B6674" t="s">
        <v>186</v>
      </c>
      <c r="C6674">
        <v>0</v>
      </c>
      <c r="D6674">
        <v>0</v>
      </c>
      <c r="E6674">
        <v>0</v>
      </c>
      <c r="F6674">
        <v>1</v>
      </c>
      <c r="G6674">
        <v>0</v>
      </c>
      <c r="H6674">
        <v>0</v>
      </c>
      <c r="I6674">
        <v>0</v>
      </c>
      <c r="J6674">
        <v>10960.095928386399</v>
      </c>
      <c r="K6674">
        <v>8444.4897914868907</v>
      </c>
      <c r="L6674">
        <v>32.036999999999999</v>
      </c>
      <c r="M6674">
        <v>67.167000000000002</v>
      </c>
      <c r="N6674">
        <v>24.952999999999999</v>
      </c>
    </row>
    <row r="6675" spans="1:14" x14ac:dyDescent="0.45">
      <c r="A6675">
        <v>2011</v>
      </c>
      <c r="B6675" t="s">
        <v>187</v>
      </c>
      <c r="C6675">
        <v>0</v>
      </c>
      <c r="D6675">
        <v>0</v>
      </c>
      <c r="E6675">
        <v>0</v>
      </c>
      <c r="F6675">
        <v>0</v>
      </c>
      <c r="G6675">
        <v>0</v>
      </c>
      <c r="H6675">
        <v>1</v>
      </c>
      <c r="I6675">
        <v>1</v>
      </c>
      <c r="L6675">
        <v>8.9719999999999906</v>
      </c>
      <c r="M6675">
        <v>77.688000000000002</v>
      </c>
      <c r="N6675">
        <v>7.6239999999999997</v>
      </c>
    </row>
    <row r="6676" spans="1:14" x14ac:dyDescent="0.45">
      <c r="A6676">
        <v>2011</v>
      </c>
      <c r="B6676" t="s">
        <v>188</v>
      </c>
      <c r="C6676">
        <v>0</v>
      </c>
      <c r="D6676">
        <v>0</v>
      </c>
      <c r="E6676">
        <v>1</v>
      </c>
      <c r="F6676">
        <v>0</v>
      </c>
      <c r="G6676">
        <v>0</v>
      </c>
      <c r="H6676">
        <v>0</v>
      </c>
      <c r="I6676">
        <v>0</v>
      </c>
      <c r="J6676">
        <v>1275.5295982258101</v>
      </c>
      <c r="K6676">
        <v>1068.0008120775101</v>
      </c>
      <c r="L6676">
        <v>67.664000000000001</v>
      </c>
      <c r="M6676">
        <v>55.732999999999997</v>
      </c>
      <c r="N6676">
        <v>99.686999999999998</v>
      </c>
    </row>
    <row r="6677" spans="1:14" x14ac:dyDescent="0.45">
      <c r="A6677">
        <v>2011</v>
      </c>
      <c r="B6677" t="s">
        <v>189</v>
      </c>
      <c r="C6677">
        <v>0</v>
      </c>
      <c r="D6677">
        <v>0</v>
      </c>
      <c r="E6677">
        <v>1</v>
      </c>
      <c r="F6677">
        <v>0</v>
      </c>
      <c r="G6677">
        <v>0</v>
      </c>
      <c r="H6677">
        <v>0</v>
      </c>
      <c r="I6677">
        <v>0</v>
      </c>
      <c r="J6677">
        <v>5653.2172046975302</v>
      </c>
      <c r="K6677">
        <v>5001.4768484152601</v>
      </c>
      <c r="L6677">
        <v>52.506999999999998</v>
      </c>
      <c r="M6677">
        <v>65.754000000000005</v>
      </c>
      <c r="N6677">
        <v>54.99</v>
      </c>
    </row>
    <row r="6678" spans="1:14" x14ac:dyDescent="0.45">
      <c r="A6678">
        <v>2011</v>
      </c>
      <c r="B6678" t="s">
        <v>190</v>
      </c>
      <c r="C6678">
        <v>0</v>
      </c>
      <c r="D6678">
        <v>0</v>
      </c>
      <c r="E6678">
        <v>1</v>
      </c>
      <c r="F6678">
        <v>0</v>
      </c>
      <c r="G6678">
        <v>1</v>
      </c>
      <c r="H6678">
        <v>0</v>
      </c>
      <c r="I6678">
        <v>0</v>
      </c>
      <c r="J6678">
        <v>19556.048783135298</v>
      </c>
      <c r="K6678">
        <v>18355.790095698401</v>
      </c>
      <c r="L6678">
        <v>58.555999999999997</v>
      </c>
      <c r="M6678">
        <v>74.067999999999998</v>
      </c>
      <c r="N6678">
        <v>14.599</v>
      </c>
    </row>
    <row r="6679" spans="1:14" x14ac:dyDescent="0.45">
      <c r="A6679">
        <v>2011</v>
      </c>
      <c r="B6679" t="s">
        <v>191</v>
      </c>
      <c r="C6679">
        <v>0</v>
      </c>
      <c r="D6679">
        <v>0</v>
      </c>
      <c r="E6679">
        <v>1</v>
      </c>
      <c r="F6679">
        <v>0</v>
      </c>
      <c r="G6679">
        <v>0</v>
      </c>
      <c r="H6679">
        <v>0</v>
      </c>
      <c r="I6679">
        <v>0</v>
      </c>
      <c r="J6679">
        <v>1533.2288957240501</v>
      </c>
      <c r="K6679">
        <v>1311.92473546108</v>
      </c>
      <c r="L6679">
        <v>84.328000000000003</v>
      </c>
      <c r="M6679">
        <v>58.859000000000002</v>
      </c>
      <c r="N6679">
        <v>75.665000000000006</v>
      </c>
    </row>
    <row r="6680" spans="1:14" x14ac:dyDescent="0.45">
      <c r="A6680">
        <v>2011</v>
      </c>
      <c r="B6680" t="s">
        <v>192</v>
      </c>
      <c r="C6680">
        <v>0</v>
      </c>
      <c r="D6680">
        <v>0</v>
      </c>
      <c r="E6680">
        <v>0</v>
      </c>
      <c r="F6680">
        <v>0</v>
      </c>
      <c r="G6680">
        <v>1</v>
      </c>
      <c r="H6680">
        <v>0</v>
      </c>
      <c r="I6680">
        <v>0</v>
      </c>
      <c r="J6680">
        <v>24115.818120395801</v>
      </c>
      <c r="K6680">
        <v>21556.695942124901</v>
      </c>
      <c r="L6680">
        <v>28.390999999999998</v>
      </c>
      <c r="M6680">
        <v>75.488</v>
      </c>
      <c r="N6680">
        <v>8.1189999999999998</v>
      </c>
    </row>
    <row r="6681" spans="1:14" x14ac:dyDescent="0.45">
      <c r="A6681">
        <v>2011</v>
      </c>
      <c r="B6681" t="s">
        <v>193</v>
      </c>
      <c r="C6681">
        <v>0</v>
      </c>
      <c r="D6681">
        <v>0</v>
      </c>
      <c r="E6681">
        <v>1</v>
      </c>
      <c r="F6681">
        <v>0</v>
      </c>
      <c r="G6681">
        <v>1</v>
      </c>
      <c r="H6681">
        <v>0</v>
      </c>
      <c r="I6681">
        <v>0</v>
      </c>
      <c r="J6681">
        <v>10965.2729759535</v>
      </c>
      <c r="K6681">
        <v>9503.5999435329704</v>
      </c>
      <c r="L6681">
        <v>57.363</v>
      </c>
      <c r="M6681">
        <v>56.646999999999998</v>
      </c>
      <c r="N6681">
        <v>50.902000000000001</v>
      </c>
    </row>
    <row r="6682" spans="1:14" x14ac:dyDescent="0.45">
      <c r="A6682">
        <v>2011</v>
      </c>
      <c r="B6682" t="s">
        <v>194</v>
      </c>
      <c r="C6682">
        <v>0</v>
      </c>
      <c r="D6682">
        <v>0</v>
      </c>
      <c r="E6682">
        <v>0</v>
      </c>
      <c r="F6682">
        <v>0</v>
      </c>
      <c r="G6682">
        <v>0</v>
      </c>
      <c r="H6682">
        <v>1</v>
      </c>
      <c r="I6682">
        <v>1</v>
      </c>
      <c r="L6682">
        <v>32.435000000000002</v>
      </c>
      <c r="M6682">
        <v>76.314999999999998</v>
      </c>
      <c r="N6682">
        <v>15.855</v>
      </c>
    </row>
    <row r="6683" spans="1:14" x14ac:dyDescent="0.45">
      <c r="A6683">
        <v>2011</v>
      </c>
      <c r="B6683" t="s">
        <v>195</v>
      </c>
      <c r="C6683">
        <v>0</v>
      </c>
      <c r="D6683">
        <v>0</v>
      </c>
      <c r="E6683">
        <v>1</v>
      </c>
      <c r="F6683">
        <v>0</v>
      </c>
      <c r="G6683">
        <v>0</v>
      </c>
      <c r="H6683">
        <v>0</v>
      </c>
      <c r="I6683">
        <v>0</v>
      </c>
      <c r="J6683">
        <v>1318.10130997844</v>
      </c>
      <c r="K6683">
        <v>1047.6693428589699</v>
      </c>
      <c r="L6683">
        <v>83.784000000000006</v>
      </c>
      <c r="M6683">
        <v>57.6</v>
      </c>
      <c r="N6683">
        <v>135.46199999999999</v>
      </c>
    </row>
    <row r="6684" spans="1:14" x14ac:dyDescent="0.45">
      <c r="A6684">
        <v>2011</v>
      </c>
      <c r="B6684" t="s">
        <v>196</v>
      </c>
      <c r="C6684">
        <v>0</v>
      </c>
      <c r="D6684">
        <v>0</v>
      </c>
      <c r="E6684">
        <v>1</v>
      </c>
      <c r="F6684">
        <v>1</v>
      </c>
      <c r="G6684">
        <v>0</v>
      </c>
      <c r="H6684">
        <v>0</v>
      </c>
      <c r="I6684">
        <v>0</v>
      </c>
      <c r="J6684">
        <v>5488.0048151955598</v>
      </c>
      <c r="K6684">
        <v>4852.1359188910401</v>
      </c>
      <c r="L6684">
        <v>55.634</v>
      </c>
      <c r="M6684">
        <v>51.49</v>
      </c>
      <c r="N6684">
        <v>133.73599999999999</v>
      </c>
    </row>
    <row r="6685" spans="1:14" x14ac:dyDescent="0.45">
      <c r="A6685">
        <v>2011</v>
      </c>
      <c r="B6685" t="s">
        <v>197</v>
      </c>
      <c r="C6685">
        <v>0</v>
      </c>
      <c r="D6685">
        <v>1</v>
      </c>
      <c r="E6685">
        <v>0</v>
      </c>
      <c r="F6685">
        <v>1</v>
      </c>
      <c r="G6685">
        <v>0</v>
      </c>
      <c r="H6685">
        <v>0</v>
      </c>
      <c r="I6685">
        <v>0</v>
      </c>
      <c r="J6685">
        <v>5976.2528449584097</v>
      </c>
      <c r="K6685">
        <v>5033.5895079562997</v>
      </c>
      <c r="L6685">
        <v>42.887</v>
      </c>
      <c r="M6685">
        <v>72.033000000000001</v>
      </c>
      <c r="N6685">
        <v>22.709</v>
      </c>
    </row>
    <row r="6686" spans="1:14" x14ac:dyDescent="0.45">
      <c r="A6686">
        <v>2011</v>
      </c>
      <c r="B6686" t="s">
        <v>198</v>
      </c>
      <c r="C6686">
        <v>1</v>
      </c>
      <c r="D6686">
        <v>0</v>
      </c>
      <c r="E6686">
        <v>0</v>
      </c>
      <c r="F6686">
        <v>0</v>
      </c>
      <c r="G6686">
        <v>0</v>
      </c>
      <c r="H6686">
        <v>1</v>
      </c>
      <c r="I6686">
        <v>1</v>
      </c>
      <c r="J6686">
        <v>62318.141622623101</v>
      </c>
      <c r="K6686">
        <v>52605.424580378603</v>
      </c>
      <c r="L6686">
        <v>12.121</v>
      </c>
      <c r="M6686">
        <v>81.11</v>
      </c>
      <c r="N6686">
        <v>4.12</v>
      </c>
    </row>
    <row r="6687" spans="1:14" x14ac:dyDescent="0.45">
      <c r="A6687">
        <v>2011</v>
      </c>
      <c r="B6687" t="s">
        <v>199</v>
      </c>
      <c r="C6687">
        <v>1</v>
      </c>
      <c r="D6687">
        <v>0</v>
      </c>
      <c r="E6687">
        <v>0</v>
      </c>
      <c r="F6687">
        <v>0</v>
      </c>
      <c r="G6687">
        <v>0</v>
      </c>
      <c r="H6687">
        <v>1</v>
      </c>
      <c r="I6687">
        <v>1</v>
      </c>
      <c r="J6687">
        <v>83092.4342216441</v>
      </c>
      <c r="K6687">
        <v>61395.969906090897</v>
      </c>
      <c r="L6687">
        <v>20.545000000000002</v>
      </c>
      <c r="M6687">
        <v>81.245000000000005</v>
      </c>
      <c r="N6687">
        <v>2.8650000000000002</v>
      </c>
    </row>
    <row r="6688" spans="1:14" x14ac:dyDescent="0.45">
      <c r="A6688">
        <v>2011</v>
      </c>
      <c r="B6688" t="s">
        <v>200</v>
      </c>
      <c r="C6688">
        <v>0</v>
      </c>
      <c r="D6688">
        <v>0</v>
      </c>
      <c r="E6688">
        <v>0</v>
      </c>
      <c r="F6688">
        <v>0</v>
      </c>
      <c r="G6688">
        <v>0</v>
      </c>
      <c r="H6688">
        <v>0</v>
      </c>
      <c r="I6688">
        <v>0</v>
      </c>
      <c r="J6688">
        <v>3176.65040602417</v>
      </c>
      <c r="K6688">
        <v>2812.3105953761601</v>
      </c>
      <c r="L6688">
        <v>82.891999999999996</v>
      </c>
      <c r="M6688">
        <v>67.123000000000005</v>
      </c>
      <c r="N6688">
        <v>46.015000000000001</v>
      </c>
    </row>
    <row r="6689" spans="1:14" x14ac:dyDescent="0.45">
      <c r="A6689">
        <v>2011</v>
      </c>
      <c r="B6689" t="s">
        <v>201</v>
      </c>
      <c r="C6689">
        <v>0</v>
      </c>
      <c r="D6689">
        <v>0</v>
      </c>
      <c r="E6689">
        <v>0</v>
      </c>
      <c r="F6689">
        <v>0</v>
      </c>
      <c r="G6689">
        <v>0</v>
      </c>
      <c r="H6689">
        <v>1</v>
      </c>
      <c r="I6689">
        <v>1</v>
      </c>
      <c r="J6689">
        <v>7926.2213604444496</v>
      </c>
      <c r="K6689">
        <v>7171.0147098088801</v>
      </c>
      <c r="L6689">
        <v>0</v>
      </c>
      <c r="M6689">
        <v>60.286999999999999</v>
      </c>
      <c r="N6689">
        <v>36.295000000000002</v>
      </c>
    </row>
    <row r="6690" spans="1:14" x14ac:dyDescent="0.45">
      <c r="A6690">
        <v>2011</v>
      </c>
      <c r="B6690" t="s">
        <v>202</v>
      </c>
      <c r="C6690">
        <v>0</v>
      </c>
      <c r="D6690">
        <v>0</v>
      </c>
      <c r="E6690">
        <v>0</v>
      </c>
      <c r="F6690">
        <v>0</v>
      </c>
      <c r="G6690">
        <v>0</v>
      </c>
      <c r="H6690">
        <v>1</v>
      </c>
      <c r="I6690">
        <v>1</v>
      </c>
      <c r="J6690">
        <v>41814.885183405197</v>
      </c>
      <c r="K6690">
        <v>38032.812450005003</v>
      </c>
      <c r="L6690">
        <v>13.9</v>
      </c>
      <c r="M6690">
        <v>80.841999999999999</v>
      </c>
      <c r="N6690">
        <v>5.4610000000000003</v>
      </c>
    </row>
    <row r="6691" spans="1:14" x14ac:dyDescent="0.45">
      <c r="A6691">
        <v>2011</v>
      </c>
      <c r="B6691" t="s">
        <v>203</v>
      </c>
      <c r="C6691">
        <v>0</v>
      </c>
      <c r="D6691">
        <v>0</v>
      </c>
      <c r="E6691">
        <v>0</v>
      </c>
      <c r="F6691">
        <v>0</v>
      </c>
      <c r="G6691">
        <v>0</v>
      </c>
      <c r="H6691">
        <v>1</v>
      </c>
      <c r="I6691">
        <v>1</v>
      </c>
      <c r="J6691">
        <v>44440.3092616125</v>
      </c>
      <c r="K6691">
        <v>38615.099580366703</v>
      </c>
      <c r="L6691">
        <v>23.817</v>
      </c>
      <c r="M6691">
        <v>77.739999999999995</v>
      </c>
      <c r="N6691">
        <v>11.663</v>
      </c>
    </row>
    <row r="6692" spans="1:14" x14ac:dyDescent="0.45">
      <c r="A6692">
        <v>2011</v>
      </c>
      <c r="B6692" t="s">
        <v>204</v>
      </c>
      <c r="C6692">
        <v>0</v>
      </c>
      <c r="D6692">
        <v>0</v>
      </c>
      <c r="E6692">
        <v>0</v>
      </c>
      <c r="F6692">
        <v>1</v>
      </c>
      <c r="G6692">
        <v>0</v>
      </c>
      <c r="H6692">
        <v>0</v>
      </c>
      <c r="I6692">
        <v>0</v>
      </c>
      <c r="J6692">
        <v>4246.0671088249701</v>
      </c>
      <c r="K6692">
        <v>4041.8261012909002</v>
      </c>
      <c r="L6692">
        <v>64.798000000000002</v>
      </c>
      <c r="M6692">
        <v>64.659000000000006</v>
      </c>
      <c r="N6692">
        <v>85.004000000000005</v>
      </c>
    </row>
    <row r="6693" spans="1:14" x14ac:dyDescent="0.45">
      <c r="A6693">
        <v>2011</v>
      </c>
      <c r="B6693" t="s">
        <v>205</v>
      </c>
      <c r="C6693">
        <v>0</v>
      </c>
      <c r="D6693">
        <v>1</v>
      </c>
      <c r="E6693">
        <v>0</v>
      </c>
      <c r="F6693">
        <v>0</v>
      </c>
      <c r="G6693">
        <v>1</v>
      </c>
      <c r="H6693">
        <v>0</v>
      </c>
      <c r="I6693">
        <v>0</v>
      </c>
      <c r="J6693">
        <v>24999.4605937327</v>
      </c>
      <c r="K6693">
        <v>26213.885180936399</v>
      </c>
      <c r="L6693">
        <v>34.563000000000002</v>
      </c>
      <c r="M6693">
        <v>76.659000000000006</v>
      </c>
      <c r="N6693">
        <v>18.196000000000002</v>
      </c>
    </row>
    <row r="6694" spans="1:14" x14ac:dyDescent="0.45">
      <c r="A6694">
        <v>2011</v>
      </c>
      <c r="B6694" t="s">
        <v>206</v>
      </c>
      <c r="C6694">
        <v>0</v>
      </c>
      <c r="D6694">
        <v>1</v>
      </c>
      <c r="E6694">
        <v>0</v>
      </c>
      <c r="F6694">
        <v>0</v>
      </c>
      <c r="G6694">
        <v>1</v>
      </c>
      <c r="H6694">
        <v>0</v>
      </c>
      <c r="I6694">
        <v>0</v>
      </c>
      <c r="J6694">
        <v>12726.599981519799</v>
      </c>
      <c r="K6694">
        <v>10634.1461644231</v>
      </c>
      <c r="L6694">
        <v>23.382999999999999</v>
      </c>
      <c r="M6694">
        <v>73.326999999999998</v>
      </c>
      <c r="N6694">
        <v>19.632000000000001</v>
      </c>
    </row>
    <row r="6695" spans="1:14" x14ac:dyDescent="0.45">
      <c r="A6695">
        <v>2011</v>
      </c>
      <c r="B6695" t="s">
        <v>207</v>
      </c>
      <c r="C6695">
        <v>0</v>
      </c>
      <c r="D6695">
        <v>0</v>
      </c>
      <c r="E6695">
        <v>0</v>
      </c>
      <c r="F6695">
        <v>1</v>
      </c>
      <c r="G6695">
        <v>0</v>
      </c>
      <c r="H6695">
        <v>0</v>
      </c>
      <c r="I6695">
        <v>0</v>
      </c>
      <c r="J6695">
        <v>6388.3129695997704</v>
      </c>
      <c r="K6695">
        <v>5785.2598909329599</v>
      </c>
      <c r="L6695">
        <v>54.478000000000002</v>
      </c>
      <c r="M6695">
        <v>69.096000000000004</v>
      </c>
      <c r="N6695">
        <v>29.606000000000002</v>
      </c>
    </row>
    <row r="6696" spans="1:14" x14ac:dyDescent="0.45">
      <c r="A6696">
        <v>2011</v>
      </c>
      <c r="B6696" t="s">
        <v>208</v>
      </c>
      <c r="C6696">
        <v>0</v>
      </c>
      <c r="D6696">
        <v>0</v>
      </c>
      <c r="E6696">
        <v>0</v>
      </c>
      <c r="F6696">
        <v>0</v>
      </c>
      <c r="G6696">
        <v>1</v>
      </c>
      <c r="H6696">
        <v>0</v>
      </c>
      <c r="I6696">
        <v>0</v>
      </c>
      <c r="J6696">
        <v>17682.6086358457</v>
      </c>
      <c r="K6696">
        <v>15997.817985281799</v>
      </c>
      <c r="L6696">
        <v>24.489000000000001</v>
      </c>
      <c r="M6696">
        <v>68.638000000000005</v>
      </c>
      <c r="N6696">
        <v>19.882000000000001</v>
      </c>
    </row>
    <row r="6697" spans="1:14" x14ac:dyDescent="0.45">
      <c r="A6697">
        <v>2011</v>
      </c>
      <c r="B6697" t="s">
        <v>209</v>
      </c>
      <c r="C6697">
        <v>0</v>
      </c>
      <c r="D6697">
        <v>0</v>
      </c>
      <c r="E6697">
        <v>0</v>
      </c>
      <c r="F6697">
        <v>1</v>
      </c>
      <c r="G6697">
        <v>0</v>
      </c>
      <c r="H6697">
        <v>0</v>
      </c>
      <c r="I6697">
        <v>0</v>
      </c>
      <c r="J6697">
        <v>3514.83277391807</v>
      </c>
      <c r="K6697">
        <v>3179.5224579424098</v>
      </c>
      <c r="L6697">
        <v>87</v>
      </c>
      <c r="M6697">
        <v>63.381999999999998</v>
      </c>
      <c r="N6697">
        <v>56.985999999999997</v>
      </c>
    </row>
    <row r="6698" spans="1:14" x14ac:dyDescent="0.45">
      <c r="A6698">
        <v>2011</v>
      </c>
      <c r="B6698" t="s">
        <v>210</v>
      </c>
      <c r="C6698">
        <v>1</v>
      </c>
      <c r="D6698">
        <v>0</v>
      </c>
      <c r="E6698">
        <v>0</v>
      </c>
      <c r="F6698">
        <v>0</v>
      </c>
      <c r="G6698">
        <v>0</v>
      </c>
      <c r="H6698">
        <v>1</v>
      </c>
      <c r="I6698">
        <v>1</v>
      </c>
      <c r="J6698">
        <v>28521.6612623568</v>
      </c>
      <c r="K6698">
        <v>24619.072685064501</v>
      </c>
      <c r="L6698">
        <v>39.22</v>
      </c>
      <c r="M6698">
        <v>76.567999999999998</v>
      </c>
      <c r="N6698">
        <v>5.4690000000000003</v>
      </c>
    </row>
    <row r="6699" spans="1:14" x14ac:dyDescent="0.45">
      <c r="A6699">
        <v>2011</v>
      </c>
      <c r="B6699" t="s">
        <v>211</v>
      </c>
      <c r="C6699">
        <v>0</v>
      </c>
      <c r="D6699">
        <v>1</v>
      </c>
      <c r="E6699">
        <v>0</v>
      </c>
      <c r="F6699">
        <v>0</v>
      </c>
      <c r="G6699">
        <v>0</v>
      </c>
      <c r="H6699">
        <v>1</v>
      </c>
      <c r="I6699">
        <v>1</v>
      </c>
      <c r="J6699">
        <v>40972.5364074959</v>
      </c>
      <c r="K6699">
        <v>31476.771348658502</v>
      </c>
      <c r="L6699">
        <v>6.2270000000000003</v>
      </c>
      <c r="M6699">
        <v>78.766000000000005</v>
      </c>
      <c r="N6699">
        <v>9.2810000000000006</v>
      </c>
    </row>
    <row r="6700" spans="1:14" x14ac:dyDescent="0.45">
      <c r="A6700">
        <v>2011</v>
      </c>
      <c r="B6700" t="s">
        <v>212</v>
      </c>
      <c r="C6700">
        <v>0</v>
      </c>
      <c r="D6700">
        <v>0</v>
      </c>
      <c r="E6700">
        <v>0</v>
      </c>
      <c r="F6700">
        <v>0</v>
      </c>
      <c r="G6700">
        <v>0</v>
      </c>
      <c r="H6700">
        <v>0</v>
      </c>
      <c r="I6700">
        <v>0</v>
      </c>
      <c r="L6700">
        <v>39.442999999999998</v>
      </c>
      <c r="M6700">
        <v>70.772000000000006</v>
      </c>
      <c r="N6700">
        <v>27.312000000000001</v>
      </c>
    </row>
    <row r="6701" spans="1:14" x14ac:dyDescent="0.45">
      <c r="A6701">
        <v>2011</v>
      </c>
      <c r="B6701" t="s">
        <v>213</v>
      </c>
      <c r="C6701">
        <v>1</v>
      </c>
      <c r="D6701">
        <v>0</v>
      </c>
      <c r="E6701">
        <v>0</v>
      </c>
      <c r="F6701">
        <v>0</v>
      </c>
      <c r="G6701">
        <v>0</v>
      </c>
      <c r="H6701">
        <v>1</v>
      </c>
      <c r="I6701">
        <v>1</v>
      </c>
      <c r="J6701">
        <v>36127.294814917099</v>
      </c>
      <c r="K6701">
        <v>31227.822864879399</v>
      </c>
      <c r="L6701">
        <v>38.832999999999998</v>
      </c>
      <c r="M6701">
        <v>80.581999999999994</v>
      </c>
      <c r="N6701">
        <v>3.7090000000000001</v>
      </c>
    </row>
    <row r="6702" spans="1:14" x14ac:dyDescent="0.45">
      <c r="A6702">
        <v>2011</v>
      </c>
      <c r="B6702" t="s">
        <v>214</v>
      </c>
      <c r="C6702">
        <v>0</v>
      </c>
      <c r="D6702">
        <v>1</v>
      </c>
      <c r="E6702">
        <v>0</v>
      </c>
      <c r="F6702">
        <v>1</v>
      </c>
      <c r="G6702">
        <v>0</v>
      </c>
      <c r="H6702">
        <v>0</v>
      </c>
      <c r="I6702">
        <v>0</v>
      </c>
      <c r="J6702">
        <v>13109.466571786301</v>
      </c>
      <c r="K6702">
        <v>11960.2780800787</v>
      </c>
      <c r="L6702">
        <v>40.415999999999997</v>
      </c>
      <c r="M6702">
        <v>72.787000000000006</v>
      </c>
      <c r="N6702">
        <v>25.093</v>
      </c>
    </row>
    <row r="6703" spans="1:14" x14ac:dyDescent="0.45">
      <c r="A6703">
        <v>2011</v>
      </c>
      <c r="B6703" t="s">
        <v>215</v>
      </c>
      <c r="C6703">
        <v>0</v>
      </c>
      <c r="D6703">
        <v>0</v>
      </c>
      <c r="E6703">
        <v>0</v>
      </c>
      <c r="F6703">
        <v>1</v>
      </c>
      <c r="G6703">
        <v>0</v>
      </c>
      <c r="H6703">
        <v>0</v>
      </c>
      <c r="I6703">
        <v>0</v>
      </c>
      <c r="J6703">
        <v>5805.3211532925097</v>
      </c>
      <c r="K6703">
        <v>4950.1095022013697</v>
      </c>
      <c r="L6703">
        <v>25.619</v>
      </c>
      <c r="M6703">
        <v>73.557000000000002</v>
      </c>
      <c r="N6703">
        <v>21.109000000000002</v>
      </c>
    </row>
    <row r="6704" spans="1:14" x14ac:dyDescent="0.45">
      <c r="A6704">
        <v>2011</v>
      </c>
      <c r="B6704" t="s">
        <v>216</v>
      </c>
      <c r="C6704">
        <v>0</v>
      </c>
      <c r="D6704">
        <v>0</v>
      </c>
      <c r="E6704">
        <v>0</v>
      </c>
      <c r="F6704">
        <v>0</v>
      </c>
      <c r="G6704">
        <v>0</v>
      </c>
      <c r="H6704">
        <v>1</v>
      </c>
      <c r="I6704">
        <v>1</v>
      </c>
      <c r="L6704">
        <v>39.110999999999997</v>
      </c>
      <c r="M6704">
        <v>81.433999999999997</v>
      </c>
      <c r="N6704">
        <v>8.1820000000000004</v>
      </c>
    </row>
    <row r="6705" spans="1:14" x14ac:dyDescent="0.45">
      <c r="A6705">
        <v>2011</v>
      </c>
      <c r="B6705" t="s">
        <v>217</v>
      </c>
      <c r="C6705">
        <v>0</v>
      </c>
      <c r="D6705">
        <v>0</v>
      </c>
      <c r="E6705">
        <v>0</v>
      </c>
      <c r="F6705">
        <v>0</v>
      </c>
      <c r="G6705">
        <v>0</v>
      </c>
      <c r="H6705">
        <v>1</v>
      </c>
      <c r="I6705">
        <v>1</v>
      </c>
      <c r="J6705">
        <v>145591.01936285701</v>
      </c>
      <c r="K6705">
        <v>125717.533938618</v>
      </c>
      <c r="L6705">
        <v>1.3979999999999999</v>
      </c>
      <c r="M6705">
        <v>79.994</v>
      </c>
      <c r="N6705">
        <v>8.8699999999999992</v>
      </c>
    </row>
    <row r="6706" spans="1:14" x14ac:dyDescent="0.45">
      <c r="A6706">
        <v>2011</v>
      </c>
      <c r="B6706" t="s">
        <v>218</v>
      </c>
      <c r="C6706">
        <v>1</v>
      </c>
      <c r="D6706">
        <v>0</v>
      </c>
      <c r="E6706">
        <v>0</v>
      </c>
      <c r="F6706">
        <v>0</v>
      </c>
      <c r="G6706">
        <v>1</v>
      </c>
      <c r="H6706">
        <v>0</v>
      </c>
      <c r="I6706">
        <v>0</v>
      </c>
      <c r="J6706">
        <v>26147.9394614015</v>
      </c>
      <c r="K6706">
        <v>21253.988223202901</v>
      </c>
      <c r="L6706">
        <v>46.04</v>
      </c>
      <c r="M6706">
        <v>74.287999999999997</v>
      </c>
      <c r="N6706">
        <v>11.558</v>
      </c>
    </row>
    <row r="6707" spans="1:14" x14ac:dyDescent="0.45">
      <c r="A6707">
        <v>2011</v>
      </c>
      <c r="B6707" t="s">
        <v>219</v>
      </c>
      <c r="C6707">
        <v>1</v>
      </c>
      <c r="D6707">
        <v>0</v>
      </c>
      <c r="E6707">
        <v>0</v>
      </c>
      <c r="F6707">
        <v>0</v>
      </c>
      <c r="G6707">
        <v>1</v>
      </c>
      <c r="H6707">
        <v>0</v>
      </c>
      <c r="I6707">
        <v>0</v>
      </c>
      <c r="J6707">
        <v>34444.64453125</v>
      </c>
      <c r="K6707">
        <v>24962.073928501901</v>
      </c>
      <c r="L6707">
        <v>26.268000000000001</v>
      </c>
      <c r="M6707">
        <v>69.724999999999994</v>
      </c>
      <c r="N6707">
        <v>9.6869999999999994</v>
      </c>
    </row>
    <row r="6708" spans="1:14" x14ac:dyDescent="0.45">
      <c r="A6708">
        <v>2011</v>
      </c>
      <c r="B6708" t="s">
        <v>220</v>
      </c>
      <c r="C6708">
        <v>0</v>
      </c>
      <c r="D6708">
        <v>0</v>
      </c>
      <c r="E6708">
        <v>1</v>
      </c>
      <c r="F6708">
        <v>0</v>
      </c>
      <c r="G6708">
        <v>0</v>
      </c>
      <c r="H6708">
        <v>0</v>
      </c>
      <c r="I6708">
        <v>0</v>
      </c>
      <c r="J6708">
        <v>1874.21498172873</v>
      </c>
      <c r="K6708">
        <v>1568.4440364567199</v>
      </c>
      <c r="L6708">
        <v>83.061999999999998</v>
      </c>
      <c r="M6708">
        <v>63.475999999999999</v>
      </c>
      <c r="N6708">
        <v>59.918999999999997</v>
      </c>
    </row>
    <row r="6709" spans="1:14" x14ac:dyDescent="0.45">
      <c r="A6709">
        <v>2011</v>
      </c>
      <c r="B6709" t="s">
        <v>221</v>
      </c>
      <c r="C6709">
        <v>0</v>
      </c>
      <c r="D6709">
        <v>0</v>
      </c>
      <c r="E6709">
        <v>0</v>
      </c>
      <c r="F6709">
        <v>0</v>
      </c>
      <c r="G6709">
        <v>0</v>
      </c>
      <c r="H6709">
        <v>1</v>
      </c>
      <c r="I6709">
        <v>1</v>
      </c>
      <c r="J6709">
        <v>58645.464894853001</v>
      </c>
      <c r="K6709">
        <v>53764.874403045498</v>
      </c>
      <c r="L6709">
        <v>17.698</v>
      </c>
      <c r="M6709">
        <v>75.808000000000007</v>
      </c>
      <c r="N6709">
        <v>11.526999999999999</v>
      </c>
    </row>
    <row r="6710" spans="1:14" x14ac:dyDescent="0.45">
      <c r="A6710">
        <v>2011</v>
      </c>
      <c r="B6710" t="s">
        <v>222</v>
      </c>
      <c r="C6710">
        <v>0</v>
      </c>
      <c r="D6710">
        <v>0</v>
      </c>
      <c r="E6710">
        <v>1</v>
      </c>
      <c r="F6710">
        <v>1</v>
      </c>
      <c r="G6710">
        <v>0</v>
      </c>
      <c r="H6710">
        <v>0</v>
      </c>
      <c r="I6710">
        <v>0</v>
      </c>
      <c r="J6710">
        <v>4467.6259765625</v>
      </c>
      <c r="K6710">
        <v>4678.1935623033896</v>
      </c>
      <c r="L6710">
        <v>66.793000000000006</v>
      </c>
      <c r="M6710">
        <v>63.180999999999997</v>
      </c>
      <c r="N6710">
        <v>72.563999999999993</v>
      </c>
    </row>
    <row r="6711" spans="1:14" x14ac:dyDescent="0.45">
      <c r="A6711">
        <v>2011</v>
      </c>
      <c r="B6711" t="s">
        <v>223</v>
      </c>
      <c r="C6711">
        <v>0</v>
      </c>
      <c r="D6711">
        <v>0</v>
      </c>
      <c r="E6711">
        <v>1</v>
      </c>
      <c r="F6711">
        <v>1</v>
      </c>
      <c r="G6711">
        <v>0</v>
      </c>
      <c r="H6711">
        <v>0</v>
      </c>
      <c r="I6711">
        <v>0</v>
      </c>
      <c r="J6711">
        <v>3362.87940537332</v>
      </c>
      <c r="K6711">
        <v>2809.4806374999198</v>
      </c>
      <c r="L6711">
        <v>55.811999999999998</v>
      </c>
      <c r="M6711">
        <v>64.799000000000007</v>
      </c>
      <c r="N6711">
        <v>63.11</v>
      </c>
    </row>
    <row r="6712" spans="1:14" x14ac:dyDescent="0.45">
      <c r="A6712">
        <v>2011</v>
      </c>
      <c r="B6712" t="s">
        <v>224</v>
      </c>
      <c r="C6712">
        <v>0</v>
      </c>
      <c r="D6712">
        <v>0</v>
      </c>
      <c r="E6712">
        <v>0</v>
      </c>
      <c r="F6712">
        <v>0</v>
      </c>
      <c r="G6712">
        <v>0</v>
      </c>
      <c r="H6712">
        <v>1</v>
      </c>
      <c r="I6712">
        <v>1</v>
      </c>
      <c r="J6712">
        <v>99296.756111126902</v>
      </c>
      <c r="K6712">
        <v>81625.638599463593</v>
      </c>
      <c r="L6712">
        <v>0</v>
      </c>
      <c r="M6712">
        <v>81.941999999999993</v>
      </c>
      <c r="N6712">
        <v>2.79</v>
      </c>
    </row>
    <row r="6713" spans="1:14" x14ac:dyDescent="0.45">
      <c r="A6713">
        <v>2011</v>
      </c>
      <c r="B6713" t="s">
        <v>225</v>
      </c>
      <c r="C6713">
        <v>0</v>
      </c>
      <c r="D6713">
        <v>0</v>
      </c>
      <c r="E6713">
        <v>0</v>
      </c>
      <c r="F6713">
        <v>1</v>
      </c>
      <c r="G6713">
        <v>0</v>
      </c>
      <c r="H6713">
        <v>0</v>
      </c>
      <c r="I6713">
        <v>0</v>
      </c>
      <c r="J6713">
        <v>2777.47103292054</v>
      </c>
      <c r="K6713">
        <v>2512.4251933697801</v>
      </c>
      <c r="L6713">
        <v>79.492000000000004</v>
      </c>
      <c r="M6713">
        <v>68.823999999999998</v>
      </c>
      <c r="N6713">
        <v>25.702999999999999</v>
      </c>
    </row>
    <row r="6714" spans="1:14" x14ac:dyDescent="0.45">
      <c r="A6714">
        <v>2011</v>
      </c>
      <c r="B6714" t="s">
        <v>226</v>
      </c>
      <c r="C6714">
        <v>0</v>
      </c>
      <c r="D6714">
        <v>0</v>
      </c>
      <c r="E6714">
        <v>1</v>
      </c>
      <c r="F6714">
        <v>0</v>
      </c>
      <c r="G6714">
        <v>0</v>
      </c>
      <c r="H6714">
        <v>0</v>
      </c>
      <c r="I6714">
        <v>0</v>
      </c>
      <c r="J6714">
        <v>2592.85893546121</v>
      </c>
      <c r="K6714">
        <v>2353.46177530456</v>
      </c>
      <c r="L6714">
        <v>60.752000000000002</v>
      </c>
      <c r="M6714">
        <v>52.594000000000001</v>
      </c>
      <c r="N6714">
        <v>154.428</v>
      </c>
    </row>
    <row r="6715" spans="1:14" x14ac:dyDescent="0.45">
      <c r="A6715">
        <v>2011</v>
      </c>
      <c r="B6715" t="s">
        <v>227</v>
      </c>
      <c r="C6715">
        <v>0</v>
      </c>
      <c r="D6715">
        <v>1</v>
      </c>
      <c r="E6715">
        <v>0</v>
      </c>
      <c r="F6715">
        <v>1</v>
      </c>
      <c r="G6715">
        <v>0</v>
      </c>
      <c r="H6715">
        <v>0</v>
      </c>
      <c r="I6715">
        <v>0</v>
      </c>
      <c r="J6715">
        <v>8943.0619154332708</v>
      </c>
      <c r="K6715">
        <v>7966.0359371026798</v>
      </c>
      <c r="L6715">
        <v>33.674999999999997</v>
      </c>
      <c r="M6715">
        <v>71.191999999999993</v>
      </c>
      <c r="N6715">
        <v>18.521999999999998</v>
      </c>
    </row>
    <row r="6716" spans="1:14" x14ac:dyDescent="0.45">
      <c r="A6716">
        <v>2011</v>
      </c>
      <c r="B6716" t="s">
        <v>228</v>
      </c>
      <c r="C6716">
        <v>1</v>
      </c>
      <c r="D6716">
        <v>0</v>
      </c>
      <c r="E6716">
        <v>0</v>
      </c>
      <c r="F6716">
        <v>0</v>
      </c>
      <c r="G6716">
        <v>0</v>
      </c>
      <c r="H6716">
        <v>1</v>
      </c>
      <c r="I6716">
        <v>1</v>
      </c>
      <c r="J6716">
        <v>64214.118756337099</v>
      </c>
      <c r="K6716">
        <v>56596.675996253201</v>
      </c>
      <c r="L6716">
        <v>4.0389999999999997</v>
      </c>
      <c r="M6716">
        <v>83.712999999999994</v>
      </c>
      <c r="N6716">
        <v>2.5</v>
      </c>
    </row>
    <row r="6717" spans="1:14" x14ac:dyDescent="0.45">
      <c r="A6717">
        <v>2011</v>
      </c>
      <c r="B6717" t="s">
        <v>229</v>
      </c>
      <c r="C6717">
        <v>0</v>
      </c>
      <c r="D6717">
        <v>0</v>
      </c>
      <c r="E6717">
        <v>1</v>
      </c>
      <c r="F6717">
        <v>0</v>
      </c>
      <c r="G6717">
        <v>0</v>
      </c>
      <c r="H6717">
        <v>0</v>
      </c>
      <c r="I6717">
        <v>0</v>
      </c>
      <c r="J6717">
        <v>1053.9838388456999</v>
      </c>
      <c r="K6717">
        <v>977.60614454794597</v>
      </c>
      <c r="L6717">
        <v>59</v>
      </c>
      <c r="M6717">
        <v>32.453000000000003</v>
      </c>
      <c r="N6717">
        <v>357.36099999999999</v>
      </c>
    </row>
    <row r="6718" spans="1:14" x14ac:dyDescent="0.45">
      <c r="A6718">
        <v>2011</v>
      </c>
      <c r="B6718" t="s">
        <v>230</v>
      </c>
      <c r="C6718">
        <v>1</v>
      </c>
      <c r="D6718">
        <v>0</v>
      </c>
      <c r="E6718">
        <v>0</v>
      </c>
      <c r="F6718">
        <v>0</v>
      </c>
      <c r="G6718">
        <v>1</v>
      </c>
      <c r="H6718">
        <v>0</v>
      </c>
      <c r="I6718">
        <v>0</v>
      </c>
      <c r="J6718">
        <v>17985.579455754101</v>
      </c>
      <c r="K6718">
        <v>15815.1473931612</v>
      </c>
      <c r="L6718">
        <v>44.784999999999997</v>
      </c>
      <c r="M6718">
        <v>74.718999999999994</v>
      </c>
      <c r="N6718">
        <v>7.3280000000000003</v>
      </c>
    </row>
    <row r="6719" spans="1:14" x14ac:dyDescent="0.45">
      <c r="A6719">
        <v>2011</v>
      </c>
      <c r="B6719" t="s">
        <v>231</v>
      </c>
      <c r="C6719">
        <v>0</v>
      </c>
      <c r="D6719">
        <v>0</v>
      </c>
      <c r="E6719">
        <v>1</v>
      </c>
      <c r="F6719">
        <v>1</v>
      </c>
      <c r="G6719">
        <v>0</v>
      </c>
      <c r="H6719">
        <v>0</v>
      </c>
      <c r="I6719">
        <v>0</v>
      </c>
      <c r="L6719">
        <v>81.968000000000004</v>
      </c>
      <c r="M6719">
        <v>57.673999999999999</v>
      </c>
      <c r="N6719">
        <v>108.52500000000001</v>
      </c>
    </row>
    <row r="6720" spans="1:14" x14ac:dyDescent="0.45">
      <c r="A6720">
        <v>2011</v>
      </c>
      <c r="B6720" t="s">
        <v>232</v>
      </c>
      <c r="C6720">
        <v>0</v>
      </c>
      <c r="D6720">
        <v>0</v>
      </c>
      <c r="E6720">
        <v>1</v>
      </c>
      <c r="F6720">
        <v>1</v>
      </c>
      <c r="G6720">
        <v>0</v>
      </c>
      <c r="H6720">
        <v>0</v>
      </c>
      <c r="I6720">
        <v>0</v>
      </c>
      <c r="J6720">
        <v>4876.4731579214504</v>
      </c>
      <c r="K6720">
        <v>3035.04024351099</v>
      </c>
      <c r="L6720">
        <v>33.936</v>
      </c>
      <c r="M6720">
        <v>64.122</v>
      </c>
      <c r="N6720">
        <v>32.905999999999999</v>
      </c>
    </row>
    <row r="6721" spans="1:14" x14ac:dyDescent="0.45">
      <c r="A6721">
        <v>2011</v>
      </c>
      <c r="B6721" t="s">
        <v>233</v>
      </c>
      <c r="C6721">
        <v>0</v>
      </c>
      <c r="D6721">
        <v>1</v>
      </c>
      <c r="E6721">
        <v>0</v>
      </c>
      <c r="F6721">
        <v>0</v>
      </c>
      <c r="G6721">
        <v>1</v>
      </c>
      <c r="H6721">
        <v>0</v>
      </c>
      <c r="I6721">
        <v>0</v>
      </c>
      <c r="J6721">
        <v>23829.5332856393</v>
      </c>
      <c r="K6721">
        <v>18967.823001326</v>
      </c>
      <c r="L6721">
        <v>33.723999999999997</v>
      </c>
      <c r="M6721">
        <v>69.819999999999993</v>
      </c>
      <c r="N6721">
        <v>22.588999999999999</v>
      </c>
    </row>
    <row r="6722" spans="1:14" x14ac:dyDescent="0.45">
      <c r="A6722">
        <v>2011</v>
      </c>
      <c r="B6722" t="s">
        <v>234</v>
      </c>
      <c r="C6722">
        <v>1</v>
      </c>
      <c r="D6722">
        <v>0</v>
      </c>
      <c r="E6722">
        <v>0</v>
      </c>
      <c r="F6722">
        <v>0</v>
      </c>
      <c r="G6722">
        <v>0</v>
      </c>
      <c r="H6722">
        <v>1</v>
      </c>
      <c r="I6722">
        <v>1</v>
      </c>
      <c r="J6722">
        <v>30468.766017565398</v>
      </c>
      <c r="K6722">
        <v>26242.225156679098</v>
      </c>
      <c r="L6722">
        <v>45.58</v>
      </c>
      <c r="M6722">
        <v>76.018000000000001</v>
      </c>
      <c r="N6722">
        <v>6.0540000000000003</v>
      </c>
    </row>
    <row r="6723" spans="1:14" x14ac:dyDescent="0.45">
      <c r="A6723">
        <v>2011</v>
      </c>
      <c r="B6723" t="s">
        <v>235</v>
      </c>
      <c r="C6723">
        <v>1</v>
      </c>
      <c r="D6723">
        <v>0</v>
      </c>
      <c r="E6723">
        <v>0</v>
      </c>
      <c r="F6723">
        <v>0</v>
      </c>
      <c r="G6723">
        <v>0</v>
      </c>
      <c r="H6723">
        <v>1</v>
      </c>
      <c r="I6723">
        <v>1</v>
      </c>
      <c r="J6723">
        <v>38235.7228432228</v>
      </c>
      <c r="K6723">
        <v>32913.489603873</v>
      </c>
      <c r="L6723">
        <v>47.116999999999997</v>
      </c>
      <c r="M6723">
        <v>79.587999999999994</v>
      </c>
      <c r="N6723">
        <v>3.1659999999999999</v>
      </c>
    </row>
    <row r="6724" spans="1:14" x14ac:dyDescent="0.45">
      <c r="A6724">
        <v>2011</v>
      </c>
      <c r="B6724" t="s">
        <v>236</v>
      </c>
      <c r="C6724">
        <v>1</v>
      </c>
      <c r="D6724">
        <v>0</v>
      </c>
      <c r="E6724">
        <v>0</v>
      </c>
      <c r="F6724">
        <v>0</v>
      </c>
      <c r="G6724">
        <v>0</v>
      </c>
      <c r="H6724">
        <v>1</v>
      </c>
      <c r="I6724">
        <v>1</v>
      </c>
      <c r="J6724">
        <v>56853.837160722702</v>
      </c>
      <c r="K6724">
        <v>48565.596761652603</v>
      </c>
      <c r="L6724">
        <v>14.702999999999999</v>
      </c>
      <c r="M6724">
        <v>81.757999999999996</v>
      </c>
      <c r="N6724">
        <v>2.5870000000000002</v>
      </c>
    </row>
    <row r="6725" spans="1:14" x14ac:dyDescent="0.45">
      <c r="A6725">
        <v>2011</v>
      </c>
      <c r="B6725" t="s">
        <v>237</v>
      </c>
      <c r="C6725">
        <v>0</v>
      </c>
      <c r="D6725">
        <v>0</v>
      </c>
      <c r="E6725">
        <v>1</v>
      </c>
      <c r="F6725">
        <v>1</v>
      </c>
      <c r="G6725">
        <v>0</v>
      </c>
      <c r="H6725">
        <v>0</v>
      </c>
      <c r="I6725">
        <v>0</v>
      </c>
      <c r="J6725">
        <v>8348.7742973815893</v>
      </c>
      <c r="K6725">
        <v>7392.8411698194705</v>
      </c>
      <c r="L6725">
        <v>77.3</v>
      </c>
      <c r="M6725">
        <v>49.057000000000002</v>
      </c>
      <c r="N6725">
        <v>79.522999999999996</v>
      </c>
    </row>
    <row r="6726" spans="1:14" x14ac:dyDescent="0.45">
      <c r="A6726">
        <v>2011</v>
      </c>
      <c r="B6726" t="s">
        <v>238</v>
      </c>
      <c r="C6726">
        <v>0</v>
      </c>
      <c r="D6726">
        <v>1</v>
      </c>
      <c r="E6726">
        <v>0</v>
      </c>
      <c r="F6726">
        <v>0</v>
      </c>
      <c r="G6726">
        <v>0</v>
      </c>
      <c r="H6726">
        <v>1</v>
      </c>
      <c r="I6726">
        <v>1</v>
      </c>
      <c r="J6726">
        <v>53786.2462000327</v>
      </c>
      <c r="K6726">
        <v>51908.433222876003</v>
      </c>
      <c r="L6726">
        <v>0</v>
      </c>
      <c r="M6726">
        <v>74.867999999999995</v>
      </c>
      <c r="N6726">
        <v>18.474</v>
      </c>
    </row>
    <row r="6727" spans="1:14" x14ac:dyDescent="0.45">
      <c r="A6727">
        <v>2011</v>
      </c>
      <c r="B6727" t="s">
        <v>239</v>
      </c>
      <c r="C6727">
        <v>0</v>
      </c>
      <c r="D6727">
        <v>0</v>
      </c>
      <c r="E6727">
        <v>1</v>
      </c>
      <c r="F6727">
        <v>0</v>
      </c>
      <c r="G6727">
        <v>1</v>
      </c>
      <c r="H6727">
        <v>0</v>
      </c>
      <c r="I6727">
        <v>0</v>
      </c>
      <c r="J6727">
        <v>24406.412976410498</v>
      </c>
      <c r="K6727">
        <v>23694.9631085523</v>
      </c>
      <c r="L6727">
        <v>46.28</v>
      </c>
      <c r="M6727">
        <v>72.506</v>
      </c>
      <c r="N6727">
        <v>14.180999999999999</v>
      </c>
    </row>
    <row r="6728" spans="1:14" x14ac:dyDescent="0.45">
      <c r="A6728">
        <v>2011</v>
      </c>
      <c r="B6728" t="s">
        <v>240</v>
      </c>
      <c r="C6728">
        <v>0</v>
      </c>
      <c r="D6728">
        <v>0</v>
      </c>
      <c r="E6728">
        <v>0</v>
      </c>
      <c r="F6728">
        <v>1</v>
      </c>
      <c r="G6728">
        <v>0</v>
      </c>
      <c r="H6728">
        <v>0</v>
      </c>
      <c r="I6728">
        <v>0</v>
      </c>
      <c r="J6728">
        <v>9648.8242671836106</v>
      </c>
      <c r="K6728">
        <v>6328.9284893322601</v>
      </c>
      <c r="L6728">
        <v>45.42</v>
      </c>
      <c r="M6728">
        <v>72.259</v>
      </c>
      <c r="N6728">
        <v>22.225999999999999</v>
      </c>
    </row>
    <row r="6729" spans="1:14" x14ac:dyDescent="0.45">
      <c r="A6729">
        <v>2011</v>
      </c>
      <c r="B6729" t="s">
        <v>241</v>
      </c>
      <c r="C6729">
        <v>0</v>
      </c>
      <c r="D6729">
        <v>1</v>
      </c>
      <c r="E6729">
        <v>0</v>
      </c>
      <c r="F6729">
        <v>0</v>
      </c>
      <c r="G6729">
        <v>0</v>
      </c>
      <c r="H6729">
        <v>1</v>
      </c>
      <c r="I6729">
        <v>1</v>
      </c>
      <c r="J6729">
        <v>17147.424764127001</v>
      </c>
      <c r="K6729">
        <v>26695.7493806887</v>
      </c>
      <c r="L6729">
        <v>9.3319999999999901</v>
      </c>
      <c r="M6729">
        <v>76.87</v>
      </c>
      <c r="N6729">
        <v>7.4790000000000001</v>
      </c>
    </row>
    <row r="6730" spans="1:14" x14ac:dyDescent="0.45">
      <c r="A6730">
        <v>2011</v>
      </c>
      <c r="B6730" t="s">
        <v>242</v>
      </c>
      <c r="C6730">
        <v>0</v>
      </c>
      <c r="D6730">
        <v>0</v>
      </c>
      <c r="E6730">
        <v>1</v>
      </c>
      <c r="F6730">
        <v>0</v>
      </c>
      <c r="G6730">
        <v>0</v>
      </c>
      <c r="H6730">
        <v>0</v>
      </c>
      <c r="I6730">
        <v>0</v>
      </c>
      <c r="J6730">
        <v>2742.6996490669999</v>
      </c>
      <c r="K6730">
        <v>2303.9669323077501</v>
      </c>
      <c r="L6730">
        <v>77.945999999999998</v>
      </c>
      <c r="M6730">
        <v>50.426000000000002</v>
      </c>
      <c r="N6730">
        <v>143.98699999999999</v>
      </c>
    </row>
    <row r="6731" spans="1:14" x14ac:dyDescent="0.45">
      <c r="A6731">
        <v>2011</v>
      </c>
      <c r="B6731" t="s">
        <v>243</v>
      </c>
      <c r="C6731">
        <v>0</v>
      </c>
      <c r="D6731">
        <v>0</v>
      </c>
      <c r="E6731">
        <v>1</v>
      </c>
      <c r="F6731">
        <v>0</v>
      </c>
      <c r="G6731">
        <v>0</v>
      </c>
      <c r="H6731">
        <v>0</v>
      </c>
      <c r="I6731">
        <v>0</v>
      </c>
      <c r="J6731">
        <v>2048.8154887000401</v>
      </c>
      <c r="K6731">
        <v>1702.6429997607599</v>
      </c>
      <c r="L6731">
        <v>61.968000000000004</v>
      </c>
      <c r="M6731">
        <v>57.612000000000002</v>
      </c>
      <c r="N6731">
        <v>86.200999999999993</v>
      </c>
    </row>
    <row r="6732" spans="1:14" x14ac:dyDescent="0.45">
      <c r="A6732">
        <v>2011</v>
      </c>
      <c r="B6732" t="s">
        <v>244</v>
      </c>
      <c r="C6732">
        <v>0</v>
      </c>
      <c r="D6732">
        <v>0</v>
      </c>
      <c r="E6732">
        <v>0</v>
      </c>
      <c r="F6732">
        <v>0</v>
      </c>
      <c r="G6732">
        <v>1</v>
      </c>
      <c r="H6732">
        <v>0</v>
      </c>
      <c r="I6732">
        <v>0</v>
      </c>
      <c r="J6732">
        <v>16766.347705788299</v>
      </c>
      <c r="K6732">
        <v>14662.6250169339</v>
      </c>
      <c r="L6732">
        <v>55.302</v>
      </c>
      <c r="M6732">
        <v>75.302000000000007</v>
      </c>
      <c r="N6732">
        <v>12.315</v>
      </c>
    </row>
    <row r="6733" spans="1:14" x14ac:dyDescent="0.45">
      <c r="A6733">
        <v>2011</v>
      </c>
      <c r="B6733" t="s">
        <v>245</v>
      </c>
      <c r="C6733">
        <v>1</v>
      </c>
      <c r="D6733">
        <v>0</v>
      </c>
      <c r="E6733">
        <v>0</v>
      </c>
      <c r="F6733">
        <v>0</v>
      </c>
      <c r="G6733">
        <v>0</v>
      </c>
      <c r="H6733">
        <v>0</v>
      </c>
      <c r="I6733">
        <v>0</v>
      </c>
      <c r="J6733">
        <v>2572.4807489549798</v>
      </c>
      <c r="K6733">
        <v>2342.84877588166</v>
      </c>
      <c r="L6733">
        <v>73.478999999999999</v>
      </c>
      <c r="M6733">
        <v>68.697999999999993</v>
      </c>
      <c r="N6733">
        <v>42.267000000000003</v>
      </c>
    </row>
    <row r="6734" spans="1:14" x14ac:dyDescent="0.45">
      <c r="A6734">
        <v>2011</v>
      </c>
      <c r="B6734" t="s">
        <v>246</v>
      </c>
      <c r="C6734">
        <v>1</v>
      </c>
      <c r="D6734">
        <v>0</v>
      </c>
      <c r="E6734">
        <v>0</v>
      </c>
      <c r="F6734">
        <v>0</v>
      </c>
      <c r="G6734">
        <v>1</v>
      </c>
      <c r="H6734">
        <v>0</v>
      </c>
      <c r="I6734">
        <v>0</v>
      </c>
      <c r="J6734">
        <v>9929.6893463464494</v>
      </c>
      <c r="K6734">
        <v>9346.01150792097</v>
      </c>
      <c r="L6734">
        <v>51.174999999999997</v>
      </c>
      <c r="M6734">
        <v>68.87</v>
      </c>
      <c r="N6734">
        <v>43.085000000000001</v>
      </c>
    </row>
    <row r="6735" spans="1:14" x14ac:dyDescent="0.45">
      <c r="A6735">
        <v>2011</v>
      </c>
      <c r="B6735" t="s">
        <v>247</v>
      </c>
      <c r="C6735">
        <v>0</v>
      </c>
      <c r="D6735">
        <v>0</v>
      </c>
      <c r="E6735">
        <v>0</v>
      </c>
      <c r="F6735">
        <v>1</v>
      </c>
      <c r="G6735">
        <v>0</v>
      </c>
      <c r="H6735">
        <v>0</v>
      </c>
      <c r="I6735">
        <v>0</v>
      </c>
      <c r="J6735">
        <v>4191.8029151917899</v>
      </c>
      <c r="K6735">
        <v>3382.2091860830301</v>
      </c>
      <c r="L6735">
        <v>71.921000000000006</v>
      </c>
      <c r="M6735">
        <v>64.022000000000006</v>
      </c>
      <c r="N6735">
        <v>69.486999999999995</v>
      </c>
    </row>
    <row r="6736" spans="1:14" x14ac:dyDescent="0.45">
      <c r="A6736">
        <v>2011</v>
      </c>
      <c r="B6736" t="s">
        <v>248</v>
      </c>
      <c r="C6736">
        <v>0</v>
      </c>
      <c r="D6736">
        <v>0</v>
      </c>
      <c r="E6736">
        <v>0</v>
      </c>
      <c r="F6736">
        <v>1</v>
      </c>
      <c r="G6736">
        <v>0</v>
      </c>
      <c r="H6736">
        <v>0</v>
      </c>
      <c r="I6736">
        <v>0</v>
      </c>
      <c r="J6736">
        <v>5847.4438942077204</v>
      </c>
      <c r="K6736">
        <v>5293.2890653767499</v>
      </c>
      <c r="L6736">
        <v>76.557000000000002</v>
      </c>
      <c r="M6736">
        <v>71.436999999999998</v>
      </c>
      <c r="N6736">
        <v>13.097</v>
      </c>
    </row>
    <row r="6737" spans="1:14" x14ac:dyDescent="0.45">
      <c r="A6737">
        <v>2011</v>
      </c>
      <c r="B6737" t="s">
        <v>249</v>
      </c>
      <c r="C6737">
        <v>0</v>
      </c>
      <c r="D6737">
        <v>1</v>
      </c>
      <c r="E6737">
        <v>0</v>
      </c>
      <c r="F6737">
        <v>0</v>
      </c>
      <c r="G6737">
        <v>0</v>
      </c>
      <c r="H6737">
        <v>1</v>
      </c>
      <c r="I6737">
        <v>1</v>
      </c>
      <c r="J6737">
        <v>34814.371733627398</v>
      </c>
      <c r="K6737">
        <v>29055.8318223612</v>
      </c>
      <c r="L6737">
        <v>46.164000000000001</v>
      </c>
      <c r="M6737">
        <v>72.231999999999999</v>
      </c>
      <c r="N6737">
        <v>21.655000000000001</v>
      </c>
    </row>
    <row r="6738" spans="1:14" x14ac:dyDescent="0.45">
      <c r="A6738">
        <v>2011</v>
      </c>
      <c r="B6738" t="s">
        <v>250</v>
      </c>
      <c r="C6738">
        <v>0</v>
      </c>
      <c r="D6738">
        <v>0</v>
      </c>
      <c r="E6738">
        <v>0</v>
      </c>
      <c r="F6738">
        <v>0</v>
      </c>
      <c r="G6738">
        <v>1</v>
      </c>
      <c r="H6738">
        <v>0</v>
      </c>
      <c r="I6738">
        <v>0</v>
      </c>
      <c r="J6738">
        <v>12068.7003710793</v>
      </c>
      <c r="K6738">
        <v>10517.6707736138</v>
      </c>
      <c r="L6738">
        <v>33.061999999999998</v>
      </c>
      <c r="M6738">
        <v>74.471000000000004</v>
      </c>
      <c r="N6738">
        <v>18.823</v>
      </c>
    </row>
    <row r="6739" spans="1:14" x14ac:dyDescent="0.45">
      <c r="A6739">
        <v>2011</v>
      </c>
      <c r="B6739" t="s">
        <v>251</v>
      </c>
      <c r="C6739">
        <v>1</v>
      </c>
      <c r="D6739">
        <v>0</v>
      </c>
      <c r="E6739">
        <v>0</v>
      </c>
      <c r="F6739">
        <v>0</v>
      </c>
      <c r="G6739">
        <v>1</v>
      </c>
      <c r="H6739">
        <v>0</v>
      </c>
      <c r="I6739">
        <v>0</v>
      </c>
      <c r="J6739">
        <v>21439.069055190699</v>
      </c>
      <c r="K6739">
        <v>21496.422005872599</v>
      </c>
      <c r="L6739">
        <v>28.597999999999999</v>
      </c>
      <c r="M6739">
        <v>74.822999999999993</v>
      </c>
      <c r="N6739">
        <v>16.966999999999999</v>
      </c>
    </row>
    <row r="6740" spans="1:14" x14ac:dyDescent="0.45">
      <c r="A6740">
        <v>2011</v>
      </c>
      <c r="B6740" t="s">
        <v>252</v>
      </c>
      <c r="C6740">
        <v>0</v>
      </c>
      <c r="D6740">
        <v>0</v>
      </c>
      <c r="E6740">
        <v>0</v>
      </c>
      <c r="F6740">
        <v>0</v>
      </c>
      <c r="G6740">
        <v>1</v>
      </c>
      <c r="H6740">
        <v>0</v>
      </c>
      <c r="I6740">
        <v>0</v>
      </c>
      <c r="J6740">
        <v>3687.4392733126201</v>
      </c>
      <c r="K6740">
        <v>3335.85822194202</v>
      </c>
      <c r="L6740">
        <v>44.192999999999998</v>
      </c>
      <c r="M6740">
        <v>64.959999999999994</v>
      </c>
      <c r="N6740">
        <v>30.155999999999999</v>
      </c>
    </row>
    <row r="6741" spans="1:14" x14ac:dyDescent="0.45">
      <c r="A6741">
        <v>2011</v>
      </c>
      <c r="B6741" t="s">
        <v>253</v>
      </c>
      <c r="C6741">
        <v>0</v>
      </c>
      <c r="D6741">
        <v>0</v>
      </c>
      <c r="E6741">
        <v>0</v>
      </c>
      <c r="F6741">
        <v>0</v>
      </c>
      <c r="G6741">
        <v>0</v>
      </c>
      <c r="H6741">
        <v>1</v>
      </c>
      <c r="I6741">
        <v>1</v>
      </c>
      <c r="L6741">
        <v>49.488999999999997</v>
      </c>
      <c r="M6741">
        <v>78.88</v>
      </c>
      <c r="N6741">
        <v>5.4790000000000001</v>
      </c>
    </row>
    <row r="6742" spans="1:14" x14ac:dyDescent="0.45">
      <c r="A6742">
        <v>2011</v>
      </c>
      <c r="B6742" t="s">
        <v>254</v>
      </c>
      <c r="C6742">
        <v>0</v>
      </c>
      <c r="D6742">
        <v>0</v>
      </c>
      <c r="E6742">
        <v>1</v>
      </c>
      <c r="F6742">
        <v>0</v>
      </c>
      <c r="G6742">
        <v>0</v>
      </c>
      <c r="H6742">
        <v>0</v>
      </c>
      <c r="I6742">
        <v>0</v>
      </c>
      <c r="J6742">
        <v>2779.70776367188</v>
      </c>
      <c r="K6742">
        <v>2070.5118513400698</v>
      </c>
      <c r="L6742">
        <v>71.201999999999998</v>
      </c>
      <c r="M6742">
        <v>61.618000000000002</v>
      </c>
      <c r="N6742">
        <v>65.637</v>
      </c>
    </row>
    <row r="6743" spans="1:14" x14ac:dyDescent="0.45">
      <c r="A6743">
        <v>2011</v>
      </c>
      <c r="B6743" t="s">
        <v>255</v>
      </c>
      <c r="C6743">
        <v>0</v>
      </c>
      <c r="D6743">
        <v>0</v>
      </c>
      <c r="E6743">
        <v>1</v>
      </c>
      <c r="F6743">
        <v>0</v>
      </c>
      <c r="G6743">
        <v>0</v>
      </c>
      <c r="H6743">
        <v>0</v>
      </c>
      <c r="I6743">
        <v>0</v>
      </c>
      <c r="J6743">
        <v>2384.4653273153999</v>
      </c>
      <c r="K6743">
        <v>2022.7527874503501</v>
      </c>
      <c r="L6743">
        <v>80.102000000000004</v>
      </c>
      <c r="M6743">
        <v>60.790999999999997</v>
      </c>
      <c r="N6743">
        <v>71.302999999999997</v>
      </c>
    </row>
    <row r="6744" spans="1:14" x14ac:dyDescent="0.45">
      <c r="A6744">
        <v>2011</v>
      </c>
      <c r="B6744" t="s">
        <v>256</v>
      </c>
      <c r="C6744">
        <v>1</v>
      </c>
      <c r="D6744">
        <v>0</v>
      </c>
      <c r="E6744">
        <v>0</v>
      </c>
      <c r="F6744">
        <v>1</v>
      </c>
      <c r="G6744">
        <v>0</v>
      </c>
      <c r="H6744">
        <v>0</v>
      </c>
      <c r="I6744">
        <v>0</v>
      </c>
      <c r="J6744">
        <v>17783.95703125</v>
      </c>
      <c r="K6744">
        <v>12578.3355310602</v>
      </c>
      <c r="L6744">
        <v>31.311</v>
      </c>
      <c r="M6744">
        <v>70.710999999999999</v>
      </c>
      <c r="N6744">
        <v>10.65</v>
      </c>
    </row>
    <row r="6745" spans="1:14" x14ac:dyDescent="0.45">
      <c r="A6745">
        <v>2011</v>
      </c>
      <c r="B6745" t="s">
        <v>257</v>
      </c>
      <c r="C6745">
        <v>0</v>
      </c>
      <c r="D6745">
        <v>1</v>
      </c>
      <c r="E6745">
        <v>0</v>
      </c>
      <c r="F6745">
        <v>0</v>
      </c>
      <c r="G6745">
        <v>1</v>
      </c>
      <c r="H6745">
        <v>0</v>
      </c>
      <c r="I6745">
        <v>0</v>
      </c>
      <c r="J6745">
        <v>26099.3215293803</v>
      </c>
      <c r="K6745">
        <v>20701.161771206898</v>
      </c>
      <c r="L6745">
        <v>5.3880000000000097</v>
      </c>
      <c r="M6745">
        <v>76.614000000000004</v>
      </c>
      <c r="N6745">
        <v>10.196999999999999</v>
      </c>
    </row>
    <row r="6746" spans="1:14" x14ac:dyDescent="0.45">
      <c r="A6746">
        <v>2011</v>
      </c>
      <c r="B6746" t="s">
        <v>258</v>
      </c>
      <c r="C6746">
        <v>0</v>
      </c>
      <c r="D6746">
        <v>0</v>
      </c>
      <c r="E6746">
        <v>0</v>
      </c>
      <c r="F6746">
        <v>0</v>
      </c>
      <c r="G6746">
        <v>0</v>
      </c>
      <c r="H6746">
        <v>1</v>
      </c>
      <c r="I6746">
        <v>1</v>
      </c>
      <c r="J6746">
        <v>60245.484398906803</v>
      </c>
      <c r="K6746">
        <v>54683.296393742203</v>
      </c>
      <c r="L6746">
        <v>19.056000000000001</v>
      </c>
      <c r="M6746">
        <v>78.701999999999998</v>
      </c>
      <c r="N6746">
        <v>7.0869999999999997</v>
      </c>
    </row>
    <row r="6747" spans="1:14" x14ac:dyDescent="0.45">
      <c r="A6747">
        <v>2011</v>
      </c>
      <c r="B6747" t="s">
        <v>259</v>
      </c>
      <c r="C6747">
        <v>1</v>
      </c>
      <c r="D6747">
        <v>0</v>
      </c>
      <c r="E6747">
        <v>0</v>
      </c>
      <c r="F6747">
        <v>1</v>
      </c>
      <c r="G6747">
        <v>0</v>
      </c>
      <c r="H6747">
        <v>0</v>
      </c>
      <c r="I6747">
        <v>0</v>
      </c>
      <c r="J6747">
        <v>6100.2510099828396</v>
      </c>
      <c r="K6747">
        <v>5926.6195770611303</v>
      </c>
      <c r="L6747">
        <v>48.85</v>
      </c>
      <c r="M6747">
        <v>70.143000000000001</v>
      </c>
      <c r="N6747">
        <v>27.771000000000001</v>
      </c>
    </row>
    <row r="6748" spans="1:14" x14ac:dyDescent="0.45">
      <c r="A6748">
        <v>2011</v>
      </c>
      <c r="B6748" t="s">
        <v>260</v>
      </c>
      <c r="C6748">
        <v>0</v>
      </c>
      <c r="D6748">
        <v>1</v>
      </c>
      <c r="E6748">
        <v>0</v>
      </c>
      <c r="F6748">
        <v>0</v>
      </c>
      <c r="G6748">
        <v>1</v>
      </c>
      <c r="H6748">
        <v>0</v>
      </c>
      <c r="I6748">
        <v>0</v>
      </c>
      <c r="J6748">
        <v>13168.8964291743</v>
      </c>
      <c r="K6748">
        <v>11509.1042418991</v>
      </c>
      <c r="L6748">
        <v>50.643999999999998</v>
      </c>
      <c r="M6748">
        <v>70.608999999999995</v>
      </c>
      <c r="N6748">
        <v>21.245999999999999</v>
      </c>
    </row>
    <row r="6749" spans="1:14" x14ac:dyDescent="0.45">
      <c r="A6749">
        <v>2011</v>
      </c>
      <c r="B6749" t="s">
        <v>261</v>
      </c>
      <c r="C6749">
        <v>0</v>
      </c>
      <c r="D6749">
        <v>1</v>
      </c>
      <c r="E6749">
        <v>0</v>
      </c>
      <c r="F6749">
        <v>0</v>
      </c>
      <c r="G6749">
        <v>1</v>
      </c>
      <c r="H6749">
        <v>0</v>
      </c>
      <c r="I6749">
        <v>0</v>
      </c>
      <c r="L6749">
        <v>11.891999999999999</v>
      </c>
      <c r="M6749">
        <v>73.09</v>
      </c>
      <c r="N6749">
        <v>17.585000000000001</v>
      </c>
    </row>
    <row r="6750" spans="1:14" x14ac:dyDescent="0.45">
      <c r="A6750">
        <v>2011</v>
      </c>
      <c r="B6750" t="s">
        <v>262</v>
      </c>
      <c r="C6750">
        <v>0</v>
      </c>
      <c r="D6750">
        <v>1</v>
      </c>
      <c r="E6750">
        <v>0</v>
      </c>
      <c r="F6750">
        <v>0</v>
      </c>
      <c r="G6750">
        <v>0</v>
      </c>
      <c r="H6750">
        <v>1</v>
      </c>
      <c r="I6750">
        <v>1</v>
      </c>
      <c r="L6750">
        <v>54.845999999999997</v>
      </c>
      <c r="M6750">
        <v>76.363</v>
      </c>
      <c r="N6750">
        <v>15.554</v>
      </c>
    </row>
    <row r="6751" spans="1:14" x14ac:dyDescent="0.45">
      <c r="A6751">
        <v>2011</v>
      </c>
      <c r="B6751" t="s">
        <v>263</v>
      </c>
      <c r="C6751">
        <v>0</v>
      </c>
      <c r="D6751">
        <v>1</v>
      </c>
      <c r="E6751">
        <v>0</v>
      </c>
      <c r="F6751">
        <v>0</v>
      </c>
      <c r="G6751">
        <v>0</v>
      </c>
      <c r="H6751">
        <v>1</v>
      </c>
      <c r="I6751">
        <v>1</v>
      </c>
      <c r="J6751">
        <v>54443.0686942498</v>
      </c>
      <c r="K6751">
        <v>42638.407615727003</v>
      </c>
      <c r="L6751">
        <v>5.2389999999999999</v>
      </c>
      <c r="M6751">
        <v>73.403000000000006</v>
      </c>
      <c r="N6751">
        <v>9.3580000000000005</v>
      </c>
    </row>
    <row r="6752" spans="1:14" x14ac:dyDescent="0.45">
      <c r="A6752">
        <v>2011</v>
      </c>
      <c r="B6752" t="s">
        <v>264</v>
      </c>
      <c r="C6752">
        <v>0</v>
      </c>
      <c r="D6752">
        <v>0</v>
      </c>
      <c r="E6752">
        <v>0</v>
      </c>
      <c r="F6752">
        <v>1</v>
      </c>
      <c r="G6752">
        <v>0</v>
      </c>
      <c r="H6752">
        <v>0</v>
      </c>
      <c r="I6752">
        <v>0</v>
      </c>
      <c r="J6752">
        <v>7652.6189567227102</v>
      </c>
      <c r="K6752">
        <v>6819.1178240325698</v>
      </c>
      <c r="L6752">
        <v>68.92</v>
      </c>
      <c r="M6752">
        <v>73.712999999999994</v>
      </c>
      <c r="N6752">
        <v>22.978000000000002</v>
      </c>
    </row>
    <row r="6753" spans="1:14" x14ac:dyDescent="0.45">
      <c r="A6753">
        <v>2011</v>
      </c>
      <c r="B6753" t="s">
        <v>265</v>
      </c>
      <c r="C6753">
        <v>0</v>
      </c>
      <c r="D6753">
        <v>0</v>
      </c>
      <c r="E6753">
        <v>0</v>
      </c>
      <c r="F6753">
        <v>1</v>
      </c>
      <c r="G6753">
        <v>0</v>
      </c>
      <c r="H6753">
        <v>0</v>
      </c>
      <c r="I6753">
        <v>0</v>
      </c>
      <c r="J6753">
        <v>3390.9610391260499</v>
      </c>
      <c r="K6753">
        <v>3067.4679199290699</v>
      </c>
      <c r="L6753">
        <v>75.438999999999993</v>
      </c>
      <c r="M6753">
        <v>69.728999999999999</v>
      </c>
      <c r="N6753">
        <v>23.11</v>
      </c>
    </row>
    <row r="6754" spans="1:14" x14ac:dyDescent="0.45">
      <c r="A6754">
        <v>2011</v>
      </c>
      <c r="B6754" t="s">
        <v>266</v>
      </c>
      <c r="C6754">
        <v>0</v>
      </c>
      <c r="D6754">
        <v>0</v>
      </c>
      <c r="E6754">
        <v>0</v>
      </c>
      <c r="F6754">
        <v>1</v>
      </c>
      <c r="G6754">
        <v>0</v>
      </c>
      <c r="H6754">
        <v>0</v>
      </c>
      <c r="I6754">
        <v>0</v>
      </c>
      <c r="J6754">
        <v>6616.7710962494903</v>
      </c>
      <c r="K6754">
        <v>5985.5400392598804</v>
      </c>
      <c r="L6754">
        <v>80.143000000000001</v>
      </c>
      <c r="M6754">
        <v>71.393000000000001</v>
      </c>
      <c r="N6754">
        <v>19.134</v>
      </c>
    </row>
    <row r="6755" spans="1:14" x14ac:dyDescent="0.45">
      <c r="A6755">
        <v>2011</v>
      </c>
      <c r="B6755" t="s">
        <v>267</v>
      </c>
      <c r="C6755">
        <v>1</v>
      </c>
      <c r="D6755">
        <v>0</v>
      </c>
      <c r="E6755">
        <v>0</v>
      </c>
      <c r="F6755">
        <v>1</v>
      </c>
      <c r="G6755">
        <v>0</v>
      </c>
      <c r="H6755">
        <v>0</v>
      </c>
      <c r="I6755">
        <v>0</v>
      </c>
      <c r="J6755">
        <v>8359.9362147933607</v>
      </c>
      <c r="K6755">
        <v>7588.0886839733103</v>
      </c>
      <c r="L6755">
        <v>44.784999999999997</v>
      </c>
      <c r="M6755">
        <v>75.322999999999993</v>
      </c>
      <c r="N6755">
        <v>18.722000000000001</v>
      </c>
    </row>
    <row r="6756" spans="1:14" x14ac:dyDescent="0.45">
      <c r="A6756">
        <v>2011</v>
      </c>
      <c r="B6756" t="s">
        <v>268</v>
      </c>
      <c r="C6756">
        <v>0</v>
      </c>
      <c r="D6756">
        <v>0</v>
      </c>
      <c r="E6756">
        <v>0</v>
      </c>
      <c r="F6756">
        <v>1</v>
      </c>
      <c r="G6756">
        <v>0</v>
      </c>
      <c r="H6756">
        <v>0</v>
      </c>
      <c r="I6756">
        <v>0</v>
      </c>
      <c r="L6756">
        <v>67.635999999999996</v>
      </c>
      <c r="M6756">
        <v>67.412000000000006</v>
      </c>
      <c r="N6756">
        <v>54.084000000000003</v>
      </c>
    </row>
    <row r="6757" spans="1:14" x14ac:dyDescent="0.45">
      <c r="A6757">
        <v>2011</v>
      </c>
      <c r="B6757" t="s">
        <v>269</v>
      </c>
      <c r="C6757">
        <v>0</v>
      </c>
      <c r="D6757">
        <v>0</v>
      </c>
      <c r="E6757">
        <v>1</v>
      </c>
      <c r="F6757">
        <v>0</v>
      </c>
      <c r="G6757">
        <v>1</v>
      </c>
      <c r="H6757">
        <v>0</v>
      </c>
      <c r="I6757">
        <v>0</v>
      </c>
      <c r="J6757">
        <v>14451.929184196</v>
      </c>
      <c r="K6757">
        <v>13607.085781108201</v>
      </c>
      <c r="L6757">
        <v>37.253999999999998</v>
      </c>
      <c r="M6757">
        <v>60.601999999999997</v>
      </c>
      <c r="N6757">
        <v>41.853999999999999</v>
      </c>
    </row>
    <row r="6758" spans="1:14" x14ac:dyDescent="0.45">
      <c r="A6758">
        <v>2011</v>
      </c>
      <c r="B6758" t="s">
        <v>270</v>
      </c>
      <c r="C6758">
        <v>0</v>
      </c>
      <c r="D6758">
        <v>0</v>
      </c>
      <c r="E6758">
        <v>1</v>
      </c>
      <c r="F6758">
        <v>1</v>
      </c>
      <c r="G6758">
        <v>0</v>
      </c>
      <c r="H6758">
        <v>0</v>
      </c>
      <c r="I6758">
        <v>0</v>
      </c>
      <c r="J6758">
        <v>3335.6433950065698</v>
      </c>
      <c r="K6758">
        <v>3131.6930414990402</v>
      </c>
      <c r="L6758">
        <v>60.149000000000001</v>
      </c>
      <c r="M6758">
        <v>57.843000000000004</v>
      </c>
      <c r="N6758">
        <v>76.968999999999994</v>
      </c>
    </row>
    <row r="6759" spans="1:14" x14ac:dyDescent="0.45">
      <c r="A6759">
        <v>2011</v>
      </c>
      <c r="B6759" t="s">
        <v>271</v>
      </c>
      <c r="C6759">
        <v>0</v>
      </c>
      <c r="D6759">
        <v>0</v>
      </c>
      <c r="E6759">
        <v>1</v>
      </c>
      <c r="F6759">
        <v>0</v>
      </c>
      <c r="G6759">
        <v>0</v>
      </c>
      <c r="H6759">
        <v>0</v>
      </c>
      <c r="I6759">
        <v>0</v>
      </c>
      <c r="J6759">
        <v>2875.9020611928299</v>
      </c>
      <c r="K6759">
        <v>1914.87880075509</v>
      </c>
      <c r="L6759">
        <v>66.984999999999999</v>
      </c>
      <c r="M6759">
        <v>53.911000000000001</v>
      </c>
      <c r="N6759">
        <v>77.712000000000003</v>
      </c>
    </row>
    <row r="6760" spans="1:14" x14ac:dyDescent="0.45">
      <c r="A6760">
        <v>2012</v>
      </c>
      <c r="B6760" t="s">
        <v>54</v>
      </c>
      <c r="C6760">
        <v>0</v>
      </c>
      <c r="D6760">
        <v>1</v>
      </c>
      <c r="E6760">
        <v>0</v>
      </c>
      <c r="F6760">
        <v>0</v>
      </c>
      <c r="G6760">
        <v>0</v>
      </c>
      <c r="H6760">
        <v>1</v>
      </c>
      <c r="I6760">
        <v>1</v>
      </c>
      <c r="J6760">
        <v>35530.260044155802</v>
      </c>
      <c r="K6760">
        <v>34578.308406679498</v>
      </c>
      <c r="L6760">
        <v>57.042999999999999</v>
      </c>
      <c r="M6760">
        <v>74.840999999999994</v>
      </c>
      <c r="N6760">
        <v>17.382000000000001</v>
      </c>
    </row>
    <row r="6761" spans="1:14" x14ac:dyDescent="0.45">
      <c r="A6761">
        <v>2012</v>
      </c>
      <c r="B6761" t="s">
        <v>55</v>
      </c>
      <c r="C6761">
        <v>0</v>
      </c>
      <c r="D6761">
        <v>0</v>
      </c>
      <c r="E6761">
        <v>0</v>
      </c>
      <c r="F6761">
        <v>0</v>
      </c>
      <c r="G6761">
        <v>0</v>
      </c>
      <c r="H6761">
        <v>0</v>
      </c>
      <c r="I6761">
        <v>0</v>
      </c>
      <c r="J6761">
        <v>2985.3191445284501</v>
      </c>
      <c r="K6761">
        <v>2361.3609472143598</v>
      </c>
      <c r="L6761">
        <v>75.84</v>
      </c>
      <c r="M6761">
        <v>61.734999999999999</v>
      </c>
      <c r="N6761">
        <v>82.906000000000006</v>
      </c>
    </row>
    <row r="6762" spans="1:14" x14ac:dyDescent="0.45">
      <c r="A6762">
        <v>2012</v>
      </c>
      <c r="B6762" t="s">
        <v>56</v>
      </c>
      <c r="C6762">
        <v>0</v>
      </c>
      <c r="D6762">
        <v>0</v>
      </c>
      <c r="E6762">
        <v>1</v>
      </c>
      <c r="F6762">
        <v>0</v>
      </c>
      <c r="G6762">
        <v>1</v>
      </c>
      <c r="H6762">
        <v>0</v>
      </c>
      <c r="I6762">
        <v>0</v>
      </c>
      <c r="J6762">
        <v>10051.3399118452</v>
      </c>
      <c r="K6762">
        <v>7773.2117162841596</v>
      </c>
      <c r="L6762">
        <v>38.731999999999999</v>
      </c>
      <c r="M6762">
        <v>58.915999999999997</v>
      </c>
      <c r="N6762">
        <v>104.964</v>
      </c>
    </row>
    <row r="6763" spans="1:14" x14ac:dyDescent="0.45">
      <c r="A6763">
        <v>2012</v>
      </c>
      <c r="B6763" t="s">
        <v>57</v>
      </c>
      <c r="C6763">
        <v>1</v>
      </c>
      <c r="D6763">
        <v>0</v>
      </c>
      <c r="E6763">
        <v>0</v>
      </c>
      <c r="F6763">
        <v>0</v>
      </c>
      <c r="G6763">
        <v>1</v>
      </c>
      <c r="H6763">
        <v>0</v>
      </c>
      <c r="I6763">
        <v>0</v>
      </c>
      <c r="J6763">
        <v>12292.2968253736</v>
      </c>
      <c r="K6763">
        <v>11136.2571046802</v>
      </c>
      <c r="L6763">
        <v>45.67</v>
      </c>
      <c r="M6763">
        <v>78.084000000000003</v>
      </c>
      <c r="N6763">
        <v>11.644</v>
      </c>
    </row>
    <row r="6764" spans="1:14" x14ac:dyDescent="0.45">
      <c r="A6764">
        <v>2012</v>
      </c>
      <c r="B6764" t="s">
        <v>58</v>
      </c>
      <c r="C6764">
        <v>1</v>
      </c>
      <c r="D6764">
        <v>0</v>
      </c>
      <c r="E6764">
        <v>0</v>
      </c>
      <c r="F6764">
        <v>0</v>
      </c>
      <c r="G6764">
        <v>0</v>
      </c>
      <c r="H6764">
        <v>1</v>
      </c>
      <c r="I6764">
        <v>1</v>
      </c>
      <c r="J6764">
        <v>58172.132392947402</v>
      </c>
      <c r="K6764">
        <v>48831.0627444239</v>
      </c>
      <c r="L6764">
        <v>11.369</v>
      </c>
      <c r="M6764">
        <v>84.334000000000003</v>
      </c>
      <c r="N6764">
        <v>5.8650000000000002</v>
      </c>
    </row>
    <row r="6765" spans="1:14" x14ac:dyDescent="0.45">
      <c r="A6765">
        <v>2012</v>
      </c>
      <c r="B6765" t="s">
        <v>59</v>
      </c>
      <c r="C6765">
        <v>0</v>
      </c>
      <c r="D6765">
        <v>0</v>
      </c>
      <c r="E6765">
        <v>0</v>
      </c>
      <c r="F6765">
        <v>0</v>
      </c>
      <c r="G6765">
        <v>0</v>
      </c>
      <c r="H6765">
        <v>1</v>
      </c>
      <c r="I6765">
        <v>1</v>
      </c>
      <c r="J6765">
        <v>69158.826638258106</v>
      </c>
      <c r="K6765">
        <v>68326.755370312996</v>
      </c>
      <c r="L6765">
        <v>15.250999999999999</v>
      </c>
      <c r="M6765">
        <v>81.912999999999997</v>
      </c>
      <c r="N6765">
        <v>8.1929999999999996</v>
      </c>
    </row>
    <row r="6766" spans="1:14" x14ac:dyDescent="0.45">
      <c r="A6766">
        <v>2012</v>
      </c>
      <c r="B6766" t="s">
        <v>60</v>
      </c>
      <c r="C6766">
        <v>0</v>
      </c>
      <c r="D6766">
        <v>1</v>
      </c>
      <c r="E6766">
        <v>0</v>
      </c>
      <c r="F6766">
        <v>0</v>
      </c>
      <c r="G6766">
        <v>1</v>
      </c>
      <c r="H6766">
        <v>0</v>
      </c>
      <c r="I6766">
        <v>0</v>
      </c>
      <c r="J6766">
        <v>28825.9666865361</v>
      </c>
      <c r="K6766">
        <v>23790.352539981301</v>
      </c>
      <c r="L6766">
        <v>8.8789999999999996</v>
      </c>
      <c r="M6766">
        <v>75.802000000000007</v>
      </c>
      <c r="N6766">
        <v>14.249000000000001</v>
      </c>
    </row>
    <row r="6767" spans="1:14" x14ac:dyDescent="0.45">
      <c r="A6767">
        <v>2012</v>
      </c>
      <c r="B6767" t="s">
        <v>61</v>
      </c>
      <c r="C6767">
        <v>1</v>
      </c>
      <c r="D6767">
        <v>0</v>
      </c>
      <c r="E6767">
        <v>0</v>
      </c>
      <c r="F6767">
        <v>1</v>
      </c>
      <c r="G6767">
        <v>0</v>
      </c>
      <c r="H6767">
        <v>0</v>
      </c>
      <c r="I6767">
        <v>0</v>
      </c>
      <c r="J6767">
        <v>11796.274117799399</v>
      </c>
      <c r="K6767">
        <v>9992.63833062919</v>
      </c>
      <c r="L6767">
        <v>36.76</v>
      </c>
      <c r="M6767">
        <v>73.44</v>
      </c>
      <c r="N6767">
        <v>16.884</v>
      </c>
    </row>
    <row r="6768" spans="1:14" x14ac:dyDescent="0.45">
      <c r="A6768">
        <v>2012</v>
      </c>
      <c r="B6768" t="s">
        <v>62</v>
      </c>
      <c r="C6768">
        <v>0</v>
      </c>
      <c r="D6768">
        <v>0</v>
      </c>
      <c r="E6768">
        <v>0</v>
      </c>
      <c r="F6768">
        <v>0</v>
      </c>
      <c r="G6768">
        <v>1</v>
      </c>
      <c r="H6768">
        <v>0</v>
      </c>
      <c r="I6768">
        <v>0</v>
      </c>
      <c r="L6768">
        <v>12.58</v>
      </c>
      <c r="M6768">
        <v>72.709000000000003</v>
      </c>
      <c r="N6768">
        <v>11.035</v>
      </c>
    </row>
    <row r="6769" spans="1:14" x14ac:dyDescent="0.45">
      <c r="A6769">
        <v>2012</v>
      </c>
      <c r="B6769" t="s">
        <v>63</v>
      </c>
      <c r="C6769">
        <v>0</v>
      </c>
      <c r="D6769">
        <v>1</v>
      </c>
      <c r="E6769">
        <v>0</v>
      </c>
      <c r="F6769">
        <v>0</v>
      </c>
      <c r="G6769">
        <v>0</v>
      </c>
      <c r="H6769">
        <v>1</v>
      </c>
      <c r="I6769">
        <v>1</v>
      </c>
      <c r="J6769">
        <v>25592.906612173501</v>
      </c>
      <c r="K6769">
        <v>20156.892146406499</v>
      </c>
      <c r="L6769">
        <v>74.474000000000004</v>
      </c>
      <c r="M6769">
        <v>77.099999999999994</v>
      </c>
      <c r="N6769">
        <v>11.493</v>
      </c>
    </row>
    <row r="6770" spans="1:14" x14ac:dyDescent="0.45">
      <c r="A6770">
        <v>2012</v>
      </c>
      <c r="B6770" t="s">
        <v>64</v>
      </c>
      <c r="C6770">
        <v>0</v>
      </c>
      <c r="D6770">
        <v>0</v>
      </c>
      <c r="E6770">
        <v>0</v>
      </c>
      <c r="F6770">
        <v>0</v>
      </c>
      <c r="G6770">
        <v>0</v>
      </c>
      <c r="H6770">
        <v>1</v>
      </c>
      <c r="I6770">
        <v>1</v>
      </c>
      <c r="J6770">
        <v>54237.591907586597</v>
      </c>
      <c r="K6770">
        <v>46977.976519650401</v>
      </c>
      <c r="L6770">
        <v>14.598000000000001</v>
      </c>
      <c r="M6770">
        <v>82.296999999999997</v>
      </c>
      <c r="N6770">
        <v>4.03</v>
      </c>
    </row>
    <row r="6771" spans="1:14" x14ac:dyDescent="0.45">
      <c r="A6771">
        <v>2012</v>
      </c>
      <c r="B6771" t="s">
        <v>65</v>
      </c>
      <c r="C6771">
        <v>1</v>
      </c>
      <c r="D6771">
        <v>0</v>
      </c>
      <c r="E6771">
        <v>0</v>
      </c>
      <c r="F6771">
        <v>0</v>
      </c>
      <c r="G6771">
        <v>0</v>
      </c>
      <c r="H6771">
        <v>1</v>
      </c>
      <c r="I6771">
        <v>1</v>
      </c>
      <c r="J6771">
        <v>61451.549099757001</v>
      </c>
      <c r="K6771">
        <v>52366.2776465079</v>
      </c>
      <c r="L6771">
        <v>42.853000000000002</v>
      </c>
      <c r="M6771">
        <v>80.840999999999994</v>
      </c>
      <c r="N6771">
        <v>3.8149999999999999</v>
      </c>
    </row>
    <row r="6772" spans="1:14" x14ac:dyDescent="0.45">
      <c r="A6772">
        <v>2012</v>
      </c>
      <c r="B6772" t="s">
        <v>66</v>
      </c>
      <c r="C6772">
        <v>1</v>
      </c>
      <c r="D6772">
        <v>0</v>
      </c>
      <c r="E6772">
        <v>0</v>
      </c>
      <c r="F6772">
        <v>0</v>
      </c>
      <c r="G6772">
        <v>1</v>
      </c>
      <c r="H6772">
        <v>0</v>
      </c>
      <c r="I6772">
        <v>0</v>
      </c>
      <c r="J6772">
        <v>19523.3737133182</v>
      </c>
      <c r="K6772">
        <v>14217.161953656199</v>
      </c>
      <c r="L6772">
        <v>46.116999999999997</v>
      </c>
      <c r="M6772">
        <v>71.08</v>
      </c>
      <c r="N6772">
        <v>33.116999999999997</v>
      </c>
    </row>
    <row r="6773" spans="1:14" x14ac:dyDescent="0.45">
      <c r="A6773">
        <v>2012</v>
      </c>
      <c r="B6773" t="s">
        <v>67</v>
      </c>
      <c r="C6773">
        <v>0</v>
      </c>
      <c r="D6773">
        <v>0</v>
      </c>
      <c r="E6773">
        <v>1</v>
      </c>
      <c r="F6773">
        <v>0</v>
      </c>
      <c r="G6773">
        <v>0</v>
      </c>
      <c r="H6773">
        <v>0</v>
      </c>
      <c r="I6773">
        <v>0</v>
      </c>
      <c r="J6773">
        <v>958.65740290772499</v>
      </c>
      <c r="K6773">
        <v>828.37897094194398</v>
      </c>
      <c r="L6773">
        <v>88.805999999999997</v>
      </c>
      <c r="M6773">
        <v>58.500999999999998</v>
      </c>
      <c r="N6773">
        <v>80.561999999999998</v>
      </c>
    </row>
    <row r="6774" spans="1:14" x14ac:dyDescent="0.45">
      <c r="A6774">
        <v>2012</v>
      </c>
      <c r="B6774" t="s">
        <v>68</v>
      </c>
      <c r="C6774">
        <v>1</v>
      </c>
      <c r="D6774">
        <v>0</v>
      </c>
      <c r="E6774">
        <v>0</v>
      </c>
      <c r="F6774">
        <v>0</v>
      </c>
      <c r="G6774">
        <v>0</v>
      </c>
      <c r="H6774">
        <v>1</v>
      </c>
      <c r="I6774">
        <v>1</v>
      </c>
      <c r="J6774">
        <v>56381.688836574103</v>
      </c>
      <c r="K6774">
        <v>47446.128584612699</v>
      </c>
      <c r="L6774">
        <v>2.2559999999999998</v>
      </c>
      <c r="M6774">
        <v>80.260000000000005</v>
      </c>
      <c r="N6774">
        <v>4.5709999999999997</v>
      </c>
    </row>
    <row r="6775" spans="1:14" x14ac:dyDescent="0.45">
      <c r="A6775">
        <v>2012</v>
      </c>
      <c r="B6775" t="s">
        <v>69</v>
      </c>
      <c r="C6775">
        <v>0</v>
      </c>
      <c r="D6775">
        <v>0</v>
      </c>
      <c r="E6775">
        <v>1</v>
      </c>
      <c r="F6775">
        <v>0</v>
      </c>
      <c r="G6775">
        <v>0</v>
      </c>
      <c r="H6775">
        <v>0</v>
      </c>
      <c r="I6775">
        <v>0</v>
      </c>
      <c r="J6775">
        <v>2779.7264808532</v>
      </c>
      <c r="K6775">
        <v>2637.27073718571</v>
      </c>
      <c r="L6775">
        <v>55.875</v>
      </c>
      <c r="M6775">
        <v>58.558999999999997</v>
      </c>
      <c r="N6775">
        <v>103.893</v>
      </c>
    </row>
    <row r="6776" spans="1:14" x14ac:dyDescent="0.45">
      <c r="A6776">
        <v>2012</v>
      </c>
      <c r="B6776" t="s">
        <v>70</v>
      </c>
      <c r="C6776">
        <v>0</v>
      </c>
      <c r="D6776">
        <v>0</v>
      </c>
      <c r="E6776">
        <v>1</v>
      </c>
      <c r="F6776">
        <v>0</v>
      </c>
      <c r="G6776">
        <v>0</v>
      </c>
      <c r="H6776">
        <v>0</v>
      </c>
      <c r="I6776">
        <v>0</v>
      </c>
      <c r="J6776">
        <v>2003.6646118745</v>
      </c>
      <c r="K6776">
        <v>1833.2270629515001</v>
      </c>
      <c r="L6776">
        <v>74.233000000000004</v>
      </c>
      <c r="M6776">
        <v>57.457000000000001</v>
      </c>
      <c r="N6776">
        <v>112.86499999999999</v>
      </c>
    </row>
    <row r="6777" spans="1:14" x14ac:dyDescent="0.45">
      <c r="A6777">
        <v>2012</v>
      </c>
      <c r="B6777" t="s">
        <v>71</v>
      </c>
      <c r="C6777">
        <v>0</v>
      </c>
      <c r="D6777">
        <v>0</v>
      </c>
      <c r="E6777">
        <v>0</v>
      </c>
      <c r="F6777">
        <v>0</v>
      </c>
      <c r="G6777">
        <v>0</v>
      </c>
      <c r="H6777">
        <v>0</v>
      </c>
      <c r="I6777">
        <v>0</v>
      </c>
      <c r="J6777">
        <v>4592.0484091981198</v>
      </c>
      <c r="K6777">
        <v>3733.3103985387502</v>
      </c>
      <c r="L6777">
        <v>68.007000000000005</v>
      </c>
      <c r="M6777">
        <v>68.989000000000004</v>
      </c>
      <c r="N6777">
        <v>44.744999999999997</v>
      </c>
    </row>
    <row r="6778" spans="1:14" x14ac:dyDescent="0.45">
      <c r="A6778">
        <v>2012</v>
      </c>
      <c r="B6778" t="s">
        <v>72</v>
      </c>
      <c r="C6778">
        <v>1</v>
      </c>
      <c r="D6778">
        <v>0</v>
      </c>
      <c r="E6778">
        <v>0</v>
      </c>
      <c r="F6778">
        <v>0</v>
      </c>
      <c r="G6778">
        <v>1</v>
      </c>
      <c r="H6778">
        <v>0</v>
      </c>
      <c r="I6778">
        <v>0</v>
      </c>
      <c r="J6778">
        <v>22610.0572767345</v>
      </c>
      <c r="K6778">
        <v>18761.8136068024</v>
      </c>
      <c r="L6778">
        <v>27.024999999999999</v>
      </c>
      <c r="M6778">
        <v>74.337000000000003</v>
      </c>
      <c r="N6778">
        <v>9.5069999999999997</v>
      </c>
    </row>
    <row r="6779" spans="1:14" x14ac:dyDescent="0.45">
      <c r="A6779">
        <v>2012</v>
      </c>
      <c r="B6779" t="s">
        <v>73</v>
      </c>
      <c r="C6779">
        <v>0</v>
      </c>
      <c r="D6779">
        <v>0</v>
      </c>
      <c r="E6779">
        <v>0</v>
      </c>
      <c r="F6779">
        <v>0</v>
      </c>
      <c r="G6779">
        <v>0</v>
      </c>
      <c r="H6779">
        <v>1</v>
      </c>
      <c r="I6779">
        <v>1</v>
      </c>
      <c r="J6779">
        <v>54516.840659478701</v>
      </c>
      <c r="K6779">
        <v>50796.734013580302</v>
      </c>
      <c r="L6779">
        <v>11.238</v>
      </c>
      <c r="M6779">
        <v>79.622</v>
      </c>
      <c r="N6779">
        <v>8.2149999999999999</v>
      </c>
    </row>
    <row r="6780" spans="1:14" x14ac:dyDescent="0.45">
      <c r="A6780">
        <v>2012</v>
      </c>
      <c r="B6780" t="s">
        <v>74</v>
      </c>
      <c r="C6780">
        <v>0</v>
      </c>
      <c r="D6780">
        <v>1</v>
      </c>
      <c r="E6780">
        <v>0</v>
      </c>
      <c r="F6780">
        <v>0</v>
      </c>
      <c r="G6780">
        <v>0</v>
      </c>
      <c r="H6780">
        <v>1</v>
      </c>
      <c r="I6780">
        <v>1</v>
      </c>
      <c r="J6780">
        <v>33667.497605051998</v>
      </c>
      <c r="K6780">
        <v>34922.823410683697</v>
      </c>
      <c r="L6780">
        <v>17.468</v>
      </c>
      <c r="M6780">
        <v>73.706999999999994</v>
      </c>
      <c r="N6780">
        <v>14.818</v>
      </c>
    </row>
    <row r="6781" spans="1:14" x14ac:dyDescent="0.45">
      <c r="A6781">
        <v>2012</v>
      </c>
      <c r="B6781" t="s">
        <v>75</v>
      </c>
      <c r="C6781">
        <v>1</v>
      </c>
      <c r="D6781">
        <v>0</v>
      </c>
      <c r="E6781">
        <v>0</v>
      </c>
      <c r="F6781">
        <v>0</v>
      </c>
      <c r="G6781">
        <v>1</v>
      </c>
      <c r="H6781">
        <v>0</v>
      </c>
      <c r="I6781">
        <v>0</v>
      </c>
      <c r="J6781">
        <v>12622.7339130045</v>
      </c>
      <c r="K6781">
        <v>10904.291218016</v>
      </c>
      <c r="L6781">
        <v>53.801000000000002</v>
      </c>
      <c r="M6781">
        <v>77.037000000000006</v>
      </c>
      <c r="N6781">
        <v>6.5650000000000004</v>
      </c>
    </row>
    <row r="6782" spans="1:14" x14ac:dyDescent="0.45">
      <c r="A6782">
        <v>2012</v>
      </c>
      <c r="B6782" t="s">
        <v>76</v>
      </c>
      <c r="C6782">
        <v>1</v>
      </c>
      <c r="D6782">
        <v>0</v>
      </c>
      <c r="E6782">
        <v>0</v>
      </c>
      <c r="F6782">
        <v>0</v>
      </c>
      <c r="G6782">
        <v>1</v>
      </c>
      <c r="H6782">
        <v>0</v>
      </c>
      <c r="I6782">
        <v>0</v>
      </c>
      <c r="J6782">
        <v>25879.131944390701</v>
      </c>
      <c r="K6782">
        <v>18684.6056350584</v>
      </c>
      <c r="L6782">
        <v>24.303000000000001</v>
      </c>
      <c r="M6782">
        <v>71.8</v>
      </c>
      <c r="N6782">
        <v>4.9580000000000002</v>
      </c>
    </row>
    <row r="6783" spans="1:14" x14ac:dyDescent="0.45">
      <c r="A6783">
        <v>2012</v>
      </c>
      <c r="B6783" t="s">
        <v>77</v>
      </c>
      <c r="C6783">
        <v>0</v>
      </c>
      <c r="D6783">
        <v>1</v>
      </c>
      <c r="E6783">
        <v>0</v>
      </c>
      <c r="F6783">
        <v>0</v>
      </c>
      <c r="G6783">
        <v>1</v>
      </c>
      <c r="H6783">
        <v>0</v>
      </c>
      <c r="I6783">
        <v>0</v>
      </c>
      <c r="J6783">
        <v>11761.563908801199</v>
      </c>
      <c r="K6783">
        <v>9269.2082706470792</v>
      </c>
      <c r="L6783">
        <v>54.753999999999998</v>
      </c>
      <c r="M6783">
        <v>71.134</v>
      </c>
      <c r="N6783">
        <v>17.555</v>
      </c>
    </row>
    <row r="6784" spans="1:14" x14ac:dyDescent="0.45">
      <c r="A6784">
        <v>2012</v>
      </c>
      <c r="B6784" t="s">
        <v>78</v>
      </c>
      <c r="C6784">
        <v>0</v>
      </c>
      <c r="D6784">
        <v>0</v>
      </c>
      <c r="E6784">
        <v>0</v>
      </c>
      <c r="F6784">
        <v>0</v>
      </c>
      <c r="G6784">
        <v>0</v>
      </c>
      <c r="H6784">
        <v>1</v>
      </c>
      <c r="I6784">
        <v>1</v>
      </c>
      <c r="J6784">
        <v>96711.073970332305</v>
      </c>
      <c r="K6784">
        <v>85924.299717711896</v>
      </c>
      <c r="L6784">
        <v>0</v>
      </c>
      <c r="M6784">
        <v>79.846999999999994</v>
      </c>
      <c r="N6784">
        <v>4.22</v>
      </c>
    </row>
    <row r="6785" spans="1:14" x14ac:dyDescent="0.45">
      <c r="A6785">
        <v>2012</v>
      </c>
      <c r="B6785" t="s">
        <v>79</v>
      </c>
      <c r="C6785">
        <v>0</v>
      </c>
      <c r="D6785">
        <v>1</v>
      </c>
      <c r="E6785">
        <v>0</v>
      </c>
      <c r="F6785">
        <v>1</v>
      </c>
      <c r="G6785">
        <v>0</v>
      </c>
      <c r="H6785">
        <v>0</v>
      </c>
      <c r="I6785">
        <v>0</v>
      </c>
      <c r="J6785">
        <v>8108.2051882823698</v>
      </c>
      <c r="K6785">
        <v>7155.8982136141703</v>
      </c>
      <c r="L6785">
        <v>32.685000000000002</v>
      </c>
      <c r="M6785">
        <v>66.585999999999999</v>
      </c>
      <c r="N6785">
        <v>56.718000000000004</v>
      </c>
    </row>
    <row r="6786" spans="1:14" x14ac:dyDescent="0.45">
      <c r="A6786">
        <v>2012</v>
      </c>
      <c r="B6786" t="s">
        <v>80</v>
      </c>
      <c r="C6786">
        <v>0</v>
      </c>
      <c r="D6786">
        <v>1</v>
      </c>
      <c r="E6786">
        <v>0</v>
      </c>
      <c r="F6786">
        <v>0</v>
      </c>
      <c r="G6786">
        <v>1</v>
      </c>
      <c r="H6786">
        <v>0</v>
      </c>
      <c r="I6786">
        <v>0</v>
      </c>
      <c r="J6786">
        <v>18832.219552707498</v>
      </c>
      <c r="K6786">
        <v>15468.957293110399</v>
      </c>
      <c r="L6786">
        <v>15.077</v>
      </c>
      <c r="M6786">
        <v>74.334999999999994</v>
      </c>
      <c r="N6786">
        <v>17.427</v>
      </c>
    </row>
    <row r="6787" spans="1:14" x14ac:dyDescent="0.45">
      <c r="A6787">
        <v>2012</v>
      </c>
      <c r="B6787" t="s">
        <v>81</v>
      </c>
      <c r="C6787">
        <v>0</v>
      </c>
      <c r="D6787">
        <v>1</v>
      </c>
      <c r="E6787">
        <v>0</v>
      </c>
      <c r="F6787">
        <v>0</v>
      </c>
      <c r="G6787">
        <v>0</v>
      </c>
      <c r="H6787">
        <v>1</v>
      </c>
      <c r="I6787">
        <v>1</v>
      </c>
      <c r="J6787">
        <v>18936.0888111766</v>
      </c>
      <c r="K6787">
        <v>18085.850270204399</v>
      </c>
      <c r="L6787">
        <v>68.447000000000003</v>
      </c>
      <c r="M6787">
        <v>75.736999999999995</v>
      </c>
      <c r="N6787">
        <v>14.019</v>
      </c>
    </row>
    <row r="6788" spans="1:14" x14ac:dyDescent="0.45">
      <c r="A6788">
        <v>2012</v>
      </c>
      <c r="B6788" t="s">
        <v>82</v>
      </c>
      <c r="C6788">
        <v>0</v>
      </c>
      <c r="D6788">
        <v>0</v>
      </c>
      <c r="E6788">
        <v>0</v>
      </c>
      <c r="F6788">
        <v>0</v>
      </c>
      <c r="G6788">
        <v>0</v>
      </c>
      <c r="H6788">
        <v>1</v>
      </c>
      <c r="I6788">
        <v>1</v>
      </c>
      <c r="J6788">
        <v>89718.463661266607</v>
      </c>
      <c r="K6788">
        <v>70052.577805241206</v>
      </c>
      <c r="L6788">
        <v>24.344000000000001</v>
      </c>
      <c r="M6788">
        <v>74.843000000000004</v>
      </c>
      <c r="N6788">
        <v>9.7750000000000004</v>
      </c>
    </row>
    <row r="6789" spans="1:14" x14ac:dyDescent="0.45">
      <c r="A6789">
        <v>2012</v>
      </c>
      <c r="B6789" t="s">
        <v>83</v>
      </c>
      <c r="C6789">
        <v>0</v>
      </c>
      <c r="D6789">
        <v>0</v>
      </c>
      <c r="E6789">
        <v>0</v>
      </c>
      <c r="F6789">
        <v>1</v>
      </c>
      <c r="G6789">
        <v>0</v>
      </c>
      <c r="H6789">
        <v>0</v>
      </c>
      <c r="I6789">
        <v>0</v>
      </c>
      <c r="J6789">
        <v>11143.944535458801</v>
      </c>
      <c r="K6789">
        <v>9652.06524198839</v>
      </c>
      <c r="L6789">
        <v>63.628999999999998</v>
      </c>
      <c r="M6789">
        <v>69.759</v>
      </c>
      <c r="N6789">
        <v>35.4</v>
      </c>
    </row>
    <row r="6790" spans="1:14" x14ac:dyDescent="0.45">
      <c r="A6790">
        <v>2012</v>
      </c>
      <c r="B6790" t="s">
        <v>84</v>
      </c>
      <c r="C6790">
        <v>0</v>
      </c>
      <c r="D6790">
        <v>0</v>
      </c>
      <c r="E6790">
        <v>1</v>
      </c>
      <c r="F6790">
        <v>0</v>
      </c>
      <c r="G6790">
        <v>1</v>
      </c>
      <c r="H6790">
        <v>0</v>
      </c>
      <c r="I6790">
        <v>0</v>
      </c>
      <c r="J6790">
        <v>14957.618908069</v>
      </c>
      <c r="K6790">
        <v>13533.450687447499</v>
      </c>
      <c r="L6790">
        <v>35.231999999999999</v>
      </c>
      <c r="M6790">
        <v>60.384</v>
      </c>
      <c r="N6790">
        <v>54.369</v>
      </c>
    </row>
    <row r="6791" spans="1:14" x14ac:dyDescent="0.45">
      <c r="A6791">
        <v>2012</v>
      </c>
      <c r="B6791" t="s">
        <v>85</v>
      </c>
      <c r="C6791">
        <v>0</v>
      </c>
      <c r="D6791">
        <v>0</v>
      </c>
      <c r="E6791">
        <v>1</v>
      </c>
      <c r="F6791">
        <v>0</v>
      </c>
      <c r="G6791">
        <v>0</v>
      </c>
      <c r="H6791">
        <v>0</v>
      </c>
      <c r="I6791">
        <v>0</v>
      </c>
      <c r="J6791">
        <v>1577.98053252253</v>
      </c>
      <c r="K6791">
        <v>1263.4106242417699</v>
      </c>
      <c r="L6791">
        <v>60.612000000000002</v>
      </c>
      <c r="M6791">
        <v>51.335999999999999</v>
      </c>
      <c r="N6791">
        <v>126.97799999999999</v>
      </c>
    </row>
    <row r="6792" spans="1:14" x14ac:dyDescent="0.45">
      <c r="A6792">
        <v>2012</v>
      </c>
      <c r="B6792" t="s">
        <v>86</v>
      </c>
      <c r="C6792">
        <v>0</v>
      </c>
      <c r="D6792">
        <v>0</v>
      </c>
      <c r="E6792">
        <v>0</v>
      </c>
      <c r="F6792">
        <v>0</v>
      </c>
      <c r="G6792">
        <v>0</v>
      </c>
      <c r="H6792">
        <v>1</v>
      </c>
      <c r="I6792">
        <v>1</v>
      </c>
      <c r="J6792">
        <v>54034.803475198802</v>
      </c>
      <c r="K6792">
        <v>46773.421544270699</v>
      </c>
      <c r="L6792">
        <v>18.863</v>
      </c>
      <c r="M6792">
        <v>81.703999999999994</v>
      </c>
      <c r="N6792">
        <v>5.4779999999999998</v>
      </c>
    </row>
    <row r="6793" spans="1:14" x14ac:dyDescent="0.45">
      <c r="A6793">
        <v>2012</v>
      </c>
      <c r="B6793" t="s">
        <v>87</v>
      </c>
      <c r="C6793">
        <v>1</v>
      </c>
      <c r="D6793">
        <v>0</v>
      </c>
      <c r="E6793">
        <v>0</v>
      </c>
      <c r="F6793">
        <v>0</v>
      </c>
      <c r="G6793">
        <v>0</v>
      </c>
      <c r="H6793">
        <v>1</v>
      </c>
      <c r="I6793">
        <v>1</v>
      </c>
      <c r="J6793">
        <v>74883.615892424903</v>
      </c>
      <c r="K6793">
        <v>65146.267294666701</v>
      </c>
      <c r="L6793">
        <v>26.347000000000001</v>
      </c>
      <c r="M6793">
        <v>82.617000000000004</v>
      </c>
      <c r="N6793">
        <v>4.3</v>
      </c>
    </row>
    <row r="6794" spans="1:14" x14ac:dyDescent="0.45">
      <c r="A6794">
        <v>2012</v>
      </c>
      <c r="B6794" t="s">
        <v>88</v>
      </c>
      <c r="C6794">
        <v>1</v>
      </c>
      <c r="D6794">
        <v>0</v>
      </c>
      <c r="E6794">
        <v>0</v>
      </c>
      <c r="F6794">
        <v>0</v>
      </c>
      <c r="G6794">
        <v>0</v>
      </c>
      <c r="H6794">
        <v>1</v>
      </c>
      <c r="I6794">
        <v>1</v>
      </c>
      <c r="L6794">
        <v>68.941000000000003</v>
      </c>
      <c r="M6794">
        <v>81.336231459192504</v>
      </c>
      <c r="N6794">
        <v>8.4289483227279192</v>
      </c>
    </row>
    <row r="6795" spans="1:14" x14ac:dyDescent="0.45">
      <c r="A6795">
        <v>2012</v>
      </c>
      <c r="B6795" t="s">
        <v>89</v>
      </c>
      <c r="C6795">
        <v>0</v>
      </c>
      <c r="D6795">
        <v>1</v>
      </c>
      <c r="E6795">
        <v>0</v>
      </c>
      <c r="F6795">
        <v>0</v>
      </c>
      <c r="G6795">
        <v>0</v>
      </c>
      <c r="H6795">
        <v>1</v>
      </c>
      <c r="I6795">
        <v>1</v>
      </c>
      <c r="J6795">
        <v>26670.497133840199</v>
      </c>
      <c r="K6795">
        <v>23232.188570890401</v>
      </c>
      <c r="L6795">
        <v>12.811</v>
      </c>
      <c r="M6795">
        <v>79.221000000000004</v>
      </c>
      <c r="N6795">
        <v>8.7279999999999998</v>
      </c>
    </row>
    <row r="6796" spans="1:14" x14ac:dyDescent="0.45">
      <c r="A6796">
        <v>2012</v>
      </c>
      <c r="B6796" t="s">
        <v>90</v>
      </c>
      <c r="C6796">
        <v>0</v>
      </c>
      <c r="D6796">
        <v>0</v>
      </c>
      <c r="E6796">
        <v>0</v>
      </c>
      <c r="F6796">
        <v>0</v>
      </c>
      <c r="G6796">
        <v>1</v>
      </c>
      <c r="H6796">
        <v>0</v>
      </c>
      <c r="I6796">
        <v>0</v>
      </c>
      <c r="J6796">
        <v>12217.8543175465</v>
      </c>
      <c r="K6796">
        <v>10952.5152943986</v>
      </c>
      <c r="L6796">
        <v>48.234999999999999</v>
      </c>
      <c r="M6796">
        <v>76.2</v>
      </c>
      <c r="N6796">
        <v>13.568</v>
      </c>
    </row>
    <row r="6797" spans="1:14" x14ac:dyDescent="0.45">
      <c r="A6797">
        <v>2012</v>
      </c>
      <c r="B6797" t="s">
        <v>91</v>
      </c>
      <c r="C6797">
        <v>0</v>
      </c>
      <c r="D6797">
        <v>0</v>
      </c>
      <c r="E6797">
        <v>1</v>
      </c>
      <c r="F6797">
        <v>1</v>
      </c>
      <c r="G6797">
        <v>0</v>
      </c>
      <c r="H6797">
        <v>0</v>
      </c>
      <c r="I6797">
        <v>0</v>
      </c>
      <c r="J6797">
        <v>4234.1805559331897</v>
      </c>
      <c r="K6797">
        <v>3574.2719666859298</v>
      </c>
      <c r="L6797">
        <v>51.828000000000003</v>
      </c>
      <c r="M6797">
        <v>56.57</v>
      </c>
      <c r="N6797">
        <v>95.926000000000002</v>
      </c>
    </row>
    <row r="6798" spans="1:14" x14ac:dyDescent="0.45">
      <c r="A6798">
        <v>2012</v>
      </c>
      <c r="B6798" t="s">
        <v>92</v>
      </c>
      <c r="C6798">
        <v>0</v>
      </c>
      <c r="D6798">
        <v>0</v>
      </c>
      <c r="E6798">
        <v>1</v>
      </c>
      <c r="F6798">
        <v>1</v>
      </c>
      <c r="G6798">
        <v>0</v>
      </c>
      <c r="H6798">
        <v>0</v>
      </c>
      <c r="I6798">
        <v>0</v>
      </c>
      <c r="J6798">
        <v>4382.1112079735503</v>
      </c>
      <c r="K6798">
        <v>3440.8887812317998</v>
      </c>
      <c r="L6798">
        <v>47.231000000000002</v>
      </c>
      <c r="M6798">
        <v>58.17</v>
      </c>
      <c r="N6798">
        <v>101.47199999999999</v>
      </c>
    </row>
    <row r="6799" spans="1:14" x14ac:dyDescent="0.45">
      <c r="A6799">
        <v>2012</v>
      </c>
      <c r="B6799" t="s">
        <v>93</v>
      </c>
      <c r="C6799">
        <v>0</v>
      </c>
      <c r="D6799">
        <v>0</v>
      </c>
      <c r="E6799">
        <v>1</v>
      </c>
      <c r="F6799">
        <v>0</v>
      </c>
      <c r="G6799">
        <v>0</v>
      </c>
      <c r="H6799">
        <v>0</v>
      </c>
      <c r="I6799">
        <v>0</v>
      </c>
      <c r="J6799">
        <v>1104.66400652934</v>
      </c>
      <c r="K6799">
        <v>884.35480517516498</v>
      </c>
      <c r="L6799">
        <v>58.917999999999999</v>
      </c>
      <c r="M6799">
        <v>57.35</v>
      </c>
      <c r="N6799">
        <v>106.077</v>
      </c>
    </row>
    <row r="6800" spans="1:14" x14ac:dyDescent="0.45">
      <c r="A6800">
        <v>2012</v>
      </c>
      <c r="B6800" t="s">
        <v>94</v>
      </c>
      <c r="C6800">
        <v>0</v>
      </c>
      <c r="D6800">
        <v>0</v>
      </c>
      <c r="E6800">
        <v>1</v>
      </c>
      <c r="F6800">
        <v>1</v>
      </c>
      <c r="G6800">
        <v>0</v>
      </c>
      <c r="H6800">
        <v>0</v>
      </c>
      <c r="I6800">
        <v>0</v>
      </c>
      <c r="J6800">
        <v>9079.6865640089109</v>
      </c>
      <c r="K6800">
        <v>5473.6455685419896</v>
      </c>
      <c r="L6800">
        <v>35.831000000000003</v>
      </c>
      <c r="M6800">
        <v>62.661999999999999</v>
      </c>
      <c r="N6800">
        <v>58.097000000000001</v>
      </c>
    </row>
    <row r="6801" spans="1:14" x14ac:dyDescent="0.45">
      <c r="A6801">
        <v>2012</v>
      </c>
      <c r="B6801" t="s">
        <v>95</v>
      </c>
      <c r="C6801">
        <v>0</v>
      </c>
      <c r="D6801">
        <v>1</v>
      </c>
      <c r="E6801">
        <v>0</v>
      </c>
      <c r="F6801">
        <v>0</v>
      </c>
      <c r="G6801">
        <v>1</v>
      </c>
      <c r="H6801">
        <v>0</v>
      </c>
      <c r="I6801">
        <v>0</v>
      </c>
      <c r="J6801">
        <v>15279.479000805801</v>
      </c>
      <c r="K6801">
        <v>12721.8391377689</v>
      </c>
      <c r="L6801">
        <v>21.298999999999999</v>
      </c>
      <c r="M6801">
        <v>75.611000000000004</v>
      </c>
      <c r="N6801">
        <v>17.228999999999999</v>
      </c>
    </row>
    <row r="6802" spans="1:14" x14ac:dyDescent="0.45">
      <c r="A6802">
        <v>2012</v>
      </c>
      <c r="B6802" t="s">
        <v>96</v>
      </c>
      <c r="C6802">
        <v>0</v>
      </c>
      <c r="D6802">
        <v>0</v>
      </c>
      <c r="E6802">
        <v>1</v>
      </c>
      <c r="F6802">
        <v>0</v>
      </c>
      <c r="G6802">
        <v>0</v>
      </c>
      <c r="H6802">
        <v>0</v>
      </c>
      <c r="I6802">
        <v>0</v>
      </c>
      <c r="J6802">
        <v>2868.3998691892898</v>
      </c>
      <c r="K6802">
        <v>2966.2915336790102</v>
      </c>
      <c r="L6802">
        <v>71.876999999999995</v>
      </c>
      <c r="M6802">
        <v>63.463000000000001</v>
      </c>
      <c r="N6802">
        <v>67.960999999999999</v>
      </c>
    </row>
    <row r="6803" spans="1:14" x14ac:dyDescent="0.45">
      <c r="A6803">
        <v>2012</v>
      </c>
      <c r="B6803" t="s">
        <v>97</v>
      </c>
      <c r="C6803">
        <v>0</v>
      </c>
      <c r="D6803">
        <v>0</v>
      </c>
      <c r="E6803">
        <v>1</v>
      </c>
      <c r="F6803">
        <v>1</v>
      </c>
      <c r="G6803">
        <v>0</v>
      </c>
      <c r="H6803">
        <v>0</v>
      </c>
      <c r="I6803">
        <v>0</v>
      </c>
      <c r="J6803">
        <v>7397.8222070247402</v>
      </c>
      <c r="K6803">
        <v>7129.3856180144703</v>
      </c>
      <c r="L6803">
        <v>37.179000000000002</v>
      </c>
      <c r="M6803">
        <v>73.314999999999998</v>
      </c>
      <c r="N6803">
        <v>22.402000000000001</v>
      </c>
    </row>
    <row r="6804" spans="1:14" x14ac:dyDescent="0.45">
      <c r="A6804">
        <v>2012</v>
      </c>
      <c r="B6804" t="s">
        <v>98</v>
      </c>
      <c r="C6804">
        <v>0</v>
      </c>
      <c r="D6804">
        <v>1</v>
      </c>
      <c r="E6804">
        <v>0</v>
      </c>
      <c r="F6804">
        <v>0</v>
      </c>
      <c r="G6804">
        <v>1</v>
      </c>
      <c r="H6804">
        <v>0</v>
      </c>
      <c r="I6804">
        <v>0</v>
      </c>
      <c r="J6804">
        <v>19960.793325315601</v>
      </c>
      <c r="K6804">
        <v>17871.984969968002</v>
      </c>
      <c r="L6804">
        <v>26.053999999999998</v>
      </c>
      <c r="M6804">
        <v>79.924999999999997</v>
      </c>
      <c r="N6804">
        <v>9.875</v>
      </c>
    </row>
    <row r="6805" spans="1:14" x14ac:dyDescent="0.45">
      <c r="A6805">
        <v>2012</v>
      </c>
      <c r="B6805" t="s">
        <v>99</v>
      </c>
      <c r="C6805">
        <v>0</v>
      </c>
      <c r="D6805">
        <v>1</v>
      </c>
      <c r="E6805">
        <v>0</v>
      </c>
      <c r="F6805">
        <v>0</v>
      </c>
      <c r="G6805">
        <v>1</v>
      </c>
      <c r="H6805">
        <v>0</v>
      </c>
      <c r="I6805">
        <v>0</v>
      </c>
      <c r="L6805">
        <v>23.219000000000001</v>
      </c>
      <c r="M6805">
        <v>78.162000000000006</v>
      </c>
      <c r="N6805">
        <v>6.1719999999999997</v>
      </c>
    </row>
    <row r="6806" spans="1:14" x14ac:dyDescent="0.45">
      <c r="A6806">
        <v>2012</v>
      </c>
      <c r="B6806" t="s">
        <v>100</v>
      </c>
      <c r="C6806">
        <v>0</v>
      </c>
      <c r="D6806">
        <v>1</v>
      </c>
      <c r="E6806">
        <v>0</v>
      </c>
      <c r="F6806">
        <v>0</v>
      </c>
      <c r="G6806">
        <v>0</v>
      </c>
      <c r="H6806">
        <v>1</v>
      </c>
      <c r="I6806">
        <v>1</v>
      </c>
      <c r="J6806">
        <v>32320.8766168525</v>
      </c>
      <c r="K6806">
        <v>26442.1101279268</v>
      </c>
      <c r="L6806">
        <v>10.346</v>
      </c>
      <c r="M6806">
        <v>75.959999999999994</v>
      </c>
      <c r="N6806">
        <v>12.98</v>
      </c>
    </row>
    <row r="6807" spans="1:14" x14ac:dyDescent="0.45">
      <c r="A6807">
        <v>2012</v>
      </c>
      <c r="B6807" t="s">
        <v>101</v>
      </c>
      <c r="C6807">
        <v>0</v>
      </c>
      <c r="D6807">
        <v>1</v>
      </c>
      <c r="E6807">
        <v>0</v>
      </c>
      <c r="F6807">
        <v>0</v>
      </c>
      <c r="G6807">
        <v>0</v>
      </c>
      <c r="H6807">
        <v>1</v>
      </c>
      <c r="I6807">
        <v>1</v>
      </c>
      <c r="J6807">
        <v>73948.025817371294</v>
      </c>
      <c r="K6807">
        <v>67455.113469927499</v>
      </c>
      <c r="L6807">
        <v>0</v>
      </c>
      <c r="M6807">
        <v>77.120999999999995</v>
      </c>
      <c r="N6807">
        <v>3.6320000000000001</v>
      </c>
    </row>
    <row r="6808" spans="1:14" x14ac:dyDescent="0.45">
      <c r="A6808">
        <v>2012</v>
      </c>
      <c r="B6808" t="s">
        <v>102</v>
      </c>
      <c r="C6808">
        <v>1</v>
      </c>
      <c r="D6808">
        <v>0</v>
      </c>
      <c r="E6808">
        <v>0</v>
      </c>
      <c r="F6808">
        <v>0</v>
      </c>
      <c r="G6808">
        <v>0</v>
      </c>
      <c r="H6808">
        <v>1</v>
      </c>
      <c r="I6808">
        <v>1</v>
      </c>
      <c r="J6808">
        <v>39191.34765625</v>
      </c>
      <c r="K6808">
        <v>34913.304495984303</v>
      </c>
      <c r="L6808">
        <v>32.738999999999997</v>
      </c>
      <c r="M6808">
        <v>81.128</v>
      </c>
      <c r="N6808">
        <v>3.2080000000000002</v>
      </c>
    </row>
    <row r="6809" spans="1:14" x14ac:dyDescent="0.45">
      <c r="A6809">
        <v>2012</v>
      </c>
      <c r="B6809" t="s">
        <v>103</v>
      </c>
      <c r="C6809">
        <v>1</v>
      </c>
      <c r="D6809">
        <v>0</v>
      </c>
      <c r="E6809">
        <v>0</v>
      </c>
      <c r="F6809">
        <v>0</v>
      </c>
      <c r="G6809">
        <v>0</v>
      </c>
      <c r="H6809">
        <v>1</v>
      </c>
      <c r="I6809">
        <v>1</v>
      </c>
      <c r="J6809">
        <v>39347.049295684599</v>
      </c>
      <c r="K6809">
        <v>32760.453302568701</v>
      </c>
      <c r="L6809">
        <v>26.803000000000001</v>
      </c>
      <c r="M6809">
        <v>77.998000000000005</v>
      </c>
      <c r="N6809">
        <v>3.214</v>
      </c>
    </row>
    <row r="6810" spans="1:14" x14ac:dyDescent="0.45">
      <c r="A6810">
        <v>2012</v>
      </c>
      <c r="B6810" t="s">
        <v>104</v>
      </c>
      <c r="C6810">
        <v>1</v>
      </c>
      <c r="D6810">
        <v>0</v>
      </c>
      <c r="E6810">
        <v>0</v>
      </c>
      <c r="F6810">
        <v>0</v>
      </c>
      <c r="G6810">
        <v>0</v>
      </c>
      <c r="H6810">
        <v>1</v>
      </c>
      <c r="I6810">
        <v>1</v>
      </c>
      <c r="J6810">
        <v>58158.137970018797</v>
      </c>
      <c r="K6810">
        <v>50426.137581360701</v>
      </c>
      <c r="L6810">
        <v>22.83</v>
      </c>
      <c r="M6810">
        <v>80.501999999999995</v>
      </c>
      <c r="N6810">
        <v>3.9209999999999998</v>
      </c>
    </row>
    <row r="6811" spans="1:14" x14ac:dyDescent="0.45">
      <c r="A6811">
        <v>2012</v>
      </c>
      <c r="B6811" t="s">
        <v>105</v>
      </c>
      <c r="C6811">
        <v>0</v>
      </c>
      <c r="D6811">
        <v>0</v>
      </c>
      <c r="E6811">
        <v>0</v>
      </c>
      <c r="F6811">
        <v>1</v>
      </c>
      <c r="G6811">
        <v>0</v>
      </c>
      <c r="H6811">
        <v>0</v>
      </c>
      <c r="I6811">
        <v>0</v>
      </c>
      <c r="J6811">
        <v>4348.8896547571803</v>
      </c>
      <c r="K6811">
        <v>3751.1384474750798</v>
      </c>
      <c r="L6811">
        <v>22.861999999999998</v>
      </c>
      <c r="M6811">
        <v>61.719000000000001</v>
      </c>
      <c r="N6811">
        <v>71.438999999999993</v>
      </c>
    </row>
    <row r="6812" spans="1:14" x14ac:dyDescent="0.45">
      <c r="A6812">
        <v>2012</v>
      </c>
      <c r="B6812" t="s">
        <v>106</v>
      </c>
      <c r="C6812">
        <v>0</v>
      </c>
      <c r="D6812">
        <v>1</v>
      </c>
      <c r="E6812">
        <v>0</v>
      </c>
      <c r="F6812">
        <v>0</v>
      </c>
      <c r="G6812">
        <v>1</v>
      </c>
      <c r="H6812">
        <v>0</v>
      </c>
      <c r="I6812">
        <v>0</v>
      </c>
      <c r="J6812">
        <v>17431.128800306298</v>
      </c>
      <c r="K6812">
        <v>13565.3982628137</v>
      </c>
      <c r="L6812">
        <v>31.315000000000001</v>
      </c>
      <c r="M6812">
        <v>71.391000000000005</v>
      </c>
      <c r="N6812">
        <v>24.606999999999999</v>
      </c>
    </row>
    <row r="6813" spans="1:14" x14ac:dyDescent="0.45">
      <c r="A6813">
        <v>2012</v>
      </c>
      <c r="B6813" t="s">
        <v>107</v>
      </c>
      <c r="C6813">
        <v>1</v>
      </c>
      <c r="D6813">
        <v>0</v>
      </c>
      <c r="E6813">
        <v>0</v>
      </c>
      <c r="F6813">
        <v>0</v>
      </c>
      <c r="G6813">
        <v>0</v>
      </c>
      <c r="H6813">
        <v>1</v>
      </c>
      <c r="I6813">
        <v>1</v>
      </c>
      <c r="J6813">
        <v>60000.890306399298</v>
      </c>
      <c r="K6813">
        <v>50709.5777534261</v>
      </c>
      <c r="L6813">
        <v>12.858000000000001</v>
      </c>
      <c r="M6813">
        <v>80.081999999999994</v>
      </c>
      <c r="N6813">
        <v>3.923</v>
      </c>
    </row>
    <row r="6814" spans="1:14" x14ac:dyDescent="0.45">
      <c r="A6814">
        <v>2012</v>
      </c>
      <c r="B6814" t="s">
        <v>108</v>
      </c>
      <c r="C6814">
        <v>0</v>
      </c>
      <c r="D6814">
        <v>1</v>
      </c>
      <c r="E6814">
        <v>0</v>
      </c>
      <c r="F6814">
        <v>0</v>
      </c>
      <c r="G6814">
        <v>1</v>
      </c>
      <c r="H6814">
        <v>0</v>
      </c>
      <c r="I6814">
        <v>0</v>
      </c>
      <c r="J6814">
        <v>15487.277635632099</v>
      </c>
      <c r="K6814">
        <v>13378.2975552769</v>
      </c>
      <c r="L6814">
        <v>24.198</v>
      </c>
      <c r="M6814">
        <v>72.816999999999993</v>
      </c>
      <c r="N6814">
        <v>35.097000000000001</v>
      </c>
    </row>
    <row r="6815" spans="1:14" x14ac:dyDescent="0.45">
      <c r="A6815">
        <v>2012</v>
      </c>
      <c r="B6815" t="s">
        <v>109</v>
      </c>
      <c r="C6815">
        <v>0</v>
      </c>
      <c r="D6815">
        <v>0</v>
      </c>
      <c r="E6815">
        <v>0</v>
      </c>
      <c r="F6815">
        <v>0</v>
      </c>
      <c r="G6815">
        <v>1</v>
      </c>
      <c r="H6815">
        <v>0</v>
      </c>
      <c r="I6815">
        <v>0</v>
      </c>
      <c r="J6815">
        <v>14697.539613385299</v>
      </c>
      <c r="K6815">
        <v>12854.9696669678</v>
      </c>
      <c r="L6815">
        <v>31.085000000000001</v>
      </c>
      <c r="M6815">
        <v>74.608999999999995</v>
      </c>
      <c r="N6815">
        <v>26.739000000000001</v>
      </c>
    </row>
    <row r="6816" spans="1:14" x14ac:dyDescent="0.45">
      <c r="A6816">
        <v>2012</v>
      </c>
      <c r="B6816" t="s">
        <v>110</v>
      </c>
      <c r="C6816">
        <v>0</v>
      </c>
      <c r="D6816">
        <v>1</v>
      </c>
      <c r="E6816">
        <v>0</v>
      </c>
      <c r="F6816">
        <v>0</v>
      </c>
      <c r="G6816">
        <v>1</v>
      </c>
      <c r="H6816">
        <v>0</v>
      </c>
      <c r="I6816">
        <v>0</v>
      </c>
      <c r="J6816">
        <v>12961.0267423765</v>
      </c>
      <c r="K6816">
        <v>10780.305170146799</v>
      </c>
      <c r="L6816">
        <v>37.012</v>
      </c>
      <c r="M6816">
        <v>75.486000000000004</v>
      </c>
      <c r="N6816">
        <v>17.384</v>
      </c>
    </row>
    <row r="6817" spans="1:14" x14ac:dyDescent="0.45">
      <c r="A6817">
        <v>2012</v>
      </c>
      <c r="B6817" t="s">
        <v>111</v>
      </c>
      <c r="C6817">
        <v>0</v>
      </c>
      <c r="D6817">
        <v>0</v>
      </c>
      <c r="E6817">
        <v>0</v>
      </c>
      <c r="F6817">
        <v>1</v>
      </c>
      <c r="G6817">
        <v>0</v>
      </c>
      <c r="H6817">
        <v>0</v>
      </c>
      <c r="I6817">
        <v>0</v>
      </c>
      <c r="J6817">
        <v>13076.8052395914</v>
      </c>
      <c r="K6817">
        <v>10377.532311930299</v>
      </c>
      <c r="L6817">
        <v>57.054000000000002</v>
      </c>
      <c r="M6817">
        <v>69.463999999999999</v>
      </c>
      <c r="N6817">
        <v>26.326000000000001</v>
      </c>
    </row>
    <row r="6818" spans="1:14" x14ac:dyDescent="0.45">
      <c r="A6818">
        <v>2012</v>
      </c>
      <c r="B6818" t="s">
        <v>112</v>
      </c>
      <c r="C6818">
        <v>0</v>
      </c>
      <c r="D6818">
        <v>0</v>
      </c>
      <c r="E6818">
        <v>1</v>
      </c>
      <c r="F6818">
        <v>0</v>
      </c>
      <c r="G6818">
        <v>0</v>
      </c>
      <c r="H6818">
        <v>0</v>
      </c>
      <c r="I6818">
        <v>0</v>
      </c>
      <c r="L6818">
        <v>63.628</v>
      </c>
      <c r="M6818">
        <v>64.697000000000003</v>
      </c>
      <c r="N6818">
        <v>51.555999999999997</v>
      </c>
    </row>
    <row r="6819" spans="1:14" x14ac:dyDescent="0.45">
      <c r="A6819">
        <v>2012</v>
      </c>
      <c r="B6819" t="s">
        <v>113</v>
      </c>
      <c r="C6819">
        <v>1</v>
      </c>
      <c r="D6819">
        <v>0</v>
      </c>
      <c r="E6819">
        <v>0</v>
      </c>
      <c r="F6819">
        <v>0</v>
      </c>
      <c r="G6819">
        <v>0</v>
      </c>
      <c r="H6819">
        <v>1</v>
      </c>
      <c r="I6819">
        <v>1</v>
      </c>
      <c r="J6819">
        <v>41034.048156635603</v>
      </c>
      <c r="K6819">
        <v>36111.053723905301</v>
      </c>
      <c r="L6819">
        <v>21.097999999999999</v>
      </c>
      <c r="M6819">
        <v>82.191000000000003</v>
      </c>
      <c r="N6819">
        <v>3.577</v>
      </c>
    </row>
    <row r="6820" spans="1:14" x14ac:dyDescent="0.45">
      <c r="A6820">
        <v>2012</v>
      </c>
      <c r="B6820" t="s">
        <v>114</v>
      </c>
      <c r="C6820">
        <v>1</v>
      </c>
      <c r="D6820">
        <v>0</v>
      </c>
      <c r="E6820">
        <v>0</v>
      </c>
      <c r="F6820">
        <v>0</v>
      </c>
      <c r="G6820">
        <v>0</v>
      </c>
      <c r="H6820">
        <v>1</v>
      </c>
      <c r="I6820">
        <v>1</v>
      </c>
      <c r="J6820">
        <v>34115.362219270297</v>
      </c>
      <c r="K6820">
        <v>28943.673739318401</v>
      </c>
      <c r="L6820">
        <v>32.026000000000003</v>
      </c>
      <c r="M6820">
        <v>76.415999999999997</v>
      </c>
      <c r="N6820">
        <v>4.5030000000000001</v>
      </c>
    </row>
    <row r="6821" spans="1:14" x14ac:dyDescent="0.45">
      <c r="A6821">
        <v>2012</v>
      </c>
      <c r="B6821" t="s">
        <v>115</v>
      </c>
      <c r="C6821">
        <v>0</v>
      </c>
      <c r="D6821">
        <v>0</v>
      </c>
      <c r="E6821">
        <v>1</v>
      </c>
      <c r="F6821">
        <v>0</v>
      </c>
      <c r="G6821">
        <v>0</v>
      </c>
      <c r="H6821">
        <v>0</v>
      </c>
      <c r="I6821">
        <v>0</v>
      </c>
      <c r="J6821">
        <v>1576.7687573560399</v>
      </c>
      <c r="K6821">
        <v>1422.0726098284199</v>
      </c>
      <c r="L6821">
        <v>81.84</v>
      </c>
      <c r="M6821">
        <v>61.442999999999998</v>
      </c>
      <c r="N6821">
        <v>74.057000000000002</v>
      </c>
    </row>
    <row r="6822" spans="1:14" x14ac:dyDescent="0.45">
      <c r="A6822">
        <v>2012</v>
      </c>
      <c r="B6822" t="s">
        <v>116</v>
      </c>
      <c r="C6822">
        <v>1</v>
      </c>
      <c r="D6822">
        <v>0</v>
      </c>
      <c r="E6822">
        <v>0</v>
      </c>
      <c r="F6822">
        <v>0</v>
      </c>
      <c r="G6822">
        <v>0</v>
      </c>
      <c r="H6822">
        <v>1</v>
      </c>
      <c r="I6822">
        <v>1</v>
      </c>
      <c r="J6822">
        <v>53957.668098627903</v>
      </c>
      <c r="K6822">
        <v>45361.284138462797</v>
      </c>
      <c r="L6822">
        <v>15.159000000000001</v>
      </c>
      <c r="M6822">
        <v>80.507999999999996</v>
      </c>
      <c r="N6822">
        <v>3.004</v>
      </c>
    </row>
    <row r="6823" spans="1:14" x14ac:dyDescent="0.45">
      <c r="A6823">
        <v>2012</v>
      </c>
      <c r="B6823" t="s">
        <v>117</v>
      </c>
      <c r="C6823">
        <v>0</v>
      </c>
      <c r="D6823">
        <v>0</v>
      </c>
      <c r="E6823">
        <v>0</v>
      </c>
      <c r="F6823">
        <v>0</v>
      </c>
      <c r="G6823">
        <v>1</v>
      </c>
      <c r="H6823">
        <v>0</v>
      </c>
      <c r="I6823">
        <v>0</v>
      </c>
      <c r="J6823">
        <v>10537.692029808801</v>
      </c>
      <c r="K6823">
        <v>10319.5902336451</v>
      </c>
      <c r="L6823">
        <v>46.804000000000002</v>
      </c>
      <c r="M6823">
        <v>65.811999999999998</v>
      </c>
      <c r="N6823">
        <v>21.97</v>
      </c>
    </row>
    <row r="6824" spans="1:14" x14ac:dyDescent="0.45">
      <c r="A6824">
        <v>2012</v>
      </c>
      <c r="B6824" t="s">
        <v>118</v>
      </c>
      <c r="C6824">
        <v>1</v>
      </c>
      <c r="D6824">
        <v>0</v>
      </c>
      <c r="E6824">
        <v>0</v>
      </c>
      <c r="F6824">
        <v>0</v>
      </c>
      <c r="G6824">
        <v>0</v>
      </c>
      <c r="H6824">
        <v>1</v>
      </c>
      <c r="I6824">
        <v>1</v>
      </c>
      <c r="J6824">
        <v>49935.626908161699</v>
      </c>
      <c r="K6824">
        <v>41691.194373781298</v>
      </c>
      <c r="L6824">
        <v>21.122</v>
      </c>
      <c r="M6824">
        <v>81.739000000000004</v>
      </c>
      <c r="N6824">
        <v>4.1520000000000001</v>
      </c>
    </row>
    <row r="6825" spans="1:14" x14ac:dyDescent="0.45">
      <c r="A6825">
        <v>2012</v>
      </c>
      <c r="B6825" t="s">
        <v>119</v>
      </c>
      <c r="C6825">
        <v>1</v>
      </c>
      <c r="D6825">
        <v>0</v>
      </c>
      <c r="E6825">
        <v>0</v>
      </c>
      <c r="F6825">
        <v>0</v>
      </c>
      <c r="G6825">
        <v>0</v>
      </c>
      <c r="H6825">
        <v>1</v>
      </c>
      <c r="I6825">
        <v>1</v>
      </c>
      <c r="J6825">
        <v>56744.651904383602</v>
      </c>
      <c r="K6825">
        <v>49575.609339034498</v>
      </c>
      <c r="L6825">
        <v>58.774999999999999</v>
      </c>
      <c r="M6825">
        <v>79.022000000000006</v>
      </c>
      <c r="N6825">
        <v>8.4860000000000007</v>
      </c>
    </row>
    <row r="6826" spans="1:14" x14ac:dyDescent="0.45">
      <c r="A6826">
        <v>2012</v>
      </c>
      <c r="B6826" t="s">
        <v>120</v>
      </c>
      <c r="C6826">
        <v>0</v>
      </c>
      <c r="D6826">
        <v>0</v>
      </c>
      <c r="E6826">
        <v>0</v>
      </c>
      <c r="F6826">
        <v>1</v>
      </c>
      <c r="G6826">
        <v>0</v>
      </c>
      <c r="H6826">
        <v>0</v>
      </c>
      <c r="I6826">
        <v>0</v>
      </c>
      <c r="J6826">
        <v>3878.1122699607299</v>
      </c>
      <c r="K6826">
        <v>3510.2267474668602</v>
      </c>
      <c r="L6826">
        <v>77.676000000000002</v>
      </c>
      <c r="M6826">
        <v>65.08</v>
      </c>
      <c r="N6826">
        <v>32.069000000000003</v>
      </c>
    </row>
    <row r="6827" spans="1:14" x14ac:dyDescent="0.45">
      <c r="A6827">
        <v>2012</v>
      </c>
      <c r="B6827" t="s">
        <v>121</v>
      </c>
      <c r="C6827">
        <v>0</v>
      </c>
      <c r="D6827">
        <v>0</v>
      </c>
      <c r="E6827">
        <v>1</v>
      </c>
      <c r="F6827">
        <v>0</v>
      </c>
      <c r="G6827">
        <v>1</v>
      </c>
      <c r="H6827">
        <v>0</v>
      </c>
      <c r="I6827">
        <v>0</v>
      </c>
      <c r="J6827">
        <v>19450.402706679</v>
      </c>
      <c r="K6827">
        <v>14716.951109023899</v>
      </c>
      <c r="L6827">
        <v>13.366</v>
      </c>
      <c r="M6827">
        <v>65.438000000000002</v>
      </c>
      <c r="N6827">
        <v>56.91</v>
      </c>
    </row>
    <row r="6828" spans="1:14" x14ac:dyDescent="0.45">
      <c r="A6828">
        <v>2012</v>
      </c>
      <c r="B6828" t="s">
        <v>122</v>
      </c>
      <c r="C6828">
        <v>1</v>
      </c>
      <c r="D6828">
        <v>0</v>
      </c>
      <c r="E6828">
        <v>0</v>
      </c>
      <c r="F6828">
        <v>0</v>
      </c>
      <c r="G6828">
        <v>0</v>
      </c>
      <c r="H6828">
        <v>1</v>
      </c>
      <c r="I6828">
        <v>1</v>
      </c>
      <c r="J6828">
        <v>47550.942852854001</v>
      </c>
      <c r="K6828">
        <v>40966.571255077099</v>
      </c>
      <c r="L6828">
        <v>18.163</v>
      </c>
      <c r="M6828">
        <v>80.858999999999995</v>
      </c>
      <c r="N6828">
        <v>4.7709999999999999</v>
      </c>
    </row>
    <row r="6829" spans="1:14" x14ac:dyDescent="0.45">
      <c r="A6829">
        <v>2012</v>
      </c>
      <c r="B6829" t="s">
        <v>123</v>
      </c>
      <c r="C6829">
        <v>1</v>
      </c>
      <c r="D6829">
        <v>0</v>
      </c>
      <c r="E6829">
        <v>0</v>
      </c>
      <c r="F6829">
        <v>1</v>
      </c>
      <c r="G6829">
        <v>0</v>
      </c>
      <c r="H6829">
        <v>0</v>
      </c>
      <c r="I6829">
        <v>0</v>
      </c>
      <c r="J6829">
        <v>13193.9596974054</v>
      </c>
      <c r="K6829">
        <v>11147.3876079657</v>
      </c>
      <c r="L6829">
        <v>43.697000000000003</v>
      </c>
      <c r="M6829">
        <v>72.671999999999997</v>
      </c>
      <c r="N6829">
        <v>12.436</v>
      </c>
    </row>
    <row r="6830" spans="1:14" x14ac:dyDescent="0.45">
      <c r="A6830">
        <v>2012</v>
      </c>
      <c r="B6830" t="s">
        <v>124</v>
      </c>
      <c r="C6830">
        <v>0</v>
      </c>
      <c r="D6830">
        <v>0</v>
      </c>
      <c r="E6830">
        <v>1</v>
      </c>
      <c r="F6830">
        <v>1</v>
      </c>
      <c r="G6830">
        <v>0</v>
      </c>
      <c r="H6830">
        <v>0</v>
      </c>
      <c r="I6830">
        <v>0</v>
      </c>
      <c r="J6830">
        <v>5339.7132190304501</v>
      </c>
      <c r="K6830">
        <v>4606.7987413657002</v>
      </c>
      <c r="L6830">
        <v>47.927</v>
      </c>
      <c r="M6830">
        <v>61.994999999999997</v>
      </c>
      <c r="N6830">
        <v>63.531999999999996</v>
      </c>
    </row>
    <row r="6831" spans="1:14" x14ac:dyDescent="0.45">
      <c r="A6831">
        <v>2012</v>
      </c>
      <c r="B6831" t="s">
        <v>125</v>
      </c>
      <c r="C6831">
        <v>1</v>
      </c>
      <c r="D6831">
        <v>0</v>
      </c>
      <c r="E6831">
        <v>0</v>
      </c>
      <c r="F6831">
        <v>0</v>
      </c>
      <c r="G6831">
        <v>0</v>
      </c>
      <c r="H6831">
        <v>1</v>
      </c>
      <c r="I6831">
        <v>1</v>
      </c>
      <c r="L6831">
        <v>0</v>
      </c>
      <c r="M6831">
        <v>82.527000000000001</v>
      </c>
      <c r="N6831">
        <v>11.746</v>
      </c>
    </row>
    <row r="6832" spans="1:14" x14ac:dyDescent="0.45">
      <c r="A6832">
        <v>2012</v>
      </c>
      <c r="B6832" t="s">
        <v>126</v>
      </c>
      <c r="C6832">
        <v>0</v>
      </c>
      <c r="D6832">
        <v>0</v>
      </c>
      <c r="E6832">
        <v>1</v>
      </c>
      <c r="F6832">
        <v>0</v>
      </c>
      <c r="G6832">
        <v>0</v>
      </c>
      <c r="H6832">
        <v>0</v>
      </c>
      <c r="I6832">
        <v>0</v>
      </c>
      <c r="J6832">
        <v>2762.9035093851298</v>
      </c>
      <c r="K6832">
        <v>2227.6346398566702</v>
      </c>
      <c r="L6832">
        <v>65.745000000000005</v>
      </c>
      <c r="M6832">
        <v>57.116999999999997</v>
      </c>
      <c r="N6832">
        <v>117.747</v>
      </c>
    </row>
    <row r="6833" spans="1:14" x14ac:dyDescent="0.45">
      <c r="A6833">
        <v>2012</v>
      </c>
      <c r="B6833" t="s">
        <v>127</v>
      </c>
      <c r="C6833">
        <v>0</v>
      </c>
      <c r="D6833">
        <v>0</v>
      </c>
      <c r="E6833">
        <v>1</v>
      </c>
      <c r="F6833">
        <v>0</v>
      </c>
      <c r="G6833">
        <v>0</v>
      </c>
      <c r="H6833">
        <v>0</v>
      </c>
      <c r="I6833">
        <v>0</v>
      </c>
      <c r="J6833">
        <v>2574.93509664061</v>
      </c>
      <c r="K6833">
        <v>2072.55744489261</v>
      </c>
      <c r="L6833">
        <v>42.895000000000003</v>
      </c>
      <c r="M6833">
        <v>61.9</v>
      </c>
      <c r="N6833">
        <v>67.486000000000004</v>
      </c>
    </row>
    <row r="6834" spans="1:14" x14ac:dyDescent="0.45">
      <c r="A6834">
        <v>2012</v>
      </c>
      <c r="B6834" t="s">
        <v>128</v>
      </c>
      <c r="C6834">
        <v>0</v>
      </c>
      <c r="D6834">
        <v>0</v>
      </c>
      <c r="E6834">
        <v>1</v>
      </c>
      <c r="F6834">
        <v>0</v>
      </c>
      <c r="G6834">
        <v>0</v>
      </c>
      <c r="H6834">
        <v>0</v>
      </c>
      <c r="I6834">
        <v>0</v>
      </c>
      <c r="J6834">
        <v>2154.3022541446799</v>
      </c>
      <c r="K6834">
        <v>1938.0069658636501</v>
      </c>
      <c r="L6834">
        <v>59.091999999999999</v>
      </c>
      <c r="M6834">
        <v>58.27</v>
      </c>
      <c r="N6834">
        <v>104.39700000000001</v>
      </c>
    </row>
    <row r="6835" spans="1:14" x14ac:dyDescent="0.45">
      <c r="A6835">
        <v>2012</v>
      </c>
      <c r="B6835" t="s">
        <v>129</v>
      </c>
      <c r="C6835">
        <v>0</v>
      </c>
      <c r="D6835">
        <v>0</v>
      </c>
      <c r="E6835">
        <v>1</v>
      </c>
      <c r="F6835">
        <v>0</v>
      </c>
      <c r="G6835">
        <v>0</v>
      </c>
      <c r="H6835">
        <v>1</v>
      </c>
      <c r="I6835">
        <v>1</v>
      </c>
      <c r="J6835">
        <v>35711.491927353702</v>
      </c>
      <c r="K6835">
        <v>29587.426686798</v>
      </c>
      <c r="L6835">
        <v>31</v>
      </c>
      <c r="M6835">
        <v>59.301000000000002</v>
      </c>
      <c r="N6835">
        <v>103.617</v>
      </c>
    </row>
    <row r="6836" spans="1:14" x14ac:dyDescent="0.45">
      <c r="A6836">
        <v>2012</v>
      </c>
      <c r="B6836" t="s">
        <v>130</v>
      </c>
      <c r="C6836">
        <v>1</v>
      </c>
      <c r="D6836">
        <v>0</v>
      </c>
      <c r="E6836">
        <v>0</v>
      </c>
      <c r="F6836">
        <v>0</v>
      </c>
      <c r="G6836">
        <v>0</v>
      </c>
      <c r="H6836">
        <v>1</v>
      </c>
      <c r="I6836">
        <v>1</v>
      </c>
      <c r="J6836">
        <v>31250.2268565956</v>
      </c>
      <c r="K6836">
        <v>27975.019087238499</v>
      </c>
      <c r="L6836">
        <v>22.995999999999999</v>
      </c>
      <c r="M6836">
        <v>80.421999999999997</v>
      </c>
      <c r="N6836">
        <v>4.1050000000000004</v>
      </c>
    </row>
    <row r="6837" spans="1:14" x14ac:dyDescent="0.45">
      <c r="A6837">
        <v>2012</v>
      </c>
      <c r="B6837" t="s">
        <v>131</v>
      </c>
      <c r="C6837">
        <v>0</v>
      </c>
      <c r="D6837">
        <v>1</v>
      </c>
      <c r="E6837">
        <v>0</v>
      </c>
      <c r="F6837">
        <v>0</v>
      </c>
      <c r="G6837">
        <v>1</v>
      </c>
      <c r="H6837">
        <v>0</v>
      </c>
      <c r="I6837">
        <v>0</v>
      </c>
      <c r="J6837">
        <v>13169.460476813299</v>
      </c>
      <c r="K6837">
        <v>12151.52798053</v>
      </c>
      <c r="L6837">
        <v>64.131</v>
      </c>
      <c r="M6837">
        <v>74.960999999999999</v>
      </c>
      <c r="N6837">
        <v>14.641999999999999</v>
      </c>
    </row>
    <row r="6838" spans="1:14" x14ac:dyDescent="0.45">
      <c r="A6838">
        <v>2012</v>
      </c>
      <c r="B6838" t="s">
        <v>132</v>
      </c>
      <c r="C6838">
        <v>1</v>
      </c>
      <c r="D6838">
        <v>0</v>
      </c>
      <c r="E6838">
        <v>0</v>
      </c>
      <c r="F6838">
        <v>0</v>
      </c>
      <c r="G6838">
        <v>0</v>
      </c>
      <c r="H6838">
        <v>1</v>
      </c>
      <c r="I6838">
        <v>1</v>
      </c>
      <c r="J6838">
        <v>62111.1033086807</v>
      </c>
      <c r="K6838">
        <v>56220.993729243302</v>
      </c>
      <c r="L6838">
        <v>14.8</v>
      </c>
      <c r="M6838">
        <v>69.352000000000004</v>
      </c>
      <c r="N6838">
        <v>11.391999999999999</v>
      </c>
    </row>
    <row r="6839" spans="1:14" x14ac:dyDescent="0.45">
      <c r="A6839">
        <v>2012</v>
      </c>
      <c r="B6839" t="s">
        <v>133</v>
      </c>
      <c r="C6839">
        <v>0</v>
      </c>
      <c r="D6839">
        <v>1</v>
      </c>
      <c r="E6839">
        <v>0</v>
      </c>
      <c r="F6839">
        <v>1</v>
      </c>
      <c r="G6839">
        <v>0</v>
      </c>
      <c r="H6839">
        <v>0</v>
      </c>
      <c r="I6839">
        <v>0</v>
      </c>
      <c r="J6839">
        <v>10126.828074123499</v>
      </c>
      <c r="K6839">
        <v>8796.9290582445792</v>
      </c>
      <c r="L6839">
        <v>51</v>
      </c>
      <c r="M6839">
        <v>70.721999999999994</v>
      </c>
      <c r="N6839">
        <v>32.011000000000003</v>
      </c>
    </row>
    <row r="6840" spans="1:14" x14ac:dyDescent="0.45">
      <c r="A6840">
        <v>2012</v>
      </c>
      <c r="B6840" t="s">
        <v>134</v>
      </c>
      <c r="C6840">
        <v>0</v>
      </c>
      <c r="D6840">
        <v>0</v>
      </c>
      <c r="E6840">
        <v>0</v>
      </c>
      <c r="F6840">
        <v>0</v>
      </c>
      <c r="G6840">
        <v>0</v>
      </c>
      <c r="H6840">
        <v>1</v>
      </c>
      <c r="I6840">
        <v>1</v>
      </c>
      <c r="L6840">
        <v>5.7229999999999999</v>
      </c>
      <c r="M6840">
        <v>76.236999999999995</v>
      </c>
      <c r="N6840">
        <v>13.352</v>
      </c>
    </row>
    <row r="6841" spans="1:14" x14ac:dyDescent="0.45">
      <c r="A6841">
        <v>2012</v>
      </c>
      <c r="B6841" t="s">
        <v>135</v>
      </c>
      <c r="C6841">
        <v>0</v>
      </c>
      <c r="D6841">
        <v>1</v>
      </c>
      <c r="E6841">
        <v>0</v>
      </c>
      <c r="F6841">
        <v>1</v>
      </c>
      <c r="G6841">
        <v>0</v>
      </c>
      <c r="H6841">
        <v>0</v>
      </c>
      <c r="I6841">
        <v>0</v>
      </c>
      <c r="J6841">
        <v>11534.9985588659</v>
      </c>
      <c r="K6841">
        <v>11031.831982120901</v>
      </c>
      <c r="L6841">
        <v>73.599999999999994</v>
      </c>
      <c r="M6841">
        <v>66.442999999999998</v>
      </c>
      <c r="N6841">
        <v>35.670999999999999</v>
      </c>
    </row>
    <row r="6842" spans="1:14" x14ac:dyDescent="0.45">
      <c r="A6842">
        <v>2012</v>
      </c>
      <c r="B6842" t="s">
        <v>136</v>
      </c>
      <c r="C6842">
        <v>0</v>
      </c>
      <c r="D6842">
        <v>0</v>
      </c>
      <c r="E6842">
        <v>0</v>
      </c>
      <c r="F6842">
        <v>0</v>
      </c>
      <c r="G6842">
        <v>0</v>
      </c>
      <c r="H6842">
        <v>1</v>
      </c>
      <c r="I6842">
        <v>1</v>
      </c>
      <c r="J6842">
        <v>59015.303389057</v>
      </c>
      <c r="K6842">
        <v>53261.514786769003</v>
      </c>
      <c r="L6842">
        <v>0</v>
      </c>
      <c r="M6842">
        <v>83.415999999999997</v>
      </c>
      <c r="N6842">
        <v>2.9009999999999998</v>
      </c>
    </row>
    <row r="6843" spans="1:14" x14ac:dyDescent="0.45">
      <c r="A6843">
        <v>2012</v>
      </c>
      <c r="B6843" t="s">
        <v>137</v>
      </c>
      <c r="C6843">
        <v>0</v>
      </c>
      <c r="D6843">
        <v>1</v>
      </c>
      <c r="E6843">
        <v>0</v>
      </c>
      <c r="F6843">
        <v>1</v>
      </c>
      <c r="G6843">
        <v>0</v>
      </c>
      <c r="H6843">
        <v>0</v>
      </c>
      <c r="I6843">
        <v>0</v>
      </c>
      <c r="J6843">
        <v>5600.6077605497003</v>
      </c>
      <c r="K6843">
        <v>5160.8370194004201</v>
      </c>
      <c r="L6843">
        <v>46.798000000000002</v>
      </c>
      <c r="M6843">
        <v>70.459999999999994</v>
      </c>
      <c r="N6843">
        <v>22.853000000000002</v>
      </c>
    </row>
    <row r="6844" spans="1:14" x14ac:dyDescent="0.45">
      <c r="A6844">
        <v>2012</v>
      </c>
      <c r="B6844" t="s">
        <v>138</v>
      </c>
      <c r="C6844">
        <v>1</v>
      </c>
      <c r="D6844">
        <v>0</v>
      </c>
      <c r="E6844">
        <v>0</v>
      </c>
      <c r="F6844">
        <v>0</v>
      </c>
      <c r="G6844">
        <v>0</v>
      </c>
      <c r="H6844">
        <v>1</v>
      </c>
      <c r="I6844">
        <v>1</v>
      </c>
      <c r="J6844">
        <v>28260.836622660299</v>
      </c>
      <c r="K6844">
        <v>24372.403815867499</v>
      </c>
      <c r="L6844">
        <v>44.494</v>
      </c>
      <c r="M6844">
        <v>77.284000000000006</v>
      </c>
      <c r="N6844">
        <v>4.8550000000000004</v>
      </c>
    </row>
    <row r="6845" spans="1:14" x14ac:dyDescent="0.45">
      <c r="A6845">
        <v>2012</v>
      </c>
      <c r="B6845" t="s">
        <v>139</v>
      </c>
      <c r="C6845">
        <v>0</v>
      </c>
      <c r="D6845">
        <v>1</v>
      </c>
      <c r="E6845">
        <v>0</v>
      </c>
      <c r="F6845">
        <v>0</v>
      </c>
      <c r="G6845">
        <v>0</v>
      </c>
      <c r="H6845">
        <v>0</v>
      </c>
      <c r="I6845">
        <v>0</v>
      </c>
      <c r="J6845">
        <v>3285.7075460226602</v>
      </c>
      <c r="K6845">
        <v>3158.0767331489801</v>
      </c>
      <c r="L6845">
        <v>50.523000000000003</v>
      </c>
      <c r="M6845">
        <v>62.273000000000003</v>
      </c>
      <c r="N6845">
        <v>76.176000000000002</v>
      </c>
    </row>
    <row r="6846" spans="1:14" x14ac:dyDescent="0.45">
      <c r="A6846">
        <v>2012</v>
      </c>
      <c r="B6846" t="s">
        <v>140</v>
      </c>
      <c r="C6846">
        <v>1</v>
      </c>
      <c r="D6846">
        <v>0</v>
      </c>
      <c r="E6846">
        <v>0</v>
      </c>
      <c r="F6846">
        <v>0</v>
      </c>
      <c r="G6846">
        <v>1</v>
      </c>
      <c r="H6846">
        <v>0</v>
      </c>
      <c r="I6846">
        <v>0</v>
      </c>
      <c r="J6846">
        <v>28179.656464434</v>
      </c>
      <c r="K6846">
        <v>24556.245220671699</v>
      </c>
      <c r="L6846">
        <v>30.321999999999999</v>
      </c>
      <c r="M6846">
        <v>75.183000000000007</v>
      </c>
      <c r="N6846">
        <v>5.6769999999999996</v>
      </c>
    </row>
    <row r="6847" spans="1:14" x14ac:dyDescent="0.45">
      <c r="A6847">
        <v>2012</v>
      </c>
      <c r="B6847" t="s">
        <v>141</v>
      </c>
      <c r="C6847">
        <v>0</v>
      </c>
      <c r="D6847">
        <v>0</v>
      </c>
      <c r="E6847">
        <v>0</v>
      </c>
      <c r="F6847">
        <v>1</v>
      </c>
      <c r="G6847">
        <v>0</v>
      </c>
      <c r="H6847">
        <v>0</v>
      </c>
      <c r="I6847">
        <v>0</v>
      </c>
      <c r="J6847">
        <v>9708.6118253108107</v>
      </c>
      <c r="K6847">
        <v>8813.8893309841205</v>
      </c>
      <c r="L6847">
        <v>48.723999999999997</v>
      </c>
      <c r="M6847">
        <v>68.861999999999995</v>
      </c>
      <c r="N6847">
        <v>31.059000000000001</v>
      </c>
    </row>
    <row r="6848" spans="1:14" x14ac:dyDescent="0.45">
      <c r="A6848">
        <v>2012</v>
      </c>
      <c r="B6848" t="s">
        <v>142</v>
      </c>
      <c r="C6848">
        <v>1</v>
      </c>
      <c r="D6848">
        <v>0</v>
      </c>
      <c r="E6848">
        <v>0</v>
      </c>
      <c r="F6848">
        <v>0</v>
      </c>
      <c r="G6848">
        <v>0</v>
      </c>
      <c r="H6848">
        <v>1</v>
      </c>
      <c r="I6848">
        <v>1</v>
      </c>
      <c r="L6848">
        <v>47.954000000000001</v>
      </c>
      <c r="M6848">
        <v>80.007000000000005</v>
      </c>
      <c r="N6848">
        <v>14.94</v>
      </c>
    </row>
    <row r="6849" spans="1:14" x14ac:dyDescent="0.45">
      <c r="A6849">
        <v>2012</v>
      </c>
      <c r="B6849" t="s">
        <v>143</v>
      </c>
      <c r="C6849">
        <v>0</v>
      </c>
      <c r="D6849">
        <v>0</v>
      </c>
      <c r="E6849">
        <v>0</v>
      </c>
      <c r="F6849">
        <v>1</v>
      </c>
      <c r="G6849">
        <v>0</v>
      </c>
      <c r="H6849">
        <v>0</v>
      </c>
      <c r="I6849">
        <v>0</v>
      </c>
      <c r="J6849">
        <v>5460.43768570052</v>
      </c>
      <c r="K6849">
        <v>4579.58907534233</v>
      </c>
      <c r="L6849">
        <v>68.366</v>
      </c>
      <c r="M6849">
        <v>68.075999999999993</v>
      </c>
      <c r="N6849">
        <v>51.704000000000001</v>
      </c>
    </row>
    <row r="6850" spans="1:14" x14ac:dyDescent="0.45">
      <c r="A6850">
        <v>2012</v>
      </c>
      <c r="B6850" t="s">
        <v>144</v>
      </c>
      <c r="C6850">
        <v>1</v>
      </c>
      <c r="D6850">
        <v>0</v>
      </c>
      <c r="E6850">
        <v>0</v>
      </c>
      <c r="F6850">
        <v>0</v>
      </c>
      <c r="G6850">
        <v>0</v>
      </c>
      <c r="H6850">
        <v>1</v>
      </c>
      <c r="I6850">
        <v>1</v>
      </c>
      <c r="J6850">
        <v>59508.996546295799</v>
      </c>
      <c r="K6850">
        <v>54715.417599444998</v>
      </c>
      <c r="L6850">
        <v>38.058</v>
      </c>
      <c r="M6850">
        <v>80.852000000000004</v>
      </c>
      <c r="N6850">
        <v>3.9</v>
      </c>
    </row>
    <row r="6851" spans="1:14" x14ac:dyDescent="0.45">
      <c r="A6851">
        <v>2012</v>
      </c>
      <c r="B6851" t="s">
        <v>145</v>
      </c>
      <c r="C6851">
        <v>0</v>
      </c>
      <c r="D6851">
        <v>0</v>
      </c>
      <c r="E6851">
        <v>0</v>
      </c>
      <c r="F6851">
        <v>0</v>
      </c>
      <c r="G6851">
        <v>1</v>
      </c>
      <c r="H6851">
        <v>0</v>
      </c>
      <c r="I6851">
        <v>0</v>
      </c>
      <c r="J6851">
        <v>14202.5507641889</v>
      </c>
      <c r="K6851">
        <v>14166.968714836599</v>
      </c>
      <c r="L6851">
        <v>28.245000000000001</v>
      </c>
      <c r="M6851">
        <v>75.039000000000001</v>
      </c>
      <c r="N6851">
        <v>17.652000000000001</v>
      </c>
    </row>
    <row r="6852" spans="1:14" x14ac:dyDescent="0.45">
      <c r="A6852">
        <v>2012</v>
      </c>
      <c r="B6852" t="s">
        <v>146</v>
      </c>
      <c r="C6852">
        <v>0</v>
      </c>
      <c r="D6852">
        <v>0</v>
      </c>
      <c r="E6852">
        <v>0</v>
      </c>
      <c r="F6852">
        <v>0</v>
      </c>
      <c r="G6852">
        <v>1</v>
      </c>
      <c r="H6852">
        <v>0</v>
      </c>
      <c r="I6852">
        <v>0</v>
      </c>
      <c r="J6852">
        <v>13357.0143882353</v>
      </c>
      <c r="K6852">
        <v>9441.9234334562098</v>
      </c>
      <c r="L6852">
        <v>30.568000000000001</v>
      </c>
      <c r="M6852">
        <v>68.826999999999998</v>
      </c>
      <c r="N6852">
        <v>32.835000000000001</v>
      </c>
    </row>
    <row r="6853" spans="1:14" x14ac:dyDescent="0.45">
      <c r="A6853">
        <v>2012</v>
      </c>
      <c r="B6853" t="s">
        <v>147</v>
      </c>
      <c r="C6853">
        <v>1</v>
      </c>
      <c r="D6853">
        <v>0</v>
      </c>
      <c r="E6853">
        <v>0</v>
      </c>
      <c r="F6853">
        <v>0</v>
      </c>
      <c r="G6853">
        <v>0</v>
      </c>
      <c r="H6853">
        <v>1</v>
      </c>
      <c r="I6853">
        <v>1</v>
      </c>
      <c r="J6853">
        <v>55719.260961720996</v>
      </c>
      <c r="K6853">
        <v>48213.257234853598</v>
      </c>
      <c r="L6853">
        <v>6.4000000000000101</v>
      </c>
      <c r="M6853">
        <v>82.346000000000004</v>
      </c>
      <c r="N6853">
        <v>1.9450000000000001</v>
      </c>
    </row>
    <row r="6854" spans="1:14" x14ac:dyDescent="0.45">
      <c r="A6854">
        <v>2012</v>
      </c>
      <c r="B6854" t="s">
        <v>148</v>
      </c>
      <c r="C6854">
        <v>0</v>
      </c>
      <c r="D6854">
        <v>0</v>
      </c>
      <c r="E6854">
        <v>0</v>
      </c>
      <c r="F6854">
        <v>0</v>
      </c>
      <c r="G6854">
        <v>0</v>
      </c>
      <c r="H6854">
        <v>1</v>
      </c>
      <c r="I6854">
        <v>1</v>
      </c>
      <c r="J6854">
        <v>39299.351550654603</v>
      </c>
      <c r="K6854">
        <v>36048.398152176203</v>
      </c>
      <c r="L6854">
        <v>8.0400000000000098</v>
      </c>
      <c r="M6854">
        <v>81.984999999999999</v>
      </c>
      <c r="N6854">
        <v>4.3789999999999996</v>
      </c>
    </row>
    <row r="6855" spans="1:14" x14ac:dyDescent="0.45">
      <c r="A6855">
        <v>2012</v>
      </c>
      <c r="B6855" t="s">
        <v>149</v>
      </c>
      <c r="C6855">
        <v>1</v>
      </c>
      <c r="D6855">
        <v>0</v>
      </c>
      <c r="E6855">
        <v>0</v>
      </c>
      <c r="F6855">
        <v>0</v>
      </c>
      <c r="G6855">
        <v>0</v>
      </c>
      <c r="H6855">
        <v>1</v>
      </c>
      <c r="I6855">
        <v>1</v>
      </c>
      <c r="J6855">
        <v>47795.957936054103</v>
      </c>
      <c r="K6855">
        <v>40711.0252500028</v>
      </c>
      <c r="L6855">
        <v>31.315999999999999</v>
      </c>
      <c r="M6855">
        <v>82.251999999999995</v>
      </c>
      <c r="N6855">
        <v>3.5110000000000001</v>
      </c>
    </row>
    <row r="6856" spans="1:14" x14ac:dyDescent="0.45">
      <c r="A6856">
        <v>2012</v>
      </c>
      <c r="B6856" t="s">
        <v>150</v>
      </c>
      <c r="C6856">
        <v>0</v>
      </c>
      <c r="D6856">
        <v>1</v>
      </c>
      <c r="E6856">
        <v>0</v>
      </c>
      <c r="F6856">
        <v>0</v>
      </c>
      <c r="G6856">
        <v>1</v>
      </c>
      <c r="H6856">
        <v>0</v>
      </c>
      <c r="I6856">
        <v>0</v>
      </c>
      <c r="J6856">
        <v>9676.84757123083</v>
      </c>
      <c r="K6856">
        <v>9536.8251112468097</v>
      </c>
      <c r="L6856">
        <v>45.868000000000002</v>
      </c>
      <c r="M6856">
        <v>72.405000000000001</v>
      </c>
      <c r="N6856">
        <v>18.905000000000001</v>
      </c>
    </row>
    <row r="6857" spans="1:14" x14ac:dyDescent="0.45">
      <c r="A6857">
        <v>2012</v>
      </c>
      <c r="B6857" t="s">
        <v>151</v>
      </c>
      <c r="C6857">
        <v>0</v>
      </c>
      <c r="D6857">
        <v>0</v>
      </c>
      <c r="E6857">
        <v>0</v>
      </c>
      <c r="F6857">
        <v>0</v>
      </c>
      <c r="G6857">
        <v>1</v>
      </c>
      <c r="H6857">
        <v>0</v>
      </c>
      <c r="I6857">
        <v>0</v>
      </c>
      <c r="J6857">
        <v>11086.029944399501</v>
      </c>
      <c r="K6857">
        <v>10997.843803670299</v>
      </c>
      <c r="L6857">
        <v>11.815</v>
      </c>
      <c r="M6857">
        <v>74.087000000000003</v>
      </c>
      <c r="N6857">
        <v>19.100000000000001</v>
      </c>
    </row>
    <row r="6858" spans="1:14" x14ac:dyDescent="0.45">
      <c r="A6858">
        <v>2012</v>
      </c>
      <c r="B6858" t="s">
        <v>152</v>
      </c>
      <c r="C6858">
        <v>0</v>
      </c>
      <c r="D6858">
        <v>0</v>
      </c>
      <c r="E6858">
        <v>0</v>
      </c>
      <c r="F6858">
        <v>0</v>
      </c>
      <c r="G6858">
        <v>0</v>
      </c>
      <c r="H6858">
        <v>1</v>
      </c>
      <c r="I6858">
        <v>1</v>
      </c>
      <c r="J6858">
        <v>41596.923803879603</v>
      </c>
      <c r="K6858">
        <v>38532.57507205</v>
      </c>
      <c r="L6858">
        <v>8.8520000000000003</v>
      </c>
      <c r="M6858">
        <v>83.168000000000006</v>
      </c>
      <c r="N6858">
        <v>3.056</v>
      </c>
    </row>
    <row r="6859" spans="1:14" x14ac:dyDescent="0.45">
      <c r="A6859">
        <v>2012</v>
      </c>
      <c r="B6859" t="s">
        <v>153</v>
      </c>
      <c r="C6859">
        <v>1</v>
      </c>
      <c r="D6859">
        <v>0</v>
      </c>
      <c r="E6859">
        <v>0</v>
      </c>
      <c r="F6859">
        <v>0</v>
      </c>
      <c r="G6859">
        <v>1</v>
      </c>
      <c r="H6859">
        <v>0</v>
      </c>
      <c r="I6859">
        <v>0</v>
      </c>
      <c r="J6859">
        <v>28881.241756372801</v>
      </c>
      <c r="K6859">
        <v>21963.0121190969</v>
      </c>
      <c r="L6859">
        <v>43.027000000000001</v>
      </c>
      <c r="M6859">
        <v>69.938999999999993</v>
      </c>
      <c r="N6859">
        <v>16.353999999999999</v>
      </c>
    </row>
    <row r="6860" spans="1:14" x14ac:dyDescent="0.45">
      <c r="A6860">
        <v>2012</v>
      </c>
      <c r="B6860" t="s">
        <v>154</v>
      </c>
      <c r="C6860">
        <v>0</v>
      </c>
      <c r="D6860">
        <v>0</v>
      </c>
      <c r="E6860">
        <v>1</v>
      </c>
      <c r="F6860">
        <v>0</v>
      </c>
      <c r="G6860">
        <v>0</v>
      </c>
      <c r="H6860">
        <v>0</v>
      </c>
      <c r="I6860">
        <v>0</v>
      </c>
      <c r="J6860">
        <v>4387.9379007540902</v>
      </c>
      <c r="K6860">
        <v>3781.7277776056399</v>
      </c>
      <c r="L6860">
        <v>75.623999999999995</v>
      </c>
      <c r="M6860">
        <v>61.536999999999999</v>
      </c>
      <c r="N6860">
        <v>50.640999999999998</v>
      </c>
    </row>
    <row r="6861" spans="1:14" x14ac:dyDescent="0.45">
      <c r="A6861">
        <v>2012</v>
      </c>
      <c r="B6861" t="s">
        <v>155</v>
      </c>
      <c r="C6861">
        <v>1</v>
      </c>
      <c r="D6861">
        <v>0</v>
      </c>
      <c r="E6861">
        <v>0</v>
      </c>
      <c r="F6861">
        <v>0</v>
      </c>
      <c r="G6861">
        <v>0</v>
      </c>
      <c r="H6861">
        <v>0</v>
      </c>
      <c r="I6861">
        <v>0</v>
      </c>
      <c r="J6861">
        <v>4993.3943168352798</v>
      </c>
      <c r="K6861">
        <v>4220.2572652291201</v>
      </c>
      <c r="L6861">
        <v>64.576999999999998</v>
      </c>
      <c r="M6861">
        <v>68.141999999999996</v>
      </c>
      <c r="N6861">
        <v>26.274000000000001</v>
      </c>
    </row>
    <row r="6862" spans="1:14" x14ac:dyDescent="0.45">
      <c r="A6862">
        <v>2012</v>
      </c>
      <c r="B6862" t="s">
        <v>156</v>
      </c>
      <c r="C6862">
        <v>0</v>
      </c>
      <c r="D6862">
        <v>0</v>
      </c>
      <c r="E6862">
        <v>0</v>
      </c>
      <c r="F6862">
        <v>0</v>
      </c>
      <c r="G6862">
        <v>0</v>
      </c>
      <c r="H6862">
        <v>0</v>
      </c>
      <c r="I6862">
        <v>0</v>
      </c>
      <c r="J6862">
        <v>4159.1635412331198</v>
      </c>
      <c r="K6862">
        <v>3729.3900484405699</v>
      </c>
      <c r="L6862">
        <v>78.962999999999994</v>
      </c>
      <c r="M6862">
        <v>68.370999999999995</v>
      </c>
      <c r="N6862">
        <v>38.146999999999998</v>
      </c>
    </row>
    <row r="6863" spans="1:14" x14ac:dyDescent="0.45">
      <c r="A6863">
        <v>2012</v>
      </c>
      <c r="B6863" t="s">
        <v>157</v>
      </c>
      <c r="C6863">
        <v>0</v>
      </c>
      <c r="D6863">
        <v>0</v>
      </c>
      <c r="E6863">
        <v>0</v>
      </c>
      <c r="F6863">
        <v>1</v>
      </c>
      <c r="G6863">
        <v>0</v>
      </c>
      <c r="H6863">
        <v>0</v>
      </c>
      <c r="I6863">
        <v>0</v>
      </c>
      <c r="J6863">
        <v>2242.0137911452798</v>
      </c>
      <c r="K6863">
        <v>2028.12410018537</v>
      </c>
      <c r="L6863">
        <v>50.917999999999999</v>
      </c>
      <c r="M6863">
        <v>65.908000000000001</v>
      </c>
      <c r="N6863">
        <v>58.216999999999999</v>
      </c>
    </row>
    <row r="6864" spans="1:14" x14ac:dyDescent="0.45">
      <c r="A6864">
        <v>2012</v>
      </c>
      <c r="B6864" t="s">
        <v>158</v>
      </c>
      <c r="C6864">
        <v>0</v>
      </c>
      <c r="D6864">
        <v>1</v>
      </c>
      <c r="E6864">
        <v>0</v>
      </c>
      <c r="F6864">
        <v>0</v>
      </c>
      <c r="G6864">
        <v>0</v>
      </c>
      <c r="H6864">
        <v>1</v>
      </c>
      <c r="I6864">
        <v>1</v>
      </c>
      <c r="J6864">
        <v>25114.0572603244</v>
      </c>
      <c r="K6864">
        <v>24803.547513989699</v>
      </c>
      <c r="L6864">
        <v>68.938000000000002</v>
      </c>
      <c r="M6864">
        <v>71.361999999999995</v>
      </c>
      <c r="N6864">
        <v>18.260000000000002</v>
      </c>
    </row>
    <row r="6865" spans="1:14" x14ac:dyDescent="0.45">
      <c r="A6865">
        <v>2012</v>
      </c>
      <c r="B6865" t="s">
        <v>159</v>
      </c>
      <c r="C6865">
        <v>0</v>
      </c>
      <c r="D6865">
        <v>0</v>
      </c>
      <c r="E6865">
        <v>0</v>
      </c>
      <c r="F6865">
        <v>0</v>
      </c>
      <c r="G6865">
        <v>0</v>
      </c>
      <c r="H6865">
        <v>1</v>
      </c>
      <c r="I6865">
        <v>1</v>
      </c>
      <c r="J6865">
        <v>39420.419391877796</v>
      </c>
      <c r="K6865">
        <v>35936.541140456298</v>
      </c>
      <c r="L6865">
        <v>18.149000000000001</v>
      </c>
      <c r="M6865">
        <v>81.308000000000007</v>
      </c>
      <c r="N6865">
        <v>3.8719999999999999</v>
      </c>
    </row>
    <row r="6866" spans="1:14" x14ac:dyDescent="0.45">
      <c r="A6866">
        <v>2012</v>
      </c>
      <c r="B6866" t="s">
        <v>160</v>
      </c>
      <c r="C6866">
        <v>0</v>
      </c>
      <c r="D6866">
        <v>0</v>
      </c>
      <c r="E6866">
        <v>0</v>
      </c>
      <c r="F6866">
        <v>0</v>
      </c>
      <c r="G6866">
        <v>0</v>
      </c>
      <c r="H6866">
        <v>1</v>
      </c>
      <c r="I6866">
        <v>1</v>
      </c>
      <c r="J6866">
        <v>64908.262745514003</v>
      </c>
      <c r="K6866">
        <v>57807.3069285983</v>
      </c>
      <c r="L6866">
        <v>0</v>
      </c>
      <c r="M6866">
        <v>78.227000000000004</v>
      </c>
      <c r="N6866">
        <v>9.9890000000000008</v>
      </c>
    </row>
    <row r="6867" spans="1:14" x14ac:dyDescent="0.45">
      <c r="A6867">
        <v>2012</v>
      </c>
      <c r="B6867" t="s">
        <v>161</v>
      </c>
      <c r="C6867">
        <v>0</v>
      </c>
      <c r="D6867">
        <v>0</v>
      </c>
      <c r="E6867">
        <v>0</v>
      </c>
      <c r="F6867">
        <v>1</v>
      </c>
      <c r="G6867">
        <v>0</v>
      </c>
      <c r="H6867">
        <v>0</v>
      </c>
      <c r="I6867">
        <v>0</v>
      </c>
      <c r="J6867">
        <v>5608.9695633705896</v>
      </c>
      <c r="K6867">
        <v>5389.7014564973397</v>
      </c>
      <c r="L6867">
        <v>68.736000000000004</v>
      </c>
      <c r="M6867">
        <v>65.126000000000005</v>
      </c>
      <c r="N6867">
        <v>61.406999999999996</v>
      </c>
    </row>
    <row r="6868" spans="1:14" x14ac:dyDescent="0.45">
      <c r="A6868">
        <v>2012</v>
      </c>
      <c r="B6868" t="s">
        <v>162</v>
      </c>
      <c r="C6868">
        <v>0</v>
      </c>
      <c r="D6868">
        <v>0</v>
      </c>
      <c r="E6868">
        <v>0</v>
      </c>
      <c r="F6868">
        <v>0</v>
      </c>
      <c r="G6868">
        <v>1</v>
      </c>
      <c r="H6868">
        <v>0</v>
      </c>
      <c r="I6868">
        <v>0</v>
      </c>
      <c r="J6868">
        <v>17323.3013764282</v>
      </c>
      <c r="K6868">
        <v>22516.712943692699</v>
      </c>
      <c r="L6868">
        <v>12.364000000000001</v>
      </c>
      <c r="M6868">
        <v>77.941000000000003</v>
      </c>
      <c r="N6868">
        <v>12.585000000000001</v>
      </c>
    </row>
    <row r="6869" spans="1:14" x14ac:dyDescent="0.45">
      <c r="A6869">
        <v>2012</v>
      </c>
      <c r="B6869" t="s">
        <v>163</v>
      </c>
      <c r="C6869">
        <v>0</v>
      </c>
      <c r="D6869">
        <v>0</v>
      </c>
      <c r="E6869">
        <v>1</v>
      </c>
      <c r="F6869">
        <v>0</v>
      </c>
      <c r="G6869">
        <v>0</v>
      </c>
      <c r="H6869">
        <v>0</v>
      </c>
      <c r="I6869">
        <v>0</v>
      </c>
      <c r="J6869">
        <v>1668.9728958877599</v>
      </c>
      <c r="K6869">
        <v>2465.8164079890098</v>
      </c>
      <c r="L6869">
        <v>51.417000000000002</v>
      </c>
      <c r="M6869">
        <v>59.784999999999997</v>
      </c>
      <c r="N6869">
        <v>94.977999999999994</v>
      </c>
    </row>
    <row r="6870" spans="1:14" x14ac:dyDescent="0.45">
      <c r="A6870">
        <v>2012</v>
      </c>
      <c r="B6870" t="s">
        <v>164</v>
      </c>
      <c r="C6870">
        <v>0</v>
      </c>
      <c r="D6870">
        <v>0</v>
      </c>
      <c r="E6870">
        <v>0</v>
      </c>
      <c r="F6870">
        <v>0</v>
      </c>
      <c r="G6870">
        <v>1</v>
      </c>
      <c r="H6870">
        <v>0</v>
      </c>
      <c r="I6870">
        <v>0</v>
      </c>
      <c r="J6870">
        <v>20595.580038429001</v>
      </c>
      <c r="K6870">
        <v>24069.954385462999</v>
      </c>
      <c r="L6870">
        <v>21.488</v>
      </c>
      <c r="M6870">
        <v>72.188000000000002</v>
      </c>
      <c r="N6870">
        <v>15.332000000000001</v>
      </c>
    </row>
    <row r="6871" spans="1:14" x14ac:dyDescent="0.45">
      <c r="A6871">
        <v>2012</v>
      </c>
      <c r="B6871" t="s">
        <v>165</v>
      </c>
      <c r="C6871">
        <v>0</v>
      </c>
      <c r="D6871">
        <v>1</v>
      </c>
      <c r="E6871">
        <v>0</v>
      </c>
      <c r="F6871">
        <v>0</v>
      </c>
      <c r="G6871">
        <v>1</v>
      </c>
      <c r="H6871">
        <v>0</v>
      </c>
      <c r="I6871">
        <v>0</v>
      </c>
      <c r="J6871">
        <v>21515.89963362</v>
      </c>
      <c r="K6871">
        <v>15478.6889657912</v>
      </c>
      <c r="L6871">
        <v>81.55</v>
      </c>
      <c r="M6871">
        <v>72.86</v>
      </c>
      <c r="N6871">
        <v>17.844000000000001</v>
      </c>
    </row>
    <row r="6872" spans="1:14" x14ac:dyDescent="0.45">
      <c r="A6872">
        <v>2012</v>
      </c>
      <c r="B6872" t="s">
        <v>166</v>
      </c>
      <c r="C6872">
        <v>1</v>
      </c>
      <c r="D6872">
        <v>0</v>
      </c>
      <c r="E6872">
        <v>0</v>
      </c>
      <c r="F6872">
        <v>0</v>
      </c>
      <c r="G6872">
        <v>0</v>
      </c>
      <c r="H6872">
        <v>1</v>
      </c>
      <c r="I6872">
        <v>1</v>
      </c>
      <c r="L6872">
        <v>85.632999999999996</v>
      </c>
      <c r="M6872">
        <v>82.254000000000005</v>
      </c>
      <c r="N6872">
        <v>7.6150000000000002</v>
      </c>
    </row>
    <row r="6873" spans="1:14" x14ac:dyDescent="0.45">
      <c r="A6873">
        <v>2012</v>
      </c>
      <c r="B6873" t="s">
        <v>167</v>
      </c>
      <c r="C6873">
        <v>0</v>
      </c>
      <c r="D6873">
        <v>0</v>
      </c>
      <c r="E6873">
        <v>0</v>
      </c>
      <c r="F6873">
        <v>1</v>
      </c>
      <c r="G6873">
        <v>0</v>
      </c>
      <c r="H6873">
        <v>0</v>
      </c>
      <c r="I6873">
        <v>0</v>
      </c>
      <c r="J6873">
        <v>11447.6937741445</v>
      </c>
      <c r="K6873">
        <v>10691.965053100501</v>
      </c>
      <c r="L6873">
        <v>81.804000000000002</v>
      </c>
      <c r="M6873">
        <v>75.186999999999998</v>
      </c>
      <c r="N6873">
        <v>10.298999999999999</v>
      </c>
    </row>
    <row r="6874" spans="1:14" x14ac:dyDescent="0.45">
      <c r="A6874">
        <v>2012</v>
      </c>
      <c r="B6874" t="s">
        <v>168</v>
      </c>
      <c r="C6874">
        <v>0</v>
      </c>
      <c r="D6874">
        <v>0</v>
      </c>
      <c r="E6874">
        <v>1</v>
      </c>
      <c r="F6874">
        <v>1</v>
      </c>
      <c r="G6874">
        <v>0</v>
      </c>
      <c r="H6874">
        <v>0</v>
      </c>
      <c r="I6874">
        <v>0</v>
      </c>
      <c r="J6874">
        <v>2894.2270504814201</v>
      </c>
      <c r="K6874">
        <v>2591.5493520826599</v>
      </c>
      <c r="L6874">
        <v>74.296000000000006</v>
      </c>
      <c r="M6874">
        <v>48.234999999999999</v>
      </c>
      <c r="N6874">
        <v>87.539000000000001</v>
      </c>
    </row>
    <row r="6875" spans="1:14" x14ac:dyDescent="0.45">
      <c r="A6875">
        <v>2012</v>
      </c>
      <c r="B6875" t="s">
        <v>169</v>
      </c>
      <c r="C6875">
        <v>1</v>
      </c>
      <c r="D6875">
        <v>0</v>
      </c>
      <c r="E6875">
        <v>0</v>
      </c>
      <c r="F6875">
        <v>0</v>
      </c>
      <c r="G6875">
        <v>0</v>
      </c>
      <c r="H6875">
        <v>1</v>
      </c>
      <c r="I6875">
        <v>1</v>
      </c>
      <c r="J6875">
        <v>30920.330402208001</v>
      </c>
      <c r="K6875">
        <v>26454.404444076001</v>
      </c>
      <c r="L6875">
        <v>33.136000000000003</v>
      </c>
      <c r="M6875">
        <v>73.963999999999999</v>
      </c>
      <c r="N6875">
        <v>4.7220000000000004</v>
      </c>
    </row>
    <row r="6876" spans="1:14" x14ac:dyDescent="0.45">
      <c r="A6876">
        <v>2012</v>
      </c>
      <c r="B6876" t="s">
        <v>170</v>
      </c>
      <c r="C6876">
        <v>1</v>
      </c>
      <c r="D6876">
        <v>0</v>
      </c>
      <c r="E6876">
        <v>0</v>
      </c>
      <c r="F6876">
        <v>0</v>
      </c>
      <c r="G6876">
        <v>0</v>
      </c>
      <c r="H6876">
        <v>1</v>
      </c>
      <c r="I6876">
        <v>1</v>
      </c>
      <c r="J6876">
        <v>128895.405145048</v>
      </c>
      <c r="K6876">
        <v>110149.02668395299</v>
      </c>
      <c r="L6876">
        <v>10.750999999999999</v>
      </c>
      <c r="M6876">
        <v>80.438000000000002</v>
      </c>
      <c r="N6876">
        <v>4.7389999999999999</v>
      </c>
    </row>
    <row r="6877" spans="1:14" x14ac:dyDescent="0.45">
      <c r="A6877">
        <v>2012</v>
      </c>
      <c r="B6877" t="s">
        <v>171</v>
      </c>
      <c r="C6877">
        <v>1</v>
      </c>
      <c r="D6877">
        <v>0</v>
      </c>
      <c r="E6877">
        <v>0</v>
      </c>
      <c r="F6877">
        <v>0</v>
      </c>
      <c r="G6877">
        <v>0</v>
      </c>
      <c r="H6877">
        <v>1</v>
      </c>
      <c r="I6877">
        <v>1</v>
      </c>
      <c r="J6877">
        <v>27496.5454583635</v>
      </c>
      <c r="K6877">
        <v>23855.708185588599</v>
      </c>
      <c r="L6877">
        <v>32.103000000000002</v>
      </c>
      <c r="M6877">
        <v>73.938999999999993</v>
      </c>
      <c r="N6877">
        <v>7.4779999999999998</v>
      </c>
    </row>
    <row r="6878" spans="1:14" x14ac:dyDescent="0.45">
      <c r="A6878">
        <v>2012</v>
      </c>
      <c r="B6878" t="s">
        <v>172</v>
      </c>
      <c r="C6878">
        <v>0</v>
      </c>
      <c r="D6878">
        <v>0</v>
      </c>
      <c r="E6878">
        <v>0</v>
      </c>
      <c r="F6878">
        <v>0</v>
      </c>
      <c r="G6878">
        <v>0</v>
      </c>
      <c r="H6878">
        <v>1</v>
      </c>
      <c r="I6878">
        <v>1</v>
      </c>
      <c r="J6878">
        <v>164065.001803564</v>
      </c>
      <c r="K6878">
        <v>148682.510985209</v>
      </c>
      <c r="L6878">
        <v>0</v>
      </c>
      <c r="M6878">
        <v>82.256</v>
      </c>
      <c r="N6878">
        <v>4.2670000000000003</v>
      </c>
    </row>
    <row r="6879" spans="1:14" x14ac:dyDescent="0.45">
      <c r="A6879">
        <v>2012</v>
      </c>
      <c r="B6879" t="s">
        <v>173</v>
      </c>
      <c r="C6879">
        <v>0</v>
      </c>
      <c r="D6879">
        <v>1</v>
      </c>
      <c r="E6879">
        <v>0</v>
      </c>
      <c r="F6879">
        <v>0</v>
      </c>
      <c r="G6879">
        <v>0</v>
      </c>
      <c r="H6879">
        <v>1</v>
      </c>
      <c r="I6879">
        <v>1</v>
      </c>
      <c r="L6879">
        <v>0</v>
      </c>
      <c r="M6879">
        <v>79.302000000000007</v>
      </c>
      <c r="N6879">
        <v>10.67</v>
      </c>
    </row>
    <row r="6880" spans="1:14" x14ac:dyDescent="0.45">
      <c r="A6880">
        <v>2012</v>
      </c>
      <c r="B6880" t="s">
        <v>174</v>
      </c>
      <c r="C6880">
        <v>0</v>
      </c>
      <c r="D6880">
        <v>0</v>
      </c>
      <c r="E6880">
        <v>0</v>
      </c>
      <c r="F6880">
        <v>1</v>
      </c>
      <c r="G6880">
        <v>0</v>
      </c>
      <c r="H6880">
        <v>0</v>
      </c>
      <c r="I6880">
        <v>0</v>
      </c>
      <c r="J6880">
        <v>7628.64404296875</v>
      </c>
      <c r="K6880">
        <v>7326.30897649294</v>
      </c>
      <c r="L6880">
        <v>40.857999999999997</v>
      </c>
      <c r="M6880">
        <v>71.674000000000007</v>
      </c>
      <c r="N6880">
        <v>27.655000000000001</v>
      </c>
    </row>
    <row r="6881" spans="1:14" x14ac:dyDescent="0.45">
      <c r="A6881">
        <v>2012</v>
      </c>
      <c r="B6881" t="s">
        <v>175</v>
      </c>
      <c r="C6881">
        <v>1</v>
      </c>
      <c r="D6881">
        <v>0</v>
      </c>
      <c r="E6881">
        <v>0</v>
      </c>
      <c r="F6881">
        <v>0</v>
      </c>
      <c r="G6881">
        <v>0</v>
      </c>
      <c r="H6881">
        <v>1</v>
      </c>
      <c r="I6881">
        <v>1</v>
      </c>
      <c r="L6881">
        <v>0</v>
      </c>
      <c r="M6881">
        <v>85.045000000000002</v>
      </c>
      <c r="N6881">
        <v>5.4169999999999998</v>
      </c>
    </row>
    <row r="6882" spans="1:14" x14ac:dyDescent="0.45">
      <c r="A6882">
        <v>2012</v>
      </c>
      <c r="B6882" t="s">
        <v>176</v>
      </c>
      <c r="C6882">
        <v>1</v>
      </c>
      <c r="D6882">
        <v>0</v>
      </c>
      <c r="E6882">
        <v>0</v>
      </c>
      <c r="F6882">
        <v>1</v>
      </c>
      <c r="G6882">
        <v>0</v>
      </c>
      <c r="H6882">
        <v>0</v>
      </c>
      <c r="I6882">
        <v>0</v>
      </c>
      <c r="J6882">
        <v>10158.3854676883</v>
      </c>
      <c r="K6882">
        <v>8712.9248135233393</v>
      </c>
      <c r="L6882">
        <v>57.442</v>
      </c>
      <c r="M6882">
        <v>70.343999999999994</v>
      </c>
      <c r="N6882">
        <v>16.516999999999999</v>
      </c>
    </row>
    <row r="6883" spans="1:14" x14ac:dyDescent="0.45">
      <c r="A6883">
        <v>2012</v>
      </c>
      <c r="B6883" t="s">
        <v>177</v>
      </c>
      <c r="C6883">
        <v>0</v>
      </c>
      <c r="D6883">
        <v>0</v>
      </c>
      <c r="E6883">
        <v>1</v>
      </c>
      <c r="F6883">
        <v>0</v>
      </c>
      <c r="G6883">
        <v>0</v>
      </c>
      <c r="H6883">
        <v>0</v>
      </c>
      <c r="I6883">
        <v>0</v>
      </c>
      <c r="J6883">
        <v>1617.79082882235</v>
      </c>
      <c r="K6883">
        <v>1498.7643669900399</v>
      </c>
      <c r="L6883">
        <v>66.772999999999996</v>
      </c>
      <c r="M6883">
        <v>63.006999999999998</v>
      </c>
      <c r="N6883">
        <v>68.450999999999993</v>
      </c>
    </row>
    <row r="6884" spans="1:14" x14ac:dyDescent="0.45">
      <c r="A6884">
        <v>2012</v>
      </c>
      <c r="B6884" t="s">
        <v>178</v>
      </c>
      <c r="C6884">
        <v>0</v>
      </c>
      <c r="D6884">
        <v>0</v>
      </c>
      <c r="E6884">
        <v>0</v>
      </c>
      <c r="F6884">
        <v>0</v>
      </c>
      <c r="G6884">
        <v>1</v>
      </c>
      <c r="H6884">
        <v>0</v>
      </c>
      <c r="I6884">
        <v>0</v>
      </c>
      <c r="J6884">
        <v>17390.147519658101</v>
      </c>
      <c r="K6884">
        <v>17156.829101366799</v>
      </c>
      <c r="L6884">
        <v>62.732999999999997</v>
      </c>
      <c r="M6884">
        <v>77.512</v>
      </c>
      <c r="N6884">
        <v>12.11</v>
      </c>
    </row>
    <row r="6885" spans="1:14" x14ac:dyDescent="0.45">
      <c r="A6885">
        <v>2012</v>
      </c>
      <c r="B6885" t="s">
        <v>179</v>
      </c>
      <c r="C6885">
        <v>0</v>
      </c>
      <c r="D6885">
        <v>1</v>
      </c>
      <c r="E6885">
        <v>0</v>
      </c>
      <c r="F6885">
        <v>0</v>
      </c>
      <c r="G6885">
        <v>1</v>
      </c>
      <c r="H6885">
        <v>0</v>
      </c>
      <c r="I6885">
        <v>0</v>
      </c>
      <c r="J6885">
        <v>20898.935718448902</v>
      </c>
      <c r="K6885">
        <v>19429.222064029302</v>
      </c>
      <c r="L6885">
        <v>21.594999999999999</v>
      </c>
      <c r="M6885">
        <v>74.128</v>
      </c>
      <c r="N6885">
        <v>17.925999999999998</v>
      </c>
    </row>
    <row r="6886" spans="1:14" x14ac:dyDescent="0.45">
      <c r="A6886">
        <v>2012</v>
      </c>
      <c r="B6886" t="s">
        <v>180</v>
      </c>
      <c r="C6886">
        <v>0</v>
      </c>
      <c r="D6886">
        <v>0</v>
      </c>
      <c r="E6886">
        <v>0</v>
      </c>
      <c r="F6886">
        <v>0</v>
      </c>
      <c r="G6886">
        <v>1</v>
      </c>
      <c r="H6886">
        <v>0</v>
      </c>
      <c r="I6886">
        <v>0</v>
      </c>
      <c r="J6886">
        <v>4244.04434413747</v>
      </c>
      <c r="K6886">
        <v>3838.6739687550898</v>
      </c>
      <c r="L6886">
        <v>25.501999999999999</v>
      </c>
      <c r="M6886">
        <v>64.775999999999996</v>
      </c>
      <c r="N6886">
        <v>37.664999999999999</v>
      </c>
    </row>
    <row r="6887" spans="1:14" x14ac:dyDescent="0.45">
      <c r="A6887">
        <v>2012</v>
      </c>
      <c r="B6887" t="s">
        <v>181</v>
      </c>
      <c r="C6887">
        <v>1</v>
      </c>
      <c r="D6887">
        <v>0</v>
      </c>
      <c r="E6887">
        <v>0</v>
      </c>
      <c r="F6887">
        <v>0</v>
      </c>
      <c r="G6887">
        <v>1</v>
      </c>
      <c r="H6887">
        <v>0</v>
      </c>
      <c r="I6887">
        <v>0</v>
      </c>
      <c r="J6887">
        <v>17189.048921232999</v>
      </c>
      <c r="K6887">
        <v>14510.7867469137</v>
      </c>
      <c r="L6887">
        <v>42.875</v>
      </c>
      <c r="M6887">
        <v>75.043000000000006</v>
      </c>
      <c r="N6887">
        <v>11.266</v>
      </c>
    </row>
    <row r="6888" spans="1:14" x14ac:dyDescent="0.45">
      <c r="A6888">
        <v>2012</v>
      </c>
      <c r="B6888" t="s">
        <v>182</v>
      </c>
      <c r="C6888">
        <v>0</v>
      </c>
      <c r="D6888">
        <v>0</v>
      </c>
      <c r="E6888">
        <v>1</v>
      </c>
      <c r="F6888">
        <v>0</v>
      </c>
      <c r="G6888">
        <v>0</v>
      </c>
      <c r="H6888">
        <v>0</v>
      </c>
      <c r="I6888">
        <v>0</v>
      </c>
      <c r="J6888">
        <v>2523.17698088508</v>
      </c>
      <c r="K6888">
        <v>2335.4772947173201</v>
      </c>
      <c r="L6888">
        <v>62.401000000000003</v>
      </c>
      <c r="M6888">
        <v>56.695999999999998</v>
      </c>
      <c r="N6888">
        <v>126.723</v>
      </c>
    </row>
    <row r="6889" spans="1:14" x14ac:dyDescent="0.45">
      <c r="A6889">
        <v>2012</v>
      </c>
      <c r="B6889" t="s">
        <v>183</v>
      </c>
      <c r="C6889">
        <v>0</v>
      </c>
      <c r="D6889">
        <v>0</v>
      </c>
      <c r="E6889">
        <v>0</v>
      </c>
      <c r="F6889">
        <v>0</v>
      </c>
      <c r="G6889">
        <v>0</v>
      </c>
      <c r="H6889">
        <v>1</v>
      </c>
      <c r="I6889">
        <v>1</v>
      </c>
      <c r="J6889">
        <v>38899.987325157897</v>
      </c>
      <c r="K6889">
        <v>33650.393025880097</v>
      </c>
      <c r="L6889">
        <v>5.7889999999999997</v>
      </c>
      <c r="M6889">
        <v>81.063999999999993</v>
      </c>
      <c r="N6889">
        <v>6.1420000000000003</v>
      </c>
    </row>
    <row r="6890" spans="1:14" x14ac:dyDescent="0.45">
      <c r="A6890">
        <v>2012</v>
      </c>
      <c r="B6890" t="s">
        <v>184</v>
      </c>
      <c r="C6890">
        <v>0</v>
      </c>
      <c r="D6890">
        <v>0</v>
      </c>
      <c r="E6890">
        <v>0</v>
      </c>
      <c r="F6890">
        <v>0</v>
      </c>
      <c r="G6890">
        <v>0</v>
      </c>
      <c r="H6890">
        <v>0</v>
      </c>
      <c r="I6890">
        <v>0</v>
      </c>
      <c r="J6890">
        <v>4340.9994506917401</v>
      </c>
      <c r="K6890">
        <v>3475.85185660973</v>
      </c>
      <c r="L6890">
        <v>70.733999999999995</v>
      </c>
      <c r="M6890">
        <v>64.251000000000005</v>
      </c>
      <c r="N6890">
        <v>58.158999999999999</v>
      </c>
    </row>
    <row r="6891" spans="1:14" x14ac:dyDescent="0.45">
      <c r="A6891">
        <v>2012</v>
      </c>
      <c r="B6891" t="s">
        <v>185</v>
      </c>
      <c r="C6891">
        <v>1</v>
      </c>
      <c r="D6891">
        <v>0</v>
      </c>
      <c r="E6891">
        <v>0</v>
      </c>
      <c r="F6891">
        <v>0</v>
      </c>
      <c r="G6891">
        <v>1</v>
      </c>
      <c r="H6891">
        <v>0</v>
      </c>
      <c r="I6891">
        <v>0</v>
      </c>
      <c r="J6891">
        <v>19499.9445614424</v>
      </c>
      <c r="K6891">
        <v>16476.262738402202</v>
      </c>
      <c r="L6891">
        <v>35.195999999999998</v>
      </c>
      <c r="M6891">
        <v>76.236999999999995</v>
      </c>
      <c r="N6891">
        <v>6.5369999999999999</v>
      </c>
    </row>
    <row r="6892" spans="1:14" x14ac:dyDescent="0.45">
      <c r="A6892">
        <v>2012</v>
      </c>
      <c r="B6892" t="s">
        <v>186</v>
      </c>
      <c r="C6892">
        <v>0</v>
      </c>
      <c r="D6892">
        <v>0</v>
      </c>
      <c r="E6892">
        <v>0</v>
      </c>
      <c r="F6892">
        <v>1</v>
      </c>
      <c r="G6892">
        <v>0</v>
      </c>
      <c r="H6892">
        <v>0</v>
      </c>
      <c r="I6892">
        <v>0</v>
      </c>
      <c r="J6892">
        <v>12078.918532006201</v>
      </c>
      <c r="K6892">
        <v>9306.5156456842506</v>
      </c>
      <c r="L6892">
        <v>31.97</v>
      </c>
      <c r="M6892">
        <v>67.611000000000004</v>
      </c>
      <c r="N6892">
        <v>23.305</v>
      </c>
    </row>
    <row r="6893" spans="1:14" x14ac:dyDescent="0.45">
      <c r="A6893">
        <v>2012</v>
      </c>
      <c r="B6893" t="s">
        <v>187</v>
      </c>
      <c r="C6893">
        <v>0</v>
      </c>
      <c r="D6893">
        <v>0</v>
      </c>
      <c r="E6893">
        <v>0</v>
      </c>
      <c r="F6893">
        <v>0</v>
      </c>
      <c r="G6893">
        <v>0</v>
      </c>
      <c r="H6893">
        <v>1</v>
      </c>
      <c r="I6893">
        <v>1</v>
      </c>
      <c r="L6893">
        <v>8.8919999999999995</v>
      </c>
      <c r="M6893">
        <v>77.566000000000003</v>
      </c>
      <c r="N6893">
        <v>7.8879999999999999</v>
      </c>
    </row>
    <row r="6894" spans="1:14" x14ac:dyDescent="0.45">
      <c r="A6894">
        <v>2012</v>
      </c>
      <c r="B6894" t="s">
        <v>188</v>
      </c>
      <c r="C6894">
        <v>0</v>
      </c>
      <c r="D6894">
        <v>0</v>
      </c>
      <c r="E6894">
        <v>1</v>
      </c>
      <c r="F6894">
        <v>0</v>
      </c>
      <c r="G6894">
        <v>0</v>
      </c>
      <c r="H6894">
        <v>0</v>
      </c>
      <c r="I6894">
        <v>0</v>
      </c>
      <c r="J6894">
        <v>1338.5159486610401</v>
      </c>
      <c r="K6894">
        <v>1120.73927734573</v>
      </c>
      <c r="L6894">
        <v>67.153999999999996</v>
      </c>
      <c r="M6894">
        <v>56.46</v>
      </c>
      <c r="N6894">
        <v>95.272999999999996</v>
      </c>
    </row>
    <row r="6895" spans="1:14" x14ac:dyDescent="0.45">
      <c r="A6895">
        <v>2012</v>
      </c>
      <c r="B6895" t="s">
        <v>189</v>
      </c>
      <c r="C6895">
        <v>0</v>
      </c>
      <c r="D6895">
        <v>0</v>
      </c>
      <c r="E6895">
        <v>1</v>
      </c>
      <c r="F6895">
        <v>1</v>
      </c>
      <c r="G6895">
        <v>0</v>
      </c>
      <c r="H6895">
        <v>0</v>
      </c>
      <c r="I6895">
        <v>0</v>
      </c>
      <c r="J6895">
        <v>5716.2519584707698</v>
      </c>
      <c r="K6895">
        <v>5057.2445378966504</v>
      </c>
      <c r="L6895">
        <v>51.6</v>
      </c>
      <c r="M6895">
        <v>65.808000000000007</v>
      </c>
      <c r="N6895">
        <v>53.323999999999998</v>
      </c>
    </row>
    <row r="6896" spans="1:14" x14ac:dyDescent="0.45">
      <c r="A6896">
        <v>2012</v>
      </c>
      <c r="B6896" t="s">
        <v>190</v>
      </c>
      <c r="C6896">
        <v>0</v>
      </c>
      <c r="D6896">
        <v>0</v>
      </c>
      <c r="E6896">
        <v>1</v>
      </c>
      <c r="F6896">
        <v>0</v>
      </c>
      <c r="G6896">
        <v>1</v>
      </c>
      <c r="H6896">
        <v>0</v>
      </c>
      <c r="I6896">
        <v>0</v>
      </c>
      <c r="J6896">
        <v>20183.700066903999</v>
      </c>
      <c r="K6896">
        <v>18944.919083149602</v>
      </c>
      <c r="L6896">
        <v>58.667999999999999</v>
      </c>
      <c r="M6896">
        <v>74.33</v>
      </c>
      <c r="N6896">
        <v>14.462999999999999</v>
      </c>
    </row>
    <row r="6897" spans="1:14" x14ac:dyDescent="0.45">
      <c r="A6897">
        <v>2012</v>
      </c>
      <c r="B6897" t="s">
        <v>191</v>
      </c>
      <c r="C6897">
        <v>0</v>
      </c>
      <c r="D6897">
        <v>0</v>
      </c>
      <c r="E6897">
        <v>1</v>
      </c>
      <c r="F6897">
        <v>0</v>
      </c>
      <c r="G6897">
        <v>0</v>
      </c>
      <c r="H6897">
        <v>0</v>
      </c>
      <c r="I6897">
        <v>0</v>
      </c>
      <c r="J6897">
        <v>1518.14803849238</v>
      </c>
      <c r="K6897">
        <v>1299.0206285209099</v>
      </c>
      <c r="L6897">
        <v>84.188000000000002</v>
      </c>
      <c r="M6897">
        <v>59.87</v>
      </c>
      <c r="N6897">
        <v>70.301000000000002</v>
      </c>
    </row>
    <row r="6898" spans="1:14" x14ac:dyDescent="0.45">
      <c r="A6898">
        <v>2012</v>
      </c>
      <c r="B6898" t="s">
        <v>192</v>
      </c>
      <c r="C6898">
        <v>0</v>
      </c>
      <c r="D6898">
        <v>0</v>
      </c>
      <c r="E6898">
        <v>0</v>
      </c>
      <c r="F6898">
        <v>0</v>
      </c>
      <c r="G6898">
        <v>1</v>
      </c>
      <c r="H6898">
        <v>0</v>
      </c>
      <c r="I6898">
        <v>0</v>
      </c>
      <c r="J6898">
        <v>25006.358778153699</v>
      </c>
      <c r="K6898">
        <v>22352.7342140818</v>
      </c>
      <c r="L6898">
        <v>27.725000000000001</v>
      </c>
      <c r="M6898">
        <v>75.552000000000007</v>
      </c>
      <c r="N6898">
        <v>8.109</v>
      </c>
    </row>
    <row r="6899" spans="1:14" x14ac:dyDescent="0.45">
      <c r="A6899">
        <v>2012</v>
      </c>
      <c r="B6899" t="s">
        <v>193</v>
      </c>
      <c r="C6899">
        <v>0</v>
      </c>
      <c r="D6899">
        <v>0</v>
      </c>
      <c r="E6899">
        <v>1</v>
      </c>
      <c r="F6899">
        <v>0</v>
      </c>
      <c r="G6899">
        <v>1</v>
      </c>
      <c r="H6899">
        <v>0</v>
      </c>
      <c r="I6899">
        <v>0</v>
      </c>
      <c r="J6899">
        <v>11266.608948646401</v>
      </c>
      <c r="K6899">
        <v>9764.7677721268301</v>
      </c>
      <c r="L6899">
        <v>56.307000000000002</v>
      </c>
      <c r="M6899">
        <v>57.732999999999997</v>
      </c>
      <c r="N6899">
        <v>48.436999999999998</v>
      </c>
    </row>
    <row r="6900" spans="1:14" x14ac:dyDescent="0.45">
      <c r="A6900">
        <v>2012</v>
      </c>
      <c r="B6900" t="s">
        <v>194</v>
      </c>
      <c r="C6900">
        <v>0</v>
      </c>
      <c r="D6900">
        <v>0</v>
      </c>
      <c r="E6900">
        <v>0</v>
      </c>
      <c r="F6900">
        <v>0</v>
      </c>
      <c r="G6900">
        <v>0</v>
      </c>
      <c r="H6900">
        <v>1</v>
      </c>
      <c r="I6900">
        <v>1</v>
      </c>
      <c r="L6900">
        <v>31.975999999999999</v>
      </c>
      <c r="M6900">
        <v>76.614999999999995</v>
      </c>
      <c r="N6900">
        <v>15.419</v>
      </c>
    </row>
    <row r="6901" spans="1:14" x14ac:dyDescent="0.45">
      <c r="A6901">
        <v>2012</v>
      </c>
      <c r="B6901" t="s">
        <v>195</v>
      </c>
      <c r="C6901">
        <v>0</v>
      </c>
      <c r="D6901">
        <v>0</v>
      </c>
      <c r="E6901">
        <v>1</v>
      </c>
      <c r="F6901">
        <v>0</v>
      </c>
      <c r="G6901">
        <v>0</v>
      </c>
      <c r="H6901">
        <v>0</v>
      </c>
      <c r="I6901">
        <v>0</v>
      </c>
      <c r="J6901">
        <v>1403.18971067857</v>
      </c>
      <c r="K6901">
        <v>1115.30034221507</v>
      </c>
      <c r="L6901">
        <v>83.787999999999997</v>
      </c>
      <c r="M6901">
        <v>57.987000000000002</v>
      </c>
      <c r="N6901">
        <v>132.82499999999999</v>
      </c>
    </row>
    <row r="6902" spans="1:14" x14ac:dyDescent="0.45">
      <c r="A6902">
        <v>2012</v>
      </c>
      <c r="B6902" t="s">
        <v>196</v>
      </c>
      <c r="C6902">
        <v>0</v>
      </c>
      <c r="D6902">
        <v>0</v>
      </c>
      <c r="E6902">
        <v>1</v>
      </c>
      <c r="F6902">
        <v>1</v>
      </c>
      <c r="G6902">
        <v>0</v>
      </c>
      <c r="H6902">
        <v>0</v>
      </c>
      <c r="I6902">
        <v>0</v>
      </c>
      <c r="J6902">
        <v>5563.6416756067101</v>
      </c>
      <c r="K6902">
        <v>4919.0090976785204</v>
      </c>
      <c r="L6902">
        <v>54.753999999999998</v>
      </c>
      <c r="M6902">
        <v>51.688000000000002</v>
      </c>
      <c r="N6902">
        <v>131.55500000000001</v>
      </c>
    </row>
    <row r="6903" spans="1:14" x14ac:dyDescent="0.45">
      <c r="A6903">
        <v>2012</v>
      </c>
      <c r="B6903" t="s">
        <v>197</v>
      </c>
      <c r="C6903">
        <v>0</v>
      </c>
      <c r="D6903">
        <v>1</v>
      </c>
      <c r="E6903">
        <v>0</v>
      </c>
      <c r="F6903">
        <v>1</v>
      </c>
      <c r="G6903">
        <v>0</v>
      </c>
      <c r="H6903">
        <v>0</v>
      </c>
      <c r="I6903">
        <v>0</v>
      </c>
      <c r="J6903">
        <v>6275.7876907773998</v>
      </c>
      <c r="K6903">
        <v>5285.8772702543201</v>
      </c>
      <c r="L6903">
        <v>42.691000000000003</v>
      </c>
      <c r="M6903">
        <v>72.435000000000002</v>
      </c>
      <c r="N6903">
        <v>21.777999999999999</v>
      </c>
    </row>
    <row r="6904" spans="1:14" x14ac:dyDescent="0.45">
      <c r="A6904">
        <v>2012</v>
      </c>
      <c r="B6904" t="s">
        <v>198</v>
      </c>
      <c r="C6904">
        <v>1</v>
      </c>
      <c r="D6904">
        <v>0</v>
      </c>
      <c r="E6904">
        <v>0</v>
      </c>
      <c r="F6904">
        <v>0</v>
      </c>
      <c r="G6904">
        <v>0</v>
      </c>
      <c r="H6904">
        <v>1</v>
      </c>
      <c r="I6904">
        <v>1</v>
      </c>
      <c r="J6904">
        <v>61480.812601496102</v>
      </c>
      <c r="K6904">
        <v>51898.599127581903</v>
      </c>
      <c r="L6904">
        <v>11.412000000000001</v>
      </c>
      <c r="M6904">
        <v>81.058999999999997</v>
      </c>
      <c r="N6904">
        <v>4.3319999999999999</v>
      </c>
    </row>
    <row r="6905" spans="1:14" x14ac:dyDescent="0.45">
      <c r="A6905">
        <v>2012</v>
      </c>
      <c r="B6905" t="s">
        <v>199</v>
      </c>
      <c r="C6905">
        <v>1</v>
      </c>
      <c r="D6905">
        <v>0</v>
      </c>
      <c r="E6905">
        <v>0</v>
      </c>
      <c r="F6905">
        <v>0</v>
      </c>
      <c r="G6905">
        <v>0</v>
      </c>
      <c r="H6905">
        <v>1</v>
      </c>
      <c r="I6905">
        <v>1</v>
      </c>
      <c r="J6905">
        <v>84237.149566381602</v>
      </c>
      <c r="K6905">
        <v>62241.785888194303</v>
      </c>
      <c r="L6905">
        <v>20.126000000000001</v>
      </c>
      <c r="M6905">
        <v>81.445999999999998</v>
      </c>
      <c r="N6905">
        <v>3.0190000000000001</v>
      </c>
    </row>
    <row r="6906" spans="1:14" x14ac:dyDescent="0.45">
      <c r="A6906">
        <v>2012</v>
      </c>
      <c r="B6906" t="s">
        <v>200</v>
      </c>
      <c r="C6906">
        <v>0</v>
      </c>
      <c r="D6906">
        <v>0</v>
      </c>
      <c r="E6906">
        <v>0</v>
      </c>
      <c r="F6906">
        <v>0</v>
      </c>
      <c r="G6906">
        <v>0</v>
      </c>
      <c r="H6906">
        <v>0</v>
      </c>
      <c r="I6906">
        <v>0</v>
      </c>
      <c r="J6906">
        <v>3316.5007345202098</v>
      </c>
      <c r="K6906">
        <v>2936.1210593322799</v>
      </c>
      <c r="L6906">
        <v>82.542000000000002</v>
      </c>
      <c r="M6906">
        <v>67.364000000000004</v>
      </c>
      <c r="N6906">
        <v>43.911000000000001</v>
      </c>
    </row>
    <row r="6907" spans="1:14" x14ac:dyDescent="0.45">
      <c r="A6907">
        <v>2012</v>
      </c>
      <c r="B6907" t="s">
        <v>201</v>
      </c>
      <c r="C6907">
        <v>0</v>
      </c>
      <c r="D6907">
        <v>0</v>
      </c>
      <c r="E6907">
        <v>0</v>
      </c>
      <c r="F6907">
        <v>0</v>
      </c>
      <c r="G6907">
        <v>0</v>
      </c>
      <c r="H6907">
        <v>1</v>
      </c>
      <c r="I6907">
        <v>1</v>
      </c>
      <c r="J6907">
        <v>9766.4648302647602</v>
      </c>
      <c r="K6907">
        <v>8835.9206456394695</v>
      </c>
      <c r="L6907">
        <v>0</v>
      </c>
      <c r="M6907">
        <v>60.533000000000001</v>
      </c>
      <c r="N6907">
        <v>35.590000000000003</v>
      </c>
    </row>
    <row r="6908" spans="1:14" x14ac:dyDescent="0.45">
      <c r="A6908">
        <v>2012</v>
      </c>
      <c r="B6908" t="s">
        <v>202</v>
      </c>
      <c r="C6908">
        <v>0</v>
      </c>
      <c r="D6908">
        <v>0</v>
      </c>
      <c r="E6908">
        <v>0</v>
      </c>
      <c r="F6908">
        <v>0</v>
      </c>
      <c r="G6908">
        <v>0</v>
      </c>
      <c r="H6908">
        <v>1</v>
      </c>
      <c r="I6908">
        <v>1</v>
      </c>
      <c r="J6908">
        <v>42570.333282334301</v>
      </c>
      <c r="K6908">
        <v>38719.931779312297</v>
      </c>
      <c r="L6908">
        <v>13.839</v>
      </c>
      <c r="M6908">
        <v>81.167000000000002</v>
      </c>
      <c r="N6908">
        <v>5.1520000000000001</v>
      </c>
    </row>
    <row r="6909" spans="1:14" x14ac:dyDescent="0.45">
      <c r="A6909">
        <v>2012</v>
      </c>
      <c r="B6909" t="s">
        <v>203</v>
      </c>
      <c r="C6909">
        <v>0</v>
      </c>
      <c r="D6909">
        <v>0</v>
      </c>
      <c r="E6909">
        <v>0</v>
      </c>
      <c r="F6909">
        <v>0</v>
      </c>
      <c r="G6909">
        <v>0</v>
      </c>
      <c r="H6909">
        <v>1</v>
      </c>
      <c r="I6909">
        <v>1</v>
      </c>
      <c r="J6909">
        <v>41964.082857855203</v>
      </c>
      <c r="K6909">
        <v>36463.455481723598</v>
      </c>
      <c r="L6909">
        <v>22.436</v>
      </c>
      <c r="M6909">
        <v>78.186999999999998</v>
      </c>
      <c r="N6909">
        <v>11.545</v>
      </c>
    </row>
    <row r="6910" spans="1:14" x14ac:dyDescent="0.45">
      <c r="A6910">
        <v>2012</v>
      </c>
      <c r="B6910" t="s">
        <v>204</v>
      </c>
      <c r="C6910">
        <v>0</v>
      </c>
      <c r="D6910">
        <v>0</v>
      </c>
      <c r="E6910">
        <v>0</v>
      </c>
      <c r="F6910">
        <v>1</v>
      </c>
      <c r="G6910">
        <v>0</v>
      </c>
      <c r="H6910">
        <v>0</v>
      </c>
      <c r="I6910">
        <v>0</v>
      </c>
      <c r="J6910">
        <v>4292.0211029348602</v>
      </c>
      <c r="K6910">
        <v>4085.5696522267499</v>
      </c>
      <c r="L6910">
        <v>64.591999999999999</v>
      </c>
      <c r="M6910">
        <v>64.882999999999996</v>
      </c>
      <c r="N6910">
        <v>82.820999999999998</v>
      </c>
    </row>
    <row r="6911" spans="1:14" x14ac:dyDescent="0.45">
      <c r="A6911">
        <v>2012</v>
      </c>
      <c r="B6911" t="s">
        <v>205</v>
      </c>
      <c r="C6911">
        <v>0</v>
      </c>
      <c r="D6911">
        <v>1</v>
      </c>
      <c r="E6911">
        <v>0</v>
      </c>
      <c r="F6911">
        <v>0</v>
      </c>
      <c r="G6911">
        <v>1</v>
      </c>
      <c r="H6911">
        <v>0</v>
      </c>
      <c r="I6911">
        <v>0</v>
      </c>
      <c r="J6911">
        <v>26926.885275307101</v>
      </c>
      <c r="K6911">
        <v>28234.9403596374</v>
      </c>
      <c r="L6911">
        <v>34.259</v>
      </c>
      <c r="M6911">
        <v>76.876999999999995</v>
      </c>
      <c r="N6911">
        <v>17.893000000000001</v>
      </c>
    </row>
    <row r="6912" spans="1:14" x14ac:dyDescent="0.45">
      <c r="A6912">
        <v>2012</v>
      </c>
      <c r="B6912" t="s">
        <v>206</v>
      </c>
      <c r="C6912">
        <v>0</v>
      </c>
      <c r="D6912">
        <v>1</v>
      </c>
      <c r="E6912">
        <v>0</v>
      </c>
      <c r="F6912">
        <v>0</v>
      </c>
      <c r="G6912">
        <v>1</v>
      </c>
      <c r="H6912">
        <v>0</v>
      </c>
      <c r="I6912">
        <v>0</v>
      </c>
      <c r="J6912">
        <v>13395.3993805891</v>
      </c>
      <c r="K6912">
        <v>11192.9843910279</v>
      </c>
      <c r="L6912">
        <v>23.196000000000002</v>
      </c>
      <c r="M6912">
        <v>73.978999999999999</v>
      </c>
      <c r="N6912">
        <v>18.931000000000001</v>
      </c>
    </row>
    <row r="6913" spans="1:14" x14ac:dyDescent="0.45">
      <c r="A6913">
        <v>2012</v>
      </c>
      <c r="B6913" t="s">
        <v>207</v>
      </c>
      <c r="C6913">
        <v>0</v>
      </c>
      <c r="D6913">
        <v>0</v>
      </c>
      <c r="E6913">
        <v>0</v>
      </c>
      <c r="F6913">
        <v>1</v>
      </c>
      <c r="G6913">
        <v>0</v>
      </c>
      <c r="H6913">
        <v>0</v>
      </c>
      <c r="I6913">
        <v>0</v>
      </c>
      <c r="J6913">
        <v>6697.5562096276799</v>
      </c>
      <c r="K6913">
        <v>6065.3107465483999</v>
      </c>
      <c r="L6913">
        <v>54.287999999999997</v>
      </c>
      <c r="M6913">
        <v>69.236999999999995</v>
      </c>
      <c r="N6913">
        <v>29.193999999999999</v>
      </c>
    </row>
    <row r="6914" spans="1:14" x14ac:dyDescent="0.45">
      <c r="A6914">
        <v>2012</v>
      </c>
      <c r="B6914" t="s">
        <v>208</v>
      </c>
      <c r="C6914">
        <v>0</v>
      </c>
      <c r="D6914">
        <v>0</v>
      </c>
      <c r="E6914">
        <v>0</v>
      </c>
      <c r="F6914">
        <v>0</v>
      </c>
      <c r="G6914">
        <v>1</v>
      </c>
      <c r="H6914">
        <v>0</v>
      </c>
      <c r="I6914">
        <v>0</v>
      </c>
      <c r="J6914">
        <v>18219.697987513198</v>
      </c>
      <c r="K6914">
        <v>16483.733715633502</v>
      </c>
      <c r="L6914">
        <v>23.806000000000001</v>
      </c>
      <c r="M6914">
        <v>68.863</v>
      </c>
      <c r="N6914">
        <v>20.038</v>
      </c>
    </row>
    <row r="6915" spans="1:14" x14ac:dyDescent="0.45">
      <c r="A6915">
        <v>2012</v>
      </c>
      <c r="B6915" t="s">
        <v>209</v>
      </c>
      <c r="C6915">
        <v>0</v>
      </c>
      <c r="D6915">
        <v>0</v>
      </c>
      <c r="E6915">
        <v>0</v>
      </c>
      <c r="F6915">
        <v>1</v>
      </c>
      <c r="G6915">
        <v>0</v>
      </c>
      <c r="H6915">
        <v>0</v>
      </c>
      <c r="I6915">
        <v>0</v>
      </c>
      <c r="J6915">
        <v>3577.4517726759</v>
      </c>
      <c r="K6915">
        <v>3236.1676884984099</v>
      </c>
      <c r="L6915">
        <v>87.018000000000001</v>
      </c>
      <c r="M6915">
        <v>63.639000000000003</v>
      </c>
      <c r="N6915">
        <v>55.718000000000004</v>
      </c>
    </row>
    <row r="6916" spans="1:14" x14ac:dyDescent="0.45">
      <c r="A6916">
        <v>2012</v>
      </c>
      <c r="B6916" t="s">
        <v>210</v>
      </c>
      <c r="C6916">
        <v>1</v>
      </c>
      <c r="D6916">
        <v>0</v>
      </c>
      <c r="E6916">
        <v>0</v>
      </c>
      <c r="F6916">
        <v>0</v>
      </c>
      <c r="G6916">
        <v>0</v>
      </c>
      <c r="H6916">
        <v>1</v>
      </c>
      <c r="I6916">
        <v>1</v>
      </c>
      <c r="J6916">
        <v>28952.915730530101</v>
      </c>
      <c r="K6916">
        <v>24991.319063003601</v>
      </c>
      <c r="L6916">
        <v>39.345999999999997</v>
      </c>
      <c r="M6916">
        <v>76.775000000000006</v>
      </c>
      <c r="N6916">
        <v>5.3520000000000003</v>
      </c>
    </row>
    <row r="6917" spans="1:14" x14ac:dyDescent="0.45">
      <c r="A6917">
        <v>2012</v>
      </c>
      <c r="B6917" t="s">
        <v>211</v>
      </c>
      <c r="C6917">
        <v>0</v>
      </c>
      <c r="D6917">
        <v>1</v>
      </c>
      <c r="E6917">
        <v>0</v>
      </c>
      <c r="F6917">
        <v>0</v>
      </c>
      <c r="G6917">
        <v>0</v>
      </c>
      <c r="H6917">
        <v>1</v>
      </c>
      <c r="I6917">
        <v>1</v>
      </c>
      <c r="J6917">
        <v>41347.454201358603</v>
      </c>
      <c r="K6917">
        <v>31764.798468937101</v>
      </c>
      <c r="L6917">
        <v>6.274</v>
      </c>
      <c r="M6917">
        <v>79.257999999999996</v>
      </c>
      <c r="N6917">
        <v>9.7219999999999995</v>
      </c>
    </row>
    <row r="6918" spans="1:14" x14ac:dyDescent="0.45">
      <c r="A6918">
        <v>2012</v>
      </c>
      <c r="B6918" t="s">
        <v>212</v>
      </c>
      <c r="C6918">
        <v>0</v>
      </c>
      <c r="D6918">
        <v>0</v>
      </c>
      <c r="E6918">
        <v>0</v>
      </c>
      <c r="F6918">
        <v>0</v>
      </c>
      <c r="G6918">
        <v>0</v>
      </c>
      <c r="H6918">
        <v>0</v>
      </c>
      <c r="I6918">
        <v>0</v>
      </c>
      <c r="L6918">
        <v>39.262</v>
      </c>
      <c r="M6918">
        <v>71.316999999999993</v>
      </c>
      <c r="N6918">
        <v>25.789000000000001</v>
      </c>
    </row>
    <row r="6919" spans="1:14" x14ac:dyDescent="0.45">
      <c r="A6919">
        <v>2012</v>
      </c>
      <c r="B6919" t="s">
        <v>213</v>
      </c>
      <c r="C6919">
        <v>1</v>
      </c>
      <c r="D6919">
        <v>0</v>
      </c>
      <c r="E6919">
        <v>0</v>
      </c>
      <c r="F6919">
        <v>0</v>
      </c>
      <c r="G6919">
        <v>0</v>
      </c>
      <c r="H6919">
        <v>1</v>
      </c>
      <c r="I6919">
        <v>1</v>
      </c>
      <c r="J6919">
        <v>34804.633185541898</v>
      </c>
      <c r="K6919">
        <v>30084.5365135512</v>
      </c>
      <c r="L6919">
        <v>38.237000000000002</v>
      </c>
      <c r="M6919">
        <v>80.555000000000007</v>
      </c>
      <c r="N6919">
        <v>3.8940000000000001</v>
      </c>
    </row>
    <row r="6920" spans="1:14" x14ac:dyDescent="0.45">
      <c r="A6920">
        <v>2012</v>
      </c>
      <c r="B6920" t="s">
        <v>214</v>
      </c>
      <c r="C6920">
        <v>0</v>
      </c>
      <c r="D6920">
        <v>1</v>
      </c>
      <c r="E6920">
        <v>0</v>
      </c>
      <c r="F6920">
        <v>1</v>
      </c>
      <c r="G6920">
        <v>0</v>
      </c>
      <c r="H6920">
        <v>0</v>
      </c>
      <c r="I6920">
        <v>0</v>
      </c>
      <c r="J6920">
        <v>12834.801591507399</v>
      </c>
      <c r="K6920">
        <v>11709.690497051901</v>
      </c>
      <c r="L6920">
        <v>40.093000000000004</v>
      </c>
      <c r="M6920">
        <v>73.105000000000004</v>
      </c>
      <c r="N6920">
        <v>24.283000000000001</v>
      </c>
    </row>
    <row r="6921" spans="1:14" x14ac:dyDescent="0.45">
      <c r="A6921">
        <v>2012</v>
      </c>
      <c r="B6921" t="s">
        <v>215</v>
      </c>
      <c r="C6921">
        <v>0</v>
      </c>
      <c r="D6921">
        <v>0</v>
      </c>
      <c r="E6921">
        <v>0</v>
      </c>
      <c r="F6921">
        <v>1</v>
      </c>
      <c r="G6921">
        <v>0</v>
      </c>
      <c r="H6921">
        <v>0</v>
      </c>
      <c r="I6921">
        <v>0</v>
      </c>
      <c r="J6921">
        <v>6009.1092582204201</v>
      </c>
      <c r="K6921">
        <v>5123.8765355836804</v>
      </c>
      <c r="L6921">
        <v>25.381</v>
      </c>
      <c r="M6921">
        <v>73.721999999999994</v>
      </c>
      <c r="N6921">
        <v>20.507999999999999</v>
      </c>
    </row>
    <row r="6922" spans="1:14" x14ac:dyDescent="0.45">
      <c r="A6922">
        <v>2012</v>
      </c>
      <c r="B6922" t="s">
        <v>216</v>
      </c>
      <c r="C6922">
        <v>0</v>
      </c>
      <c r="D6922">
        <v>0</v>
      </c>
      <c r="E6922">
        <v>0</v>
      </c>
      <c r="F6922">
        <v>0</v>
      </c>
      <c r="G6922">
        <v>0</v>
      </c>
      <c r="H6922">
        <v>1</v>
      </c>
      <c r="I6922">
        <v>1</v>
      </c>
      <c r="L6922">
        <v>38.540999999999997</v>
      </c>
      <c r="M6922">
        <v>81.694999999999993</v>
      </c>
      <c r="N6922">
        <v>7.9390000000000001</v>
      </c>
    </row>
    <row r="6923" spans="1:14" x14ac:dyDescent="0.45">
      <c r="A6923">
        <v>2012</v>
      </c>
      <c r="B6923" t="s">
        <v>217</v>
      </c>
      <c r="C6923">
        <v>0</v>
      </c>
      <c r="D6923">
        <v>0</v>
      </c>
      <c r="E6923">
        <v>0</v>
      </c>
      <c r="F6923">
        <v>0</v>
      </c>
      <c r="G6923">
        <v>0</v>
      </c>
      <c r="H6923">
        <v>1</v>
      </c>
      <c r="I6923">
        <v>1</v>
      </c>
      <c r="J6923">
        <v>143830.71094002901</v>
      </c>
      <c r="K6923">
        <v>124197.511379138</v>
      </c>
      <c r="L6923">
        <v>1.3029999999999999</v>
      </c>
      <c r="M6923">
        <v>80.498999999999995</v>
      </c>
      <c r="N6923">
        <v>8.6029999999999998</v>
      </c>
    </row>
    <row r="6924" spans="1:14" x14ac:dyDescent="0.45">
      <c r="A6924">
        <v>2012</v>
      </c>
      <c r="B6924" t="s">
        <v>218</v>
      </c>
      <c r="C6924">
        <v>1</v>
      </c>
      <c r="D6924">
        <v>0</v>
      </c>
      <c r="E6924">
        <v>0</v>
      </c>
      <c r="F6924">
        <v>0</v>
      </c>
      <c r="G6924">
        <v>1</v>
      </c>
      <c r="H6924">
        <v>0</v>
      </c>
      <c r="I6924">
        <v>0</v>
      </c>
      <c r="J6924">
        <v>26764.581262609801</v>
      </c>
      <c r="K6924">
        <v>21755.216918495</v>
      </c>
      <c r="L6924">
        <v>46.026000000000003</v>
      </c>
      <c r="M6924">
        <v>74.313999999999993</v>
      </c>
      <c r="N6924">
        <v>11.403</v>
      </c>
    </row>
    <row r="6925" spans="1:14" x14ac:dyDescent="0.45">
      <c r="A6925">
        <v>2012</v>
      </c>
      <c r="B6925" t="s">
        <v>219</v>
      </c>
      <c r="C6925">
        <v>1</v>
      </c>
      <c r="D6925">
        <v>0</v>
      </c>
      <c r="E6925">
        <v>0</v>
      </c>
      <c r="F6925">
        <v>0</v>
      </c>
      <c r="G6925">
        <v>0</v>
      </c>
      <c r="H6925">
        <v>1</v>
      </c>
      <c r="I6925">
        <v>1</v>
      </c>
      <c r="J6925">
        <v>35740.69921875</v>
      </c>
      <c r="K6925">
        <v>25901.326267001201</v>
      </c>
      <c r="L6925">
        <v>26.209</v>
      </c>
      <c r="M6925">
        <v>70.117000000000004</v>
      </c>
      <c r="N6925">
        <v>10.79</v>
      </c>
    </row>
    <row r="6926" spans="1:14" x14ac:dyDescent="0.45">
      <c r="A6926">
        <v>2012</v>
      </c>
      <c r="B6926" t="s">
        <v>220</v>
      </c>
      <c r="C6926">
        <v>0</v>
      </c>
      <c r="D6926">
        <v>0</v>
      </c>
      <c r="E6926">
        <v>1</v>
      </c>
      <c r="F6926">
        <v>0</v>
      </c>
      <c r="G6926">
        <v>0</v>
      </c>
      <c r="H6926">
        <v>0</v>
      </c>
      <c r="I6926">
        <v>0</v>
      </c>
      <c r="J6926">
        <v>1988.01219478847</v>
      </c>
      <c r="K6926">
        <v>1663.67567313071</v>
      </c>
      <c r="L6926">
        <v>83.057000000000002</v>
      </c>
      <c r="M6926">
        <v>64.188999999999993</v>
      </c>
      <c r="N6926">
        <v>56.023000000000003</v>
      </c>
    </row>
    <row r="6927" spans="1:14" x14ac:dyDescent="0.45">
      <c r="A6927">
        <v>2012</v>
      </c>
      <c r="B6927" t="s">
        <v>221</v>
      </c>
      <c r="C6927">
        <v>0</v>
      </c>
      <c r="D6927">
        <v>0</v>
      </c>
      <c r="E6927">
        <v>0</v>
      </c>
      <c r="F6927">
        <v>0</v>
      </c>
      <c r="G6927">
        <v>0</v>
      </c>
      <c r="H6927">
        <v>1</v>
      </c>
      <c r="I6927">
        <v>1</v>
      </c>
      <c r="J6927">
        <v>59471.682017769002</v>
      </c>
      <c r="K6927">
        <v>54522.3321181965</v>
      </c>
      <c r="L6927">
        <v>17.48</v>
      </c>
      <c r="M6927">
        <v>76.09</v>
      </c>
      <c r="N6927">
        <v>10.856</v>
      </c>
    </row>
    <row r="6928" spans="1:14" x14ac:dyDescent="0.45">
      <c r="A6928">
        <v>2012</v>
      </c>
      <c r="B6928" t="s">
        <v>222</v>
      </c>
      <c r="C6928">
        <v>0</v>
      </c>
      <c r="D6928">
        <v>0</v>
      </c>
      <c r="E6928">
        <v>1</v>
      </c>
      <c r="F6928">
        <v>1</v>
      </c>
      <c r="G6928">
        <v>0</v>
      </c>
      <c r="H6928">
        <v>0</v>
      </c>
      <c r="I6928">
        <v>0</v>
      </c>
      <c r="J6928">
        <v>4145.931640625</v>
      </c>
      <c r="K6928">
        <v>4341.3371693762801</v>
      </c>
      <c r="L6928">
        <v>66.653999999999996</v>
      </c>
      <c r="M6928">
        <v>63.427</v>
      </c>
      <c r="N6928">
        <v>70.653000000000006</v>
      </c>
    </row>
    <row r="6929" spans="1:14" x14ac:dyDescent="0.45">
      <c r="A6929">
        <v>2012</v>
      </c>
      <c r="B6929" t="s">
        <v>223</v>
      </c>
      <c r="C6929">
        <v>0</v>
      </c>
      <c r="D6929">
        <v>0</v>
      </c>
      <c r="E6929">
        <v>1</v>
      </c>
      <c r="F6929">
        <v>1</v>
      </c>
      <c r="G6929">
        <v>0</v>
      </c>
      <c r="H6929">
        <v>0</v>
      </c>
      <c r="I6929">
        <v>0</v>
      </c>
      <c r="J6929">
        <v>3405.10864460824</v>
      </c>
      <c r="K6929">
        <v>2844.7605912732502</v>
      </c>
      <c r="L6929">
        <v>55.396999999999998</v>
      </c>
      <c r="M6929">
        <v>65.228999999999999</v>
      </c>
      <c r="N6929">
        <v>59.798000000000002</v>
      </c>
    </row>
    <row r="6930" spans="1:14" x14ac:dyDescent="0.45">
      <c r="A6930">
        <v>2012</v>
      </c>
      <c r="B6930" t="s">
        <v>224</v>
      </c>
      <c r="C6930">
        <v>0</v>
      </c>
      <c r="D6930">
        <v>0</v>
      </c>
      <c r="E6930">
        <v>0</v>
      </c>
      <c r="F6930">
        <v>0</v>
      </c>
      <c r="G6930">
        <v>0</v>
      </c>
      <c r="H6930">
        <v>1</v>
      </c>
      <c r="I6930">
        <v>1</v>
      </c>
      <c r="J6930">
        <v>101187.82533345401</v>
      </c>
      <c r="K6930">
        <v>83180.168061991993</v>
      </c>
      <c r="L6930">
        <v>0</v>
      </c>
      <c r="M6930">
        <v>82.209000000000003</v>
      </c>
      <c r="N6930">
        <v>2.7629999999999999</v>
      </c>
    </row>
    <row r="6931" spans="1:14" x14ac:dyDescent="0.45">
      <c r="A6931">
        <v>2012</v>
      </c>
      <c r="B6931" t="s">
        <v>225</v>
      </c>
      <c r="C6931">
        <v>0</v>
      </c>
      <c r="D6931">
        <v>0</v>
      </c>
      <c r="E6931">
        <v>0</v>
      </c>
      <c r="F6931">
        <v>1</v>
      </c>
      <c r="G6931">
        <v>0</v>
      </c>
      <c r="H6931">
        <v>0</v>
      </c>
      <c r="I6931">
        <v>0</v>
      </c>
      <c r="J6931">
        <v>2743.45333110509</v>
      </c>
      <c r="K6931">
        <v>2481.6537001485499</v>
      </c>
      <c r="L6931">
        <v>79.03</v>
      </c>
      <c r="M6931">
        <v>68.960999999999999</v>
      </c>
      <c r="N6931">
        <v>24.988</v>
      </c>
    </row>
    <row r="6932" spans="1:14" x14ac:dyDescent="0.45">
      <c r="A6932">
        <v>2012</v>
      </c>
      <c r="B6932" t="s">
        <v>226</v>
      </c>
      <c r="C6932">
        <v>0</v>
      </c>
      <c r="D6932">
        <v>0</v>
      </c>
      <c r="E6932">
        <v>1</v>
      </c>
      <c r="F6932">
        <v>0</v>
      </c>
      <c r="G6932">
        <v>0</v>
      </c>
      <c r="H6932">
        <v>0</v>
      </c>
      <c r="I6932">
        <v>0</v>
      </c>
      <c r="J6932">
        <v>2795.4388911114202</v>
      </c>
      <c r="K6932">
        <v>2537.33764126286</v>
      </c>
      <c r="L6932">
        <v>60.357999999999997</v>
      </c>
      <c r="M6932">
        <v>53.158999999999999</v>
      </c>
      <c r="N6932">
        <v>148.351</v>
      </c>
    </row>
    <row r="6933" spans="1:14" x14ac:dyDescent="0.45">
      <c r="A6933">
        <v>2012</v>
      </c>
      <c r="B6933" t="s">
        <v>227</v>
      </c>
      <c r="C6933">
        <v>0</v>
      </c>
      <c r="D6933">
        <v>1</v>
      </c>
      <c r="E6933">
        <v>0</v>
      </c>
      <c r="F6933">
        <v>1</v>
      </c>
      <c r="G6933">
        <v>0</v>
      </c>
      <c r="H6933">
        <v>0</v>
      </c>
      <c r="I6933">
        <v>0</v>
      </c>
      <c r="J6933">
        <v>9165.4203480447795</v>
      </c>
      <c r="K6933">
        <v>8164.1017988680196</v>
      </c>
      <c r="L6933">
        <v>32.813000000000002</v>
      </c>
      <c r="M6933">
        <v>71.42</v>
      </c>
      <c r="N6933">
        <v>17.561</v>
      </c>
    </row>
    <row r="6934" spans="1:14" x14ac:dyDescent="0.45">
      <c r="A6934">
        <v>2012</v>
      </c>
      <c r="B6934" t="s">
        <v>228</v>
      </c>
      <c r="C6934">
        <v>1</v>
      </c>
      <c r="D6934">
        <v>0</v>
      </c>
      <c r="E6934">
        <v>0</v>
      </c>
      <c r="F6934">
        <v>0</v>
      </c>
      <c r="G6934">
        <v>0</v>
      </c>
      <c r="H6934">
        <v>1</v>
      </c>
      <c r="I6934">
        <v>1</v>
      </c>
      <c r="J6934">
        <v>58176.377797396402</v>
      </c>
      <c r="K6934">
        <v>51275.166094371198</v>
      </c>
      <c r="L6934">
        <v>3.82899999999999</v>
      </c>
      <c r="M6934">
        <v>83.942999999999998</v>
      </c>
      <c r="N6934">
        <v>2.359</v>
      </c>
    </row>
    <row r="6935" spans="1:14" x14ac:dyDescent="0.45">
      <c r="A6935">
        <v>2012</v>
      </c>
      <c r="B6935" t="s">
        <v>229</v>
      </c>
      <c r="C6935">
        <v>0</v>
      </c>
      <c r="D6935">
        <v>0</v>
      </c>
      <c r="E6935">
        <v>1</v>
      </c>
      <c r="F6935">
        <v>0</v>
      </c>
      <c r="G6935">
        <v>0</v>
      </c>
      <c r="H6935">
        <v>0</v>
      </c>
      <c r="I6935">
        <v>0</v>
      </c>
      <c r="J6935">
        <v>1114.4041510607001</v>
      </c>
      <c r="K6935">
        <v>1033.64805553358</v>
      </c>
      <c r="L6935">
        <v>58.442</v>
      </c>
      <c r="M6935">
        <v>49.137999999999998</v>
      </c>
      <c r="N6935">
        <v>183.96299999999999</v>
      </c>
    </row>
    <row r="6936" spans="1:14" x14ac:dyDescent="0.45">
      <c r="A6936">
        <v>2012</v>
      </c>
      <c r="B6936" t="s">
        <v>230</v>
      </c>
      <c r="C6936">
        <v>1</v>
      </c>
      <c r="D6936">
        <v>0</v>
      </c>
      <c r="E6936">
        <v>0</v>
      </c>
      <c r="F6936">
        <v>0</v>
      </c>
      <c r="G6936">
        <v>1</v>
      </c>
      <c r="H6936">
        <v>0</v>
      </c>
      <c r="I6936">
        <v>0</v>
      </c>
      <c r="J6936">
        <v>17992.8097480545</v>
      </c>
      <c r="K6936">
        <v>15821.5051609889</v>
      </c>
      <c r="L6936">
        <v>44.643999999999998</v>
      </c>
      <c r="M6936">
        <v>75.088999999999999</v>
      </c>
      <c r="N6936">
        <v>7.0629999999999997</v>
      </c>
    </row>
    <row r="6937" spans="1:14" x14ac:dyDescent="0.45">
      <c r="A6937">
        <v>2012</v>
      </c>
      <c r="B6937" t="s">
        <v>231</v>
      </c>
      <c r="C6937">
        <v>0</v>
      </c>
      <c r="D6937">
        <v>0</v>
      </c>
      <c r="E6937">
        <v>1</v>
      </c>
      <c r="F6937">
        <v>0</v>
      </c>
      <c r="G6937">
        <v>0</v>
      </c>
      <c r="H6937">
        <v>0</v>
      </c>
      <c r="I6937">
        <v>0</v>
      </c>
      <c r="L6937">
        <v>81.783000000000001</v>
      </c>
      <c r="M6937">
        <v>58.241</v>
      </c>
      <c r="N6937">
        <v>104.983</v>
      </c>
    </row>
    <row r="6938" spans="1:14" x14ac:dyDescent="0.45">
      <c r="A6938">
        <v>2012</v>
      </c>
      <c r="B6938" t="s">
        <v>232</v>
      </c>
      <c r="C6938">
        <v>0</v>
      </c>
      <c r="D6938">
        <v>0</v>
      </c>
      <c r="E6938">
        <v>1</v>
      </c>
      <c r="F6938">
        <v>1</v>
      </c>
      <c r="G6938">
        <v>0</v>
      </c>
      <c r="H6938">
        <v>0</v>
      </c>
      <c r="I6938">
        <v>0</v>
      </c>
      <c r="J6938">
        <v>4919.5529438657704</v>
      </c>
      <c r="K6938">
        <v>3061.8524251407498</v>
      </c>
      <c r="L6938">
        <v>32.840000000000003</v>
      </c>
      <c r="M6938">
        <v>64.504999999999995</v>
      </c>
      <c r="N6938">
        <v>30.132000000000001</v>
      </c>
    </row>
    <row r="6939" spans="1:14" x14ac:dyDescent="0.45">
      <c r="A6939">
        <v>2012</v>
      </c>
      <c r="B6939" t="s">
        <v>233</v>
      </c>
      <c r="C6939">
        <v>0</v>
      </c>
      <c r="D6939">
        <v>1</v>
      </c>
      <c r="E6939">
        <v>0</v>
      </c>
      <c r="F6939">
        <v>0</v>
      </c>
      <c r="G6939">
        <v>1</v>
      </c>
      <c r="H6939">
        <v>0</v>
      </c>
      <c r="I6939">
        <v>0</v>
      </c>
      <c r="J6939">
        <v>24193.8412373922</v>
      </c>
      <c r="K6939">
        <v>19257.804708646701</v>
      </c>
      <c r="L6939">
        <v>33.792000000000002</v>
      </c>
      <c r="M6939">
        <v>69.956999999999994</v>
      </c>
      <c r="N6939">
        <v>22.029</v>
      </c>
    </row>
    <row r="6940" spans="1:14" x14ac:dyDescent="0.45">
      <c r="A6940">
        <v>2012</v>
      </c>
      <c r="B6940" t="s">
        <v>234</v>
      </c>
      <c r="C6940">
        <v>1</v>
      </c>
      <c r="D6940">
        <v>0</v>
      </c>
      <c r="E6940">
        <v>0</v>
      </c>
      <c r="F6940">
        <v>0</v>
      </c>
      <c r="G6940">
        <v>0</v>
      </c>
      <c r="H6940">
        <v>1</v>
      </c>
      <c r="I6940">
        <v>1</v>
      </c>
      <c r="J6940">
        <v>30894.251280199998</v>
      </c>
      <c r="K6940">
        <v>26608.688309681998</v>
      </c>
      <c r="L6940">
        <v>45.72</v>
      </c>
      <c r="M6940">
        <v>76.176000000000002</v>
      </c>
      <c r="N6940">
        <v>6.7489999999999997</v>
      </c>
    </row>
    <row r="6941" spans="1:14" x14ac:dyDescent="0.45">
      <c r="A6941">
        <v>2012</v>
      </c>
      <c r="B6941" t="s">
        <v>235</v>
      </c>
      <c r="C6941">
        <v>1</v>
      </c>
      <c r="D6941">
        <v>0</v>
      </c>
      <c r="E6941">
        <v>0</v>
      </c>
      <c r="F6941">
        <v>0</v>
      </c>
      <c r="G6941">
        <v>0</v>
      </c>
      <c r="H6941">
        <v>1</v>
      </c>
      <c r="I6941">
        <v>1</v>
      </c>
      <c r="J6941">
        <v>37043.064687237696</v>
      </c>
      <c r="K6941">
        <v>31886.843867922202</v>
      </c>
      <c r="L6941">
        <v>46.892000000000003</v>
      </c>
      <c r="M6941">
        <v>79.765000000000001</v>
      </c>
      <c r="N6941">
        <v>3.1539999999999999</v>
      </c>
    </row>
    <row r="6942" spans="1:14" x14ac:dyDescent="0.45">
      <c r="A6942">
        <v>2012</v>
      </c>
      <c r="B6942" t="s">
        <v>236</v>
      </c>
      <c r="C6942">
        <v>1</v>
      </c>
      <c r="D6942">
        <v>0</v>
      </c>
      <c r="E6942">
        <v>0</v>
      </c>
      <c r="F6942">
        <v>0</v>
      </c>
      <c r="G6942">
        <v>0</v>
      </c>
      <c r="H6942">
        <v>1</v>
      </c>
      <c r="I6942">
        <v>1</v>
      </c>
      <c r="J6942">
        <v>56200.902256560199</v>
      </c>
      <c r="K6942">
        <v>48007.847718654499</v>
      </c>
      <c r="L6942">
        <v>14.38</v>
      </c>
      <c r="M6942">
        <v>81.73</v>
      </c>
      <c r="N6942">
        <v>3.1040000000000001</v>
      </c>
    </row>
    <row r="6943" spans="1:14" x14ac:dyDescent="0.45">
      <c r="A6943">
        <v>2012</v>
      </c>
      <c r="B6943" t="s">
        <v>237</v>
      </c>
      <c r="C6943">
        <v>0</v>
      </c>
      <c r="D6943">
        <v>0</v>
      </c>
      <c r="E6943">
        <v>1</v>
      </c>
      <c r="F6943">
        <v>1</v>
      </c>
      <c r="G6943">
        <v>0</v>
      </c>
      <c r="H6943">
        <v>0</v>
      </c>
      <c r="I6943">
        <v>0</v>
      </c>
      <c r="J6943">
        <v>8752.1147126033302</v>
      </c>
      <c r="K6943">
        <v>7749.9991813899296</v>
      </c>
      <c r="L6943">
        <v>77.150999999999996</v>
      </c>
      <c r="M6943">
        <v>50.713999999999999</v>
      </c>
      <c r="N6943">
        <v>73.992000000000004</v>
      </c>
    </row>
    <row r="6944" spans="1:14" x14ac:dyDescent="0.45">
      <c r="A6944">
        <v>2012</v>
      </c>
      <c r="B6944" t="s">
        <v>238</v>
      </c>
      <c r="C6944">
        <v>0</v>
      </c>
      <c r="D6944">
        <v>1</v>
      </c>
      <c r="E6944">
        <v>0</v>
      </c>
      <c r="F6944">
        <v>0</v>
      </c>
      <c r="G6944">
        <v>0</v>
      </c>
      <c r="H6944">
        <v>1</v>
      </c>
      <c r="I6944">
        <v>1</v>
      </c>
      <c r="J6944">
        <v>53357.003462797002</v>
      </c>
      <c r="K6944">
        <v>51494.176427944898</v>
      </c>
      <c r="L6944">
        <v>0</v>
      </c>
      <c r="M6944">
        <v>75.125</v>
      </c>
      <c r="N6944">
        <v>17.823</v>
      </c>
    </row>
    <row r="6945" spans="1:14" x14ac:dyDescent="0.45">
      <c r="A6945">
        <v>2012</v>
      </c>
      <c r="B6945" t="s">
        <v>239</v>
      </c>
      <c r="C6945">
        <v>0</v>
      </c>
      <c r="D6945">
        <v>0</v>
      </c>
      <c r="E6945">
        <v>1</v>
      </c>
      <c r="F6945">
        <v>0</v>
      </c>
      <c r="G6945">
        <v>1</v>
      </c>
      <c r="H6945">
        <v>0</v>
      </c>
      <c r="I6945">
        <v>0</v>
      </c>
      <c r="J6945">
        <v>24919.955210328</v>
      </c>
      <c r="K6945">
        <v>24193.535524708699</v>
      </c>
      <c r="L6945">
        <v>45.88</v>
      </c>
      <c r="M6945">
        <v>72.491</v>
      </c>
      <c r="N6945">
        <v>14.265000000000001</v>
      </c>
    </row>
    <row r="6946" spans="1:14" x14ac:dyDescent="0.45">
      <c r="A6946">
        <v>2012</v>
      </c>
      <c r="B6946" t="s">
        <v>240</v>
      </c>
      <c r="C6946">
        <v>0</v>
      </c>
      <c r="D6946">
        <v>0</v>
      </c>
      <c r="E6946">
        <v>0</v>
      </c>
      <c r="F6946">
        <v>1</v>
      </c>
      <c r="G6946">
        <v>0</v>
      </c>
      <c r="H6946">
        <v>0</v>
      </c>
      <c r="I6946">
        <v>0</v>
      </c>
      <c r="J6946">
        <v>7144.37244952745</v>
      </c>
      <c r="K6946">
        <v>4686.1898488501502</v>
      </c>
      <c r="L6946">
        <v>46.445</v>
      </c>
      <c r="M6946">
        <v>66.206000000000003</v>
      </c>
      <c r="N6946">
        <v>35.146000000000001</v>
      </c>
    </row>
    <row r="6947" spans="1:14" x14ac:dyDescent="0.45">
      <c r="A6947">
        <v>2012</v>
      </c>
      <c r="B6947" t="s">
        <v>241</v>
      </c>
      <c r="C6947">
        <v>0</v>
      </c>
      <c r="D6947">
        <v>1</v>
      </c>
      <c r="E6947">
        <v>0</v>
      </c>
      <c r="F6947">
        <v>0</v>
      </c>
      <c r="G6947">
        <v>0</v>
      </c>
      <c r="H6947">
        <v>1</v>
      </c>
      <c r="I6947">
        <v>1</v>
      </c>
      <c r="J6947">
        <v>16024.691565225399</v>
      </c>
      <c r="K6947">
        <v>24947.836530127101</v>
      </c>
      <c r="L6947">
        <v>8.91</v>
      </c>
      <c r="M6947">
        <v>76.968999999999994</v>
      </c>
      <c r="N6947">
        <v>7.3280000000000003</v>
      </c>
    </row>
    <row r="6948" spans="1:14" x14ac:dyDescent="0.45">
      <c r="A6948">
        <v>2012</v>
      </c>
      <c r="B6948" t="s">
        <v>242</v>
      </c>
      <c r="C6948">
        <v>0</v>
      </c>
      <c r="D6948">
        <v>0</v>
      </c>
      <c r="E6948">
        <v>1</v>
      </c>
      <c r="F6948">
        <v>0</v>
      </c>
      <c r="G6948">
        <v>0</v>
      </c>
      <c r="H6948">
        <v>0</v>
      </c>
      <c r="I6948">
        <v>0</v>
      </c>
      <c r="J6948">
        <v>2887.7482470141899</v>
      </c>
      <c r="K6948">
        <v>2425.8130022416599</v>
      </c>
      <c r="L6948">
        <v>77.858000000000004</v>
      </c>
      <c r="M6948">
        <v>50.765000000000001</v>
      </c>
      <c r="N6948">
        <v>139.911</v>
      </c>
    </row>
    <row r="6949" spans="1:14" x14ac:dyDescent="0.45">
      <c r="A6949">
        <v>2012</v>
      </c>
      <c r="B6949" t="s">
        <v>243</v>
      </c>
      <c r="C6949">
        <v>0</v>
      </c>
      <c r="D6949">
        <v>0</v>
      </c>
      <c r="E6949">
        <v>1</v>
      </c>
      <c r="F6949">
        <v>0</v>
      </c>
      <c r="G6949">
        <v>0</v>
      </c>
      <c r="H6949">
        <v>0</v>
      </c>
      <c r="I6949">
        <v>0</v>
      </c>
      <c r="J6949">
        <v>2121.42903155248</v>
      </c>
      <c r="K6949">
        <v>1762.98759453146</v>
      </c>
      <c r="L6949">
        <v>61.454000000000001</v>
      </c>
      <c r="M6949">
        <v>57.94</v>
      </c>
      <c r="N6949">
        <v>83.531000000000006</v>
      </c>
    </row>
    <row r="6950" spans="1:14" x14ac:dyDescent="0.45">
      <c r="A6950">
        <v>2012</v>
      </c>
      <c r="B6950" t="s">
        <v>244</v>
      </c>
      <c r="C6950">
        <v>0</v>
      </c>
      <c r="D6950">
        <v>0</v>
      </c>
      <c r="E6950">
        <v>0</v>
      </c>
      <c r="F6950">
        <v>0</v>
      </c>
      <c r="G6950">
        <v>1</v>
      </c>
      <c r="H6950">
        <v>0</v>
      </c>
      <c r="I6950">
        <v>0</v>
      </c>
      <c r="J6950">
        <v>17869.637660745899</v>
      </c>
      <c r="K6950">
        <v>15627.481954077601</v>
      </c>
      <c r="L6950">
        <v>54.555</v>
      </c>
      <c r="M6950">
        <v>75.59</v>
      </c>
      <c r="N6950">
        <v>11.638</v>
      </c>
    </row>
    <row r="6951" spans="1:14" x14ac:dyDescent="0.45">
      <c r="A6951">
        <v>2012</v>
      </c>
      <c r="B6951" t="s">
        <v>245</v>
      </c>
      <c r="C6951">
        <v>1</v>
      </c>
      <c r="D6951">
        <v>0</v>
      </c>
      <c r="E6951">
        <v>0</v>
      </c>
      <c r="F6951">
        <v>0</v>
      </c>
      <c r="G6951">
        <v>0</v>
      </c>
      <c r="H6951">
        <v>0</v>
      </c>
      <c r="I6951">
        <v>0</v>
      </c>
      <c r="J6951">
        <v>2700.09546037358</v>
      </c>
      <c r="K6951">
        <v>2459.0719859301698</v>
      </c>
      <c r="L6951">
        <v>73.454999999999998</v>
      </c>
      <c r="M6951">
        <v>69.13</v>
      </c>
      <c r="N6951">
        <v>40.975000000000001</v>
      </c>
    </row>
    <row r="6952" spans="1:14" x14ac:dyDescent="0.45">
      <c r="A6952">
        <v>2012</v>
      </c>
      <c r="B6952" t="s">
        <v>246</v>
      </c>
      <c r="C6952">
        <v>1</v>
      </c>
      <c r="D6952">
        <v>0</v>
      </c>
      <c r="E6952">
        <v>0</v>
      </c>
      <c r="F6952">
        <v>0</v>
      </c>
      <c r="G6952">
        <v>1</v>
      </c>
      <c r="H6952">
        <v>0</v>
      </c>
      <c r="I6952">
        <v>0</v>
      </c>
      <c r="J6952">
        <v>10794.2335233663</v>
      </c>
      <c r="K6952">
        <v>10159.7368467209</v>
      </c>
      <c r="L6952">
        <v>50.825000000000003</v>
      </c>
      <c r="M6952">
        <v>68.960999999999999</v>
      </c>
      <c r="N6952">
        <v>42.661999999999999</v>
      </c>
    </row>
    <row r="6953" spans="1:14" x14ac:dyDescent="0.45">
      <c r="A6953">
        <v>2012</v>
      </c>
      <c r="B6953" t="s">
        <v>247</v>
      </c>
      <c r="C6953">
        <v>0</v>
      </c>
      <c r="D6953">
        <v>0</v>
      </c>
      <c r="E6953">
        <v>0</v>
      </c>
      <c r="F6953">
        <v>1</v>
      </c>
      <c r="G6953">
        <v>0</v>
      </c>
      <c r="H6953">
        <v>0</v>
      </c>
      <c r="I6953">
        <v>0</v>
      </c>
      <c r="J6953">
        <v>4299.9696443406801</v>
      </c>
      <c r="K6953">
        <v>3469.4848792293001</v>
      </c>
      <c r="L6953">
        <v>71.572000000000003</v>
      </c>
      <c r="M6953">
        <v>64.384</v>
      </c>
      <c r="N6953">
        <v>67.058999999999997</v>
      </c>
    </row>
    <row r="6954" spans="1:14" x14ac:dyDescent="0.45">
      <c r="A6954">
        <v>2012</v>
      </c>
      <c r="B6954" t="s">
        <v>248</v>
      </c>
      <c r="C6954">
        <v>0</v>
      </c>
      <c r="D6954">
        <v>0</v>
      </c>
      <c r="E6954">
        <v>0</v>
      </c>
      <c r="F6954">
        <v>0</v>
      </c>
      <c r="G6954">
        <v>1</v>
      </c>
      <c r="H6954">
        <v>0</v>
      </c>
      <c r="I6954">
        <v>0</v>
      </c>
      <c r="J6954">
        <v>5907.2671160351001</v>
      </c>
      <c r="K6954">
        <v>5347.4429164753701</v>
      </c>
      <c r="L6954">
        <v>76.564999999999998</v>
      </c>
      <c r="M6954">
        <v>71.546000000000006</v>
      </c>
      <c r="N6954">
        <v>12.907</v>
      </c>
    </row>
    <row r="6955" spans="1:14" x14ac:dyDescent="0.45">
      <c r="A6955">
        <v>2012</v>
      </c>
      <c r="B6955" t="s">
        <v>249</v>
      </c>
      <c r="C6955">
        <v>0</v>
      </c>
      <c r="D6955">
        <v>1</v>
      </c>
      <c r="E6955">
        <v>0</v>
      </c>
      <c r="F6955">
        <v>0</v>
      </c>
      <c r="G6955">
        <v>0</v>
      </c>
      <c r="H6955">
        <v>1</v>
      </c>
      <c r="I6955">
        <v>1</v>
      </c>
      <c r="J6955">
        <v>36950.807964294698</v>
      </c>
      <c r="K6955">
        <v>30838.886599061701</v>
      </c>
      <c r="L6955">
        <v>46.329000000000001</v>
      </c>
      <c r="M6955">
        <v>72.513000000000005</v>
      </c>
      <c r="N6955">
        <v>21.018999999999998</v>
      </c>
    </row>
    <row r="6956" spans="1:14" x14ac:dyDescent="0.45">
      <c r="A6956">
        <v>2012</v>
      </c>
      <c r="B6956" t="s">
        <v>250</v>
      </c>
      <c r="C6956">
        <v>0</v>
      </c>
      <c r="D6956">
        <v>0</v>
      </c>
      <c r="E6956">
        <v>0</v>
      </c>
      <c r="F6956">
        <v>0</v>
      </c>
      <c r="G6956">
        <v>1</v>
      </c>
      <c r="H6956">
        <v>0</v>
      </c>
      <c r="I6956">
        <v>0</v>
      </c>
      <c r="J6956">
        <v>12436.3821530724</v>
      </c>
      <c r="K6956">
        <v>10838.099304736001</v>
      </c>
      <c r="L6956">
        <v>32.781999999999996</v>
      </c>
      <c r="M6956">
        <v>74.599000000000004</v>
      </c>
      <c r="N6956">
        <v>18.428000000000001</v>
      </c>
    </row>
    <row r="6957" spans="1:14" x14ac:dyDescent="0.45">
      <c r="A6957">
        <v>2012</v>
      </c>
      <c r="B6957" t="s">
        <v>251</v>
      </c>
      <c r="C6957">
        <v>1</v>
      </c>
      <c r="D6957">
        <v>0</v>
      </c>
      <c r="E6957">
        <v>0</v>
      </c>
      <c r="F6957">
        <v>0</v>
      </c>
      <c r="G6957">
        <v>1</v>
      </c>
      <c r="H6957">
        <v>0</v>
      </c>
      <c r="I6957">
        <v>0</v>
      </c>
      <c r="J6957">
        <v>22181.120777088701</v>
      </c>
      <c r="K6957">
        <v>22240.458835225501</v>
      </c>
      <c r="L6957">
        <v>28.026</v>
      </c>
      <c r="M6957">
        <v>75.552000000000007</v>
      </c>
      <c r="N6957">
        <v>15.914999999999999</v>
      </c>
    </row>
    <row r="6958" spans="1:14" x14ac:dyDescent="0.45">
      <c r="A6958">
        <v>2012</v>
      </c>
      <c r="B6958" t="s">
        <v>252</v>
      </c>
      <c r="C6958">
        <v>0</v>
      </c>
      <c r="D6958">
        <v>0</v>
      </c>
      <c r="E6958">
        <v>0</v>
      </c>
      <c r="F6958">
        <v>0</v>
      </c>
      <c r="G6958">
        <v>1</v>
      </c>
      <c r="H6958">
        <v>0</v>
      </c>
      <c r="I6958">
        <v>0</v>
      </c>
      <c r="J6958">
        <v>3558.1523704125402</v>
      </c>
      <c r="K6958">
        <v>3218.8982543162501</v>
      </c>
      <c r="L6958">
        <v>43.185000000000002</v>
      </c>
      <c r="M6958">
        <v>65.078999999999994</v>
      </c>
      <c r="N6958">
        <v>28.997</v>
      </c>
    </row>
    <row r="6959" spans="1:14" x14ac:dyDescent="0.45">
      <c r="A6959">
        <v>2012</v>
      </c>
      <c r="B6959" t="s">
        <v>253</v>
      </c>
      <c r="C6959">
        <v>0</v>
      </c>
      <c r="D6959">
        <v>0</v>
      </c>
      <c r="E6959">
        <v>0</v>
      </c>
      <c r="F6959">
        <v>0</v>
      </c>
      <c r="G6959">
        <v>0</v>
      </c>
      <c r="H6959">
        <v>1</v>
      </c>
      <c r="I6959">
        <v>1</v>
      </c>
      <c r="L6959">
        <v>48.234999999999999</v>
      </c>
      <c r="M6959">
        <v>79.179000000000002</v>
      </c>
      <c r="N6959">
        <v>5.327</v>
      </c>
    </row>
    <row r="6960" spans="1:14" x14ac:dyDescent="0.45">
      <c r="A6960">
        <v>2012</v>
      </c>
      <c r="B6960" t="s">
        <v>254</v>
      </c>
      <c r="C6960">
        <v>0</v>
      </c>
      <c r="D6960">
        <v>0</v>
      </c>
      <c r="E6960">
        <v>1</v>
      </c>
      <c r="F6960">
        <v>0</v>
      </c>
      <c r="G6960">
        <v>0</v>
      </c>
      <c r="H6960">
        <v>0</v>
      </c>
      <c r="I6960">
        <v>0</v>
      </c>
      <c r="J6960">
        <v>2822.4853515625</v>
      </c>
      <c r="K6960">
        <v>2102.37545364273</v>
      </c>
      <c r="L6960">
        <v>70.507000000000005</v>
      </c>
      <c r="M6960">
        <v>62.286000000000001</v>
      </c>
      <c r="N6960">
        <v>62.475000000000001</v>
      </c>
    </row>
    <row r="6961" spans="1:14" x14ac:dyDescent="0.45">
      <c r="A6961">
        <v>2012</v>
      </c>
      <c r="B6961" t="s">
        <v>255</v>
      </c>
      <c r="C6961">
        <v>0</v>
      </c>
      <c r="D6961">
        <v>0</v>
      </c>
      <c r="E6961">
        <v>1</v>
      </c>
      <c r="F6961">
        <v>0</v>
      </c>
      <c r="G6961">
        <v>0</v>
      </c>
      <c r="H6961">
        <v>0</v>
      </c>
      <c r="I6961">
        <v>0</v>
      </c>
      <c r="J6961">
        <v>2405.0945593276701</v>
      </c>
      <c r="K6961">
        <v>2040.25265883777</v>
      </c>
      <c r="L6961">
        <v>79.575999999999993</v>
      </c>
      <c r="M6961">
        <v>61.579000000000001</v>
      </c>
      <c r="N6961">
        <v>66.841999999999999</v>
      </c>
    </row>
    <row r="6962" spans="1:14" x14ac:dyDescent="0.45">
      <c r="A6962">
        <v>2012</v>
      </c>
      <c r="B6962" t="s">
        <v>256</v>
      </c>
      <c r="C6962">
        <v>1</v>
      </c>
      <c r="D6962">
        <v>0</v>
      </c>
      <c r="E6962">
        <v>0</v>
      </c>
      <c r="F6962">
        <v>1</v>
      </c>
      <c r="G6962">
        <v>0</v>
      </c>
      <c r="H6962">
        <v>0</v>
      </c>
      <c r="I6962">
        <v>0</v>
      </c>
      <c r="J6962">
        <v>17848.740234375</v>
      </c>
      <c r="K6962">
        <v>12624.1557534241</v>
      </c>
      <c r="L6962">
        <v>31.218</v>
      </c>
      <c r="M6962">
        <v>71.09</v>
      </c>
      <c r="N6962">
        <v>10.101000000000001</v>
      </c>
    </row>
    <row r="6963" spans="1:14" x14ac:dyDescent="0.45">
      <c r="A6963">
        <v>2012</v>
      </c>
      <c r="B6963" t="s">
        <v>257</v>
      </c>
      <c r="C6963">
        <v>0</v>
      </c>
      <c r="D6963">
        <v>1</v>
      </c>
      <c r="E6963">
        <v>0</v>
      </c>
      <c r="F6963">
        <v>0</v>
      </c>
      <c r="G6963">
        <v>0</v>
      </c>
      <c r="H6963">
        <v>1</v>
      </c>
      <c r="I6963">
        <v>1</v>
      </c>
      <c r="J6963">
        <v>26953.281106538401</v>
      </c>
      <c r="K6963">
        <v>21378.495675573799</v>
      </c>
      <c r="L6963">
        <v>5.2610000000000001</v>
      </c>
      <c r="M6963">
        <v>76.691000000000003</v>
      </c>
      <c r="N6963">
        <v>10.66</v>
      </c>
    </row>
    <row r="6964" spans="1:14" x14ac:dyDescent="0.45">
      <c r="A6964">
        <v>2012</v>
      </c>
      <c r="B6964" t="s">
        <v>258</v>
      </c>
      <c r="C6964">
        <v>0</v>
      </c>
      <c r="D6964">
        <v>0</v>
      </c>
      <c r="E6964">
        <v>0</v>
      </c>
      <c r="F6964">
        <v>0</v>
      </c>
      <c r="G6964">
        <v>0</v>
      </c>
      <c r="H6964">
        <v>1</v>
      </c>
      <c r="I6964">
        <v>1</v>
      </c>
      <c r="J6964">
        <v>61134.530607991401</v>
      </c>
      <c r="K6964">
        <v>55490.261062450001</v>
      </c>
      <c r="L6964">
        <v>18.881</v>
      </c>
      <c r="M6964">
        <v>78.816999999999993</v>
      </c>
      <c r="N6964">
        <v>7.032</v>
      </c>
    </row>
    <row r="6965" spans="1:14" x14ac:dyDescent="0.45">
      <c r="A6965">
        <v>2012</v>
      </c>
      <c r="B6965" t="s">
        <v>259</v>
      </c>
      <c r="C6965">
        <v>1</v>
      </c>
      <c r="D6965">
        <v>0</v>
      </c>
      <c r="E6965">
        <v>0</v>
      </c>
      <c r="F6965">
        <v>1</v>
      </c>
      <c r="G6965">
        <v>0</v>
      </c>
      <c r="H6965">
        <v>0</v>
      </c>
      <c r="I6965">
        <v>0</v>
      </c>
      <c r="J6965">
        <v>6435.5646722642896</v>
      </c>
      <c r="K6965">
        <v>6252.3892072093304</v>
      </c>
      <c r="L6965">
        <v>48.95</v>
      </c>
      <c r="M6965">
        <v>70.411000000000001</v>
      </c>
      <c r="N6965">
        <v>25.506</v>
      </c>
    </row>
    <row r="6966" spans="1:14" x14ac:dyDescent="0.45">
      <c r="A6966">
        <v>2012</v>
      </c>
      <c r="B6966" t="s">
        <v>260</v>
      </c>
      <c r="C6966">
        <v>0</v>
      </c>
      <c r="D6966">
        <v>1</v>
      </c>
      <c r="E6966">
        <v>0</v>
      </c>
      <c r="F6966">
        <v>0</v>
      </c>
      <c r="G6966">
        <v>1</v>
      </c>
      <c r="H6966">
        <v>0</v>
      </c>
      <c r="I6966">
        <v>0</v>
      </c>
      <c r="J6966">
        <v>13397.9632982701</v>
      </c>
      <c r="K6966">
        <v>11709.299792754</v>
      </c>
      <c r="L6966">
        <v>50.246000000000002</v>
      </c>
      <c r="M6966">
        <v>70.539000000000001</v>
      </c>
      <c r="N6966">
        <v>20.193999999999999</v>
      </c>
    </row>
    <row r="6967" spans="1:14" x14ac:dyDescent="0.45">
      <c r="A6967">
        <v>2012</v>
      </c>
      <c r="B6967" t="s">
        <v>261</v>
      </c>
      <c r="C6967">
        <v>0</v>
      </c>
      <c r="D6967">
        <v>1</v>
      </c>
      <c r="E6967">
        <v>0</v>
      </c>
      <c r="F6967">
        <v>0</v>
      </c>
      <c r="G6967">
        <v>1</v>
      </c>
      <c r="H6967">
        <v>0</v>
      </c>
      <c r="I6967">
        <v>0</v>
      </c>
      <c r="L6967">
        <v>11.877000000000001</v>
      </c>
      <c r="M6967">
        <v>73.085999999999999</v>
      </c>
      <c r="N6967">
        <v>17.704999999999998</v>
      </c>
    </row>
    <row r="6968" spans="1:14" x14ac:dyDescent="0.45">
      <c r="A6968">
        <v>2012</v>
      </c>
      <c r="B6968" t="s">
        <v>262</v>
      </c>
      <c r="C6968">
        <v>0</v>
      </c>
      <c r="D6968">
        <v>1</v>
      </c>
      <c r="E6968">
        <v>0</v>
      </c>
      <c r="F6968">
        <v>0</v>
      </c>
      <c r="G6968">
        <v>0</v>
      </c>
      <c r="H6968">
        <v>1</v>
      </c>
      <c r="I6968">
        <v>1</v>
      </c>
      <c r="L6968">
        <v>54.497999999999998</v>
      </c>
      <c r="M6968">
        <v>76.433000000000007</v>
      </c>
      <c r="N6968">
        <v>15.494999999999999</v>
      </c>
    </row>
    <row r="6969" spans="1:14" x14ac:dyDescent="0.45">
      <c r="A6969">
        <v>2012</v>
      </c>
      <c r="B6969" t="s">
        <v>263</v>
      </c>
      <c r="C6969">
        <v>0</v>
      </c>
      <c r="D6969">
        <v>1</v>
      </c>
      <c r="E6969">
        <v>0</v>
      </c>
      <c r="F6969">
        <v>0</v>
      </c>
      <c r="G6969">
        <v>0</v>
      </c>
      <c r="H6969">
        <v>1</v>
      </c>
      <c r="I6969">
        <v>1</v>
      </c>
      <c r="J6969">
        <v>46422.415123622297</v>
      </c>
      <c r="K6969">
        <v>36356.838547503801</v>
      </c>
      <c r="L6969">
        <v>5.0810000000000004</v>
      </c>
      <c r="M6969">
        <v>73.695999999999998</v>
      </c>
      <c r="N6969">
        <v>8.9339999999999993</v>
      </c>
    </row>
    <row r="6970" spans="1:14" x14ac:dyDescent="0.45">
      <c r="A6970">
        <v>2012</v>
      </c>
      <c r="B6970" t="s">
        <v>264</v>
      </c>
      <c r="C6970">
        <v>0</v>
      </c>
      <c r="D6970">
        <v>0</v>
      </c>
      <c r="E6970">
        <v>0</v>
      </c>
      <c r="F6970">
        <v>1</v>
      </c>
      <c r="G6970">
        <v>0</v>
      </c>
      <c r="H6970">
        <v>0</v>
      </c>
      <c r="I6970">
        <v>0</v>
      </c>
      <c r="J6970">
        <v>7979.8682892685802</v>
      </c>
      <c r="K6970">
        <v>7110.7241053705302</v>
      </c>
      <c r="L6970">
        <v>68.248000000000005</v>
      </c>
      <c r="M6970">
        <v>73.762</v>
      </c>
      <c r="N6970">
        <v>22.722999999999999</v>
      </c>
    </row>
    <row r="6971" spans="1:14" x14ac:dyDescent="0.45">
      <c r="A6971">
        <v>2012</v>
      </c>
      <c r="B6971" t="s">
        <v>265</v>
      </c>
      <c r="C6971">
        <v>0</v>
      </c>
      <c r="D6971">
        <v>0</v>
      </c>
      <c r="E6971">
        <v>0</v>
      </c>
      <c r="F6971">
        <v>1</v>
      </c>
      <c r="G6971">
        <v>0</v>
      </c>
      <c r="H6971">
        <v>0</v>
      </c>
      <c r="I6971">
        <v>0</v>
      </c>
      <c r="J6971">
        <v>3350.7708895897599</v>
      </c>
      <c r="K6971">
        <v>3031.11185656614</v>
      </c>
      <c r="L6971">
        <v>75.338999999999999</v>
      </c>
      <c r="M6971">
        <v>69.897999999999996</v>
      </c>
      <c r="N6971">
        <v>22.484999999999999</v>
      </c>
    </row>
    <row r="6972" spans="1:14" x14ac:dyDescent="0.45">
      <c r="A6972">
        <v>2012</v>
      </c>
      <c r="B6972" t="s">
        <v>266</v>
      </c>
      <c r="C6972">
        <v>0</v>
      </c>
      <c r="D6972">
        <v>0</v>
      </c>
      <c r="E6972">
        <v>0</v>
      </c>
      <c r="F6972">
        <v>1</v>
      </c>
      <c r="G6972">
        <v>0</v>
      </c>
      <c r="H6972">
        <v>0</v>
      </c>
      <c r="I6972">
        <v>0</v>
      </c>
      <c r="J6972">
        <v>6311.9607023507197</v>
      </c>
      <c r="K6972">
        <v>5709.8081466910398</v>
      </c>
      <c r="L6972">
        <v>80.376000000000005</v>
      </c>
      <c r="M6972">
        <v>71.159000000000006</v>
      </c>
      <c r="N6972">
        <v>19.709</v>
      </c>
    </row>
    <row r="6973" spans="1:14" x14ac:dyDescent="0.45">
      <c r="A6973">
        <v>2012</v>
      </c>
      <c r="B6973" t="s">
        <v>267</v>
      </c>
      <c r="C6973">
        <v>1</v>
      </c>
      <c r="D6973">
        <v>0</v>
      </c>
      <c r="E6973">
        <v>0</v>
      </c>
      <c r="F6973">
        <v>1</v>
      </c>
      <c r="G6973">
        <v>0</v>
      </c>
      <c r="H6973">
        <v>0</v>
      </c>
      <c r="I6973">
        <v>0</v>
      </c>
      <c r="J6973">
        <v>8431.6623269465708</v>
      </c>
      <c r="K6973">
        <v>7653.1925419443896</v>
      </c>
      <c r="L6973">
        <v>44.643999999999998</v>
      </c>
      <c r="M6973">
        <v>75.75</v>
      </c>
      <c r="N6973">
        <v>17.468</v>
      </c>
    </row>
    <row r="6974" spans="1:14" x14ac:dyDescent="0.45">
      <c r="A6974">
        <v>2012</v>
      </c>
      <c r="B6974" t="s">
        <v>268</v>
      </c>
      <c r="C6974">
        <v>0</v>
      </c>
      <c r="D6974">
        <v>0</v>
      </c>
      <c r="E6974">
        <v>0</v>
      </c>
      <c r="F6974">
        <v>1</v>
      </c>
      <c r="G6974">
        <v>0</v>
      </c>
      <c r="H6974">
        <v>0</v>
      </c>
      <c r="I6974">
        <v>0</v>
      </c>
      <c r="L6974">
        <v>67.042000000000002</v>
      </c>
      <c r="M6974">
        <v>67.569000000000003</v>
      </c>
      <c r="N6974">
        <v>52.441000000000003</v>
      </c>
    </row>
    <row r="6975" spans="1:14" x14ac:dyDescent="0.45">
      <c r="A6975">
        <v>2012</v>
      </c>
      <c r="B6975" t="s">
        <v>269</v>
      </c>
      <c r="C6975">
        <v>0</v>
      </c>
      <c r="D6975">
        <v>0</v>
      </c>
      <c r="E6975">
        <v>1</v>
      </c>
      <c r="F6975">
        <v>0</v>
      </c>
      <c r="G6975">
        <v>1</v>
      </c>
      <c r="H6975">
        <v>0</v>
      </c>
      <c r="I6975">
        <v>0</v>
      </c>
      <c r="J6975">
        <v>14581.5889567472</v>
      </c>
      <c r="K6975">
        <v>13729.165790287399</v>
      </c>
      <c r="L6975">
        <v>36.728000000000002</v>
      </c>
      <c r="M6975">
        <v>61.737000000000002</v>
      </c>
      <c r="N6975">
        <v>42.033000000000001</v>
      </c>
    </row>
    <row r="6976" spans="1:14" x14ac:dyDescent="0.45">
      <c r="A6976">
        <v>2012</v>
      </c>
      <c r="B6976" t="s">
        <v>270</v>
      </c>
      <c r="C6976">
        <v>0</v>
      </c>
      <c r="D6976">
        <v>0</v>
      </c>
      <c r="E6976">
        <v>1</v>
      </c>
      <c r="F6976">
        <v>1</v>
      </c>
      <c r="G6976">
        <v>0</v>
      </c>
      <c r="H6976">
        <v>0</v>
      </c>
      <c r="I6976">
        <v>0</v>
      </c>
      <c r="J6976">
        <v>3474.55252844092</v>
      </c>
      <c r="K6976">
        <v>3262.1088908755701</v>
      </c>
      <c r="L6976">
        <v>59.646000000000001</v>
      </c>
      <c r="M6976">
        <v>58.704000000000001</v>
      </c>
      <c r="N6976">
        <v>74.271000000000001</v>
      </c>
    </row>
    <row r="6977" spans="1:14" x14ac:dyDescent="0.45">
      <c r="A6977">
        <v>2012</v>
      </c>
      <c r="B6977" t="s">
        <v>271</v>
      </c>
      <c r="C6977">
        <v>0</v>
      </c>
      <c r="D6977">
        <v>0</v>
      </c>
      <c r="E6977">
        <v>1</v>
      </c>
      <c r="F6977">
        <v>0</v>
      </c>
      <c r="G6977">
        <v>0</v>
      </c>
      <c r="H6977">
        <v>0</v>
      </c>
      <c r="I6977">
        <v>0</v>
      </c>
      <c r="J6977">
        <v>3301.1662321392</v>
      </c>
      <c r="K6977">
        <v>2198.0349473618799</v>
      </c>
      <c r="L6977">
        <v>67.165999999999997</v>
      </c>
      <c r="M6977">
        <v>55.386000000000003</v>
      </c>
      <c r="N6977">
        <v>72.643000000000001</v>
      </c>
    </row>
    <row r="6978" spans="1:14" x14ac:dyDescent="0.45">
      <c r="A6978">
        <v>2013</v>
      </c>
      <c r="B6978" t="s">
        <v>54</v>
      </c>
      <c r="C6978">
        <v>0</v>
      </c>
      <c r="D6978">
        <v>1</v>
      </c>
      <c r="E6978">
        <v>0</v>
      </c>
      <c r="F6978">
        <v>0</v>
      </c>
      <c r="G6978">
        <v>0</v>
      </c>
      <c r="H6978">
        <v>1</v>
      </c>
      <c r="I6978">
        <v>1</v>
      </c>
      <c r="J6978">
        <v>37255.353452032403</v>
      </c>
      <c r="K6978">
        <v>36257.181902504002</v>
      </c>
      <c r="L6978">
        <v>57.01</v>
      </c>
      <c r="M6978">
        <v>75.072000000000003</v>
      </c>
      <c r="N6978">
        <v>17.07</v>
      </c>
    </row>
    <row r="6979" spans="1:14" x14ac:dyDescent="0.45">
      <c r="A6979">
        <v>2013</v>
      </c>
      <c r="B6979" t="s">
        <v>55</v>
      </c>
      <c r="C6979">
        <v>0</v>
      </c>
      <c r="D6979">
        <v>0</v>
      </c>
      <c r="E6979">
        <v>0</v>
      </c>
      <c r="F6979">
        <v>0</v>
      </c>
      <c r="G6979">
        <v>0</v>
      </c>
      <c r="H6979">
        <v>0</v>
      </c>
      <c r="I6979">
        <v>0</v>
      </c>
      <c r="J6979">
        <v>3046.5799311712799</v>
      </c>
      <c r="K6979">
        <v>2409.8176857306298</v>
      </c>
      <c r="L6979">
        <v>75.626999999999995</v>
      </c>
      <c r="M6979">
        <v>62.188000000000002</v>
      </c>
      <c r="N6979">
        <v>79.781999999999996</v>
      </c>
    </row>
    <row r="6980" spans="1:14" x14ac:dyDescent="0.45">
      <c r="A6980">
        <v>2013</v>
      </c>
      <c r="B6980" t="s">
        <v>56</v>
      </c>
      <c r="C6980">
        <v>0</v>
      </c>
      <c r="D6980">
        <v>0</v>
      </c>
      <c r="E6980">
        <v>1</v>
      </c>
      <c r="F6980">
        <v>0</v>
      </c>
      <c r="G6980">
        <v>1</v>
      </c>
      <c r="H6980">
        <v>0</v>
      </c>
      <c r="I6980">
        <v>0</v>
      </c>
      <c r="J6980">
        <v>10150.9160957693</v>
      </c>
      <c r="K6980">
        <v>7850.2190373309304</v>
      </c>
      <c r="L6980">
        <v>37.997999999999998</v>
      </c>
      <c r="M6980">
        <v>59.704999999999998</v>
      </c>
      <c r="N6980">
        <v>98.644999999999996</v>
      </c>
    </row>
    <row r="6981" spans="1:14" x14ac:dyDescent="0.45">
      <c r="A6981">
        <v>2013</v>
      </c>
      <c r="B6981" t="s">
        <v>57</v>
      </c>
      <c r="C6981">
        <v>1</v>
      </c>
      <c r="D6981">
        <v>0</v>
      </c>
      <c r="E6981">
        <v>0</v>
      </c>
      <c r="F6981">
        <v>0</v>
      </c>
      <c r="G6981">
        <v>1</v>
      </c>
      <c r="H6981">
        <v>0</v>
      </c>
      <c r="I6981">
        <v>0</v>
      </c>
      <c r="J6981">
        <v>12525.080763273099</v>
      </c>
      <c r="K6981">
        <v>11347.1486751585</v>
      </c>
      <c r="L6981">
        <v>44.613</v>
      </c>
      <c r="M6981">
        <v>77.995000000000005</v>
      </c>
      <c r="N6981">
        <v>10.977</v>
      </c>
    </row>
    <row r="6982" spans="1:14" x14ac:dyDescent="0.45">
      <c r="A6982">
        <v>2013</v>
      </c>
      <c r="B6982" t="s">
        <v>58</v>
      </c>
      <c r="C6982">
        <v>1</v>
      </c>
      <c r="D6982">
        <v>0</v>
      </c>
      <c r="E6982">
        <v>0</v>
      </c>
      <c r="F6982">
        <v>0</v>
      </c>
      <c r="G6982">
        <v>0</v>
      </c>
      <c r="H6982">
        <v>1</v>
      </c>
      <c r="I6982">
        <v>1</v>
      </c>
      <c r="J6982">
        <v>57332.158561136603</v>
      </c>
      <c r="K6982">
        <v>48125.968858441498</v>
      </c>
      <c r="L6982">
        <v>11.462999999999999</v>
      </c>
      <c r="M6982">
        <v>84.406000000000006</v>
      </c>
      <c r="N6982">
        <v>5.8380000000000001</v>
      </c>
    </row>
    <row r="6983" spans="1:14" x14ac:dyDescent="0.45">
      <c r="A6983">
        <v>2013</v>
      </c>
      <c r="B6983" t="s">
        <v>59</v>
      </c>
      <c r="C6983">
        <v>0</v>
      </c>
      <c r="D6983">
        <v>0</v>
      </c>
      <c r="E6983">
        <v>0</v>
      </c>
      <c r="F6983">
        <v>0</v>
      </c>
      <c r="G6983">
        <v>0</v>
      </c>
      <c r="H6983">
        <v>1</v>
      </c>
      <c r="I6983">
        <v>1</v>
      </c>
      <c r="J6983">
        <v>69806.955982678395</v>
      </c>
      <c r="K6983">
        <v>68967.086869807099</v>
      </c>
      <c r="L6983">
        <v>14.933999999999999</v>
      </c>
      <c r="M6983">
        <v>81.95</v>
      </c>
      <c r="N6983">
        <v>7.9820000000000002</v>
      </c>
    </row>
    <row r="6984" spans="1:14" x14ac:dyDescent="0.45">
      <c r="A6984">
        <v>2013</v>
      </c>
      <c r="B6984" t="s">
        <v>60</v>
      </c>
      <c r="C6984">
        <v>0</v>
      </c>
      <c r="D6984">
        <v>1</v>
      </c>
      <c r="E6984">
        <v>0</v>
      </c>
      <c r="F6984">
        <v>0</v>
      </c>
      <c r="G6984">
        <v>1</v>
      </c>
      <c r="H6984">
        <v>0</v>
      </c>
      <c r="I6984">
        <v>0</v>
      </c>
      <c r="J6984">
        <v>29227.660181843701</v>
      </c>
      <c r="K6984">
        <v>24121.874114619401</v>
      </c>
      <c r="L6984">
        <v>8.7509999999999994</v>
      </c>
      <c r="M6984">
        <v>75.828999999999994</v>
      </c>
      <c r="N6984">
        <v>13.803000000000001</v>
      </c>
    </row>
    <row r="6985" spans="1:14" x14ac:dyDescent="0.45">
      <c r="A6985">
        <v>2013</v>
      </c>
      <c r="B6985" t="s">
        <v>61</v>
      </c>
      <c r="C6985">
        <v>1</v>
      </c>
      <c r="D6985">
        <v>0</v>
      </c>
      <c r="E6985">
        <v>0</v>
      </c>
      <c r="F6985">
        <v>1</v>
      </c>
      <c r="G6985">
        <v>0</v>
      </c>
      <c r="H6985">
        <v>0</v>
      </c>
      <c r="I6985">
        <v>0</v>
      </c>
      <c r="J6985">
        <v>12194.0189523843</v>
      </c>
      <c r="K6985">
        <v>10329.568469772499</v>
      </c>
      <c r="L6985">
        <v>36.835999999999999</v>
      </c>
      <c r="M6985">
        <v>73.712999999999994</v>
      </c>
      <c r="N6985">
        <v>16.045000000000002</v>
      </c>
    </row>
    <row r="6986" spans="1:14" x14ac:dyDescent="0.45">
      <c r="A6986">
        <v>2013</v>
      </c>
      <c r="B6986" t="s">
        <v>62</v>
      </c>
      <c r="C6986">
        <v>0</v>
      </c>
      <c r="D6986">
        <v>0</v>
      </c>
      <c r="E6986">
        <v>0</v>
      </c>
      <c r="F6986">
        <v>0</v>
      </c>
      <c r="G6986">
        <v>1</v>
      </c>
      <c r="H6986">
        <v>0</v>
      </c>
      <c r="I6986">
        <v>0</v>
      </c>
      <c r="L6986">
        <v>12.651999999999999</v>
      </c>
      <c r="M6986">
        <v>72.769000000000005</v>
      </c>
      <c r="N6986">
        <v>11.032</v>
      </c>
    </row>
    <row r="6987" spans="1:14" x14ac:dyDescent="0.45">
      <c r="A6987">
        <v>2013</v>
      </c>
      <c r="B6987" t="s">
        <v>63</v>
      </c>
      <c r="C6987">
        <v>0</v>
      </c>
      <c r="D6987">
        <v>1</v>
      </c>
      <c r="E6987">
        <v>0</v>
      </c>
      <c r="F6987">
        <v>0</v>
      </c>
      <c r="G6987">
        <v>0</v>
      </c>
      <c r="H6987">
        <v>1</v>
      </c>
      <c r="I6987">
        <v>1</v>
      </c>
      <c r="J6987">
        <v>25206.8458285339</v>
      </c>
      <c r="K6987">
        <v>19852.8318965996</v>
      </c>
      <c r="L6987">
        <v>74.650000000000006</v>
      </c>
      <c r="M6987">
        <v>77.05</v>
      </c>
      <c r="N6987">
        <v>11.295</v>
      </c>
    </row>
    <row r="6988" spans="1:14" x14ac:dyDescent="0.45">
      <c r="A6988">
        <v>2013</v>
      </c>
      <c r="B6988" t="s">
        <v>64</v>
      </c>
      <c r="C6988">
        <v>0</v>
      </c>
      <c r="D6988">
        <v>0</v>
      </c>
      <c r="E6988">
        <v>0</v>
      </c>
      <c r="F6988">
        <v>0</v>
      </c>
      <c r="G6988">
        <v>0</v>
      </c>
      <c r="H6988">
        <v>1</v>
      </c>
      <c r="I6988">
        <v>1</v>
      </c>
      <c r="J6988">
        <v>54699.351615615597</v>
      </c>
      <c r="K6988">
        <v>47377.9304253929</v>
      </c>
      <c r="L6988">
        <v>14.497999999999999</v>
      </c>
      <c r="M6988">
        <v>82.551000000000002</v>
      </c>
      <c r="N6988">
        <v>4.3419999999999996</v>
      </c>
    </row>
    <row r="6989" spans="1:14" x14ac:dyDescent="0.45">
      <c r="A6989">
        <v>2013</v>
      </c>
      <c r="B6989" t="s">
        <v>65</v>
      </c>
      <c r="C6989">
        <v>1</v>
      </c>
      <c r="D6989">
        <v>0</v>
      </c>
      <c r="E6989">
        <v>0</v>
      </c>
      <c r="F6989">
        <v>0</v>
      </c>
      <c r="G6989">
        <v>0</v>
      </c>
      <c r="H6989">
        <v>1</v>
      </c>
      <c r="I6989">
        <v>1</v>
      </c>
      <c r="J6989">
        <v>60937.256909495401</v>
      </c>
      <c r="K6989">
        <v>51928.020710414203</v>
      </c>
      <c r="L6989">
        <v>42.664000000000001</v>
      </c>
      <c r="M6989">
        <v>81.078000000000003</v>
      </c>
      <c r="N6989">
        <v>3.8029999999999999</v>
      </c>
    </row>
    <row r="6990" spans="1:14" x14ac:dyDescent="0.45">
      <c r="A6990">
        <v>2013</v>
      </c>
      <c r="B6990" t="s">
        <v>66</v>
      </c>
      <c r="C6990">
        <v>1</v>
      </c>
      <c r="D6990">
        <v>0</v>
      </c>
      <c r="E6990">
        <v>0</v>
      </c>
      <c r="F6990">
        <v>0</v>
      </c>
      <c r="G6990">
        <v>1</v>
      </c>
      <c r="H6990">
        <v>0</v>
      </c>
      <c r="I6990">
        <v>0</v>
      </c>
      <c r="J6990">
        <v>20398.646194634199</v>
      </c>
      <c r="K6990">
        <v>14854.5461887364</v>
      </c>
      <c r="L6990">
        <v>45.854999999999997</v>
      </c>
      <c r="M6990">
        <v>71.484999999999999</v>
      </c>
      <c r="N6990">
        <v>30.937999999999999</v>
      </c>
    </row>
    <row r="6991" spans="1:14" x14ac:dyDescent="0.45">
      <c r="A6991">
        <v>2013</v>
      </c>
      <c r="B6991" t="s">
        <v>67</v>
      </c>
      <c r="C6991">
        <v>0</v>
      </c>
      <c r="D6991">
        <v>0</v>
      </c>
      <c r="E6991">
        <v>1</v>
      </c>
      <c r="F6991">
        <v>0</v>
      </c>
      <c r="G6991">
        <v>0</v>
      </c>
      <c r="H6991">
        <v>0</v>
      </c>
      <c r="I6991">
        <v>0</v>
      </c>
      <c r="J6991">
        <v>970.37539176850498</v>
      </c>
      <c r="K6991">
        <v>838.50452311997901</v>
      </c>
      <c r="L6991">
        <v>88.518000000000001</v>
      </c>
      <c r="M6991">
        <v>59.179000000000002</v>
      </c>
      <c r="N6991">
        <v>75.995000000000005</v>
      </c>
    </row>
    <row r="6992" spans="1:14" x14ac:dyDescent="0.45">
      <c r="A6992">
        <v>2013</v>
      </c>
      <c r="B6992" t="s">
        <v>68</v>
      </c>
      <c r="C6992">
        <v>1</v>
      </c>
      <c r="D6992">
        <v>0</v>
      </c>
      <c r="E6992">
        <v>0</v>
      </c>
      <c r="F6992">
        <v>0</v>
      </c>
      <c r="G6992">
        <v>0</v>
      </c>
      <c r="H6992">
        <v>1</v>
      </c>
      <c r="I6992">
        <v>1</v>
      </c>
      <c r="J6992">
        <v>56287.9976585439</v>
      </c>
      <c r="K6992">
        <v>47367.285900546398</v>
      </c>
      <c r="L6992">
        <v>2.2109999999999999</v>
      </c>
      <c r="M6992">
        <v>80.466999999999999</v>
      </c>
      <c r="N6992">
        <v>4.2830000000000004</v>
      </c>
    </row>
    <row r="6993" spans="1:14" x14ac:dyDescent="0.45">
      <c r="A6993">
        <v>2013</v>
      </c>
      <c r="B6993" t="s">
        <v>69</v>
      </c>
      <c r="C6993">
        <v>0</v>
      </c>
      <c r="D6993">
        <v>0</v>
      </c>
      <c r="E6993">
        <v>1</v>
      </c>
      <c r="F6993">
        <v>0</v>
      </c>
      <c r="G6993">
        <v>0</v>
      </c>
      <c r="H6993">
        <v>0</v>
      </c>
      <c r="I6993">
        <v>0</v>
      </c>
      <c r="J6993">
        <v>2893.0467015352001</v>
      </c>
      <c r="K6993">
        <v>2744.7835101130399</v>
      </c>
      <c r="L6993">
        <v>55.357999999999997</v>
      </c>
      <c r="M6993">
        <v>58.863</v>
      </c>
      <c r="N6993">
        <v>101.652</v>
      </c>
    </row>
    <row r="6994" spans="1:14" x14ac:dyDescent="0.45">
      <c r="A6994">
        <v>2013</v>
      </c>
      <c r="B6994" t="s">
        <v>70</v>
      </c>
      <c r="C6994">
        <v>0</v>
      </c>
      <c r="D6994">
        <v>0</v>
      </c>
      <c r="E6994">
        <v>1</v>
      </c>
      <c r="F6994">
        <v>0</v>
      </c>
      <c r="G6994">
        <v>0</v>
      </c>
      <c r="H6994">
        <v>0</v>
      </c>
      <c r="I6994">
        <v>0</v>
      </c>
      <c r="J6994">
        <v>2057.0639319852999</v>
      </c>
      <c r="K6994">
        <v>1882.08408133181</v>
      </c>
      <c r="L6994">
        <v>73.653999999999996</v>
      </c>
      <c r="M6994">
        <v>57.902999999999999</v>
      </c>
      <c r="N6994">
        <v>108.661</v>
      </c>
    </row>
    <row r="6995" spans="1:14" x14ac:dyDescent="0.45">
      <c r="A6995">
        <v>2013</v>
      </c>
      <c r="B6995" t="s">
        <v>71</v>
      </c>
      <c r="C6995">
        <v>0</v>
      </c>
      <c r="D6995">
        <v>0</v>
      </c>
      <c r="E6995">
        <v>0</v>
      </c>
      <c r="F6995">
        <v>0</v>
      </c>
      <c r="G6995">
        <v>0</v>
      </c>
      <c r="H6995">
        <v>0</v>
      </c>
      <c r="I6995">
        <v>0</v>
      </c>
      <c r="J6995">
        <v>4822.7262137826601</v>
      </c>
      <c r="K6995">
        <v>3920.85019991422</v>
      </c>
      <c r="L6995">
        <v>67.238</v>
      </c>
      <c r="M6995">
        <v>69.486999999999995</v>
      </c>
      <c r="N6995">
        <v>42.584000000000003</v>
      </c>
    </row>
    <row r="6996" spans="1:14" x14ac:dyDescent="0.45">
      <c r="A6996">
        <v>2013</v>
      </c>
      <c r="B6996" t="s">
        <v>72</v>
      </c>
      <c r="C6996">
        <v>1</v>
      </c>
      <c r="D6996">
        <v>0</v>
      </c>
      <c r="E6996">
        <v>0</v>
      </c>
      <c r="F6996">
        <v>0</v>
      </c>
      <c r="G6996">
        <v>1</v>
      </c>
      <c r="H6996">
        <v>0</v>
      </c>
      <c r="I6996">
        <v>0</v>
      </c>
      <c r="J6996">
        <v>22945.5137964647</v>
      </c>
      <c r="K6996">
        <v>19040.175250000899</v>
      </c>
      <c r="L6996">
        <v>26.687000000000001</v>
      </c>
      <c r="M6996">
        <v>74.828000000000003</v>
      </c>
      <c r="N6996">
        <v>9.1080000000000005</v>
      </c>
    </row>
    <row r="6997" spans="1:14" x14ac:dyDescent="0.45">
      <c r="A6997">
        <v>2013</v>
      </c>
      <c r="B6997" t="s">
        <v>73</v>
      </c>
      <c r="C6997">
        <v>0</v>
      </c>
      <c r="D6997">
        <v>0</v>
      </c>
      <c r="E6997">
        <v>0</v>
      </c>
      <c r="F6997">
        <v>0</v>
      </c>
      <c r="G6997">
        <v>0</v>
      </c>
      <c r="H6997">
        <v>1</v>
      </c>
      <c r="I6997">
        <v>1</v>
      </c>
      <c r="J6997">
        <v>55376.400514789399</v>
      </c>
      <c r="K6997">
        <v>51597.639436762998</v>
      </c>
      <c r="L6997">
        <v>11.164999999999999</v>
      </c>
      <c r="M6997">
        <v>79.998000000000005</v>
      </c>
      <c r="N6997">
        <v>7.9870000000000001</v>
      </c>
    </row>
    <row r="6998" spans="1:14" x14ac:dyDescent="0.45">
      <c r="A6998">
        <v>2013</v>
      </c>
      <c r="B6998" t="s">
        <v>74</v>
      </c>
      <c r="C6998">
        <v>0</v>
      </c>
      <c r="D6998">
        <v>1</v>
      </c>
      <c r="E6998">
        <v>0</v>
      </c>
      <c r="F6998">
        <v>0</v>
      </c>
      <c r="G6998">
        <v>0</v>
      </c>
      <c r="H6998">
        <v>1</v>
      </c>
      <c r="I6998">
        <v>1</v>
      </c>
      <c r="J6998">
        <v>32402.8349661434</v>
      </c>
      <c r="K6998">
        <v>33611.006579780696</v>
      </c>
      <c r="L6998">
        <v>17.404</v>
      </c>
      <c r="M6998">
        <v>73.930000000000007</v>
      </c>
      <c r="N6998">
        <v>14.499000000000001</v>
      </c>
    </row>
    <row r="6999" spans="1:14" x14ac:dyDescent="0.45">
      <c r="A6999">
        <v>2013</v>
      </c>
      <c r="B6999" t="s">
        <v>75</v>
      </c>
      <c r="C6999">
        <v>1</v>
      </c>
      <c r="D6999">
        <v>0</v>
      </c>
      <c r="E6999">
        <v>0</v>
      </c>
      <c r="F6999">
        <v>0</v>
      </c>
      <c r="G6999">
        <v>1</v>
      </c>
      <c r="H6999">
        <v>0</v>
      </c>
      <c r="I6999">
        <v>0</v>
      </c>
      <c r="J6999">
        <v>13131.3558995903</v>
      </c>
      <c r="K6999">
        <v>11343.6700641393</v>
      </c>
      <c r="L6999">
        <v>53.481000000000002</v>
      </c>
      <c r="M6999">
        <v>77.129000000000005</v>
      </c>
      <c r="N6999">
        <v>6.4980000000000002</v>
      </c>
    </row>
    <row r="7000" spans="1:14" x14ac:dyDescent="0.45">
      <c r="A7000">
        <v>2013</v>
      </c>
      <c r="B7000" t="s">
        <v>76</v>
      </c>
      <c r="C7000">
        <v>1</v>
      </c>
      <c r="D7000">
        <v>0</v>
      </c>
      <c r="E7000">
        <v>0</v>
      </c>
      <c r="F7000">
        <v>0</v>
      </c>
      <c r="G7000">
        <v>1</v>
      </c>
      <c r="H7000">
        <v>0</v>
      </c>
      <c r="I7000">
        <v>0</v>
      </c>
      <c r="J7000">
        <v>26147.625357392699</v>
      </c>
      <c r="K7000">
        <v>18878.4565551099</v>
      </c>
      <c r="L7000">
        <v>23.800999999999998</v>
      </c>
      <c r="M7000">
        <v>72.680999999999997</v>
      </c>
      <c r="N7000">
        <v>4.6340000000000003</v>
      </c>
    </row>
    <row r="7001" spans="1:14" x14ac:dyDescent="0.45">
      <c r="A7001">
        <v>2013</v>
      </c>
      <c r="B7001" t="s">
        <v>77</v>
      </c>
      <c r="C7001">
        <v>0</v>
      </c>
      <c r="D7001">
        <v>1</v>
      </c>
      <c r="E7001">
        <v>0</v>
      </c>
      <c r="F7001">
        <v>0</v>
      </c>
      <c r="G7001">
        <v>1</v>
      </c>
      <c r="H7001">
        <v>0</v>
      </c>
      <c r="I7001">
        <v>0</v>
      </c>
      <c r="J7001">
        <v>12026.0711025081</v>
      </c>
      <c r="K7001">
        <v>9477.6645853484697</v>
      </c>
      <c r="L7001">
        <v>54.718000000000004</v>
      </c>
      <c r="M7001">
        <v>71.275999999999996</v>
      </c>
      <c r="N7001">
        <v>16.952000000000002</v>
      </c>
    </row>
    <row r="7002" spans="1:14" x14ac:dyDescent="0.45">
      <c r="A7002">
        <v>2013</v>
      </c>
      <c r="B7002" t="s">
        <v>78</v>
      </c>
      <c r="C7002">
        <v>0</v>
      </c>
      <c r="D7002">
        <v>0</v>
      </c>
      <c r="E7002">
        <v>0</v>
      </c>
      <c r="F7002">
        <v>0</v>
      </c>
      <c r="G7002">
        <v>0</v>
      </c>
      <c r="H7002">
        <v>1</v>
      </c>
      <c r="I7002">
        <v>1</v>
      </c>
      <c r="J7002">
        <v>96549.787480758299</v>
      </c>
      <c r="K7002">
        <v>85781.002491224499</v>
      </c>
      <c r="L7002">
        <v>0</v>
      </c>
      <c r="M7002">
        <v>80.016000000000005</v>
      </c>
      <c r="N7002">
        <v>4.0720000000000001</v>
      </c>
    </row>
    <row r="7003" spans="1:14" x14ac:dyDescent="0.45">
      <c r="A7003">
        <v>2013</v>
      </c>
      <c r="B7003" t="s">
        <v>79</v>
      </c>
      <c r="C7003">
        <v>0</v>
      </c>
      <c r="D7003">
        <v>1</v>
      </c>
      <c r="E7003">
        <v>0</v>
      </c>
      <c r="F7003">
        <v>1</v>
      </c>
      <c r="G7003">
        <v>0</v>
      </c>
      <c r="H7003">
        <v>0</v>
      </c>
      <c r="I7003">
        <v>0</v>
      </c>
      <c r="J7003">
        <v>8524.0321340288501</v>
      </c>
      <c r="K7003">
        <v>7522.8863730332396</v>
      </c>
      <c r="L7003">
        <v>32.301000000000002</v>
      </c>
      <c r="M7003">
        <v>66.777000000000001</v>
      </c>
      <c r="N7003">
        <v>54.786000000000001</v>
      </c>
    </row>
    <row r="7004" spans="1:14" x14ac:dyDescent="0.45">
      <c r="A7004">
        <v>2013</v>
      </c>
      <c r="B7004" t="s">
        <v>80</v>
      </c>
      <c r="C7004">
        <v>0</v>
      </c>
      <c r="D7004">
        <v>1</v>
      </c>
      <c r="E7004">
        <v>0</v>
      </c>
      <c r="F7004">
        <v>0</v>
      </c>
      <c r="G7004">
        <v>1</v>
      </c>
      <c r="H7004">
        <v>0</v>
      </c>
      <c r="I7004">
        <v>0</v>
      </c>
      <c r="J7004">
        <v>19241.505981572602</v>
      </c>
      <c r="K7004">
        <v>15805.1489072239</v>
      </c>
      <c r="L7004">
        <v>14.791</v>
      </c>
      <c r="M7004">
        <v>74.608999999999995</v>
      </c>
      <c r="N7004">
        <v>16.873000000000001</v>
      </c>
    </row>
    <row r="7005" spans="1:14" x14ac:dyDescent="0.45">
      <c r="A7005">
        <v>2013</v>
      </c>
      <c r="B7005" t="s">
        <v>81</v>
      </c>
      <c r="C7005">
        <v>0</v>
      </c>
      <c r="D7005">
        <v>1</v>
      </c>
      <c r="E7005">
        <v>0</v>
      </c>
      <c r="F7005">
        <v>0</v>
      </c>
      <c r="G7005">
        <v>0</v>
      </c>
      <c r="H7005">
        <v>1</v>
      </c>
      <c r="I7005">
        <v>1</v>
      </c>
      <c r="J7005">
        <v>18695.6832903666</v>
      </c>
      <c r="K7005">
        <v>17856.2390607907</v>
      </c>
      <c r="L7005">
        <v>68.570999999999998</v>
      </c>
      <c r="M7005">
        <v>75.816000000000003</v>
      </c>
      <c r="N7005">
        <v>13.8</v>
      </c>
    </row>
    <row r="7006" spans="1:14" x14ac:dyDescent="0.45">
      <c r="A7006">
        <v>2013</v>
      </c>
      <c r="B7006" t="s">
        <v>82</v>
      </c>
      <c r="C7006">
        <v>0</v>
      </c>
      <c r="D7006">
        <v>0</v>
      </c>
      <c r="E7006">
        <v>0</v>
      </c>
      <c r="F7006">
        <v>0</v>
      </c>
      <c r="G7006">
        <v>0</v>
      </c>
      <c r="H7006">
        <v>1</v>
      </c>
      <c r="I7006">
        <v>1</v>
      </c>
      <c r="J7006">
        <v>86606.651715658503</v>
      </c>
      <c r="K7006">
        <v>67622.861116622706</v>
      </c>
      <c r="L7006">
        <v>24.003</v>
      </c>
      <c r="M7006">
        <v>74.853999999999999</v>
      </c>
      <c r="N7006">
        <v>9.8160000000000007</v>
      </c>
    </row>
    <row r="7007" spans="1:14" x14ac:dyDescent="0.45">
      <c r="A7007">
        <v>2013</v>
      </c>
      <c r="B7007" t="s">
        <v>83</v>
      </c>
      <c r="C7007">
        <v>0</v>
      </c>
      <c r="D7007">
        <v>0</v>
      </c>
      <c r="E7007">
        <v>0</v>
      </c>
      <c r="F7007">
        <v>1</v>
      </c>
      <c r="G7007">
        <v>0</v>
      </c>
      <c r="H7007">
        <v>0</v>
      </c>
      <c r="I7007">
        <v>0</v>
      </c>
      <c r="J7007">
        <v>11212.479426698001</v>
      </c>
      <c r="K7007">
        <v>9711.4251247918692</v>
      </c>
      <c r="L7007">
        <v>62.850999999999999</v>
      </c>
      <c r="M7007">
        <v>70.161000000000001</v>
      </c>
      <c r="N7007">
        <v>33.508000000000003</v>
      </c>
    </row>
    <row r="7008" spans="1:14" x14ac:dyDescent="0.45">
      <c r="A7008">
        <v>2013</v>
      </c>
      <c r="B7008" t="s">
        <v>84</v>
      </c>
      <c r="C7008">
        <v>0</v>
      </c>
      <c r="D7008">
        <v>0</v>
      </c>
      <c r="E7008">
        <v>1</v>
      </c>
      <c r="F7008">
        <v>0</v>
      </c>
      <c r="G7008">
        <v>1</v>
      </c>
      <c r="H7008">
        <v>0</v>
      </c>
      <c r="I7008">
        <v>0</v>
      </c>
      <c r="J7008">
        <v>16369.425290937201</v>
      </c>
      <c r="K7008">
        <v>14810.833951468399</v>
      </c>
      <c r="L7008">
        <v>34.427999999999997</v>
      </c>
      <c r="M7008">
        <v>61.216999999999999</v>
      </c>
      <c r="N7008">
        <v>52.610999999999997</v>
      </c>
    </row>
    <row r="7009" spans="1:14" x14ac:dyDescent="0.45">
      <c r="A7009">
        <v>2013</v>
      </c>
      <c r="B7009" t="s">
        <v>85</v>
      </c>
      <c r="C7009">
        <v>0</v>
      </c>
      <c r="D7009">
        <v>0</v>
      </c>
      <c r="E7009">
        <v>1</v>
      </c>
      <c r="F7009">
        <v>0</v>
      </c>
      <c r="G7009">
        <v>0</v>
      </c>
      <c r="H7009">
        <v>0</v>
      </c>
      <c r="I7009">
        <v>0</v>
      </c>
      <c r="J7009">
        <v>996.89635592391198</v>
      </c>
      <c r="K7009">
        <v>798.16539011972702</v>
      </c>
      <c r="L7009">
        <v>60.337000000000003</v>
      </c>
      <c r="M7009">
        <v>49.487000000000002</v>
      </c>
      <c r="N7009">
        <v>132.95400000000001</v>
      </c>
    </row>
    <row r="7010" spans="1:14" x14ac:dyDescent="0.45">
      <c r="A7010">
        <v>2013</v>
      </c>
      <c r="B7010" t="s">
        <v>86</v>
      </c>
      <c r="C7010">
        <v>0</v>
      </c>
      <c r="D7010">
        <v>0</v>
      </c>
      <c r="E7010">
        <v>0</v>
      </c>
      <c r="F7010">
        <v>0</v>
      </c>
      <c r="G7010">
        <v>0</v>
      </c>
      <c r="H7010">
        <v>1</v>
      </c>
      <c r="I7010">
        <v>1</v>
      </c>
      <c r="J7010">
        <v>54712.178423981</v>
      </c>
      <c r="K7010">
        <v>47359.768527793298</v>
      </c>
      <c r="L7010">
        <v>18.821999999999999</v>
      </c>
      <c r="M7010">
        <v>81.784999999999997</v>
      </c>
      <c r="N7010">
        <v>5.7489999999999997</v>
      </c>
    </row>
    <row r="7011" spans="1:14" x14ac:dyDescent="0.45">
      <c r="A7011">
        <v>2013</v>
      </c>
      <c r="B7011" t="s">
        <v>87</v>
      </c>
      <c r="C7011">
        <v>1</v>
      </c>
      <c r="D7011">
        <v>0</v>
      </c>
      <c r="E7011">
        <v>0</v>
      </c>
      <c r="F7011">
        <v>0</v>
      </c>
      <c r="G7011">
        <v>0</v>
      </c>
      <c r="H7011">
        <v>1</v>
      </c>
      <c r="I7011">
        <v>1</v>
      </c>
      <c r="J7011">
        <v>75354.155050088404</v>
      </c>
      <c r="K7011">
        <v>65555.620787716398</v>
      </c>
      <c r="L7011">
        <v>26.326000000000001</v>
      </c>
      <c r="M7011">
        <v>82.688999999999993</v>
      </c>
      <c r="N7011">
        <v>4.492</v>
      </c>
    </row>
    <row r="7012" spans="1:14" x14ac:dyDescent="0.45">
      <c r="A7012">
        <v>2013</v>
      </c>
      <c r="B7012" t="s">
        <v>88</v>
      </c>
      <c r="C7012">
        <v>1</v>
      </c>
      <c r="D7012">
        <v>0</v>
      </c>
      <c r="E7012">
        <v>0</v>
      </c>
      <c r="F7012">
        <v>0</v>
      </c>
      <c r="G7012">
        <v>0</v>
      </c>
      <c r="H7012">
        <v>1</v>
      </c>
      <c r="I7012">
        <v>1</v>
      </c>
      <c r="L7012">
        <v>68.972999999999999</v>
      </c>
      <c r="M7012">
        <v>81.527777836157199</v>
      </c>
      <c r="N7012">
        <v>8.2604871087979106</v>
      </c>
    </row>
    <row r="7013" spans="1:14" x14ac:dyDescent="0.45">
      <c r="A7013">
        <v>2013</v>
      </c>
      <c r="B7013" t="s">
        <v>89</v>
      </c>
      <c r="C7013">
        <v>0</v>
      </c>
      <c r="D7013">
        <v>1</v>
      </c>
      <c r="E7013">
        <v>0</v>
      </c>
      <c r="F7013">
        <v>0</v>
      </c>
      <c r="G7013">
        <v>0</v>
      </c>
      <c r="H7013">
        <v>1</v>
      </c>
      <c r="I7013">
        <v>1</v>
      </c>
      <c r="J7013">
        <v>27291.3576525957</v>
      </c>
      <c r="K7013">
        <v>23773.008960385399</v>
      </c>
      <c r="L7013">
        <v>12.754</v>
      </c>
      <c r="M7013">
        <v>79.551000000000002</v>
      </c>
      <c r="N7013">
        <v>8.5570000000000004</v>
      </c>
    </row>
    <row r="7014" spans="1:14" x14ac:dyDescent="0.45">
      <c r="A7014">
        <v>2013</v>
      </c>
      <c r="B7014" t="s">
        <v>90</v>
      </c>
      <c r="C7014">
        <v>0</v>
      </c>
      <c r="D7014">
        <v>0</v>
      </c>
      <c r="E7014">
        <v>0</v>
      </c>
      <c r="F7014">
        <v>0</v>
      </c>
      <c r="G7014">
        <v>1</v>
      </c>
      <c r="H7014">
        <v>0</v>
      </c>
      <c r="I7014">
        <v>0</v>
      </c>
      <c r="J7014">
        <v>13080.8288162668</v>
      </c>
      <c r="K7014">
        <v>11726.1160552405</v>
      </c>
      <c r="L7014">
        <v>46.987000000000002</v>
      </c>
      <c r="M7014">
        <v>76.451999999999998</v>
      </c>
      <c r="N7014">
        <v>12.563000000000001</v>
      </c>
    </row>
    <row r="7015" spans="1:14" x14ac:dyDescent="0.45">
      <c r="A7015">
        <v>2013</v>
      </c>
      <c r="B7015" t="s">
        <v>91</v>
      </c>
      <c r="C7015">
        <v>0</v>
      </c>
      <c r="D7015">
        <v>0</v>
      </c>
      <c r="E7015">
        <v>1</v>
      </c>
      <c r="F7015">
        <v>1</v>
      </c>
      <c r="G7015">
        <v>0</v>
      </c>
      <c r="H7015">
        <v>0</v>
      </c>
      <c r="I7015">
        <v>0</v>
      </c>
      <c r="J7015">
        <v>4597.1863523986603</v>
      </c>
      <c r="K7015">
        <v>3880.7023195987099</v>
      </c>
      <c r="L7015">
        <v>51.406999999999996</v>
      </c>
      <c r="M7015">
        <v>57.057000000000002</v>
      </c>
      <c r="N7015">
        <v>92.686000000000007</v>
      </c>
    </row>
    <row r="7016" spans="1:14" x14ac:dyDescent="0.45">
      <c r="A7016">
        <v>2013</v>
      </c>
      <c r="B7016" t="s">
        <v>92</v>
      </c>
      <c r="C7016">
        <v>0</v>
      </c>
      <c r="D7016">
        <v>0</v>
      </c>
      <c r="E7016">
        <v>1</v>
      </c>
      <c r="F7016">
        <v>1</v>
      </c>
      <c r="G7016">
        <v>0</v>
      </c>
      <c r="H7016">
        <v>0</v>
      </c>
      <c r="I7016">
        <v>0</v>
      </c>
      <c r="J7016">
        <v>4473.5723189643404</v>
      </c>
      <c r="K7016">
        <v>3512.7051947802702</v>
      </c>
      <c r="L7016">
        <v>46.627000000000002</v>
      </c>
      <c r="M7016">
        <v>58.73</v>
      </c>
      <c r="N7016">
        <v>97.331999999999994</v>
      </c>
    </row>
    <row r="7017" spans="1:14" x14ac:dyDescent="0.45">
      <c r="A7017">
        <v>2013</v>
      </c>
      <c r="B7017" t="s">
        <v>93</v>
      </c>
      <c r="C7017">
        <v>0</v>
      </c>
      <c r="D7017">
        <v>0</v>
      </c>
      <c r="E7017">
        <v>1</v>
      </c>
      <c r="F7017">
        <v>0</v>
      </c>
      <c r="G7017">
        <v>0</v>
      </c>
      <c r="H7017">
        <v>0</v>
      </c>
      <c r="I7017">
        <v>0</v>
      </c>
      <c r="J7017">
        <v>1158.2819297749099</v>
      </c>
      <c r="K7017">
        <v>927.27941192026003</v>
      </c>
      <c r="L7017">
        <v>58.372999999999998</v>
      </c>
      <c r="M7017">
        <v>57.795000000000002</v>
      </c>
      <c r="N7017">
        <v>102.413</v>
      </c>
    </row>
    <row r="7018" spans="1:14" x14ac:dyDescent="0.45">
      <c r="A7018">
        <v>2013</v>
      </c>
      <c r="B7018" t="s">
        <v>94</v>
      </c>
      <c r="C7018">
        <v>0</v>
      </c>
      <c r="D7018">
        <v>0</v>
      </c>
      <c r="E7018">
        <v>1</v>
      </c>
      <c r="F7018">
        <v>1</v>
      </c>
      <c r="G7018">
        <v>0</v>
      </c>
      <c r="H7018">
        <v>0</v>
      </c>
      <c r="I7018">
        <v>0</v>
      </c>
      <c r="J7018">
        <v>8798.4938250631403</v>
      </c>
      <c r="K7018">
        <v>5304.1298723132504</v>
      </c>
      <c r="L7018">
        <v>35.372999999999998</v>
      </c>
      <c r="M7018">
        <v>62.969000000000001</v>
      </c>
      <c r="N7018">
        <v>56.14</v>
      </c>
    </row>
    <row r="7019" spans="1:14" x14ac:dyDescent="0.45">
      <c r="A7019">
        <v>2013</v>
      </c>
      <c r="B7019" t="s">
        <v>95</v>
      </c>
      <c r="C7019">
        <v>0</v>
      </c>
      <c r="D7019">
        <v>1</v>
      </c>
      <c r="E7019">
        <v>0</v>
      </c>
      <c r="F7019">
        <v>0</v>
      </c>
      <c r="G7019">
        <v>1</v>
      </c>
      <c r="H7019">
        <v>0</v>
      </c>
      <c r="I7019">
        <v>0</v>
      </c>
      <c r="J7019">
        <v>15912.2471293239</v>
      </c>
      <c r="K7019">
        <v>13248.687883206399</v>
      </c>
      <c r="L7019">
        <v>20.939</v>
      </c>
      <c r="M7019">
        <v>75.834000000000003</v>
      </c>
      <c r="N7019">
        <v>16.663</v>
      </c>
    </row>
    <row r="7020" spans="1:14" x14ac:dyDescent="0.45">
      <c r="A7020">
        <v>2013</v>
      </c>
      <c r="B7020" t="s">
        <v>96</v>
      </c>
      <c r="C7020">
        <v>0</v>
      </c>
      <c r="D7020">
        <v>0</v>
      </c>
      <c r="E7020">
        <v>1</v>
      </c>
      <c r="F7020">
        <v>0</v>
      </c>
      <c r="G7020">
        <v>0</v>
      </c>
      <c r="H7020">
        <v>0</v>
      </c>
      <c r="I7020">
        <v>0</v>
      </c>
      <c r="J7020">
        <v>3059.1162383003202</v>
      </c>
      <c r="K7020">
        <v>3163.5165988119102</v>
      </c>
      <c r="L7020">
        <v>71.777000000000001</v>
      </c>
      <c r="M7020">
        <v>63.838999999999999</v>
      </c>
      <c r="N7020">
        <v>65.588999999999999</v>
      </c>
    </row>
    <row r="7021" spans="1:14" x14ac:dyDescent="0.45">
      <c r="A7021">
        <v>2013</v>
      </c>
      <c r="B7021" t="s">
        <v>97</v>
      </c>
      <c r="C7021">
        <v>0</v>
      </c>
      <c r="D7021">
        <v>0</v>
      </c>
      <c r="E7021">
        <v>1</v>
      </c>
      <c r="F7021">
        <v>1</v>
      </c>
      <c r="G7021">
        <v>0</v>
      </c>
      <c r="H7021">
        <v>0</v>
      </c>
      <c r="I7021">
        <v>0</v>
      </c>
      <c r="J7021">
        <v>7440.6624265011396</v>
      </c>
      <c r="K7021">
        <v>7170.6713418478503</v>
      </c>
      <c r="L7021">
        <v>36.683</v>
      </c>
      <c r="M7021">
        <v>73.480999999999995</v>
      </c>
      <c r="N7021">
        <v>21.059000000000001</v>
      </c>
    </row>
    <row r="7022" spans="1:14" x14ac:dyDescent="0.45">
      <c r="A7022">
        <v>2013</v>
      </c>
      <c r="B7022" t="s">
        <v>98</v>
      </c>
      <c r="C7022">
        <v>0</v>
      </c>
      <c r="D7022">
        <v>1</v>
      </c>
      <c r="E7022">
        <v>0</v>
      </c>
      <c r="F7022">
        <v>0</v>
      </c>
      <c r="G7022">
        <v>1</v>
      </c>
      <c r="H7022">
        <v>0</v>
      </c>
      <c r="I7022">
        <v>0</v>
      </c>
      <c r="J7022">
        <v>20232.267079956899</v>
      </c>
      <c r="K7022">
        <v>18115.0502020766</v>
      </c>
      <c r="L7022">
        <v>25.03</v>
      </c>
      <c r="M7022">
        <v>80.188999999999993</v>
      </c>
      <c r="N7022">
        <v>9.6010000000000009</v>
      </c>
    </row>
    <row r="7023" spans="1:14" x14ac:dyDescent="0.45">
      <c r="A7023">
        <v>2013</v>
      </c>
      <c r="B7023" t="s">
        <v>99</v>
      </c>
      <c r="C7023">
        <v>0</v>
      </c>
      <c r="D7023">
        <v>1</v>
      </c>
      <c r="E7023">
        <v>0</v>
      </c>
      <c r="F7023">
        <v>0</v>
      </c>
      <c r="G7023">
        <v>1</v>
      </c>
      <c r="H7023">
        <v>0</v>
      </c>
      <c r="I7023">
        <v>0</v>
      </c>
      <c r="L7023">
        <v>23.172999999999998</v>
      </c>
      <c r="M7023">
        <v>78.028000000000006</v>
      </c>
      <c r="N7023">
        <v>6.17</v>
      </c>
    </row>
    <row r="7024" spans="1:14" x14ac:dyDescent="0.45">
      <c r="A7024">
        <v>2013</v>
      </c>
      <c r="B7024" t="s">
        <v>100</v>
      </c>
      <c r="C7024">
        <v>0</v>
      </c>
      <c r="D7024">
        <v>1</v>
      </c>
      <c r="E7024">
        <v>0</v>
      </c>
      <c r="F7024">
        <v>0</v>
      </c>
      <c r="G7024">
        <v>0</v>
      </c>
      <c r="H7024">
        <v>1</v>
      </c>
      <c r="I7024">
        <v>1</v>
      </c>
      <c r="J7024">
        <v>31753.384136053599</v>
      </c>
      <c r="K7024">
        <v>25977.837489163299</v>
      </c>
      <c r="L7024">
        <v>10.456</v>
      </c>
      <c r="M7024">
        <v>76.239000000000004</v>
      </c>
      <c r="N7024">
        <v>12.497</v>
      </c>
    </row>
    <row r="7025" spans="1:14" x14ac:dyDescent="0.45">
      <c r="A7025">
        <v>2013</v>
      </c>
      <c r="B7025" t="s">
        <v>101</v>
      </c>
      <c r="C7025">
        <v>0</v>
      </c>
      <c r="D7025">
        <v>1</v>
      </c>
      <c r="E7025">
        <v>0</v>
      </c>
      <c r="F7025">
        <v>0</v>
      </c>
      <c r="G7025">
        <v>0</v>
      </c>
      <c r="H7025">
        <v>1</v>
      </c>
      <c r="I7025">
        <v>1</v>
      </c>
      <c r="J7025">
        <v>72954.519587828399</v>
      </c>
      <c r="K7025">
        <v>66548.840791162394</v>
      </c>
      <c r="L7025">
        <v>0</v>
      </c>
      <c r="M7025">
        <v>77.652000000000001</v>
      </c>
      <c r="N7025">
        <v>3.3580000000000001</v>
      </c>
    </row>
    <row r="7026" spans="1:14" x14ac:dyDescent="0.45">
      <c r="A7026">
        <v>2013</v>
      </c>
      <c r="B7026" t="s">
        <v>102</v>
      </c>
      <c r="C7026">
        <v>1</v>
      </c>
      <c r="D7026">
        <v>0</v>
      </c>
      <c r="E7026">
        <v>0</v>
      </c>
      <c r="F7026">
        <v>0</v>
      </c>
      <c r="G7026">
        <v>0</v>
      </c>
      <c r="H7026">
        <v>1</v>
      </c>
      <c r="I7026">
        <v>1</v>
      </c>
      <c r="J7026">
        <v>36694.828125</v>
      </c>
      <c r="K7026">
        <v>32689.299663611499</v>
      </c>
      <c r="L7026">
        <v>32.863</v>
      </c>
      <c r="M7026">
        <v>81.316999999999993</v>
      </c>
      <c r="N7026">
        <v>3.129</v>
      </c>
    </row>
    <row r="7027" spans="1:14" x14ac:dyDescent="0.45">
      <c r="A7027">
        <v>2013</v>
      </c>
      <c r="B7027" t="s">
        <v>103</v>
      </c>
      <c r="C7027">
        <v>1</v>
      </c>
      <c r="D7027">
        <v>0</v>
      </c>
      <c r="E7027">
        <v>0</v>
      </c>
      <c r="F7027">
        <v>0</v>
      </c>
      <c r="G7027">
        <v>0</v>
      </c>
      <c r="H7027">
        <v>1</v>
      </c>
      <c r="I7027">
        <v>1</v>
      </c>
      <c r="J7027">
        <v>39317.553569237702</v>
      </c>
      <c r="K7027">
        <v>32735.895085721801</v>
      </c>
      <c r="L7027">
        <v>26.71</v>
      </c>
      <c r="M7027">
        <v>78.168999999999997</v>
      </c>
      <c r="N7027">
        <v>3.036</v>
      </c>
    </row>
    <row r="7028" spans="1:14" x14ac:dyDescent="0.45">
      <c r="A7028">
        <v>2013</v>
      </c>
      <c r="B7028" t="s">
        <v>104</v>
      </c>
      <c r="C7028">
        <v>1</v>
      </c>
      <c r="D7028">
        <v>0</v>
      </c>
      <c r="E7028">
        <v>0</v>
      </c>
      <c r="F7028">
        <v>0</v>
      </c>
      <c r="G7028">
        <v>0</v>
      </c>
      <c r="H7028">
        <v>1</v>
      </c>
      <c r="I7028">
        <v>1</v>
      </c>
      <c r="J7028">
        <v>58223.649530274699</v>
      </c>
      <c r="K7028">
        <v>50482.939519420303</v>
      </c>
      <c r="L7028">
        <v>22.82</v>
      </c>
      <c r="M7028">
        <v>80.453999999999994</v>
      </c>
      <c r="N7028">
        <v>3.944</v>
      </c>
    </row>
    <row r="7029" spans="1:14" x14ac:dyDescent="0.45">
      <c r="A7029">
        <v>2013</v>
      </c>
      <c r="B7029" t="s">
        <v>105</v>
      </c>
      <c r="C7029">
        <v>0</v>
      </c>
      <c r="D7029">
        <v>0</v>
      </c>
      <c r="E7029">
        <v>0</v>
      </c>
      <c r="F7029">
        <v>1</v>
      </c>
      <c r="G7029">
        <v>0</v>
      </c>
      <c r="H7029">
        <v>0</v>
      </c>
      <c r="I7029">
        <v>0</v>
      </c>
      <c r="J7029">
        <v>4469.0740993313502</v>
      </c>
      <c r="K7029">
        <v>3854.8036417247099</v>
      </c>
      <c r="L7029">
        <v>22.777999999999999</v>
      </c>
      <c r="M7029">
        <v>62.116</v>
      </c>
      <c r="N7029">
        <v>69.308000000000007</v>
      </c>
    </row>
    <row r="7030" spans="1:14" x14ac:dyDescent="0.45">
      <c r="A7030">
        <v>2013</v>
      </c>
      <c r="B7030" t="s">
        <v>106</v>
      </c>
      <c r="C7030">
        <v>0</v>
      </c>
      <c r="D7030">
        <v>1</v>
      </c>
      <c r="E7030">
        <v>0</v>
      </c>
      <c r="F7030">
        <v>0</v>
      </c>
      <c r="G7030">
        <v>1</v>
      </c>
      <c r="H7030">
        <v>0</v>
      </c>
      <c r="I7030">
        <v>0</v>
      </c>
      <c r="J7030">
        <v>17282.6368040368</v>
      </c>
      <c r="K7030">
        <v>13449.837584482901</v>
      </c>
      <c r="L7030">
        <v>31.018000000000001</v>
      </c>
      <c r="M7030">
        <v>71.227999999999994</v>
      </c>
      <c r="N7030">
        <v>25.393999999999998</v>
      </c>
    </row>
    <row r="7031" spans="1:14" x14ac:dyDescent="0.45">
      <c r="A7031">
        <v>2013</v>
      </c>
      <c r="B7031" t="s">
        <v>107</v>
      </c>
      <c r="C7031">
        <v>1</v>
      </c>
      <c r="D7031">
        <v>0</v>
      </c>
      <c r="E7031">
        <v>0</v>
      </c>
      <c r="F7031">
        <v>0</v>
      </c>
      <c r="G7031">
        <v>0</v>
      </c>
      <c r="H7031">
        <v>1</v>
      </c>
      <c r="I7031">
        <v>1</v>
      </c>
      <c r="J7031">
        <v>60583.406495716699</v>
      </c>
      <c r="K7031">
        <v>51201.889614866399</v>
      </c>
      <c r="L7031">
        <v>12.708</v>
      </c>
      <c r="M7031">
        <v>80.305999999999997</v>
      </c>
      <c r="N7031">
        <v>4.0640000000000001</v>
      </c>
    </row>
    <row r="7032" spans="1:14" x14ac:dyDescent="0.45">
      <c r="A7032">
        <v>2013</v>
      </c>
      <c r="B7032" t="s">
        <v>108</v>
      </c>
      <c r="C7032">
        <v>0</v>
      </c>
      <c r="D7032">
        <v>1</v>
      </c>
      <c r="E7032">
        <v>0</v>
      </c>
      <c r="F7032">
        <v>0</v>
      </c>
      <c r="G7032">
        <v>1</v>
      </c>
      <c r="H7032">
        <v>0</v>
      </c>
      <c r="I7032">
        <v>0</v>
      </c>
      <c r="J7032">
        <v>16054.767729765599</v>
      </c>
      <c r="K7032">
        <v>13868.509684071099</v>
      </c>
      <c r="L7032">
        <v>23.251000000000001</v>
      </c>
      <c r="M7032">
        <v>73.037999999999997</v>
      </c>
      <c r="N7032">
        <v>35.023000000000003</v>
      </c>
    </row>
    <row r="7033" spans="1:14" x14ac:dyDescent="0.45">
      <c r="A7033">
        <v>2013</v>
      </c>
      <c r="B7033" t="s">
        <v>109</v>
      </c>
      <c r="C7033">
        <v>0</v>
      </c>
      <c r="D7033">
        <v>0</v>
      </c>
      <c r="E7033">
        <v>0</v>
      </c>
      <c r="F7033">
        <v>0</v>
      </c>
      <c r="G7033">
        <v>1</v>
      </c>
      <c r="H7033">
        <v>0</v>
      </c>
      <c r="I7033">
        <v>0</v>
      </c>
      <c r="J7033">
        <v>14778.1914257233</v>
      </c>
      <c r="K7033">
        <v>12925.510494103701</v>
      </c>
      <c r="L7033">
        <v>30.423999999999999</v>
      </c>
      <c r="M7033">
        <v>74.808999999999997</v>
      </c>
      <c r="N7033">
        <v>26.170999999999999</v>
      </c>
    </row>
    <row r="7034" spans="1:14" x14ac:dyDescent="0.45">
      <c r="A7034">
        <v>2013</v>
      </c>
      <c r="B7034" t="s">
        <v>110</v>
      </c>
      <c r="C7034">
        <v>0</v>
      </c>
      <c r="D7034">
        <v>1</v>
      </c>
      <c r="E7034">
        <v>0</v>
      </c>
      <c r="F7034">
        <v>0</v>
      </c>
      <c r="G7034">
        <v>1</v>
      </c>
      <c r="H7034">
        <v>0</v>
      </c>
      <c r="I7034">
        <v>0</v>
      </c>
      <c r="J7034">
        <v>13689.152046012499</v>
      </c>
      <c r="K7034">
        <v>11385.921772235701</v>
      </c>
      <c r="L7034">
        <v>36.875</v>
      </c>
      <c r="M7034">
        <v>75.831999999999994</v>
      </c>
      <c r="N7034">
        <v>16.637</v>
      </c>
    </row>
    <row r="7035" spans="1:14" x14ac:dyDescent="0.45">
      <c r="A7035">
        <v>2013</v>
      </c>
      <c r="B7035" t="s">
        <v>111</v>
      </c>
      <c r="C7035">
        <v>0</v>
      </c>
      <c r="D7035">
        <v>0</v>
      </c>
      <c r="E7035">
        <v>0</v>
      </c>
      <c r="F7035">
        <v>1</v>
      </c>
      <c r="G7035">
        <v>0</v>
      </c>
      <c r="H7035">
        <v>0</v>
      </c>
      <c r="I7035">
        <v>0</v>
      </c>
      <c r="J7035">
        <v>13058.074823925799</v>
      </c>
      <c r="K7035">
        <v>10362.668169639899</v>
      </c>
      <c r="L7035">
        <v>57.106999999999999</v>
      </c>
      <c r="M7035">
        <v>69.632000000000005</v>
      </c>
      <c r="N7035">
        <v>25.384</v>
      </c>
    </row>
    <row r="7036" spans="1:14" x14ac:dyDescent="0.45">
      <c r="A7036">
        <v>2013</v>
      </c>
      <c r="B7036" t="s">
        <v>112</v>
      </c>
      <c r="C7036">
        <v>0</v>
      </c>
      <c r="D7036">
        <v>0</v>
      </c>
      <c r="E7036">
        <v>1</v>
      </c>
      <c r="F7036">
        <v>0</v>
      </c>
      <c r="G7036">
        <v>0</v>
      </c>
      <c r="H7036">
        <v>0</v>
      </c>
      <c r="I7036">
        <v>0</v>
      </c>
      <c r="L7036">
        <v>63.021000000000001</v>
      </c>
      <c r="M7036">
        <v>65.004999999999995</v>
      </c>
      <c r="N7036">
        <v>49.886000000000003</v>
      </c>
    </row>
    <row r="7037" spans="1:14" x14ac:dyDescent="0.45">
      <c r="A7037">
        <v>2013</v>
      </c>
      <c r="B7037" t="s">
        <v>113</v>
      </c>
      <c r="C7037">
        <v>1</v>
      </c>
      <c r="D7037">
        <v>0</v>
      </c>
      <c r="E7037">
        <v>0</v>
      </c>
      <c r="F7037">
        <v>0</v>
      </c>
      <c r="G7037">
        <v>0</v>
      </c>
      <c r="H7037">
        <v>1</v>
      </c>
      <c r="I7037">
        <v>1</v>
      </c>
      <c r="J7037">
        <v>40594.914008767999</v>
      </c>
      <c r="K7037">
        <v>35724.603994521698</v>
      </c>
      <c r="L7037">
        <v>20.867000000000001</v>
      </c>
      <c r="M7037">
        <v>82.694000000000003</v>
      </c>
      <c r="N7037">
        <v>3.2069999999999999</v>
      </c>
    </row>
    <row r="7038" spans="1:14" x14ac:dyDescent="0.45">
      <c r="A7038">
        <v>2013</v>
      </c>
      <c r="B7038" t="s">
        <v>114</v>
      </c>
      <c r="C7038">
        <v>1</v>
      </c>
      <c r="D7038">
        <v>0</v>
      </c>
      <c r="E7038">
        <v>0</v>
      </c>
      <c r="F7038">
        <v>0</v>
      </c>
      <c r="G7038">
        <v>0</v>
      </c>
      <c r="H7038">
        <v>1</v>
      </c>
      <c r="I7038">
        <v>1</v>
      </c>
      <c r="J7038">
        <v>34838.362950051502</v>
      </c>
      <c r="K7038">
        <v>29557.071807042899</v>
      </c>
      <c r="L7038">
        <v>31.878</v>
      </c>
      <c r="M7038">
        <v>77.251999999999995</v>
      </c>
      <c r="N7038">
        <v>3.2250000000000001</v>
      </c>
    </row>
    <row r="7039" spans="1:14" x14ac:dyDescent="0.45">
      <c r="A7039">
        <v>2013</v>
      </c>
      <c r="B7039" t="s">
        <v>115</v>
      </c>
      <c r="C7039">
        <v>0</v>
      </c>
      <c r="D7039">
        <v>0</v>
      </c>
      <c r="E7039">
        <v>1</v>
      </c>
      <c r="F7039">
        <v>0</v>
      </c>
      <c r="G7039">
        <v>0</v>
      </c>
      <c r="H7039">
        <v>0</v>
      </c>
      <c r="I7039">
        <v>0</v>
      </c>
      <c r="J7039">
        <v>1696.8651558741301</v>
      </c>
      <c r="K7039">
        <v>1530.3863990729501</v>
      </c>
      <c r="L7039">
        <v>81.424999999999997</v>
      </c>
      <c r="M7039">
        <v>62.161000000000001</v>
      </c>
      <c r="N7039">
        <v>70.364000000000004</v>
      </c>
    </row>
    <row r="7040" spans="1:14" x14ac:dyDescent="0.45">
      <c r="A7040">
        <v>2013</v>
      </c>
      <c r="B7040" t="s">
        <v>116</v>
      </c>
      <c r="C7040">
        <v>1</v>
      </c>
      <c r="D7040">
        <v>0</v>
      </c>
      <c r="E7040">
        <v>0</v>
      </c>
      <c r="F7040">
        <v>0</v>
      </c>
      <c r="G7040">
        <v>0</v>
      </c>
      <c r="H7040">
        <v>1</v>
      </c>
      <c r="I7040">
        <v>1</v>
      </c>
      <c r="J7040">
        <v>53183.428668512599</v>
      </c>
      <c r="K7040">
        <v>44710.394357302001</v>
      </c>
      <c r="L7040">
        <v>14.875</v>
      </c>
      <c r="M7040">
        <v>80.869</v>
      </c>
      <c r="N7040">
        <v>2.294</v>
      </c>
    </row>
    <row r="7041" spans="1:14" x14ac:dyDescent="0.45">
      <c r="A7041">
        <v>2013</v>
      </c>
      <c r="B7041" t="s">
        <v>117</v>
      </c>
      <c r="C7041">
        <v>0</v>
      </c>
      <c r="D7041">
        <v>0</v>
      </c>
      <c r="E7041">
        <v>0</v>
      </c>
      <c r="F7041">
        <v>0</v>
      </c>
      <c r="G7041">
        <v>1</v>
      </c>
      <c r="H7041">
        <v>0</v>
      </c>
      <c r="I7041">
        <v>0</v>
      </c>
      <c r="J7041">
        <v>11019.298362928799</v>
      </c>
      <c r="K7041">
        <v>10791.2286149593</v>
      </c>
      <c r="L7041">
        <v>46.293999999999997</v>
      </c>
      <c r="M7041">
        <v>66.545000000000002</v>
      </c>
      <c r="N7041">
        <v>21.48</v>
      </c>
    </row>
    <row r="7042" spans="1:14" x14ac:dyDescent="0.45">
      <c r="A7042">
        <v>2013</v>
      </c>
      <c r="B7042" t="s">
        <v>118</v>
      </c>
      <c r="C7042">
        <v>1</v>
      </c>
      <c r="D7042">
        <v>0</v>
      </c>
      <c r="E7042">
        <v>0</v>
      </c>
      <c r="F7042">
        <v>0</v>
      </c>
      <c r="G7042">
        <v>0</v>
      </c>
      <c r="H7042">
        <v>1</v>
      </c>
      <c r="I7042">
        <v>1</v>
      </c>
      <c r="J7042">
        <v>50066.530432478299</v>
      </c>
      <c r="K7042">
        <v>41800.485567552299</v>
      </c>
      <c r="L7042">
        <v>20.864999999999998</v>
      </c>
      <c r="M7042">
        <v>81.978999999999999</v>
      </c>
      <c r="N7042">
        <v>4.28</v>
      </c>
    </row>
    <row r="7043" spans="1:14" x14ac:dyDescent="0.45">
      <c r="A7043">
        <v>2013</v>
      </c>
      <c r="B7043" t="s">
        <v>119</v>
      </c>
      <c r="C7043">
        <v>1</v>
      </c>
      <c r="D7043">
        <v>0</v>
      </c>
      <c r="E7043">
        <v>0</v>
      </c>
      <c r="F7043">
        <v>0</v>
      </c>
      <c r="G7043">
        <v>0</v>
      </c>
      <c r="H7043">
        <v>1</v>
      </c>
      <c r="I7043">
        <v>1</v>
      </c>
      <c r="J7043">
        <v>60123.7267080971</v>
      </c>
      <c r="K7043">
        <v>52527.776402787997</v>
      </c>
      <c r="L7043">
        <v>58.637</v>
      </c>
      <c r="M7043">
        <v>79.153999999999996</v>
      </c>
      <c r="N7043">
        <v>8.4149999999999991</v>
      </c>
    </row>
    <row r="7044" spans="1:14" x14ac:dyDescent="0.45">
      <c r="A7044">
        <v>2013</v>
      </c>
      <c r="B7044" t="s">
        <v>120</v>
      </c>
      <c r="C7044">
        <v>0</v>
      </c>
      <c r="D7044">
        <v>0</v>
      </c>
      <c r="E7044">
        <v>0</v>
      </c>
      <c r="F7044">
        <v>1</v>
      </c>
      <c r="G7044">
        <v>0</v>
      </c>
      <c r="H7044">
        <v>0</v>
      </c>
      <c r="I7044">
        <v>0</v>
      </c>
      <c r="J7044">
        <v>3727.4260650983701</v>
      </c>
      <c r="K7044">
        <v>3373.8349387822</v>
      </c>
      <c r="L7044">
        <v>77.644999999999996</v>
      </c>
      <c r="M7044">
        <v>65.179000000000002</v>
      </c>
      <c r="N7044">
        <v>31.242000000000001</v>
      </c>
    </row>
    <row r="7045" spans="1:14" x14ac:dyDescent="0.45">
      <c r="A7045">
        <v>2013</v>
      </c>
      <c r="B7045" t="s">
        <v>121</v>
      </c>
      <c r="C7045">
        <v>0</v>
      </c>
      <c r="D7045">
        <v>0</v>
      </c>
      <c r="E7045">
        <v>1</v>
      </c>
      <c r="F7045">
        <v>0</v>
      </c>
      <c r="G7045">
        <v>1</v>
      </c>
      <c r="H7045">
        <v>0</v>
      </c>
      <c r="I7045">
        <v>0</v>
      </c>
      <c r="J7045">
        <v>19836.455485140999</v>
      </c>
      <c r="K7045">
        <v>15009.054051662601</v>
      </c>
      <c r="L7045">
        <v>12.843999999999999</v>
      </c>
      <c r="M7045">
        <v>65.751000000000005</v>
      </c>
      <c r="N7045">
        <v>54.47</v>
      </c>
    </row>
    <row r="7046" spans="1:14" x14ac:dyDescent="0.45">
      <c r="A7046">
        <v>2013</v>
      </c>
      <c r="B7046" t="s">
        <v>122</v>
      </c>
      <c r="C7046">
        <v>1</v>
      </c>
      <c r="D7046">
        <v>0</v>
      </c>
      <c r="E7046">
        <v>0</v>
      </c>
      <c r="F7046">
        <v>0</v>
      </c>
      <c r="G7046">
        <v>0</v>
      </c>
      <c r="H7046">
        <v>1</v>
      </c>
      <c r="I7046">
        <v>1</v>
      </c>
      <c r="J7046">
        <v>48083.803426904102</v>
      </c>
      <c r="K7046">
        <v>41425.646709025401</v>
      </c>
      <c r="L7046">
        <v>17.898</v>
      </c>
      <c r="M7046">
        <v>80.923000000000002</v>
      </c>
      <c r="N7046">
        <v>4.5259999999999998</v>
      </c>
    </row>
    <row r="7047" spans="1:14" x14ac:dyDescent="0.45">
      <c r="A7047">
        <v>2013</v>
      </c>
      <c r="B7047" t="s">
        <v>123</v>
      </c>
      <c r="C7047">
        <v>1</v>
      </c>
      <c r="D7047">
        <v>0</v>
      </c>
      <c r="E7047">
        <v>0</v>
      </c>
      <c r="F7047">
        <v>1</v>
      </c>
      <c r="G7047">
        <v>0</v>
      </c>
      <c r="H7047">
        <v>0</v>
      </c>
      <c r="I7047">
        <v>0</v>
      </c>
      <c r="J7047">
        <v>13913.001824566099</v>
      </c>
      <c r="K7047">
        <v>11754.8960043641</v>
      </c>
      <c r="L7047">
        <v>43.314999999999998</v>
      </c>
      <c r="M7047">
        <v>73.025000000000006</v>
      </c>
      <c r="N7047">
        <v>11.708</v>
      </c>
    </row>
    <row r="7048" spans="1:14" x14ac:dyDescent="0.45">
      <c r="A7048">
        <v>2013</v>
      </c>
      <c r="B7048" t="s">
        <v>124</v>
      </c>
      <c r="C7048">
        <v>0</v>
      </c>
      <c r="D7048">
        <v>0</v>
      </c>
      <c r="E7048">
        <v>1</v>
      </c>
      <c r="F7048">
        <v>1</v>
      </c>
      <c r="G7048">
        <v>0</v>
      </c>
      <c r="H7048">
        <v>0</v>
      </c>
      <c r="I7048">
        <v>0</v>
      </c>
      <c r="J7048">
        <v>5593.7748188691703</v>
      </c>
      <c r="K7048">
        <v>4825.9885387119502</v>
      </c>
      <c r="L7048">
        <v>47.252000000000002</v>
      </c>
      <c r="M7048">
        <v>62.396999999999998</v>
      </c>
      <c r="N7048">
        <v>60.701000000000001</v>
      </c>
    </row>
    <row r="7049" spans="1:14" x14ac:dyDescent="0.45">
      <c r="A7049">
        <v>2013</v>
      </c>
      <c r="B7049" t="s">
        <v>125</v>
      </c>
      <c r="C7049">
        <v>1</v>
      </c>
      <c r="D7049">
        <v>0</v>
      </c>
      <c r="E7049">
        <v>0</v>
      </c>
      <c r="F7049">
        <v>0</v>
      </c>
      <c r="G7049">
        <v>0</v>
      </c>
      <c r="H7049">
        <v>1</v>
      </c>
      <c r="I7049">
        <v>1</v>
      </c>
      <c r="L7049">
        <v>0</v>
      </c>
      <c r="M7049">
        <v>82.585999999999999</v>
      </c>
      <c r="N7049">
        <v>11.659000000000001</v>
      </c>
    </row>
    <row r="7050" spans="1:14" x14ac:dyDescent="0.45">
      <c r="A7050">
        <v>2013</v>
      </c>
      <c r="B7050" t="s">
        <v>126</v>
      </c>
      <c r="C7050">
        <v>0</v>
      </c>
      <c r="D7050">
        <v>0</v>
      </c>
      <c r="E7050">
        <v>1</v>
      </c>
      <c r="F7050">
        <v>0</v>
      </c>
      <c r="G7050">
        <v>0</v>
      </c>
      <c r="H7050">
        <v>0</v>
      </c>
      <c r="I7050">
        <v>0</v>
      </c>
      <c r="J7050">
        <v>2802.56007024474</v>
      </c>
      <c r="K7050">
        <v>2259.6083690760802</v>
      </c>
      <c r="L7050">
        <v>65.454999999999998</v>
      </c>
      <c r="M7050">
        <v>57.459000000000003</v>
      </c>
      <c r="N7050">
        <v>115.533</v>
      </c>
    </row>
    <row r="7051" spans="1:14" x14ac:dyDescent="0.45">
      <c r="A7051">
        <v>2013</v>
      </c>
      <c r="B7051" t="s">
        <v>127</v>
      </c>
      <c r="C7051">
        <v>0</v>
      </c>
      <c r="D7051">
        <v>0</v>
      </c>
      <c r="E7051">
        <v>1</v>
      </c>
      <c r="F7051">
        <v>0</v>
      </c>
      <c r="G7051">
        <v>0</v>
      </c>
      <c r="H7051">
        <v>0</v>
      </c>
      <c r="I7051">
        <v>0</v>
      </c>
      <c r="J7051">
        <v>2572.4472894168498</v>
      </c>
      <c r="K7051">
        <v>2070.5550164081801</v>
      </c>
      <c r="L7051">
        <v>42.18</v>
      </c>
      <c r="M7051">
        <v>62.252000000000002</v>
      </c>
      <c r="N7051">
        <v>64.704999999999998</v>
      </c>
    </row>
    <row r="7052" spans="1:14" x14ac:dyDescent="0.45">
      <c r="A7052">
        <v>2013</v>
      </c>
      <c r="B7052" t="s">
        <v>128</v>
      </c>
      <c r="C7052">
        <v>0</v>
      </c>
      <c r="D7052">
        <v>0</v>
      </c>
      <c r="E7052">
        <v>1</v>
      </c>
      <c r="F7052">
        <v>0</v>
      </c>
      <c r="G7052">
        <v>0</v>
      </c>
      <c r="H7052">
        <v>0</v>
      </c>
      <c r="I7052">
        <v>0</v>
      </c>
      <c r="J7052">
        <v>2166.0079802876098</v>
      </c>
      <c r="K7052">
        <v>1948.53741894276</v>
      </c>
      <c r="L7052">
        <v>58.69</v>
      </c>
      <c r="M7052">
        <v>58.878999999999998</v>
      </c>
      <c r="N7052">
        <v>100.02500000000001</v>
      </c>
    </row>
    <row r="7053" spans="1:14" x14ac:dyDescent="0.45">
      <c r="A7053">
        <v>2013</v>
      </c>
      <c r="B7053" t="s">
        <v>129</v>
      </c>
      <c r="C7053">
        <v>0</v>
      </c>
      <c r="D7053">
        <v>0</v>
      </c>
      <c r="E7053">
        <v>1</v>
      </c>
      <c r="F7053">
        <v>0</v>
      </c>
      <c r="G7053">
        <v>0</v>
      </c>
      <c r="H7053">
        <v>1</v>
      </c>
      <c r="I7053">
        <v>1</v>
      </c>
      <c r="J7053">
        <v>32894.369318910103</v>
      </c>
      <c r="K7053">
        <v>27253.404663450401</v>
      </c>
      <c r="L7053">
        <v>30.456</v>
      </c>
      <c r="M7053">
        <v>59.783999999999999</v>
      </c>
      <c r="N7053">
        <v>100.01</v>
      </c>
    </row>
    <row r="7054" spans="1:14" x14ac:dyDescent="0.45">
      <c r="A7054">
        <v>2013</v>
      </c>
      <c r="B7054" t="s">
        <v>130</v>
      </c>
      <c r="C7054">
        <v>1</v>
      </c>
      <c r="D7054">
        <v>0</v>
      </c>
      <c r="E7054">
        <v>0</v>
      </c>
      <c r="F7054">
        <v>0</v>
      </c>
      <c r="G7054">
        <v>0</v>
      </c>
      <c r="H7054">
        <v>1</v>
      </c>
      <c r="I7054">
        <v>1</v>
      </c>
      <c r="J7054">
        <v>30762.443222781301</v>
      </c>
      <c r="K7054">
        <v>27538.358050215698</v>
      </c>
      <c r="L7054">
        <v>22.645</v>
      </c>
      <c r="M7054">
        <v>81.066999999999993</v>
      </c>
      <c r="N7054">
        <v>4.1230000000000002</v>
      </c>
    </row>
    <row r="7055" spans="1:14" x14ac:dyDescent="0.45">
      <c r="A7055">
        <v>2013</v>
      </c>
      <c r="B7055" t="s">
        <v>131</v>
      </c>
      <c r="C7055">
        <v>0</v>
      </c>
      <c r="D7055">
        <v>1</v>
      </c>
      <c r="E7055">
        <v>0</v>
      </c>
      <c r="F7055">
        <v>0</v>
      </c>
      <c r="G7055">
        <v>1</v>
      </c>
      <c r="H7055">
        <v>0</v>
      </c>
      <c r="I7055">
        <v>0</v>
      </c>
      <c r="J7055">
        <v>13394.5216776985</v>
      </c>
      <c r="K7055">
        <v>12359.193092149701</v>
      </c>
      <c r="L7055">
        <v>64.103999999999999</v>
      </c>
      <c r="M7055">
        <v>75.022000000000006</v>
      </c>
      <c r="N7055">
        <v>14.769</v>
      </c>
    </row>
    <row r="7056" spans="1:14" x14ac:dyDescent="0.45">
      <c r="A7056">
        <v>2013</v>
      </c>
      <c r="B7056" t="s">
        <v>132</v>
      </c>
      <c r="C7056">
        <v>1</v>
      </c>
      <c r="D7056">
        <v>0</v>
      </c>
      <c r="E7056">
        <v>0</v>
      </c>
      <c r="F7056">
        <v>0</v>
      </c>
      <c r="G7056">
        <v>0</v>
      </c>
      <c r="H7056">
        <v>1</v>
      </c>
      <c r="I7056">
        <v>1</v>
      </c>
      <c r="J7056">
        <v>61659.641522598497</v>
      </c>
      <c r="K7056">
        <v>55812.344890432898</v>
      </c>
      <c r="L7056">
        <v>14.449</v>
      </c>
      <c r="M7056">
        <v>69.801000000000002</v>
      </c>
      <c r="N7056">
        <v>11.225</v>
      </c>
    </row>
    <row r="7057" spans="1:14" x14ac:dyDescent="0.45">
      <c r="A7057">
        <v>2013</v>
      </c>
      <c r="B7057" t="s">
        <v>133</v>
      </c>
      <c r="C7057">
        <v>0</v>
      </c>
      <c r="D7057">
        <v>1</v>
      </c>
      <c r="E7057">
        <v>0</v>
      </c>
      <c r="F7057">
        <v>1</v>
      </c>
      <c r="G7057">
        <v>0</v>
      </c>
      <c r="H7057">
        <v>0</v>
      </c>
      <c r="I7057">
        <v>0</v>
      </c>
      <c r="J7057">
        <v>10297.8392855208</v>
      </c>
      <c r="K7057">
        <v>8945.4823351260693</v>
      </c>
      <c r="L7057">
        <v>50.689</v>
      </c>
      <c r="M7057">
        <v>70.878</v>
      </c>
      <c r="N7057">
        <v>30.722000000000001</v>
      </c>
    </row>
    <row r="7058" spans="1:14" x14ac:dyDescent="0.45">
      <c r="A7058">
        <v>2013</v>
      </c>
      <c r="B7058" t="s">
        <v>134</v>
      </c>
      <c r="C7058">
        <v>0</v>
      </c>
      <c r="D7058">
        <v>0</v>
      </c>
      <c r="E7058">
        <v>0</v>
      </c>
      <c r="F7058">
        <v>0</v>
      </c>
      <c r="G7058">
        <v>0</v>
      </c>
      <c r="H7058">
        <v>1</v>
      </c>
      <c r="I7058">
        <v>1</v>
      </c>
      <c r="L7058">
        <v>5.6360000000000001</v>
      </c>
      <c r="M7058">
        <v>76.361000000000004</v>
      </c>
      <c r="N7058">
        <v>13.407999999999999</v>
      </c>
    </row>
    <row r="7059" spans="1:14" x14ac:dyDescent="0.45">
      <c r="A7059">
        <v>2013</v>
      </c>
      <c r="B7059" t="s">
        <v>135</v>
      </c>
      <c r="C7059">
        <v>0</v>
      </c>
      <c r="D7059">
        <v>1</v>
      </c>
      <c r="E7059">
        <v>0</v>
      </c>
      <c r="F7059">
        <v>1</v>
      </c>
      <c r="G7059">
        <v>0</v>
      </c>
      <c r="H7059">
        <v>0</v>
      </c>
      <c r="I7059">
        <v>0</v>
      </c>
      <c r="J7059">
        <v>11896.906985494201</v>
      </c>
      <c r="K7059">
        <v>11377.953651326399</v>
      </c>
      <c r="L7059">
        <v>73.599999999999994</v>
      </c>
      <c r="M7059">
        <v>66.709999999999994</v>
      </c>
      <c r="N7059">
        <v>34.808999999999997</v>
      </c>
    </row>
    <row r="7060" spans="1:14" x14ac:dyDescent="0.45">
      <c r="A7060">
        <v>2013</v>
      </c>
      <c r="B7060" t="s">
        <v>136</v>
      </c>
      <c r="C7060">
        <v>0</v>
      </c>
      <c r="D7060">
        <v>0</v>
      </c>
      <c r="E7060">
        <v>0</v>
      </c>
      <c r="F7060">
        <v>0</v>
      </c>
      <c r="G7060">
        <v>0</v>
      </c>
      <c r="H7060">
        <v>1</v>
      </c>
      <c r="I7060">
        <v>1</v>
      </c>
      <c r="J7060">
        <v>60601.574999999597</v>
      </c>
      <c r="K7060">
        <v>54693.130384931203</v>
      </c>
      <c r="L7060">
        <v>0</v>
      </c>
      <c r="M7060">
        <v>83.694999999999993</v>
      </c>
      <c r="N7060">
        <v>2.76</v>
      </c>
    </row>
    <row r="7061" spans="1:14" x14ac:dyDescent="0.45">
      <c r="A7061">
        <v>2013</v>
      </c>
      <c r="B7061" t="s">
        <v>137</v>
      </c>
      <c r="C7061">
        <v>0</v>
      </c>
      <c r="D7061">
        <v>1</v>
      </c>
      <c r="E7061">
        <v>0</v>
      </c>
      <c r="F7061">
        <v>1</v>
      </c>
      <c r="G7061">
        <v>0</v>
      </c>
      <c r="H7061">
        <v>0</v>
      </c>
      <c r="I7061">
        <v>0</v>
      </c>
      <c r="J7061">
        <v>5644.1338480204504</v>
      </c>
      <c r="K7061">
        <v>5200.9453528407603</v>
      </c>
      <c r="L7061">
        <v>46.142000000000003</v>
      </c>
      <c r="M7061">
        <v>70.765000000000001</v>
      </c>
      <c r="N7061">
        <v>22.047000000000001</v>
      </c>
    </row>
    <row r="7062" spans="1:14" x14ac:dyDescent="0.45">
      <c r="A7062">
        <v>2013</v>
      </c>
      <c r="B7062" t="s">
        <v>138</v>
      </c>
      <c r="C7062">
        <v>1</v>
      </c>
      <c r="D7062">
        <v>0</v>
      </c>
      <c r="E7062">
        <v>0</v>
      </c>
      <c r="F7062">
        <v>0</v>
      </c>
      <c r="G7062">
        <v>0</v>
      </c>
      <c r="H7062">
        <v>1</v>
      </c>
      <c r="I7062">
        <v>1</v>
      </c>
      <c r="J7062">
        <v>28401.685351694101</v>
      </c>
      <c r="K7062">
        <v>24493.873047185702</v>
      </c>
      <c r="L7062">
        <v>44.293999999999997</v>
      </c>
      <c r="M7062">
        <v>77.510000000000005</v>
      </c>
      <c r="N7062">
        <v>4.9850000000000003</v>
      </c>
    </row>
    <row r="7063" spans="1:14" x14ac:dyDescent="0.45">
      <c r="A7063">
        <v>2013</v>
      </c>
      <c r="B7063" t="s">
        <v>139</v>
      </c>
      <c r="C7063">
        <v>0</v>
      </c>
      <c r="D7063">
        <v>1</v>
      </c>
      <c r="E7063">
        <v>0</v>
      </c>
      <c r="F7063">
        <v>0</v>
      </c>
      <c r="G7063">
        <v>0</v>
      </c>
      <c r="H7063">
        <v>0</v>
      </c>
      <c r="I7063">
        <v>0</v>
      </c>
      <c r="J7063">
        <v>3376.6398200048502</v>
      </c>
      <c r="K7063">
        <v>3245.4768120461699</v>
      </c>
      <c r="L7063">
        <v>49.54</v>
      </c>
      <c r="M7063">
        <v>62.624000000000002</v>
      </c>
      <c r="N7063">
        <v>73.894000000000005</v>
      </c>
    </row>
    <row r="7064" spans="1:14" x14ac:dyDescent="0.45">
      <c r="A7064">
        <v>2013</v>
      </c>
      <c r="B7064" t="s">
        <v>140</v>
      </c>
      <c r="C7064">
        <v>1</v>
      </c>
      <c r="D7064">
        <v>0</v>
      </c>
      <c r="E7064">
        <v>0</v>
      </c>
      <c r="F7064">
        <v>0</v>
      </c>
      <c r="G7064">
        <v>1</v>
      </c>
      <c r="H7064">
        <v>0</v>
      </c>
      <c r="I7064">
        <v>0</v>
      </c>
      <c r="J7064">
        <v>28891.0217544976</v>
      </c>
      <c r="K7064">
        <v>25176.1413690269</v>
      </c>
      <c r="L7064">
        <v>30.047000000000001</v>
      </c>
      <c r="M7064">
        <v>75.683000000000007</v>
      </c>
      <c r="N7064">
        <v>5.8289999999999997</v>
      </c>
    </row>
    <row r="7065" spans="1:14" x14ac:dyDescent="0.45">
      <c r="A7065">
        <v>2013</v>
      </c>
      <c r="B7065" t="s">
        <v>141</v>
      </c>
      <c r="C7065">
        <v>0</v>
      </c>
      <c r="D7065">
        <v>0</v>
      </c>
      <c r="E7065">
        <v>0</v>
      </c>
      <c r="F7065">
        <v>1</v>
      </c>
      <c r="G7065">
        <v>0</v>
      </c>
      <c r="H7065">
        <v>0</v>
      </c>
      <c r="I7065">
        <v>0</v>
      </c>
      <c r="J7065">
        <v>10121.8141535043</v>
      </c>
      <c r="K7065">
        <v>9189.0119187991695</v>
      </c>
      <c r="L7065">
        <v>48.045000000000002</v>
      </c>
      <c r="M7065">
        <v>69.063999999999993</v>
      </c>
      <c r="N7065">
        <v>29.847000000000001</v>
      </c>
    </row>
    <row r="7066" spans="1:14" x14ac:dyDescent="0.45">
      <c r="A7066">
        <v>2013</v>
      </c>
      <c r="B7066" t="s">
        <v>142</v>
      </c>
      <c r="C7066">
        <v>1</v>
      </c>
      <c r="D7066">
        <v>0</v>
      </c>
      <c r="E7066">
        <v>0</v>
      </c>
      <c r="F7066">
        <v>0</v>
      </c>
      <c r="G7066">
        <v>0</v>
      </c>
      <c r="H7066">
        <v>1</v>
      </c>
      <c r="I7066">
        <v>1</v>
      </c>
      <c r="L7066">
        <v>47.904000000000003</v>
      </c>
      <c r="M7066">
        <v>80.12</v>
      </c>
      <c r="N7066">
        <v>14.78</v>
      </c>
    </row>
    <row r="7067" spans="1:14" x14ac:dyDescent="0.45">
      <c r="A7067">
        <v>2013</v>
      </c>
      <c r="B7067" t="s">
        <v>143</v>
      </c>
      <c r="C7067">
        <v>0</v>
      </c>
      <c r="D7067">
        <v>0</v>
      </c>
      <c r="E7067">
        <v>0</v>
      </c>
      <c r="F7067">
        <v>1</v>
      </c>
      <c r="G7067">
        <v>0</v>
      </c>
      <c r="H7067">
        <v>0</v>
      </c>
      <c r="I7067">
        <v>0</v>
      </c>
      <c r="J7067">
        <v>5732.2418909087601</v>
      </c>
      <c r="K7067">
        <v>4807.5472795103597</v>
      </c>
      <c r="L7067">
        <v>67.997</v>
      </c>
      <c r="M7067">
        <v>68.498999999999995</v>
      </c>
      <c r="N7067">
        <v>48.933999999999997</v>
      </c>
    </row>
    <row r="7068" spans="1:14" x14ac:dyDescent="0.45">
      <c r="A7068">
        <v>2013</v>
      </c>
      <c r="B7068" t="s">
        <v>144</v>
      </c>
      <c r="C7068">
        <v>1</v>
      </c>
      <c r="D7068">
        <v>0</v>
      </c>
      <c r="E7068">
        <v>0</v>
      </c>
      <c r="F7068">
        <v>0</v>
      </c>
      <c r="G7068">
        <v>0</v>
      </c>
      <c r="H7068">
        <v>1</v>
      </c>
      <c r="I7068">
        <v>1</v>
      </c>
      <c r="J7068">
        <v>60494.162753994002</v>
      </c>
      <c r="K7068">
        <v>55621.226528976098</v>
      </c>
      <c r="L7068">
        <v>37.859000000000002</v>
      </c>
      <c r="M7068">
        <v>81.064999999999998</v>
      </c>
      <c r="N7068">
        <v>4.2290000000000001</v>
      </c>
    </row>
    <row r="7069" spans="1:14" x14ac:dyDescent="0.45">
      <c r="A7069">
        <v>2013</v>
      </c>
      <c r="B7069" t="s">
        <v>145</v>
      </c>
      <c r="C7069">
        <v>0</v>
      </c>
      <c r="D7069">
        <v>0</v>
      </c>
      <c r="E7069">
        <v>0</v>
      </c>
      <c r="F7069">
        <v>0</v>
      </c>
      <c r="G7069">
        <v>1</v>
      </c>
      <c r="H7069">
        <v>0</v>
      </c>
      <c r="I7069">
        <v>0</v>
      </c>
      <c r="J7069">
        <v>13804.7912969754</v>
      </c>
      <c r="K7069">
        <v>13770.2057655886</v>
      </c>
      <c r="L7069">
        <v>27.704999999999998</v>
      </c>
      <c r="M7069">
        <v>75.349000000000004</v>
      </c>
      <c r="N7069">
        <v>16.844999999999999</v>
      </c>
    </row>
    <row r="7070" spans="1:14" x14ac:dyDescent="0.45">
      <c r="A7070">
        <v>2013</v>
      </c>
      <c r="B7070" t="s">
        <v>146</v>
      </c>
      <c r="C7070">
        <v>0</v>
      </c>
      <c r="D7070">
        <v>0</v>
      </c>
      <c r="E7070">
        <v>0</v>
      </c>
      <c r="F7070">
        <v>0</v>
      </c>
      <c r="G7070">
        <v>1</v>
      </c>
      <c r="H7070">
        <v>0</v>
      </c>
      <c r="I7070">
        <v>0</v>
      </c>
      <c r="J7070">
        <v>13712.9317142992</v>
      </c>
      <c r="K7070">
        <v>9693.5173932782309</v>
      </c>
      <c r="L7070">
        <v>30.405000000000001</v>
      </c>
      <c r="M7070">
        <v>69.046999999999997</v>
      </c>
      <c r="N7070">
        <v>32.253</v>
      </c>
    </row>
    <row r="7071" spans="1:14" x14ac:dyDescent="0.45">
      <c r="A7071">
        <v>2013</v>
      </c>
      <c r="B7071" t="s">
        <v>147</v>
      </c>
      <c r="C7071">
        <v>1</v>
      </c>
      <c r="D7071">
        <v>0</v>
      </c>
      <c r="E7071">
        <v>0</v>
      </c>
      <c r="F7071">
        <v>0</v>
      </c>
      <c r="G7071">
        <v>0</v>
      </c>
      <c r="H7071">
        <v>1</v>
      </c>
      <c r="I7071">
        <v>1</v>
      </c>
      <c r="J7071">
        <v>57707.422120467003</v>
      </c>
      <c r="K7071">
        <v>49933.590988684497</v>
      </c>
      <c r="L7071">
        <v>6.367</v>
      </c>
      <c r="M7071">
        <v>81.742999999999995</v>
      </c>
      <c r="N7071">
        <v>2.7959999999999998</v>
      </c>
    </row>
    <row r="7072" spans="1:14" x14ac:dyDescent="0.45">
      <c r="A7072">
        <v>2013</v>
      </c>
      <c r="B7072" t="s">
        <v>148</v>
      </c>
      <c r="C7072">
        <v>0</v>
      </c>
      <c r="D7072">
        <v>0</v>
      </c>
      <c r="E7072">
        <v>0</v>
      </c>
      <c r="F7072">
        <v>0</v>
      </c>
      <c r="G7072">
        <v>0</v>
      </c>
      <c r="H7072">
        <v>1</v>
      </c>
      <c r="I7072">
        <v>1</v>
      </c>
      <c r="J7072">
        <v>40148.777449286703</v>
      </c>
      <c r="K7072">
        <v>36827.557140466197</v>
      </c>
      <c r="L7072">
        <v>7.9689999999999896</v>
      </c>
      <c r="M7072">
        <v>82.353999999999999</v>
      </c>
      <c r="N7072">
        <v>3.9409999999999998</v>
      </c>
    </row>
    <row r="7073" spans="1:14" x14ac:dyDescent="0.45">
      <c r="A7073">
        <v>2013</v>
      </c>
      <c r="B7073" t="s">
        <v>149</v>
      </c>
      <c r="C7073">
        <v>1</v>
      </c>
      <c r="D7073">
        <v>0</v>
      </c>
      <c r="E7073">
        <v>0</v>
      </c>
      <c r="F7073">
        <v>0</v>
      </c>
      <c r="G7073">
        <v>0</v>
      </c>
      <c r="H7073">
        <v>1</v>
      </c>
      <c r="I7073">
        <v>1</v>
      </c>
      <c r="J7073">
        <v>46833.361530930299</v>
      </c>
      <c r="K7073">
        <v>39891.117286091197</v>
      </c>
      <c r="L7073">
        <v>31.021000000000001</v>
      </c>
      <c r="M7073">
        <v>82.652000000000001</v>
      </c>
      <c r="N7073">
        <v>3.4449999999999998</v>
      </c>
    </row>
    <row r="7074" spans="1:14" x14ac:dyDescent="0.45">
      <c r="A7074">
        <v>2013</v>
      </c>
      <c r="B7074" t="s">
        <v>150</v>
      </c>
      <c r="C7074">
        <v>0</v>
      </c>
      <c r="D7074">
        <v>1</v>
      </c>
      <c r="E7074">
        <v>0</v>
      </c>
      <c r="F7074">
        <v>0</v>
      </c>
      <c r="G7074">
        <v>1</v>
      </c>
      <c r="H7074">
        <v>0</v>
      </c>
      <c r="I7074">
        <v>0</v>
      </c>
      <c r="J7074">
        <v>9687.6083035315296</v>
      </c>
      <c r="K7074">
        <v>9547.4301374462393</v>
      </c>
      <c r="L7074">
        <v>45.65</v>
      </c>
      <c r="M7074">
        <v>72.435000000000002</v>
      </c>
      <c r="N7074">
        <v>18.835000000000001</v>
      </c>
    </row>
    <row r="7075" spans="1:14" x14ac:dyDescent="0.45">
      <c r="A7075">
        <v>2013</v>
      </c>
      <c r="B7075" t="s">
        <v>151</v>
      </c>
      <c r="C7075">
        <v>0</v>
      </c>
      <c r="D7075">
        <v>0</v>
      </c>
      <c r="E7075">
        <v>0</v>
      </c>
      <c r="F7075">
        <v>0</v>
      </c>
      <c r="G7075">
        <v>1</v>
      </c>
      <c r="H7075">
        <v>0</v>
      </c>
      <c r="I7075">
        <v>0</v>
      </c>
      <c r="J7075">
        <v>10799.353814332901</v>
      </c>
      <c r="K7075">
        <v>10713.448098758299</v>
      </c>
      <c r="L7075">
        <v>10.875</v>
      </c>
      <c r="M7075">
        <v>74.281999999999996</v>
      </c>
      <c r="N7075">
        <v>18.565999999999999</v>
      </c>
    </row>
    <row r="7076" spans="1:14" x14ac:dyDescent="0.45">
      <c r="A7076">
        <v>2013</v>
      </c>
      <c r="B7076" t="s">
        <v>152</v>
      </c>
      <c r="C7076">
        <v>0</v>
      </c>
      <c r="D7076">
        <v>0</v>
      </c>
      <c r="E7076">
        <v>0</v>
      </c>
      <c r="F7076">
        <v>0</v>
      </c>
      <c r="G7076">
        <v>0</v>
      </c>
      <c r="H7076">
        <v>1</v>
      </c>
      <c r="I7076">
        <v>1</v>
      </c>
      <c r="J7076">
        <v>42492.243956049802</v>
      </c>
      <c r="K7076">
        <v>39361.939068764601</v>
      </c>
      <c r="L7076">
        <v>8.7739999999999991</v>
      </c>
      <c r="M7076">
        <v>83.402000000000001</v>
      </c>
      <c r="N7076">
        <v>2.879</v>
      </c>
    </row>
    <row r="7077" spans="1:14" x14ac:dyDescent="0.45">
      <c r="A7077">
        <v>2013</v>
      </c>
      <c r="B7077" t="s">
        <v>153</v>
      </c>
      <c r="C7077">
        <v>1</v>
      </c>
      <c r="D7077">
        <v>0</v>
      </c>
      <c r="E7077">
        <v>0</v>
      </c>
      <c r="F7077">
        <v>0</v>
      </c>
      <c r="G7077">
        <v>1</v>
      </c>
      <c r="H7077">
        <v>0</v>
      </c>
      <c r="I7077">
        <v>0</v>
      </c>
      <c r="J7077">
        <v>30177.488722173599</v>
      </c>
      <c r="K7077">
        <v>22948.755324301801</v>
      </c>
      <c r="L7077">
        <v>42.954000000000001</v>
      </c>
      <c r="M7077">
        <v>70.718999999999994</v>
      </c>
      <c r="N7077">
        <v>14.765000000000001</v>
      </c>
    </row>
    <row r="7078" spans="1:14" x14ac:dyDescent="0.45">
      <c r="A7078">
        <v>2013</v>
      </c>
      <c r="B7078" t="s">
        <v>154</v>
      </c>
      <c r="C7078">
        <v>0</v>
      </c>
      <c r="D7078">
        <v>0</v>
      </c>
      <c r="E7078">
        <v>1</v>
      </c>
      <c r="F7078">
        <v>0</v>
      </c>
      <c r="G7078">
        <v>0</v>
      </c>
      <c r="H7078">
        <v>0</v>
      </c>
      <c r="I7078">
        <v>0</v>
      </c>
      <c r="J7078">
        <v>4443.3712156820002</v>
      </c>
      <c r="K7078">
        <v>3829.5027716026202</v>
      </c>
      <c r="L7078">
        <v>75.206000000000003</v>
      </c>
      <c r="M7078">
        <v>61.728999999999999</v>
      </c>
      <c r="N7078">
        <v>49.457000000000001</v>
      </c>
    </row>
    <row r="7079" spans="1:14" x14ac:dyDescent="0.45">
      <c r="A7079">
        <v>2013</v>
      </c>
      <c r="B7079" t="s">
        <v>155</v>
      </c>
      <c r="C7079">
        <v>1</v>
      </c>
      <c r="D7079">
        <v>0</v>
      </c>
      <c r="E7079">
        <v>0</v>
      </c>
      <c r="F7079">
        <v>1</v>
      </c>
      <c r="G7079">
        <v>0</v>
      </c>
      <c r="H7079">
        <v>0</v>
      </c>
      <c r="I7079">
        <v>0</v>
      </c>
      <c r="J7079">
        <v>5418.5406199393501</v>
      </c>
      <c r="K7079">
        <v>4579.5773310230497</v>
      </c>
      <c r="L7079">
        <v>64.483000000000004</v>
      </c>
      <c r="M7079">
        <v>68.462000000000003</v>
      </c>
      <c r="N7079">
        <v>24.805</v>
      </c>
    </row>
    <row r="7080" spans="1:14" x14ac:dyDescent="0.45">
      <c r="A7080">
        <v>2013</v>
      </c>
      <c r="B7080" t="s">
        <v>156</v>
      </c>
      <c r="C7080">
        <v>0</v>
      </c>
      <c r="D7080">
        <v>0</v>
      </c>
      <c r="E7080">
        <v>0</v>
      </c>
      <c r="F7080">
        <v>0</v>
      </c>
      <c r="G7080">
        <v>0</v>
      </c>
      <c r="H7080">
        <v>0</v>
      </c>
      <c r="I7080">
        <v>0</v>
      </c>
      <c r="J7080">
        <v>4419.3988680171697</v>
      </c>
      <c r="K7080">
        <v>3962.73481316059</v>
      </c>
      <c r="L7080">
        <v>78.584999999999994</v>
      </c>
      <c r="M7080">
        <v>68.754999999999995</v>
      </c>
      <c r="N7080">
        <v>36.012</v>
      </c>
    </row>
    <row r="7081" spans="1:14" x14ac:dyDescent="0.45">
      <c r="A7081">
        <v>2013</v>
      </c>
      <c r="B7081" t="s">
        <v>157</v>
      </c>
      <c r="C7081">
        <v>0</v>
      </c>
      <c r="D7081">
        <v>0</v>
      </c>
      <c r="E7081">
        <v>0</v>
      </c>
      <c r="F7081">
        <v>1</v>
      </c>
      <c r="G7081">
        <v>0</v>
      </c>
      <c r="H7081">
        <v>0</v>
      </c>
      <c r="I7081">
        <v>0</v>
      </c>
      <c r="J7081">
        <v>2382.3703445215901</v>
      </c>
      <c r="K7081">
        <v>2155.0905397522101</v>
      </c>
      <c r="L7081">
        <v>50.073</v>
      </c>
      <c r="M7081">
        <v>65.897999999999996</v>
      </c>
      <c r="N7081">
        <v>58.305999999999997</v>
      </c>
    </row>
    <row r="7082" spans="1:14" x14ac:dyDescent="0.45">
      <c r="A7082">
        <v>2013</v>
      </c>
      <c r="B7082" t="s">
        <v>158</v>
      </c>
      <c r="C7082">
        <v>0</v>
      </c>
      <c r="D7082">
        <v>1</v>
      </c>
      <c r="E7082">
        <v>0</v>
      </c>
      <c r="F7082">
        <v>0</v>
      </c>
      <c r="G7082">
        <v>0</v>
      </c>
      <c r="H7082">
        <v>1</v>
      </c>
      <c r="I7082">
        <v>1</v>
      </c>
      <c r="J7082">
        <v>26532.101656172501</v>
      </c>
      <c r="K7082">
        <v>26204.059234767301</v>
      </c>
      <c r="L7082">
        <v>69.036000000000001</v>
      </c>
      <c r="M7082">
        <v>71.290000000000006</v>
      </c>
      <c r="N7082">
        <v>18.238</v>
      </c>
    </row>
    <row r="7083" spans="1:14" x14ac:dyDescent="0.45">
      <c r="A7083">
        <v>2013</v>
      </c>
      <c r="B7083" t="s">
        <v>159</v>
      </c>
      <c r="C7083">
        <v>0</v>
      </c>
      <c r="D7083">
        <v>0</v>
      </c>
      <c r="E7083">
        <v>0</v>
      </c>
      <c r="F7083">
        <v>0</v>
      </c>
      <c r="G7083">
        <v>0</v>
      </c>
      <c r="H7083">
        <v>1</v>
      </c>
      <c r="I7083">
        <v>1</v>
      </c>
      <c r="J7083">
        <v>40483.253408256198</v>
      </c>
      <c r="K7083">
        <v>36905.444539868899</v>
      </c>
      <c r="L7083">
        <v>18.221</v>
      </c>
      <c r="M7083">
        <v>81.835999999999999</v>
      </c>
      <c r="N7083">
        <v>3.7389999999999999</v>
      </c>
    </row>
    <row r="7084" spans="1:14" x14ac:dyDescent="0.45">
      <c r="A7084">
        <v>2013</v>
      </c>
      <c r="B7084" t="s">
        <v>160</v>
      </c>
      <c r="C7084">
        <v>0</v>
      </c>
      <c r="D7084">
        <v>0</v>
      </c>
      <c r="E7084">
        <v>0</v>
      </c>
      <c r="F7084">
        <v>0</v>
      </c>
      <c r="G7084">
        <v>0</v>
      </c>
      <c r="H7084">
        <v>1</v>
      </c>
      <c r="I7084">
        <v>1</v>
      </c>
      <c r="J7084">
        <v>62458.808910327301</v>
      </c>
      <c r="K7084">
        <v>55625.823036274298</v>
      </c>
      <c r="L7084">
        <v>0</v>
      </c>
      <c r="M7084">
        <v>78.582999999999998</v>
      </c>
      <c r="N7084">
        <v>9.7349999999999994</v>
      </c>
    </row>
    <row r="7085" spans="1:14" x14ac:dyDescent="0.45">
      <c r="A7085">
        <v>2013</v>
      </c>
      <c r="B7085" t="s">
        <v>161</v>
      </c>
      <c r="C7085">
        <v>0</v>
      </c>
      <c r="D7085">
        <v>0</v>
      </c>
      <c r="E7085">
        <v>0</v>
      </c>
      <c r="F7085">
        <v>1</v>
      </c>
      <c r="G7085">
        <v>0</v>
      </c>
      <c r="H7085">
        <v>0</v>
      </c>
      <c r="I7085">
        <v>0</v>
      </c>
      <c r="J7085">
        <v>5974.4736894341404</v>
      </c>
      <c r="K7085">
        <v>5740.9171474266204</v>
      </c>
      <c r="L7085">
        <v>68.128</v>
      </c>
      <c r="M7085">
        <v>65.722999999999999</v>
      </c>
      <c r="N7085">
        <v>58.71</v>
      </c>
    </row>
    <row r="7086" spans="1:14" x14ac:dyDescent="0.45">
      <c r="A7086">
        <v>2013</v>
      </c>
      <c r="B7086" t="s">
        <v>162</v>
      </c>
      <c r="C7086">
        <v>0</v>
      </c>
      <c r="D7086">
        <v>0</v>
      </c>
      <c r="E7086">
        <v>0</v>
      </c>
      <c r="F7086">
        <v>0</v>
      </c>
      <c r="G7086">
        <v>1</v>
      </c>
      <c r="H7086">
        <v>0</v>
      </c>
      <c r="I7086">
        <v>0</v>
      </c>
      <c r="J7086">
        <v>16396.496930216301</v>
      </c>
      <c r="K7086">
        <v>21312.058633476299</v>
      </c>
      <c r="L7086">
        <v>12.21</v>
      </c>
      <c r="M7086">
        <v>78.037000000000006</v>
      </c>
      <c r="N7086">
        <v>12.749000000000001</v>
      </c>
    </row>
    <row r="7087" spans="1:14" x14ac:dyDescent="0.45">
      <c r="A7087">
        <v>2013</v>
      </c>
      <c r="B7087" t="s">
        <v>163</v>
      </c>
      <c r="C7087">
        <v>0</v>
      </c>
      <c r="D7087">
        <v>0</v>
      </c>
      <c r="E7087">
        <v>1</v>
      </c>
      <c r="F7087">
        <v>0</v>
      </c>
      <c r="G7087">
        <v>0</v>
      </c>
      <c r="H7087">
        <v>0</v>
      </c>
      <c r="I7087">
        <v>0</v>
      </c>
      <c r="J7087">
        <v>1774.5205777394001</v>
      </c>
      <c r="K7087">
        <v>2621.75735009553</v>
      </c>
      <c r="L7087">
        <v>51.015000000000001</v>
      </c>
      <c r="M7087">
        <v>59.991999999999997</v>
      </c>
      <c r="N7087">
        <v>92.313000000000002</v>
      </c>
    </row>
    <row r="7088" spans="1:14" x14ac:dyDescent="0.45">
      <c r="A7088">
        <v>2013</v>
      </c>
      <c r="B7088" t="s">
        <v>164</v>
      </c>
      <c r="C7088">
        <v>0</v>
      </c>
      <c r="D7088">
        <v>0</v>
      </c>
      <c r="E7088">
        <v>0</v>
      </c>
      <c r="F7088">
        <v>0</v>
      </c>
      <c r="G7088">
        <v>1</v>
      </c>
      <c r="H7088">
        <v>0</v>
      </c>
      <c r="I7088">
        <v>0</v>
      </c>
      <c r="J7088">
        <v>16553.142652356499</v>
      </c>
      <c r="K7088">
        <v>19345.5774411233</v>
      </c>
      <c r="L7088">
        <v>21.244</v>
      </c>
      <c r="M7088">
        <v>72.338999999999999</v>
      </c>
      <c r="N7088">
        <v>14.888999999999999</v>
      </c>
    </row>
    <row r="7089" spans="1:14" x14ac:dyDescent="0.45">
      <c r="A7089">
        <v>2013</v>
      </c>
      <c r="B7089" t="s">
        <v>165</v>
      </c>
      <c r="C7089">
        <v>0</v>
      </c>
      <c r="D7089">
        <v>1</v>
      </c>
      <c r="E7089">
        <v>0</v>
      </c>
      <c r="F7089">
        <v>0</v>
      </c>
      <c r="G7089">
        <v>1</v>
      </c>
      <c r="H7089">
        <v>0</v>
      </c>
      <c r="I7089">
        <v>0</v>
      </c>
      <c r="J7089">
        <v>21029.288887213799</v>
      </c>
      <c r="K7089">
        <v>15128.617784976401</v>
      </c>
      <c r="L7089">
        <v>81.539000000000001</v>
      </c>
      <c r="M7089">
        <v>72.686999999999998</v>
      </c>
      <c r="N7089">
        <v>18.556999999999999</v>
      </c>
    </row>
    <row r="7090" spans="1:14" x14ac:dyDescent="0.45">
      <c r="A7090">
        <v>2013</v>
      </c>
      <c r="B7090" t="s">
        <v>166</v>
      </c>
      <c r="C7090">
        <v>1</v>
      </c>
      <c r="D7090">
        <v>0</v>
      </c>
      <c r="E7090">
        <v>0</v>
      </c>
      <c r="F7090">
        <v>0</v>
      </c>
      <c r="G7090">
        <v>0</v>
      </c>
      <c r="H7090">
        <v>1</v>
      </c>
      <c r="I7090">
        <v>1</v>
      </c>
      <c r="L7090">
        <v>85.665999999999997</v>
      </c>
      <c r="M7090">
        <v>82.373999999999995</v>
      </c>
      <c r="N7090">
        <v>7.5170000000000003</v>
      </c>
    </row>
    <row r="7091" spans="1:14" x14ac:dyDescent="0.45">
      <c r="A7091">
        <v>2013</v>
      </c>
      <c r="B7091" t="s">
        <v>167</v>
      </c>
      <c r="C7091">
        <v>0</v>
      </c>
      <c r="D7091">
        <v>0</v>
      </c>
      <c r="E7091">
        <v>0</v>
      </c>
      <c r="F7091">
        <v>1</v>
      </c>
      <c r="G7091">
        <v>0</v>
      </c>
      <c r="H7091">
        <v>0</v>
      </c>
      <c r="I7091">
        <v>0</v>
      </c>
      <c r="J7091">
        <v>12249.7223350448</v>
      </c>
      <c r="K7091">
        <v>11441.0470528394</v>
      </c>
      <c r="L7091">
        <v>81.802000000000007</v>
      </c>
      <c r="M7091">
        <v>75.546000000000006</v>
      </c>
      <c r="N7091">
        <v>9.8770000000000007</v>
      </c>
    </row>
    <row r="7092" spans="1:14" x14ac:dyDescent="0.45">
      <c r="A7092">
        <v>2013</v>
      </c>
      <c r="B7092" t="s">
        <v>168</v>
      </c>
      <c r="C7092">
        <v>0</v>
      </c>
      <c r="D7092">
        <v>0</v>
      </c>
      <c r="E7092">
        <v>1</v>
      </c>
      <c r="F7092">
        <v>1</v>
      </c>
      <c r="G7092">
        <v>0</v>
      </c>
      <c r="H7092">
        <v>0</v>
      </c>
      <c r="I7092">
        <v>0</v>
      </c>
      <c r="J7092">
        <v>2914.3751596673901</v>
      </c>
      <c r="K7092">
        <v>2609.5903759539201</v>
      </c>
      <c r="L7092">
        <v>73.899000000000001</v>
      </c>
      <c r="M7092">
        <v>49.546999999999997</v>
      </c>
      <c r="N7092">
        <v>84.742000000000004</v>
      </c>
    </row>
    <row r="7093" spans="1:14" x14ac:dyDescent="0.45">
      <c r="A7093">
        <v>2013</v>
      </c>
      <c r="B7093" t="s">
        <v>169</v>
      </c>
      <c r="C7093">
        <v>1</v>
      </c>
      <c r="D7093">
        <v>0</v>
      </c>
      <c r="E7093">
        <v>0</v>
      </c>
      <c r="F7093">
        <v>0</v>
      </c>
      <c r="G7093">
        <v>0</v>
      </c>
      <c r="H7093">
        <v>1</v>
      </c>
      <c r="I7093">
        <v>1</v>
      </c>
      <c r="J7093">
        <v>32474.6413533554</v>
      </c>
      <c r="K7093">
        <v>27784.2211051093</v>
      </c>
      <c r="L7093">
        <v>33.014000000000003</v>
      </c>
      <c r="M7093">
        <v>74.027000000000001</v>
      </c>
      <c r="N7093">
        <v>4.4989999999999997</v>
      </c>
    </row>
    <row r="7094" spans="1:14" x14ac:dyDescent="0.45">
      <c r="A7094">
        <v>2013</v>
      </c>
      <c r="B7094" t="s">
        <v>170</v>
      </c>
      <c r="C7094">
        <v>1</v>
      </c>
      <c r="D7094">
        <v>0</v>
      </c>
      <c r="E7094">
        <v>0</v>
      </c>
      <c r="F7094">
        <v>0</v>
      </c>
      <c r="G7094">
        <v>0</v>
      </c>
      <c r="H7094">
        <v>1</v>
      </c>
      <c r="I7094">
        <v>1</v>
      </c>
      <c r="J7094">
        <v>129945.45378362099</v>
      </c>
      <c r="K7094">
        <v>111046.357627437</v>
      </c>
      <c r="L7094">
        <v>10.426</v>
      </c>
      <c r="M7094">
        <v>80.853999999999999</v>
      </c>
      <c r="N7094">
        <v>5.8310000000000004</v>
      </c>
    </row>
    <row r="7095" spans="1:14" x14ac:dyDescent="0.45">
      <c r="A7095">
        <v>2013</v>
      </c>
      <c r="B7095" t="s">
        <v>171</v>
      </c>
      <c r="C7095">
        <v>1</v>
      </c>
      <c r="D7095">
        <v>0</v>
      </c>
      <c r="E7095">
        <v>0</v>
      </c>
      <c r="F7095">
        <v>0</v>
      </c>
      <c r="G7095">
        <v>0</v>
      </c>
      <c r="H7095">
        <v>1</v>
      </c>
      <c r="I7095">
        <v>1</v>
      </c>
      <c r="J7095">
        <v>28375.184288726301</v>
      </c>
      <c r="K7095">
        <v>24618.005819282302</v>
      </c>
      <c r="L7095">
        <v>32.075000000000003</v>
      </c>
      <c r="M7095">
        <v>74.186999999999998</v>
      </c>
      <c r="N7095">
        <v>5.82</v>
      </c>
    </row>
    <row r="7096" spans="1:14" x14ac:dyDescent="0.45">
      <c r="A7096">
        <v>2013</v>
      </c>
      <c r="B7096" t="s">
        <v>172</v>
      </c>
      <c r="C7096">
        <v>0</v>
      </c>
      <c r="D7096">
        <v>0</v>
      </c>
      <c r="E7096">
        <v>0</v>
      </c>
      <c r="F7096">
        <v>0</v>
      </c>
      <c r="G7096">
        <v>0</v>
      </c>
      <c r="H7096">
        <v>1</v>
      </c>
      <c r="I7096">
        <v>1</v>
      </c>
      <c r="J7096">
        <v>174339.00204713299</v>
      </c>
      <c r="K7096">
        <v>157993.236229984</v>
      </c>
      <c r="L7096">
        <v>0</v>
      </c>
      <c r="M7096">
        <v>82.475999999999999</v>
      </c>
      <c r="N7096">
        <v>4.109</v>
      </c>
    </row>
    <row r="7097" spans="1:14" x14ac:dyDescent="0.45">
      <c r="A7097">
        <v>2013</v>
      </c>
      <c r="B7097" t="s">
        <v>173</v>
      </c>
      <c r="C7097">
        <v>0</v>
      </c>
      <c r="D7097">
        <v>1</v>
      </c>
      <c r="E7097">
        <v>0</v>
      </c>
      <c r="F7097">
        <v>0</v>
      </c>
      <c r="G7097">
        <v>0</v>
      </c>
      <c r="H7097">
        <v>1</v>
      </c>
      <c r="I7097">
        <v>1</v>
      </c>
      <c r="L7097">
        <v>0</v>
      </c>
      <c r="M7097">
        <v>79.528000000000006</v>
      </c>
      <c r="N7097">
        <v>10.407999999999999</v>
      </c>
    </row>
    <row r="7098" spans="1:14" x14ac:dyDescent="0.45">
      <c r="A7098">
        <v>2013</v>
      </c>
      <c r="B7098" t="s">
        <v>174</v>
      </c>
      <c r="C7098">
        <v>0</v>
      </c>
      <c r="D7098">
        <v>0</v>
      </c>
      <c r="E7098">
        <v>0</v>
      </c>
      <c r="F7098">
        <v>1</v>
      </c>
      <c r="G7098">
        <v>0</v>
      </c>
      <c r="H7098">
        <v>0</v>
      </c>
      <c r="I7098">
        <v>0</v>
      </c>
      <c r="J7098">
        <v>7839.0322265625</v>
      </c>
      <c r="K7098">
        <v>7528.3591480999903</v>
      </c>
      <c r="L7098">
        <v>40.299999999999997</v>
      </c>
      <c r="M7098">
        <v>72.117000000000004</v>
      </c>
      <c r="N7098">
        <v>26.015000000000001</v>
      </c>
    </row>
    <row r="7099" spans="1:14" x14ac:dyDescent="0.45">
      <c r="A7099">
        <v>2013</v>
      </c>
      <c r="B7099" t="s">
        <v>175</v>
      </c>
      <c r="C7099">
        <v>1</v>
      </c>
      <c r="D7099">
        <v>0</v>
      </c>
      <c r="E7099">
        <v>0</v>
      </c>
      <c r="F7099">
        <v>0</v>
      </c>
      <c r="G7099">
        <v>0</v>
      </c>
      <c r="H7099">
        <v>1</v>
      </c>
      <c r="I7099">
        <v>1</v>
      </c>
      <c r="L7099">
        <v>0</v>
      </c>
      <c r="M7099">
        <v>85.055999999999997</v>
      </c>
      <c r="N7099">
        <v>5.375</v>
      </c>
    </row>
    <row r="7100" spans="1:14" x14ac:dyDescent="0.45">
      <c r="A7100">
        <v>2013</v>
      </c>
      <c r="B7100" t="s">
        <v>176</v>
      </c>
      <c r="C7100">
        <v>1</v>
      </c>
      <c r="D7100">
        <v>0</v>
      </c>
      <c r="E7100">
        <v>0</v>
      </c>
      <c r="F7100">
        <v>1</v>
      </c>
      <c r="G7100">
        <v>0</v>
      </c>
      <c r="H7100">
        <v>0</v>
      </c>
      <c r="I7100">
        <v>0</v>
      </c>
      <c r="J7100">
        <v>11080.063458534099</v>
      </c>
      <c r="K7100">
        <v>9503.4550667867206</v>
      </c>
      <c r="L7100">
        <v>57.472999999999999</v>
      </c>
      <c r="M7100">
        <v>70.290999999999997</v>
      </c>
      <c r="N7100">
        <v>16.221</v>
      </c>
    </row>
    <row r="7101" spans="1:14" x14ac:dyDescent="0.45">
      <c r="A7101">
        <v>2013</v>
      </c>
      <c r="B7101" t="s">
        <v>177</v>
      </c>
      <c r="C7101">
        <v>0</v>
      </c>
      <c r="D7101">
        <v>0</v>
      </c>
      <c r="E7101">
        <v>1</v>
      </c>
      <c r="F7101">
        <v>0</v>
      </c>
      <c r="G7101">
        <v>0</v>
      </c>
      <c r="H7101">
        <v>0</v>
      </c>
      <c r="I7101">
        <v>0</v>
      </c>
      <c r="J7101">
        <v>1610.60230789415</v>
      </c>
      <c r="K7101">
        <v>1492.1047303877101</v>
      </c>
      <c r="L7101">
        <v>66.122</v>
      </c>
      <c r="M7101">
        <v>63.161000000000001</v>
      </c>
      <c r="N7101">
        <v>67.480999999999995</v>
      </c>
    </row>
    <row r="7102" spans="1:14" x14ac:dyDescent="0.45">
      <c r="A7102">
        <v>2013</v>
      </c>
      <c r="B7102" t="s">
        <v>178</v>
      </c>
      <c r="C7102">
        <v>0</v>
      </c>
      <c r="D7102">
        <v>0</v>
      </c>
      <c r="E7102">
        <v>0</v>
      </c>
      <c r="F7102">
        <v>0</v>
      </c>
      <c r="G7102">
        <v>1</v>
      </c>
      <c r="H7102">
        <v>0</v>
      </c>
      <c r="I7102">
        <v>0</v>
      </c>
      <c r="J7102">
        <v>17986.890757673398</v>
      </c>
      <c r="K7102">
        <v>17745.566013486201</v>
      </c>
      <c r="L7102">
        <v>62.314999999999998</v>
      </c>
      <c r="M7102">
        <v>77.846999999999994</v>
      </c>
      <c r="N7102">
        <v>11.276</v>
      </c>
    </row>
    <row r="7103" spans="1:14" x14ac:dyDescent="0.45">
      <c r="A7103">
        <v>2013</v>
      </c>
      <c r="B7103" t="s">
        <v>179</v>
      </c>
      <c r="C7103">
        <v>0</v>
      </c>
      <c r="D7103">
        <v>1</v>
      </c>
      <c r="E7103">
        <v>0</v>
      </c>
      <c r="F7103">
        <v>0</v>
      </c>
      <c r="G7103">
        <v>1</v>
      </c>
      <c r="H7103">
        <v>0</v>
      </c>
      <c r="I7103">
        <v>0</v>
      </c>
      <c r="J7103">
        <v>20805.348038208402</v>
      </c>
      <c r="K7103">
        <v>19342.215919489299</v>
      </c>
      <c r="L7103">
        <v>21.300999999999998</v>
      </c>
      <c r="M7103">
        <v>74.289000000000001</v>
      </c>
      <c r="N7103">
        <v>17.341999999999999</v>
      </c>
    </row>
    <row r="7104" spans="1:14" x14ac:dyDescent="0.45">
      <c r="A7104">
        <v>2013</v>
      </c>
      <c r="B7104" t="s">
        <v>180</v>
      </c>
      <c r="C7104">
        <v>0</v>
      </c>
      <c r="D7104">
        <v>0</v>
      </c>
      <c r="E7104">
        <v>0</v>
      </c>
      <c r="F7104">
        <v>0</v>
      </c>
      <c r="G7104">
        <v>1</v>
      </c>
      <c r="H7104">
        <v>0</v>
      </c>
      <c r="I7104">
        <v>0</v>
      </c>
      <c r="J7104">
        <v>4469.8535840160603</v>
      </c>
      <c r="K7104">
        <v>4042.9150135555901</v>
      </c>
      <c r="L7104">
        <v>25.053999999999998</v>
      </c>
      <c r="M7104">
        <v>64.953999999999994</v>
      </c>
      <c r="N7104">
        <v>36.909999999999997</v>
      </c>
    </row>
    <row r="7105" spans="1:14" x14ac:dyDescent="0.45">
      <c r="A7105">
        <v>2013</v>
      </c>
      <c r="B7105" t="s">
        <v>181</v>
      </c>
      <c r="C7105">
        <v>1</v>
      </c>
      <c r="D7105">
        <v>0</v>
      </c>
      <c r="E7105">
        <v>0</v>
      </c>
      <c r="F7105">
        <v>0</v>
      </c>
      <c r="G7105">
        <v>1</v>
      </c>
      <c r="H7105">
        <v>0</v>
      </c>
      <c r="I7105">
        <v>0</v>
      </c>
      <c r="J7105">
        <v>17757.249555736798</v>
      </c>
      <c r="K7105">
        <v>14990.454835271999</v>
      </c>
      <c r="L7105">
        <v>42.811</v>
      </c>
      <c r="M7105">
        <v>75.582999999999998</v>
      </c>
      <c r="N7105">
        <v>11.172000000000001</v>
      </c>
    </row>
    <row r="7106" spans="1:14" x14ac:dyDescent="0.45">
      <c r="A7106">
        <v>2013</v>
      </c>
      <c r="B7106" t="s">
        <v>182</v>
      </c>
      <c r="C7106">
        <v>0</v>
      </c>
      <c r="D7106">
        <v>0</v>
      </c>
      <c r="E7106">
        <v>1</v>
      </c>
      <c r="F7106">
        <v>0</v>
      </c>
      <c r="G7106">
        <v>0</v>
      </c>
      <c r="H7106">
        <v>0</v>
      </c>
      <c r="I7106">
        <v>0</v>
      </c>
      <c r="J7106">
        <v>2508.9214224182401</v>
      </c>
      <c r="K7106">
        <v>2322.2822103553999</v>
      </c>
      <c r="L7106">
        <v>61.601999999999997</v>
      </c>
      <c r="M7106">
        <v>57.052</v>
      </c>
      <c r="N7106">
        <v>123.002</v>
      </c>
    </row>
    <row r="7107" spans="1:14" x14ac:dyDescent="0.45">
      <c r="A7107">
        <v>2013</v>
      </c>
      <c r="B7107" t="s">
        <v>183</v>
      </c>
      <c r="C7107">
        <v>0</v>
      </c>
      <c r="D7107">
        <v>0</v>
      </c>
      <c r="E7107">
        <v>0</v>
      </c>
      <c r="F7107">
        <v>0</v>
      </c>
      <c r="G7107">
        <v>0</v>
      </c>
      <c r="H7107">
        <v>1</v>
      </c>
      <c r="I7107">
        <v>1</v>
      </c>
      <c r="J7107">
        <v>40882.023937474303</v>
      </c>
      <c r="K7107">
        <v>35364.951707831002</v>
      </c>
      <c r="L7107">
        <v>5.7210000000000001</v>
      </c>
      <c r="M7107">
        <v>81.817999999999998</v>
      </c>
      <c r="N7107">
        <v>7.2670000000000003</v>
      </c>
    </row>
    <row r="7108" spans="1:14" x14ac:dyDescent="0.45">
      <c r="A7108">
        <v>2013</v>
      </c>
      <c r="B7108" t="s">
        <v>184</v>
      </c>
      <c r="C7108">
        <v>0</v>
      </c>
      <c r="D7108">
        <v>0</v>
      </c>
      <c r="E7108">
        <v>0</v>
      </c>
      <c r="F7108">
        <v>0</v>
      </c>
      <c r="G7108">
        <v>0</v>
      </c>
      <c r="H7108">
        <v>0</v>
      </c>
      <c r="I7108">
        <v>0</v>
      </c>
      <c r="J7108">
        <v>4666.9537614139199</v>
      </c>
      <c r="K7108">
        <v>3736.8444941262101</v>
      </c>
      <c r="L7108">
        <v>70.543000000000006</v>
      </c>
      <c r="M7108">
        <v>64.617000000000004</v>
      </c>
      <c r="N7108">
        <v>55.79</v>
      </c>
    </row>
    <row r="7109" spans="1:14" x14ac:dyDescent="0.45">
      <c r="A7109">
        <v>2013</v>
      </c>
      <c r="B7109" t="s">
        <v>185</v>
      </c>
      <c r="C7109">
        <v>1</v>
      </c>
      <c r="D7109">
        <v>0</v>
      </c>
      <c r="E7109">
        <v>0</v>
      </c>
      <c r="F7109">
        <v>0</v>
      </c>
      <c r="G7109">
        <v>1</v>
      </c>
      <c r="H7109">
        <v>0</v>
      </c>
      <c r="I7109">
        <v>0</v>
      </c>
      <c r="J7109">
        <v>20154.080195525101</v>
      </c>
      <c r="K7109">
        <v>17028.9674160867</v>
      </c>
      <c r="L7109">
        <v>34.863</v>
      </c>
      <c r="M7109">
        <v>76.353999999999999</v>
      </c>
      <c r="N7109">
        <v>5.7839999999999998</v>
      </c>
    </row>
    <row r="7110" spans="1:14" x14ac:dyDescent="0.45">
      <c r="A7110">
        <v>2013</v>
      </c>
      <c r="B7110" t="s">
        <v>186</v>
      </c>
      <c r="C7110">
        <v>0</v>
      </c>
      <c r="D7110">
        <v>0</v>
      </c>
      <c r="E7110">
        <v>0</v>
      </c>
      <c r="F7110">
        <v>1</v>
      </c>
      <c r="G7110">
        <v>0</v>
      </c>
      <c r="H7110">
        <v>0</v>
      </c>
      <c r="I7110">
        <v>0</v>
      </c>
      <c r="J7110">
        <v>13210.0945665668</v>
      </c>
      <c r="K7110">
        <v>10178.0595207229</v>
      </c>
      <c r="L7110">
        <v>31.902999999999999</v>
      </c>
      <c r="M7110">
        <v>68.209999999999994</v>
      </c>
      <c r="N7110">
        <v>21.87</v>
      </c>
    </row>
    <row r="7111" spans="1:14" x14ac:dyDescent="0.45">
      <c r="A7111">
        <v>2013</v>
      </c>
      <c r="B7111" t="s">
        <v>187</v>
      </c>
      <c r="C7111">
        <v>0</v>
      </c>
      <c r="D7111">
        <v>0</v>
      </c>
      <c r="E7111">
        <v>0</v>
      </c>
      <c r="F7111">
        <v>0</v>
      </c>
      <c r="G7111">
        <v>0</v>
      </c>
      <c r="H7111">
        <v>1</v>
      </c>
      <c r="I7111">
        <v>1</v>
      </c>
      <c r="L7111">
        <v>8.81</v>
      </c>
      <c r="M7111">
        <v>77.451999999999998</v>
      </c>
      <c r="N7111">
        <v>8.1379999999999999</v>
      </c>
    </row>
    <row r="7112" spans="1:14" x14ac:dyDescent="0.45">
      <c r="A7112">
        <v>2013</v>
      </c>
      <c r="B7112" t="s">
        <v>188</v>
      </c>
      <c r="C7112">
        <v>0</v>
      </c>
      <c r="D7112">
        <v>0</v>
      </c>
      <c r="E7112">
        <v>1</v>
      </c>
      <c r="F7112">
        <v>0</v>
      </c>
      <c r="G7112">
        <v>0</v>
      </c>
      <c r="H7112">
        <v>0</v>
      </c>
      <c r="I7112">
        <v>0</v>
      </c>
      <c r="J7112">
        <v>1385.83254864214</v>
      </c>
      <c r="K7112">
        <v>1160.3574620392501</v>
      </c>
      <c r="L7112">
        <v>66.64</v>
      </c>
      <c r="M7112">
        <v>57.189</v>
      </c>
      <c r="N7112">
        <v>91.278999999999996</v>
      </c>
    </row>
    <row r="7113" spans="1:14" x14ac:dyDescent="0.45">
      <c r="A7113">
        <v>2013</v>
      </c>
      <c r="B7113" t="s">
        <v>189</v>
      </c>
      <c r="C7113">
        <v>0</v>
      </c>
      <c r="D7113">
        <v>0</v>
      </c>
      <c r="E7113">
        <v>1</v>
      </c>
      <c r="F7113">
        <v>1</v>
      </c>
      <c r="G7113">
        <v>0</v>
      </c>
      <c r="H7113">
        <v>0</v>
      </c>
      <c r="I7113">
        <v>0</v>
      </c>
      <c r="J7113">
        <v>5769.7287135923298</v>
      </c>
      <c r="K7113">
        <v>5104.5561381738498</v>
      </c>
      <c r="L7113">
        <v>50.694000000000003</v>
      </c>
      <c r="M7113">
        <v>65.89</v>
      </c>
      <c r="N7113">
        <v>51.814</v>
      </c>
    </row>
    <row r="7114" spans="1:14" x14ac:dyDescent="0.45">
      <c r="A7114">
        <v>2013</v>
      </c>
      <c r="B7114" t="s">
        <v>190</v>
      </c>
      <c r="C7114">
        <v>0</v>
      </c>
      <c r="D7114">
        <v>0</v>
      </c>
      <c r="E7114">
        <v>1</v>
      </c>
      <c r="F7114">
        <v>0</v>
      </c>
      <c r="G7114">
        <v>1</v>
      </c>
      <c r="H7114">
        <v>0</v>
      </c>
      <c r="I7114">
        <v>0</v>
      </c>
      <c r="J7114">
        <v>20811.494994863799</v>
      </c>
      <c r="K7114">
        <v>19534.182898584098</v>
      </c>
      <c r="L7114">
        <v>58.777999999999999</v>
      </c>
      <c r="M7114">
        <v>74.430000000000007</v>
      </c>
      <c r="N7114">
        <v>14.733000000000001</v>
      </c>
    </row>
    <row r="7115" spans="1:14" x14ac:dyDescent="0.45">
      <c r="A7115">
        <v>2013</v>
      </c>
      <c r="B7115" t="s">
        <v>191</v>
      </c>
      <c r="C7115">
        <v>0</v>
      </c>
      <c r="D7115">
        <v>0</v>
      </c>
      <c r="E7115">
        <v>1</v>
      </c>
      <c r="F7115">
        <v>0</v>
      </c>
      <c r="G7115">
        <v>0</v>
      </c>
      <c r="H7115">
        <v>0</v>
      </c>
      <c r="I7115">
        <v>0</v>
      </c>
      <c r="J7115">
        <v>1555.50607410511</v>
      </c>
      <c r="K7115">
        <v>1330.9864564056099</v>
      </c>
      <c r="L7115">
        <v>84.034000000000006</v>
      </c>
      <c r="M7115">
        <v>60.816000000000003</v>
      </c>
      <c r="N7115">
        <v>65.373999999999995</v>
      </c>
    </row>
    <row r="7116" spans="1:14" x14ac:dyDescent="0.45">
      <c r="A7116">
        <v>2013</v>
      </c>
      <c r="B7116" t="s">
        <v>192</v>
      </c>
      <c r="C7116">
        <v>0</v>
      </c>
      <c r="D7116">
        <v>0</v>
      </c>
      <c r="E7116">
        <v>0</v>
      </c>
      <c r="F7116">
        <v>0</v>
      </c>
      <c r="G7116">
        <v>1</v>
      </c>
      <c r="H7116">
        <v>0</v>
      </c>
      <c r="I7116">
        <v>0</v>
      </c>
      <c r="J7116">
        <v>25736.3525554142</v>
      </c>
      <c r="K7116">
        <v>23005.262518014399</v>
      </c>
      <c r="L7116">
        <v>27.07</v>
      </c>
      <c r="M7116">
        <v>75.463999999999999</v>
      </c>
      <c r="N7116">
        <v>8.1319999999999997</v>
      </c>
    </row>
    <row r="7117" spans="1:14" x14ac:dyDescent="0.45">
      <c r="A7117">
        <v>2013</v>
      </c>
      <c r="B7117" t="s">
        <v>193</v>
      </c>
      <c r="C7117">
        <v>0</v>
      </c>
      <c r="D7117">
        <v>0</v>
      </c>
      <c r="E7117">
        <v>1</v>
      </c>
      <c r="F7117">
        <v>0</v>
      </c>
      <c r="G7117">
        <v>1</v>
      </c>
      <c r="H7117">
        <v>0</v>
      </c>
      <c r="I7117">
        <v>0</v>
      </c>
      <c r="J7117">
        <v>11593.575376868899</v>
      </c>
      <c r="K7117">
        <v>10048.149511515099</v>
      </c>
      <c r="L7117">
        <v>55.244</v>
      </c>
      <c r="M7117">
        <v>58.468000000000004</v>
      </c>
      <c r="N7117">
        <v>47.372</v>
      </c>
    </row>
    <row r="7118" spans="1:14" x14ac:dyDescent="0.45">
      <c r="A7118">
        <v>2013</v>
      </c>
      <c r="B7118" t="s">
        <v>194</v>
      </c>
      <c r="C7118">
        <v>0</v>
      </c>
      <c r="D7118">
        <v>0</v>
      </c>
      <c r="E7118">
        <v>0</v>
      </c>
      <c r="F7118">
        <v>0</v>
      </c>
      <c r="G7118">
        <v>0</v>
      </c>
      <c r="H7118">
        <v>1</v>
      </c>
      <c r="I7118">
        <v>1</v>
      </c>
      <c r="L7118">
        <v>31.521000000000001</v>
      </c>
      <c r="M7118">
        <v>76.867000000000004</v>
      </c>
      <c r="N7118">
        <v>15.003</v>
      </c>
    </row>
    <row r="7119" spans="1:14" x14ac:dyDescent="0.45">
      <c r="A7119">
        <v>2013</v>
      </c>
      <c r="B7119" t="s">
        <v>195</v>
      </c>
      <c r="C7119">
        <v>0</v>
      </c>
      <c r="D7119">
        <v>0</v>
      </c>
      <c r="E7119">
        <v>1</v>
      </c>
      <c r="F7119">
        <v>0</v>
      </c>
      <c r="G7119">
        <v>0</v>
      </c>
      <c r="H7119">
        <v>0</v>
      </c>
      <c r="I7119">
        <v>0</v>
      </c>
      <c r="J7119">
        <v>1423.26169034701</v>
      </c>
      <c r="K7119">
        <v>1131.2541976508501</v>
      </c>
      <c r="L7119">
        <v>83.792000000000002</v>
      </c>
      <c r="M7119">
        <v>58.363999999999997</v>
      </c>
      <c r="N7119">
        <v>130.572</v>
      </c>
    </row>
    <row r="7120" spans="1:14" x14ac:dyDescent="0.45">
      <c r="A7120">
        <v>2013</v>
      </c>
      <c r="B7120" t="s">
        <v>196</v>
      </c>
      <c r="C7120">
        <v>0</v>
      </c>
      <c r="D7120">
        <v>0</v>
      </c>
      <c r="E7120">
        <v>1</v>
      </c>
      <c r="F7120">
        <v>1</v>
      </c>
      <c r="G7120">
        <v>0</v>
      </c>
      <c r="H7120">
        <v>0</v>
      </c>
      <c r="I7120">
        <v>0</v>
      </c>
      <c r="J7120">
        <v>5775.8663465072104</v>
      </c>
      <c r="K7120">
        <v>5106.6443099691396</v>
      </c>
      <c r="L7120">
        <v>53.881999999999998</v>
      </c>
      <c r="M7120">
        <v>51.826999999999998</v>
      </c>
      <c r="N7120">
        <v>129.62899999999999</v>
      </c>
    </row>
    <row r="7121" spans="1:14" x14ac:dyDescent="0.45">
      <c r="A7121">
        <v>2013</v>
      </c>
      <c r="B7121" t="s">
        <v>197</v>
      </c>
      <c r="C7121">
        <v>0</v>
      </c>
      <c r="D7121">
        <v>1</v>
      </c>
      <c r="E7121">
        <v>0</v>
      </c>
      <c r="F7121">
        <v>1</v>
      </c>
      <c r="G7121">
        <v>0</v>
      </c>
      <c r="H7121">
        <v>0</v>
      </c>
      <c r="I7121">
        <v>0</v>
      </c>
      <c r="J7121">
        <v>6494.1496110319904</v>
      </c>
      <c r="K7121">
        <v>5469.7959061028596</v>
      </c>
      <c r="L7121">
        <v>42.494999999999997</v>
      </c>
      <c r="M7121">
        <v>72.551000000000002</v>
      </c>
      <c r="N7121">
        <v>21.004999999999999</v>
      </c>
    </row>
    <row r="7122" spans="1:14" x14ac:dyDescent="0.45">
      <c r="A7122">
        <v>2013</v>
      </c>
      <c r="B7122" t="s">
        <v>198</v>
      </c>
      <c r="C7122">
        <v>1</v>
      </c>
      <c r="D7122">
        <v>0</v>
      </c>
      <c r="E7122">
        <v>0</v>
      </c>
      <c r="F7122">
        <v>0</v>
      </c>
      <c r="G7122">
        <v>0</v>
      </c>
      <c r="H7122">
        <v>1</v>
      </c>
      <c r="I7122">
        <v>1</v>
      </c>
      <c r="J7122">
        <v>61281.288807751997</v>
      </c>
      <c r="K7122">
        <v>51730.172508775497</v>
      </c>
      <c r="L7122">
        <v>10.813000000000001</v>
      </c>
      <c r="M7122">
        <v>81.301000000000002</v>
      </c>
      <c r="N7122">
        <v>4.2290000000000001</v>
      </c>
    </row>
    <row r="7123" spans="1:14" x14ac:dyDescent="0.45">
      <c r="A7123">
        <v>2013</v>
      </c>
      <c r="B7123" t="s">
        <v>199</v>
      </c>
      <c r="C7123">
        <v>1</v>
      </c>
      <c r="D7123">
        <v>0</v>
      </c>
      <c r="E7123">
        <v>0</v>
      </c>
      <c r="F7123">
        <v>0</v>
      </c>
      <c r="G7123">
        <v>0</v>
      </c>
      <c r="H7123">
        <v>1</v>
      </c>
      <c r="I7123">
        <v>1</v>
      </c>
      <c r="J7123">
        <v>84070.458394047804</v>
      </c>
      <c r="K7123">
        <v>62118.619846711903</v>
      </c>
      <c r="L7123">
        <v>19.713999999999999</v>
      </c>
      <c r="M7123">
        <v>81.668000000000006</v>
      </c>
      <c r="N7123">
        <v>2.9359999999999999</v>
      </c>
    </row>
    <row r="7124" spans="1:14" x14ac:dyDescent="0.45">
      <c r="A7124">
        <v>2013</v>
      </c>
      <c r="B7124" t="s">
        <v>200</v>
      </c>
      <c r="C7124">
        <v>0</v>
      </c>
      <c r="D7124">
        <v>0</v>
      </c>
      <c r="E7124">
        <v>0</v>
      </c>
      <c r="F7124">
        <v>0</v>
      </c>
      <c r="G7124">
        <v>0</v>
      </c>
      <c r="H7124">
        <v>0</v>
      </c>
      <c r="I7124">
        <v>0</v>
      </c>
      <c r="J7124">
        <v>3426.5579593796001</v>
      </c>
      <c r="K7124">
        <v>3033.5554823908601</v>
      </c>
      <c r="L7124">
        <v>82.185000000000002</v>
      </c>
      <c r="M7124">
        <v>67.597999999999999</v>
      </c>
      <c r="N7124">
        <v>41.988</v>
      </c>
    </row>
    <row r="7125" spans="1:14" x14ac:dyDescent="0.45">
      <c r="A7125">
        <v>2013</v>
      </c>
      <c r="B7125" t="s">
        <v>201</v>
      </c>
      <c r="C7125">
        <v>0</v>
      </c>
      <c r="D7125">
        <v>0</v>
      </c>
      <c r="E7125">
        <v>0</v>
      </c>
      <c r="F7125">
        <v>0</v>
      </c>
      <c r="G7125">
        <v>0</v>
      </c>
      <c r="H7125">
        <v>1</v>
      </c>
      <c r="I7125">
        <v>1</v>
      </c>
      <c r="J7125">
        <v>9882.0925570310301</v>
      </c>
      <c r="K7125">
        <v>8940.5314168753903</v>
      </c>
      <c r="L7125">
        <v>0</v>
      </c>
      <c r="M7125">
        <v>60.701000000000001</v>
      </c>
      <c r="N7125">
        <v>34.759</v>
      </c>
    </row>
    <row r="7126" spans="1:14" x14ac:dyDescent="0.45">
      <c r="A7126">
        <v>2013</v>
      </c>
      <c r="B7126" t="s">
        <v>202</v>
      </c>
      <c r="C7126">
        <v>0</v>
      </c>
      <c r="D7126">
        <v>0</v>
      </c>
      <c r="E7126">
        <v>0</v>
      </c>
      <c r="F7126">
        <v>0</v>
      </c>
      <c r="G7126">
        <v>0</v>
      </c>
      <c r="H7126">
        <v>1</v>
      </c>
      <c r="I7126">
        <v>1</v>
      </c>
      <c r="J7126">
        <v>43338.437378296097</v>
      </c>
      <c r="K7126">
        <v>39418.562396033201</v>
      </c>
      <c r="L7126">
        <v>13.779</v>
      </c>
      <c r="M7126">
        <v>81.611999999999995</v>
      </c>
      <c r="N7126">
        <v>5.0999999999999996</v>
      </c>
    </row>
    <row r="7127" spans="1:14" x14ac:dyDescent="0.45">
      <c r="A7127">
        <v>2013</v>
      </c>
      <c r="B7127" t="s">
        <v>203</v>
      </c>
      <c r="C7127">
        <v>0</v>
      </c>
      <c r="D7127">
        <v>0</v>
      </c>
      <c r="E7127">
        <v>0</v>
      </c>
      <c r="F7127">
        <v>0</v>
      </c>
      <c r="G7127">
        <v>0</v>
      </c>
      <c r="H7127">
        <v>1</v>
      </c>
      <c r="I7127">
        <v>1</v>
      </c>
      <c r="J7127">
        <v>40854.485354890501</v>
      </c>
      <c r="K7127">
        <v>35499.303368855297</v>
      </c>
      <c r="L7127">
        <v>21.117999999999999</v>
      </c>
      <c r="M7127">
        <v>78.632999999999996</v>
      </c>
      <c r="N7127">
        <v>11.433999999999999</v>
      </c>
    </row>
    <row r="7128" spans="1:14" x14ac:dyDescent="0.45">
      <c r="A7128">
        <v>2013</v>
      </c>
      <c r="B7128" t="s">
        <v>204</v>
      </c>
      <c r="C7128">
        <v>0</v>
      </c>
      <c r="D7128">
        <v>0</v>
      </c>
      <c r="E7128">
        <v>0</v>
      </c>
      <c r="F7128">
        <v>1</v>
      </c>
      <c r="G7128">
        <v>0</v>
      </c>
      <c r="H7128">
        <v>0</v>
      </c>
      <c r="I7128">
        <v>0</v>
      </c>
      <c r="J7128">
        <v>4407.1470584137696</v>
      </c>
      <c r="K7128">
        <v>4195.1579088097797</v>
      </c>
      <c r="L7128">
        <v>64.387</v>
      </c>
      <c r="M7128">
        <v>65.129000000000005</v>
      </c>
      <c r="N7128">
        <v>80.644999999999996</v>
      </c>
    </row>
    <row r="7129" spans="1:14" x14ac:dyDescent="0.45">
      <c r="A7129">
        <v>2013</v>
      </c>
      <c r="B7129" t="s">
        <v>205</v>
      </c>
      <c r="C7129">
        <v>0</v>
      </c>
      <c r="D7129">
        <v>1</v>
      </c>
      <c r="E7129">
        <v>0</v>
      </c>
      <c r="F7129">
        <v>0</v>
      </c>
      <c r="G7129">
        <v>1</v>
      </c>
      <c r="H7129">
        <v>0</v>
      </c>
      <c r="I7129">
        <v>0</v>
      </c>
      <c r="J7129">
        <v>28135.327898515399</v>
      </c>
      <c r="K7129">
        <v>29502.086746806799</v>
      </c>
      <c r="L7129">
        <v>33.948</v>
      </c>
      <c r="M7129">
        <v>77.129000000000005</v>
      </c>
      <c r="N7129">
        <v>17.591000000000001</v>
      </c>
    </row>
    <row r="7130" spans="1:14" x14ac:dyDescent="0.45">
      <c r="A7130">
        <v>2013</v>
      </c>
      <c r="B7130" t="s">
        <v>206</v>
      </c>
      <c r="C7130">
        <v>0</v>
      </c>
      <c r="D7130">
        <v>1</v>
      </c>
      <c r="E7130">
        <v>0</v>
      </c>
      <c r="F7130">
        <v>0</v>
      </c>
      <c r="G7130">
        <v>1</v>
      </c>
      <c r="H7130">
        <v>0</v>
      </c>
      <c r="I7130">
        <v>0</v>
      </c>
      <c r="J7130">
        <v>14052.137619168299</v>
      </c>
      <c r="K7130">
        <v>11741.7445022091</v>
      </c>
      <c r="L7130">
        <v>23.010999999999999</v>
      </c>
      <c r="M7130">
        <v>74.590999999999994</v>
      </c>
      <c r="N7130">
        <v>18.297000000000001</v>
      </c>
    </row>
    <row r="7131" spans="1:14" x14ac:dyDescent="0.45">
      <c r="A7131">
        <v>2013</v>
      </c>
      <c r="B7131" t="s">
        <v>207</v>
      </c>
      <c r="C7131">
        <v>0</v>
      </c>
      <c r="D7131">
        <v>0</v>
      </c>
      <c r="E7131">
        <v>0</v>
      </c>
      <c r="F7131">
        <v>1</v>
      </c>
      <c r="G7131">
        <v>0</v>
      </c>
      <c r="H7131">
        <v>0</v>
      </c>
      <c r="I7131">
        <v>0</v>
      </c>
      <c r="J7131">
        <v>7016.5384647043602</v>
      </c>
      <c r="K7131">
        <v>6354.18125978032</v>
      </c>
      <c r="L7131">
        <v>54.097000000000001</v>
      </c>
      <c r="M7131">
        <v>69.283000000000001</v>
      </c>
      <c r="N7131">
        <v>28.855</v>
      </c>
    </row>
    <row r="7132" spans="1:14" x14ac:dyDescent="0.45">
      <c r="A7132">
        <v>2013</v>
      </c>
      <c r="B7132" t="s">
        <v>208</v>
      </c>
      <c r="C7132">
        <v>0</v>
      </c>
      <c r="D7132">
        <v>0</v>
      </c>
      <c r="E7132">
        <v>0</v>
      </c>
      <c r="F7132">
        <v>0</v>
      </c>
      <c r="G7132">
        <v>1</v>
      </c>
      <c r="H7132">
        <v>0</v>
      </c>
      <c r="I7132">
        <v>0</v>
      </c>
      <c r="J7132">
        <v>17783.629311920398</v>
      </c>
      <c r="K7132">
        <v>16089.213458759499</v>
      </c>
      <c r="L7132">
        <v>23.138000000000002</v>
      </c>
      <c r="M7132">
        <v>68.980999999999995</v>
      </c>
      <c r="N7132">
        <v>20.352</v>
      </c>
    </row>
    <row r="7133" spans="1:14" x14ac:dyDescent="0.45">
      <c r="A7133">
        <v>2013</v>
      </c>
      <c r="B7133" t="s">
        <v>209</v>
      </c>
      <c r="C7133">
        <v>0</v>
      </c>
      <c r="D7133">
        <v>0</v>
      </c>
      <c r="E7133">
        <v>0</v>
      </c>
      <c r="F7133">
        <v>1</v>
      </c>
      <c r="G7133">
        <v>0</v>
      </c>
      <c r="H7133">
        <v>0</v>
      </c>
      <c r="I7133">
        <v>0</v>
      </c>
      <c r="J7133">
        <v>3615.2832384391299</v>
      </c>
      <c r="K7133">
        <v>3270.3900833456601</v>
      </c>
      <c r="L7133">
        <v>87.022000000000006</v>
      </c>
      <c r="M7133">
        <v>63.927</v>
      </c>
      <c r="N7133">
        <v>54.232999999999997</v>
      </c>
    </row>
    <row r="7134" spans="1:14" x14ac:dyDescent="0.45">
      <c r="A7134">
        <v>2013</v>
      </c>
      <c r="B7134" t="s">
        <v>210</v>
      </c>
      <c r="C7134">
        <v>1</v>
      </c>
      <c r="D7134">
        <v>0</v>
      </c>
      <c r="E7134">
        <v>0</v>
      </c>
      <c r="F7134">
        <v>0</v>
      </c>
      <c r="G7134">
        <v>0</v>
      </c>
      <c r="H7134">
        <v>1</v>
      </c>
      <c r="I7134">
        <v>1</v>
      </c>
      <c r="J7134">
        <v>29168.624211074999</v>
      </c>
      <c r="K7134">
        <v>25177.512381564899</v>
      </c>
      <c r="L7134">
        <v>39.470999999999997</v>
      </c>
      <c r="M7134">
        <v>77.075999999999993</v>
      </c>
      <c r="N7134">
        <v>5.242</v>
      </c>
    </row>
    <row r="7135" spans="1:14" x14ac:dyDescent="0.45">
      <c r="A7135">
        <v>2013</v>
      </c>
      <c r="B7135" t="s">
        <v>211</v>
      </c>
      <c r="C7135">
        <v>0</v>
      </c>
      <c r="D7135">
        <v>1</v>
      </c>
      <c r="E7135">
        <v>0</v>
      </c>
      <c r="F7135">
        <v>0</v>
      </c>
      <c r="G7135">
        <v>0</v>
      </c>
      <c r="H7135">
        <v>1</v>
      </c>
      <c r="I7135">
        <v>1</v>
      </c>
      <c r="J7135">
        <v>41556.785235007403</v>
      </c>
      <c r="K7135">
        <v>31925.615095391699</v>
      </c>
      <c r="L7135">
        <v>6.3139999999999903</v>
      </c>
      <c r="M7135">
        <v>80.317999999999998</v>
      </c>
      <c r="N7135">
        <v>7.5739999999999998</v>
      </c>
    </row>
    <row r="7136" spans="1:14" x14ac:dyDescent="0.45">
      <c r="A7136">
        <v>2013</v>
      </c>
      <c r="B7136" t="s">
        <v>212</v>
      </c>
      <c r="C7136">
        <v>0</v>
      </c>
      <c r="D7136">
        <v>0</v>
      </c>
      <c r="E7136">
        <v>0</v>
      </c>
      <c r="F7136">
        <v>0</v>
      </c>
      <c r="G7136">
        <v>0</v>
      </c>
      <c r="H7136">
        <v>0</v>
      </c>
      <c r="I7136">
        <v>0</v>
      </c>
      <c r="L7136">
        <v>39.082000000000001</v>
      </c>
      <c r="M7136">
        <v>71.867000000000004</v>
      </c>
      <c r="N7136">
        <v>24.181000000000001</v>
      </c>
    </row>
    <row r="7137" spans="1:14" x14ac:dyDescent="0.45">
      <c r="A7137">
        <v>2013</v>
      </c>
      <c r="B7137" t="s">
        <v>213</v>
      </c>
      <c r="C7137">
        <v>1</v>
      </c>
      <c r="D7137">
        <v>0</v>
      </c>
      <c r="E7137">
        <v>0</v>
      </c>
      <c r="F7137">
        <v>0</v>
      </c>
      <c r="G7137">
        <v>0</v>
      </c>
      <c r="H7137">
        <v>1</v>
      </c>
      <c r="I7137">
        <v>1</v>
      </c>
      <c r="J7137">
        <v>34651.771799427901</v>
      </c>
      <c r="K7137">
        <v>29952.405715690398</v>
      </c>
      <c r="L7137">
        <v>37.648000000000003</v>
      </c>
      <c r="M7137">
        <v>80.903000000000006</v>
      </c>
      <c r="N7137">
        <v>3.556</v>
      </c>
    </row>
    <row r="7138" spans="1:14" x14ac:dyDescent="0.45">
      <c r="A7138">
        <v>2013</v>
      </c>
      <c r="B7138" t="s">
        <v>214</v>
      </c>
      <c r="C7138">
        <v>0</v>
      </c>
      <c r="D7138">
        <v>1</v>
      </c>
      <c r="E7138">
        <v>0</v>
      </c>
      <c r="F7138">
        <v>1</v>
      </c>
      <c r="G7138">
        <v>0</v>
      </c>
      <c r="H7138">
        <v>0</v>
      </c>
      <c r="I7138">
        <v>0</v>
      </c>
      <c r="J7138">
        <v>13700.7030515364</v>
      </c>
      <c r="K7138">
        <v>12499.686199408099</v>
      </c>
      <c r="L7138">
        <v>39.802999999999997</v>
      </c>
      <c r="M7138">
        <v>73.292000000000002</v>
      </c>
      <c r="N7138">
        <v>23.532</v>
      </c>
    </row>
    <row r="7139" spans="1:14" x14ac:dyDescent="0.45">
      <c r="A7139">
        <v>2013</v>
      </c>
      <c r="B7139" t="s">
        <v>215</v>
      </c>
      <c r="C7139">
        <v>0</v>
      </c>
      <c r="D7139">
        <v>0</v>
      </c>
      <c r="E7139">
        <v>0</v>
      </c>
      <c r="F7139">
        <v>1</v>
      </c>
      <c r="G7139">
        <v>0</v>
      </c>
      <c r="H7139">
        <v>0</v>
      </c>
      <c r="I7139">
        <v>0</v>
      </c>
      <c r="J7139">
        <v>6142.2020434259102</v>
      </c>
      <c r="K7139">
        <v>5237.3627395892099</v>
      </c>
      <c r="L7139">
        <v>25.137</v>
      </c>
      <c r="M7139">
        <v>74.14</v>
      </c>
      <c r="N7139">
        <v>19.657</v>
      </c>
    </row>
    <row r="7140" spans="1:14" x14ac:dyDescent="0.45">
      <c r="A7140">
        <v>2013</v>
      </c>
      <c r="B7140" t="s">
        <v>216</v>
      </c>
      <c r="C7140">
        <v>0</v>
      </c>
      <c r="D7140">
        <v>0</v>
      </c>
      <c r="E7140">
        <v>0</v>
      </c>
      <c r="F7140">
        <v>0</v>
      </c>
      <c r="G7140">
        <v>0</v>
      </c>
      <c r="H7140">
        <v>1</v>
      </c>
      <c r="I7140">
        <v>1</v>
      </c>
      <c r="L7140">
        <v>38.417000000000002</v>
      </c>
      <c r="M7140">
        <v>81.935000000000002</v>
      </c>
      <c r="N7140">
        <v>7.726</v>
      </c>
    </row>
    <row r="7141" spans="1:14" x14ac:dyDescent="0.45">
      <c r="A7141">
        <v>2013</v>
      </c>
      <c r="B7141" t="s">
        <v>217</v>
      </c>
      <c r="C7141">
        <v>0</v>
      </c>
      <c r="D7141">
        <v>0</v>
      </c>
      <c r="E7141">
        <v>0</v>
      </c>
      <c r="F7141">
        <v>0</v>
      </c>
      <c r="G7141">
        <v>0</v>
      </c>
      <c r="H7141">
        <v>1</v>
      </c>
      <c r="I7141">
        <v>1</v>
      </c>
      <c r="J7141">
        <v>136453.99739096101</v>
      </c>
      <c r="K7141">
        <v>117827.73500131701</v>
      </c>
      <c r="L7141">
        <v>1.2150000000000001</v>
      </c>
      <c r="M7141">
        <v>80.974000000000004</v>
      </c>
      <c r="N7141">
        <v>8.3109999999999999</v>
      </c>
    </row>
    <row r="7142" spans="1:14" x14ac:dyDescent="0.45">
      <c r="A7142">
        <v>2013</v>
      </c>
      <c r="B7142" t="s">
        <v>218</v>
      </c>
      <c r="C7142">
        <v>1</v>
      </c>
      <c r="D7142">
        <v>0</v>
      </c>
      <c r="E7142">
        <v>0</v>
      </c>
      <c r="F7142">
        <v>0</v>
      </c>
      <c r="G7142">
        <v>1</v>
      </c>
      <c r="H7142">
        <v>0</v>
      </c>
      <c r="I7142">
        <v>0</v>
      </c>
      <c r="J7142">
        <v>26939.0387629625</v>
      </c>
      <c r="K7142">
        <v>21897.022266615098</v>
      </c>
      <c r="L7142">
        <v>46.063000000000002</v>
      </c>
      <c r="M7142">
        <v>74.918000000000006</v>
      </c>
      <c r="N7142">
        <v>10.773</v>
      </c>
    </row>
    <row r="7143" spans="1:14" x14ac:dyDescent="0.45">
      <c r="A7143">
        <v>2013</v>
      </c>
      <c r="B7143" t="s">
        <v>219</v>
      </c>
      <c r="C7143">
        <v>1</v>
      </c>
      <c r="D7143">
        <v>0</v>
      </c>
      <c r="E7143">
        <v>0</v>
      </c>
      <c r="F7143">
        <v>0</v>
      </c>
      <c r="G7143">
        <v>0</v>
      </c>
      <c r="H7143">
        <v>1</v>
      </c>
      <c r="I7143">
        <v>1</v>
      </c>
      <c r="J7143">
        <v>36260.06640625</v>
      </c>
      <c r="K7143">
        <v>26277.712271468499</v>
      </c>
      <c r="L7143">
        <v>26.137</v>
      </c>
      <c r="M7143">
        <v>70.64</v>
      </c>
      <c r="N7143">
        <v>9.9139999999999997</v>
      </c>
    </row>
    <row r="7144" spans="1:14" x14ac:dyDescent="0.45">
      <c r="A7144">
        <v>2013</v>
      </c>
      <c r="B7144" t="s">
        <v>220</v>
      </c>
      <c r="C7144">
        <v>0</v>
      </c>
      <c r="D7144">
        <v>0</v>
      </c>
      <c r="E7144">
        <v>1</v>
      </c>
      <c r="F7144">
        <v>0</v>
      </c>
      <c r="G7144">
        <v>0</v>
      </c>
      <c r="H7144">
        <v>0</v>
      </c>
      <c r="I7144">
        <v>0</v>
      </c>
      <c r="J7144">
        <v>2032.4048019409199</v>
      </c>
      <c r="K7144">
        <v>1700.8257976520699</v>
      </c>
      <c r="L7144">
        <v>83.052999999999997</v>
      </c>
      <c r="M7144">
        <v>64.650999999999996</v>
      </c>
      <c r="N7144">
        <v>52.639000000000003</v>
      </c>
    </row>
    <row r="7145" spans="1:14" x14ac:dyDescent="0.45">
      <c r="A7145">
        <v>2013</v>
      </c>
      <c r="B7145" t="s">
        <v>221</v>
      </c>
      <c r="C7145">
        <v>0</v>
      </c>
      <c r="D7145">
        <v>0</v>
      </c>
      <c r="E7145">
        <v>0</v>
      </c>
      <c r="F7145">
        <v>0</v>
      </c>
      <c r="G7145">
        <v>0</v>
      </c>
      <c r="H7145">
        <v>1</v>
      </c>
      <c r="I7145">
        <v>1</v>
      </c>
      <c r="J7145">
        <v>57998.481677782198</v>
      </c>
      <c r="K7145">
        <v>53171.734396924701</v>
      </c>
      <c r="L7145">
        <v>17.260000000000002</v>
      </c>
      <c r="M7145">
        <v>76.516999999999996</v>
      </c>
      <c r="N7145">
        <v>10.23</v>
      </c>
    </row>
    <row r="7146" spans="1:14" x14ac:dyDescent="0.45">
      <c r="A7146">
        <v>2013</v>
      </c>
      <c r="B7146" t="s">
        <v>222</v>
      </c>
      <c r="C7146">
        <v>0</v>
      </c>
      <c r="D7146">
        <v>0</v>
      </c>
      <c r="E7146">
        <v>1</v>
      </c>
      <c r="F7146">
        <v>1</v>
      </c>
      <c r="G7146">
        <v>0</v>
      </c>
      <c r="H7146">
        <v>0</v>
      </c>
      <c r="I7146">
        <v>0</v>
      </c>
      <c r="J7146">
        <v>4130.48583984375</v>
      </c>
      <c r="K7146">
        <v>4325.1633790548603</v>
      </c>
      <c r="L7146">
        <v>66.492999999999995</v>
      </c>
      <c r="M7146">
        <v>63.442999999999998</v>
      </c>
      <c r="N7146">
        <v>68.826999999999998</v>
      </c>
    </row>
    <row r="7147" spans="1:14" x14ac:dyDescent="0.45">
      <c r="A7147">
        <v>2013</v>
      </c>
      <c r="B7147" t="s">
        <v>223</v>
      </c>
      <c r="C7147">
        <v>0</v>
      </c>
      <c r="D7147">
        <v>0</v>
      </c>
      <c r="E7147">
        <v>1</v>
      </c>
      <c r="F7147">
        <v>1</v>
      </c>
      <c r="G7147">
        <v>0</v>
      </c>
      <c r="H7147">
        <v>0</v>
      </c>
      <c r="I7147">
        <v>0</v>
      </c>
      <c r="J7147">
        <v>3385.4259068656202</v>
      </c>
      <c r="K7147">
        <v>2828.3168643609702</v>
      </c>
      <c r="L7147">
        <v>54.981000000000002</v>
      </c>
      <c r="M7147">
        <v>65.638000000000005</v>
      </c>
      <c r="N7147">
        <v>56.677999999999997</v>
      </c>
    </row>
    <row r="7148" spans="1:14" x14ac:dyDescent="0.45">
      <c r="A7148">
        <v>2013</v>
      </c>
      <c r="B7148" t="s">
        <v>224</v>
      </c>
      <c r="C7148">
        <v>0</v>
      </c>
      <c r="D7148">
        <v>0</v>
      </c>
      <c r="E7148">
        <v>0</v>
      </c>
      <c r="F7148">
        <v>0</v>
      </c>
      <c r="G7148">
        <v>0</v>
      </c>
      <c r="H7148">
        <v>1</v>
      </c>
      <c r="I7148">
        <v>1</v>
      </c>
      <c r="J7148">
        <v>104359.030680724</v>
      </c>
      <c r="K7148">
        <v>85787.017185152203</v>
      </c>
      <c r="L7148">
        <v>0</v>
      </c>
      <c r="M7148">
        <v>82.468000000000004</v>
      </c>
      <c r="N7148">
        <v>2.7370000000000001</v>
      </c>
    </row>
    <row r="7149" spans="1:14" x14ac:dyDescent="0.45">
      <c r="A7149">
        <v>2013</v>
      </c>
      <c r="B7149" t="s">
        <v>225</v>
      </c>
      <c r="C7149">
        <v>0</v>
      </c>
      <c r="D7149">
        <v>0</v>
      </c>
      <c r="E7149">
        <v>0</v>
      </c>
      <c r="F7149">
        <v>1</v>
      </c>
      <c r="G7149">
        <v>0</v>
      </c>
      <c r="H7149">
        <v>0</v>
      </c>
      <c r="I7149">
        <v>0</v>
      </c>
      <c r="J7149">
        <v>2783.5944182508601</v>
      </c>
      <c r="K7149">
        <v>2517.96424216282</v>
      </c>
      <c r="L7149">
        <v>78.566999999999993</v>
      </c>
      <c r="M7149">
        <v>69.007000000000005</v>
      </c>
      <c r="N7149">
        <v>24.533000000000001</v>
      </c>
    </row>
    <row r="7150" spans="1:14" x14ac:dyDescent="0.45">
      <c r="A7150">
        <v>2013</v>
      </c>
      <c r="B7150" t="s">
        <v>226</v>
      </c>
      <c r="C7150">
        <v>0</v>
      </c>
      <c r="D7150">
        <v>0</v>
      </c>
      <c r="E7150">
        <v>1</v>
      </c>
      <c r="F7150">
        <v>0</v>
      </c>
      <c r="G7150">
        <v>0</v>
      </c>
      <c r="H7150">
        <v>0</v>
      </c>
      <c r="I7150">
        <v>0</v>
      </c>
      <c r="J7150">
        <v>3127.5394522762099</v>
      </c>
      <c r="K7150">
        <v>2838.77555042528</v>
      </c>
      <c r="L7150">
        <v>59.963999999999999</v>
      </c>
      <c r="M7150">
        <v>54.051000000000002</v>
      </c>
      <c r="N7150">
        <v>141.99799999999999</v>
      </c>
    </row>
    <row r="7151" spans="1:14" x14ac:dyDescent="0.45">
      <c r="A7151">
        <v>2013</v>
      </c>
      <c r="B7151" t="s">
        <v>227</v>
      </c>
      <c r="C7151">
        <v>0</v>
      </c>
      <c r="D7151">
        <v>1</v>
      </c>
      <c r="E7151">
        <v>0</v>
      </c>
      <c r="F7151">
        <v>1</v>
      </c>
      <c r="G7151">
        <v>0</v>
      </c>
      <c r="H7151">
        <v>0</v>
      </c>
      <c r="I7151">
        <v>0</v>
      </c>
      <c r="J7151">
        <v>9327.56424468351</v>
      </c>
      <c r="K7151">
        <v>8308.5315389078296</v>
      </c>
      <c r="L7151">
        <v>31.963999999999999</v>
      </c>
      <c r="M7151">
        <v>71.224999999999994</v>
      </c>
      <c r="N7151">
        <v>16.788</v>
      </c>
    </row>
    <row r="7152" spans="1:14" x14ac:dyDescent="0.45">
      <c r="A7152">
        <v>2013</v>
      </c>
      <c r="B7152" t="s">
        <v>228</v>
      </c>
      <c r="C7152">
        <v>1</v>
      </c>
      <c r="D7152">
        <v>0</v>
      </c>
      <c r="E7152">
        <v>0</v>
      </c>
      <c r="F7152">
        <v>0</v>
      </c>
      <c r="G7152">
        <v>0</v>
      </c>
      <c r="H7152">
        <v>1</v>
      </c>
      <c r="I7152">
        <v>1</v>
      </c>
      <c r="J7152">
        <v>58467.976955004502</v>
      </c>
      <c r="K7152">
        <v>51532.1741069946</v>
      </c>
      <c r="L7152">
        <v>3.63</v>
      </c>
      <c r="M7152">
        <v>84.174999999999997</v>
      </c>
      <c r="N7152">
        <v>2.234</v>
      </c>
    </row>
    <row r="7153" spans="1:14" x14ac:dyDescent="0.45">
      <c r="A7153">
        <v>2013</v>
      </c>
      <c r="B7153" t="s">
        <v>229</v>
      </c>
      <c r="C7153">
        <v>0</v>
      </c>
      <c r="D7153">
        <v>0</v>
      </c>
      <c r="E7153">
        <v>1</v>
      </c>
      <c r="F7153">
        <v>0</v>
      </c>
      <c r="G7153">
        <v>0</v>
      </c>
      <c r="H7153">
        <v>0</v>
      </c>
      <c r="I7153">
        <v>0</v>
      </c>
      <c r="J7153">
        <v>1197.29191546886</v>
      </c>
      <c r="K7153">
        <v>1110.52929868623</v>
      </c>
      <c r="L7153">
        <v>57.883000000000003</v>
      </c>
      <c r="M7153">
        <v>54.015999999999998</v>
      </c>
      <c r="N7153">
        <v>142.14599999999999</v>
      </c>
    </row>
    <row r="7154" spans="1:14" x14ac:dyDescent="0.45">
      <c r="A7154">
        <v>2013</v>
      </c>
      <c r="B7154" t="s">
        <v>230</v>
      </c>
      <c r="C7154">
        <v>1</v>
      </c>
      <c r="D7154">
        <v>0</v>
      </c>
      <c r="E7154">
        <v>0</v>
      </c>
      <c r="F7154">
        <v>0</v>
      </c>
      <c r="G7154">
        <v>1</v>
      </c>
      <c r="H7154">
        <v>0</v>
      </c>
      <c r="I7154">
        <v>0</v>
      </c>
      <c r="J7154">
        <v>18162.190295848199</v>
      </c>
      <c r="K7154">
        <v>15970.445501525701</v>
      </c>
      <c r="L7154">
        <v>44.530999999999999</v>
      </c>
      <c r="M7154">
        <v>75.346000000000004</v>
      </c>
      <c r="N7154">
        <v>6.9249999999999998</v>
      </c>
    </row>
    <row r="7155" spans="1:14" x14ac:dyDescent="0.45">
      <c r="A7155">
        <v>2013</v>
      </c>
      <c r="B7155" t="s">
        <v>231</v>
      </c>
      <c r="C7155">
        <v>0</v>
      </c>
      <c r="D7155">
        <v>0</v>
      </c>
      <c r="E7155">
        <v>1</v>
      </c>
      <c r="F7155">
        <v>1</v>
      </c>
      <c r="G7155">
        <v>0</v>
      </c>
      <c r="H7155">
        <v>0</v>
      </c>
      <c r="I7155">
        <v>0</v>
      </c>
      <c r="L7155">
        <v>81.584999999999994</v>
      </c>
      <c r="M7155">
        <v>58.284999999999997</v>
      </c>
      <c r="N7155">
        <v>103.42100000000001</v>
      </c>
    </row>
    <row r="7156" spans="1:14" x14ac:dyDescent="0.45">
      <c r="A7156">
        <v>2013</v>
      </c>
      <c r="B7156" t="s">
        <v>232</v>
      </c>
      <c r="C7156">
        <v>0</v>
      </c>
      <c r="D7156">
        <v>0</v>
      </c>
      <c r="E7156">
        <v>1</v>
      </c>
      <c r="F7156">
        <v>1</v>
      </c>
      <c r="G7156">
        <v>0</v>
      </c>
      <c r="H7156">
        <v>0</v>
      </c>
      <c r="I7156">
        <v>0</v>
      </c>
      <c r="J7156">
        <v>5072.1120019586597</v>
      </c>
      <c r="K7156">
        <v>3156.8027849252398</v>
      </c>
      <c r="L7156">
        <v>31.792000000000002</v>
      </c>
      <c r="M7156">
        <v>64.930000000000007</v>
      </c>
      <c r="N7156">
        <v>27.609000000000002</v>
      </c>
    </row>
    <row r="7157" spans="1:14" x14ac:dyDescent="0.45">
      <c r="A7157">
        <v>2013</v>
      </c>
      <c r="B7157" t="s">
        <v>233</v>
      </c>
      <c r="C7157">
        <v>0</v>
      </c>
      <c r="D7157">
        <v>1</v>
      </c>
      <c r="E7157">
        <v>0</v>
      </c>
      <c r="F7157">
        <v>0</v>
      </c>
      <c r="G7157">
        <v>1</v>
      </c>
      <c r="H7157">
        <v>0</v>
      </c>
      <c r="I7157">
        <v>0</v>
      </c>
      <c r="J7157">
        <v>24624.021985460098</v>
      </c>
      <c r="K7157">
        <v>19600.2198197662</v>
      </c>
      <c r="L7157">
        <v>33.86</v>
      </c>
      <c r="M7157">
        <v>70.11</v>
      </c>
      <c r="N7157">
        <v>21.48</v>
      </c>
    </row>
    <row r="7158" spans="1:14" x14ac:dyDescent="0.45">
      <c r="A7158">
        <v>2013</v>
      </c>
      <c r="B7158" t="s">
        <v>234</v>
      </c>
      <c r="C7158">
        <v>1</v>
      </c>
      <c r="D7158">
        <v>0</v>
      </c>
      <c r="E7158">
        <v>0</v>
      </c>
      <c r="F7158">
        <v>0</v>
      </c>
      <c r="G7158">
        <v>0</v>
      </c>
      <c r="H7158">
        <v>1</v>
      </c>
      <c r="I7158">
        <v>1</v>
      </c>
      <c r="J7158">
        <v>31078.1239404759</v>
      </c>
      <c r="K7158">
        <v>26767.054675695599</v>
      </c>
      <c r="L7158">
        <v>45.86</v>
      </c>
      <c r="M7158">
        <v>76.513999999999996</v>
      </c>
      <c r="N7158">
        <v>6.4189999999999996</v>
      </c>
    </row>
    <row r="7159" spans="1:14" x14ac:dyDescent="0.45">
      <c r="A7159">
        <v>2013</v>
      </c>
      <c r="B7159" t="s">
        <v>235</v>
      </c>
      <c r="C7159">
        <v>1</v>
      </c>
      <c r="D7159">
        <v>0</v>
      </c>
      <c r="E7159">
        <v>0</v>
      </c>
      <c r="F7159">
        <v>0</v>
      </c>
      <c r="G7159">
        <v>0</v>
      </c>
      <c r="H7159">
        <v>1</v>
      </c>
      <c r="I7159">
        <v>1</v>
      </c>
      <c r="J7159">
        <v>36688.083495793202</v>
      </c>
      <c r="K7159">
        <v>31581.274392955402</v>
      </c>
      <c r="L7159">
        <v>46.667999999999999</v>
      </c>
      <c r="M7159">
        <v>80.087999999999994</v>
      </c>
      <c r="N7159">
        <v>2.6339999999999999</v>
      </c>
    </row>
    <row r="7160" spans="1:14" x14ac:dyDescent="0.45">
      <c r="A7160">
        <v>2013</v>
      </c>
      <c r="B7160" t="s">
        <v>236</v>
      </c>
      <c r="C7160">
        <v>1</v>
      </c>
      <c r="D7160">
        <v>0</v>
      </c>
      <c r="E7160">
        <v>0</v>
      </c>
      <c r="F7160">
        <v>0</v>
      </c>
      <c r="G7160">
        <v>0</v>
      </c>
      <c r="H7160">
        <v>1</v>
      </c>
      <c r="I7160">
        <v>1</v>
      </c>
      <c r="J7160">
        <v>56360.7084200436</v>
      </c>
      <c r="K7160">
        <v>48144.357092222701</v>
      </c>
      <c r="L7160">
        <v>14.064</v>
      </c>
      <c r="M7160">
        <v>81.935000000000002</v>
      </c>
      <c r="N7160">
        <v>3.1230000000000002</v>
      </c>
    </row>
    <row r="7161" spans="1:14" x14ac:dyDescent="0.45">
      <c r="A7161">
        <v>2013</v>
      </c>
      <c r="B7161" t="s">
        <v>237</v>
      </c>
      <c r="C7161">
        <v>0</v>
      </c>
      <c r="D7161">
        <v>0</v>
      </c>
      <c r="E7161">
        <v>1</v>
      </c>
      <c r="F7161">
        <v>1</v>
      </c>
      <c r="G7161">
        <v>0</v>
      </c>
      <c r="H7161">
        <v>0</v>
      </c>
      <c r="I7161">
        <v>0</v>
      </c>
      <c r="J7161">
        <v>9040.7647466755607</v>
      </c>
      <c r="K7161">
        <v>8005.5988394413198</v>
      </c>
      <c r="L7161">
        <v>77.001000000000005</v>
      </c>
      <c r="M7161">
        <v>52.11</v>
      </c>
      <c r="N7161">
        <v>69.576999999999998</v>
      </c>
    </row>
    <row r="7162" spans="1:14" x14ac:dyDescent="0.45">
      <c r="A7162">
        <v>2013</v>
      </c>
      <c r="B7162" t="s">
        <v>238</v>
      </c>
      <c r="C7162">
        <v>0</v>
      </c>
      <c r="D7162">
        <v>1</v>
      </c>
      <c r="E7162">
        <v>0</v>
      </c>
      <c r="F7162">
        <v>0</v>
      </c>
      <c r="G7162">
        <v>0</v>
      </c>
      <c r="H7162">
        <v>1</v>
      </c>
      <c r="I7162">
        <v>1</v>
      </c>
      <c r="J7162">
        <v>52801.403105479199</v>
      </c>
      <c r="K7162">
        <v>50957.973474885497</v>
      </c>
      <c r="L7162">
        <v>0</v>
      </c>
      <c r="M7162">
        <v>75.391000000000005</v>
      </c>
      <c r="N7162">
        <v>17.158000000000001</v>
      </c>
    </row>
    <row r="7163" spans="1:14" x14ac:dyDescent="0.45">
      <c r="A7163">
        <v>2013</v>
      </c>
      <c r="B7163" t="s">
        <v>239</v>
      </c>
      <c r="C7163">
        <v>0</v>
      </c>
      <c r="D7163">
        <v>0</v>
      </c>
      <c r="E7163">
        <v>1</v>
      </c>
      <c r="F7163">
        <v>0</v>
      </c>
      <c r="G7163">
        <v>1</v>
      </c>
      <c r="H7163">
        <v>0</v>
      </c>
      <c r="I7163">
        <v>0</v>
      </c>
      <c r="J7163">
        <v>24770.6514591794</v>
      </c>
      <c r="K7163">
        <v>24048.583995827499</v>
      </c>
      <c r="L7163">
        <v>45.463000000000001</v>
      </c>
      <c r="M7163">
        <v>72.427999999999997</v>
      </c>
      <c r="N7163">
        <v>14.355</v>
      </c>
    </row>
    <row r="7164" spans="1:14" x14ac:dyDescent="0.45">
      <c r="A7164">
        <v>2013</v>
      </c>
      <c r="B7164" t="s">
        <v>240</v>
      </c>
      <c r="C7164">
        <v>0</v>
      </c>
      <c r="D7164">
        <v>0</v>
      </c>
      <c r="E7164">
        <v>0</v>
      </c>
      <c r="F7164">
        <v>1</v>
      </c>
      <c r="G7164">
        <v>0</v>
      </c>
      <c r="H7164">
        <v>0</v>
      </c>
      <c r="I7164">
        <v>0</v>
      </c>
      <c r="J7164">
        <v>5530.9747275703503</v>
      </c>
      <c r="K7164">
        <v>3627.9180299875402</v>
      </c>
      <c r="L7164">
        <v>47.470999999999997</v>
      </c>
      <c r="M7164">
        <v>65.146000000000001</v>
      </c>
      <c r="N7164">
        <v>37.926000000000002</v>
      </c>
    </row>
    <row r="7165" spans="1:14" x14ac:dyDescent="0.45">
      <c r="A7165">
        <v>2013</v>
      </c>
      <c r="B7165" t="s">
        <v>241</v>
      </c>
      <c r="C7165">
        <v>0</v>
      </c>
      <c r="D7165">
        <v>1</v>
      </c>
      <c r="E7165">
        <v>0</v>
      </c>
      <c r="F7165">
        <v>0</v>
      </c>
      <c r="G7165">
        <v>0</v>
      </c>
      <c r="H7165">
        <v>1</v>
      </c>
      <c r="I7165">
        <v>1</v>
      </c>
      <c r="J7165">
        <v>15461.873511271</v>
      </c>
      <c r="K7165">
        <v>24071.620426428199</v>
      </c>
      <c r="L7165">
        <v>8.5169999999999995</v>
      </c>
      <c r="M7165">
        <v>77.099999999999994</v>
      </c>
      <c r="N7165">
        <v>7.1879999999999997</v>
      </c>
    </row>
    <row r="7166" spans="1:14" x14ac:dyDescent="0.45">
      <c r="A7166">
        <v>2013</v>
      </c>
      <c r="B7166" t="s">
        <v>242</v>
      </c>
      <c r="C7166">
        <v>0</v>
      </c>
      <c r="D7166">
        <v>0</v>
      </c>
      <c r="E7166">
        <v>1</v>
      </c>
      <c r="F7166">
        <v>0</v>
      </c>
      <c r="G7166">
        <v>0</v>
      </c>
      <c r="H7166">
        <v>0</v>
      </c>
      <c r="I7166">
        <v>0</v>
      </c>
      <c r="J7166">
        <v>2864.7151974110998</v>
      </c>
      <c r="K7166">
        <v>2406.4644072710898</v>
      </c>
      <c r="L7166">
        <v>77.751999999999995</v>
      </c>
      <c r="M7166">
        <v>51.051000000000002</v>
      </c>
      <c r="N7166">
        <v>136</v>
      </c>
    </row>
    <row r="7167" spans="1:14" x14ac:dyDescent="0.45">
      <c r="A7167">
        <v>2013</v>
      </c>
      <c r="B7167" t="s">
        <v>243</v>
      </c>
      <c r="C7167">
        <v>0</v>
      </c>
      <c r="D7167">
        <v>0</v>
      </c>
      <c r="E7167">
        <v>1</v>
      </c>
      <c r="F7167">
        <v>0</v>
      </c>
      <c r="G7167">
        <v>0</v>
      </c>
      <c r="H7167">
        <v>0</v>
      </c>
      <c r="I7167">
        <v>0</v>
      </c>
      <c r="J7167">
        <v>2188.0701081096599</v>
      </c>
      <c r="K7167">
        <v>1818.36884439139</v>
      </c>
      <c r="L7167">
        <v>60.939</v>
      </c>
      <c r="M7167">
        <v>58.344999999999999</v>
      </c>
      <c r="N7167">
        <v>80.929000000000002</v>
      </c>
    </row>
    <row r="7168" spans="1:14" x14ac:dyDescent="0.45">
      <c r="A7168">
        <v>2013</v>
      </c>
      <c r="B7168" t="s">
        <v>244</v>
      </c>
      <c r="C7168">
        <v>0</v>
      </c>
      <c r="D7168">
        <v>0</v>
      </c>
      <c r="E7168">
        <v>0</v>
      </c>
      <c r="F7168">
        <v>0</v>
      </c>
      <c r="G7168">
        <v>1</v>
      </c>
      <c r="H7168">
        <v>0</v>
      </c>
      <c r="I7168">
        <v>0</v>
      </c>
      <c r="J7168">
        <v>18242.425671536301</v>
      </c>
      <c r="K7168">
        <v>15953.4951627349</v>
      </c>
      <c r="L7168">
        <v>53.807000000000002</v>
      </c>
      <c r="M7168">
        <v>75.959999999999994</v>
      </c>
      <c r="N7168">
        <v>11.196999999999999</v>
      </c>
    </row>
    <row r="7169" spans="1:14" x14ac:dyDescent="0.45">
      <c r="A7169">
        <v>2013</v>
      </c>
      <c r="B7169" t="s">
        <v>245</v>
      </c>
      <c r="C7169">
        <v>1</v>
      </c>
      <c r="D7169">
        <v>0</v>
      </c>
      <c r="E7169">
        <v>0</v>
      </c>
      <c r="F7169">
        <v>0</v>
      </c>
      <c r="G7169">
        <v>0</v>
      </c>
      <c r="H7169">
        <v>0</v>
      </c>
      <c r="I7169">
        <v>0</v>
      </c>
      <c r="J7169">
        <v>2828.3854207514701</v>
      </c>
      <c r="K7169">
        <v>2575.9101689763802</v>
      </c>
      <c r="L7169">
        <v>73.411000000000001</v>
      </c>
      <c r="M7169">
        <v>69.578999999999994</v>
      </c>
      <c r="N7169">
        <v>39.786999999999999</v>
      </c>
    </row>
    <row r="7170" spans="1:14" x14ac:dyDescent="0.45">
      <c r="A7170">
        <v>2013</v>
      </c>
      <c r="B7170" t="s">
        <v>246</v>
      </c>
      <c r="C7170">
        <v>1</v>
      </c>
      <c r="D7170">
        <v>0</v>
      </c>
      <c r="E7170">
        <v>0</v>
      </c>
      <c r="F7170">
        <v>0</v>
      </c>
      <c r="G7170">
        <v>1</v>
      </c>
      <c r="H7170">
        <v>0</v>
      </c>
      <c r="I7170">
        <v>0</v>
      </c>
      <c r="J7170">
        <v>11633.2905987757</v>
      </c>
      <c r="K7170">
        <v>10949.4732432038</v>
      </c>
      <c r="L7170">
        <v>50.459000000000003</v>
      </c>
      <c r="M7170">
        <v>68.968000000000004</v>
      </c>
      <c r="N7170">
        <v>42.48</v>
      </c>
    </row>
    <row r="7171" spans="1:14" x14ac:dyDescent="0.45">
      <c r="A7171">
        <v>2013</v>
      </c>
      <c r="B7171" t="s">
        <v>247</v>
      </c>
      <c r="C7171">
        <v>0</v>
      </c>
      <c r="D7171">
        <v>0</v>
      </c>
      <c r="E7171">
        <v>0</v>
      </c>
      <c r="F7171">
        <v>1</v>
      </c>
      <c r="G7171">
        <v>0</v>
      </c>
      <c r="H7171">
        <v>0</v>
      </c>
      <c r="I7171">
        <v>0</v>
      </c>
      <c r="J7171">
        <v>4342.3534687771598</v>
      </c>
      <c r="K7171">
        <v>3503.6828039053098</v>
      </c>
      <c r="L7171">
        <v>71.221000000000004</v>
      </c>
      <c r="M7171">
        <v>64.718999999999994</v>
      </c>
      <c r="N7171">
        <v>64.841999999999999</v>
      </c>
    </row>
    <row r="7172" spans="1:14" x14ac:dyDescent="0.45">
      <c r="A7172">
        <v>2013</v>
      </c>
      <c r="B7172" t="s">
        <v>248</v>
      </c>
      <c r="C7172">
        <v>0</v>
      </c>
      <c r="D7172">
        <v>0</v>
      </c>
      <c r="E7172">
        <v>0</v>
      </c>
      <c r="F7172">
        <v>0</v>
      </c>
      <c r="G7172">
        <v>1</v>
      </c>
      <c r="H7172">
        <v>0</v>
      </c>
      <c r="I7172">
        <v>0</v>
      </c>
      <c r="J7172">
        <v>5951.6943211124099</v>
      </c>
      <c r="K7172">
        <v>5387.6598117711001</v>
      </c>
      <c r="L7172">
        <v>76.617999999999995</v>
      </c>
      <c r="M7172">
        <v>71.650000000000006</v>
      </c>
      <c r="N7172">
        <v>12.731999999999999</v>
      </c>
    </row>
    <row r="7173" spans="1:14" x14ac:dyDescent="0.45">
      <c r="A7173">
        <v>2013</v>
      </c>
      <c r="B7173" t="s">
        <v>249</v>
      </c>
      <c r="C7173">
        <v>0</v>
      </c>
      <c r="D7173">
        <v>1</v>
      </c>
      <c r="E7173">
        <v>0</v>
      </c>
      <c r="F7173">
        <v>0</v>
      </c>
      <c r="G7173">
        <v>0</v>
      </c>
      <c r="H7173">
        <v>1</v>
      </c>
      <c r="I7173">
        <v>1</v>
      </c>
      <c r="J7173">
        <v>38033.898420923499</v>
      </c>
      <c r="K7173">
        <v>31742.826339723801</v>
      </c>
      <c r="L7173">
        <v>46.47</v>
      </c>
      <c r="M7173">
        <v>72.784999999999997</v>
      </c>
      <c r="N7173">
        <v>20.404</v>
      </c>
    </row>
    <row r="7174" spans="1:14" x14ac:dyDescent="0.45">
      <c r="A7174">
        <v>2013</v>
      </c>
      <c r="B7174" t="s">
        <v>250</v>
      </c>
      <c r="C7174">
        <v>0</v>
      </c>
      <c r="D7174">
        <v>0</v>
      </c>
      <c r="E7174">
        <v>0</v>
      </c>
      <c r="F7174">
        <v>0</v>
      </c>
      <c r="G7174">
        <v>1</v>
      </c>
      <c r="H7174">
        <v>0</v>
      </c>
      <c r="I7174">
        <v>0</v>
      </c>
      <c r="J7174">
        <v>12587.981239561799</v>
      </c>
      <c r="K7174">
        <v>10970.215376247501</v>
      </c>
      <c r="L7174">
        <v>32.505000000000003</v>
      </c>
      <c r="M7174">
        <v>74.674000000000007</v>
      </c>
      <c r="N7174">
        <v>18.135999999999999</v>
      </c>
    </row>
    <row r="7175" spans="1:14" x14ac:dyDescent="0.45">
      <c r="A7175">
        <v>2013</v>
      </c>
      <c r="B7175" t="s">
        <v>251</v>
      </c>
      <c r="C7175">
        <v>1</v>
      </c>
      <c r="D7175">
        <v>0</v>
      </c>
      <c r="E7175">
        <v>0</v>
      </c>
      <c r="F7175">
        <v>0</v>
      </c>
      <c r="G7175">
        <v>1</v>
      </c>
      <c r="H7175">
        <v>0</v>
      </c>
      <c r="I7175">
        <v>0</v>
      </c>
      <c r="J7175">
        <v>23756.273041748598</v>
      </c>
      <c r="K7175">
        <v>23819.824885004498</v>
      </c>
      <c r="L7175">
        <v>27.469000000000001</v>
      </c>
      <c r="M7175">
        <v>76.171000000000006</v>
      </c>
      <c r="N7175">
        <v>14.973000000000001</v>
      </c>
    </row>
    <row r="7176" spans="1:14" x14ac:dyDescent="0.45">
      <c r="A7176">
        <v>2013</v>
      </c>
      <c r="B7176" t="s">
        <v>252</v>
      </c>
      <c r="C7176">
        <v>0</v>
      </c>
      <c r="D7176">
        <v>0</v>
      </c>
      <c r="E7176">
        <v>0</v>
      </c>
      <c r="F7176">
        <v>0</v>
      </c>
      <c r="G7176">
        <v>1</v>
      </c>
      <c r="H7176">
        <v>0</v>
      </c>
      <c r="I7176">
        <v>0</v>
      </c>
      <c r="J7176">
        <v>3690.2420429533099</v>
      </c>
      <c r="K7176">
        <v>3338.3937598742</v>
      </c>
      <c r="L7176">
        <v>42.186</v>
      </c>
      <c r="M7176">
        <v>65.171000000000006</v>
      </c>
      <c r="N7176">
        <v>27.914999999999999</v>
      </c>
    </row>
    <row r="7177" spans="1:14" x14ac:dyDescent="0.45">
      <c r="A7177">
        <v>2013</v>
      </c>
      <c r="B7177" t="s">
        <v>253</v>
      </c>
      <c r="C7177">
        <v>0</v>
      </c>
      <c r="D7177">
        <v>0</v>
      </c>
      <c r="E7177">
        <v>0</v>
      </c>
      <c r="F7177">
        <v>0</v>
      </c>
      <c r="G7177">
        <v>0</v>
      </c>
      <c r="H7177">
        <v>1</v>
      </c>
      <c r="I7177">
        <v>1</v>
      </c>
      <c r="L7177">
        <v>46.987000000000002</v>
      </c>
      <c r="M7177">
        <v>79.597999999999999</v>
      </c>
      <c r="N7177">
        <v>5.2220000000000004</v>
      </c>
    </row>
    <row r="7178" spans="1:14" x14ac:dyDescent="0.45">
      <c r="A7178">
        <v>2013</v>
      </c>
      <c r="B7178" t="s">
        <v>254</v>
      </c>
      <c r="C7178">
        <v>0</v>
      </c>
      <c r="D7178">
        <v>0</v>
      </c>
      <c r="E7178">
        <v>1</v>
      </c>
      <c r="F7178">
        <v>0</v>
      </c>
      <c r="G7178">
        <v>0</v>
      </c>
      <c r="H7178">
        <v>0</v>
      </c>
      <c r="I7178">
        <v>0</v>
      </c>
      <c r="J7178">
        <v>2924.86328125</v>
      </c>
      <c r="K7178">
        <v>2178.6333680551502</v>
      </c>
      <c r="L7178">
        <v>69.804000000000002</v>
      </c>
      <c r="M7178">
        <v>62.787999999999997</v>
      </c>
      <c r="N7178">
        <v>59.527000000000001</v>
      </c>
    </row>
    <row r="7179" spans="1:14" x14ac:dyDescent="0.45">
      <c r="A7179">
        <v>2013</v>
      </c>
      <c r="B7179" t="s">
        <v>255</v>
      </c>
      <c r="C7179">
        <v>0</v>
      </c>
      <c r="D7179">
        <v>0</v>
      </c>
      <c r="E7179">
        <v>1</v>
      </c>
      <c r="F7179">
        <v>0</v>
      </c>
      <c r="G7179">
        <v>0</v>
      </c>
      <c r="H7179">
        <v>0</v>
      </c>
      <c r="I7179">
        <v>0</v>
      </c>
      <c r="J7179">
        <v>2420.8880808726599</v>
      </c>
      <c r="K7179">
        <v>2053.65037503134</v>
      </c>
      <c r="L7179">
        <v>79.042000000000002</v>
      </c>
      <c r="M7179">
        <v>62.353000000000002</v>
      </c>
      <c r="N7179">
        <v>62.807000000000002</v>
      </c>
    </row>
    <row r="7180" spans="1:14" x14ac:dyDescent="0.45">
      <c r="A7180">
        <v>2013</v>
      </c>
      <c r="B7180" t="s">
        <v>256</v>
      </c>
      <c r="C7180">
        <v>1</v>
      </c>
      <c r="D7180">
        <v>0</v>
      </c>
      <c r="E7180">
        <v>0</v>
      </c>
      <c r="F7180">
        <v>1</v>
      </c>
      <c r="G7180">
        <v>0</v>
      </c>
      <c r="H7180">
        <v>0</v>
      </c>
      <c r="I7180">
        <v>0</v>
      </c>
      <c r="J7180">
        <v>17889.091796875</v>
      </c>
      <c r="K7180">
        <v>12652.695829822</v>
      </c>
      <c r="L7180">
        <v>31.125</v>
      </c>
      <c r="M7180">
        <v>71.474000000000004</v>
      </c>
      <c r="N7180">
        <v>9.4589999999999996</v>
      </c>
    </row>
    <row r="7181" spans="1:14" x14ac:dyDescent="0.45">
      <c r="A7181">
        <v>2013</v>
      </c>
      <c r="B7181" t="s">
        <v>257</v>
      </c>
      <c r="C7181">
        <v>0</v>
      </c>
      <c r="D7181">
        <v>1</v>
      </c>
      <c r="E7181">
        <v>0</v>
      </c>
      <c r="F7181">
        <v>0</v>
      </c>
      <c r="G7181">
        <v>0</v>
      </c>
      <c r="H7181">
        <v>1</v>
      </c>
      <c r="I7181">
        <v>1</v>
      </c>
      <c r="J7181">
        <v>28119.483334140401</v>
      </c>
      <c r="K7181">
        <v>22303.490639307001</v>
      </c>
      <c r="L7181">
        <v>5.157</v>
      </c>
      <c r="M7181">
        <v>76.953000000000003</v>
      </c>
      <c r="N7181">
        <v>10.157999999999999</v>
      </c>
    </row>
    <row r="7182" spans="1:14" x14ac:dyDescent="0.45">
      <c r="A7182">
        <v>2013</v>
      </c>
      <c r="B7182" t="s">
        <v>258</v>
      </c>
      <c r="C7182">
        <v>0</v>
      </c>
      <c r="D7182">
        <v>0</v>
      </c>
      <c r="E7182">
        <v>0</v>
      </c>
      <c r="F7182">
        <v>0</v>
      </c>
      <c r="G7182">
        <v>0</v>
      </c>
      <c r="H7182">
        <v>1</v>
      </c>
      <c r="I7182">
        <v>1</v>
      </c>
      <c r="J7182">
        <v>61958.723440878297</v>
      </c>
      <c r="K7182">
        <v>56238.359968385099</v>
      </c>
      <c r="L7182">
        <v>18.701000000000001</v>
      </c>
      <c r="M7182">
        <v>78.816999999999993</v>
      </c>
      <c r="N7182">
        <v>6.9340000000000002</v>
      </c>
    </row>
    <row r="7183" spans="1:14" x14ac:dyDescent="0.45">
      <c r="A7183">
        <v>2013</v>
      </c>
      <c r="B7183" t="s">
        <v>259</v>
      </c>
      <c r="C7183">
        <v>1</v>
      </c>
      <c r="D7183">
        <v>0</v>
      </c>
      <c r="E7183">
        <v>0</v>
      </c>
      <c r="F7183">
        <v>1</v>
      </c>
      <c r="G7183">
        <v>0</v>
      </c>
      <c r="H7183">
        <v>0</v>
      </c>
      <c r="I7183">
        <v>0</v>
      </c>
      <c r="J7183">
        <v>6797.7749478449396</v>
      </c>
      <c r="K7183">
        <v>6604.2898924034298</v>
      </c>
      <c r="L7183">
        <v>49.05</v>
      </c>
      <c r="M7183">
        <v>70.691999999999993</v>
      </c>
      <c r="N7183">
        <v>23.48</v>
      </c>
    </row>
    <row r="7184" spans="1:14" x14ac:dyDescent="0.45">
      <c r="A7184">
        <v>2013</v>
      </c>
      <c r="B7184" t="s">
        <v>260</v>
      </c>
      <c r="C7184">
        <v>0</v>
      </c>
      <c r="D7184">
        <v>1</v>
      </c>
      <c r="E7184">
        <v>0</v>
      </c>
      <c r="F7184">
        <v>0</v>
      </c>
      <c r="G7184">
        <v>1</v>
      </c>
      <c r="H7184">
        <v>0</v>
      </c>
      <c r="I7184">
        <v>0</v>
      </c>
      <c r="J7184">
        <v>13804.183795188699</v>
      </c>
      <c r="K7184">
        <v>12064.320736944501</v>
      </c>
      <c r="L7184">
        <v>49.845999999999997</v>
      </c>
      <c r="M7184">
        <v>70.090999999999994</v>
      </c>
      <c r="N7184">
        <v>19.166</v>
      </c>
    </row>
    <row r="7185" spans="1:14" x14ac:dyDescent="0.45">
      <c r="A7185">
        <v>2013</v>
      </c>
      <c r="B7185" t="s">
        <v>261</v>
      </c>
      <c r="C7185">
        <v>0</v>
      </c>
      <c r="D7185">
        <v>1</v>
      </c>
      <c r="E7185">
        <v>0</v>
      </c>
      <c r="F7185">
        <v>0</v>
      </c>
      <c r="G7185">
        <v>1</v>
      </c>
      <c r="H7185">
        <v>0</v>
      </c>
      <c r="I7185">
        <v>0</v>
      </c>
      <c r="L7185">
        <v>11.867000000000001</v>
      </c>
      <c r="M7185">
        <v>73.075999999999993</v>
      </c>
      <c r="N7185">
        <v>17.873999999999999</v>
      </c>
    </row>
    <row r="7186" spans="1:14" x14ac:dyDescent="0.45">
      <c r="A7186">
        <v>2013</v>
      </c>
      <c r="B7186" t="s">
        <v>262</v>
      </c>
      <c r="C7186">
        <v>0</v>
      </c>
      <c r="D7186">
        <v>1</v>
      </c>
      <c r="E7186">
        <v>0</v>
      </c>
      <c r="F7186">
        <v>0</v>
      </c>
      <c r="G7186">
        <v>0</v>
      </c>
      <c r="H7186">
        <v>1</v>
      </c>
      <c r="I7186">
        <v>1</v>
      </c>
      <c r="L7186">
        <v>54.143999999999998</v>
      </c>
      <c r="M7186">
        <v>76.471999999999994</v>
      </c>
      <c r="N7186">
        <v>15.411</v>
      </c>
    </row>
    <row r="7187" spans="1:14" x14ac:dyDescent="0.45">
      <c r="A7187">
        <v>2013</v>
      </c>
      <c r="B7187" t="s">
        <v>263</v>
      </c>
      <c r="C7187">
        <v>0</v>
      </c>
      <c r="D7187">
        <v>1</v>
      </c>
      <c r="E7187">
        <v>0</v>
      </c>
      <c r="F7187">
        <v>0</v>
      </c>
      <c r="G7187">
        <v>0</v>
      </c>
      <c r="H7187">
        <v>1</v>
      </c>
      <c r="I7187">
        <v>1</v>
      </c>
      <c r="J7187">
        <v>43563.886493140701</v>
      </c>
      <c r="K7187">
        <v>34118.112629752999</v>
      </c>
      <c r="L7187">
        <v>4.9300000000000104</v>
      </c>
      <c r="M7187">
        <v>73.947000000000003</v>
      </c>
      <c r="N7187">
        <v>8.5429999999999993</v>
      </c>
    </row>
    <row r="7188" spans="1:14" x14ac:dyDescent="0.45">
      <c r="A7188">
        <v>2013</v>
      </c>
      <c r="B7188" t="s">
        <v>264</v>
      </c>
      <c r="C7188">
        <v>0</v>
      </c>
      <c r="D7188">
        <v>0</v>
      </c>
      <c r="E7188">
        <v>0</v>
      </c>
      <c r="F7188">
        <v>1</v>
      </c>
      <c r="G7188">
        <v>0</v>
      </c>
      <c r="H7188">
        <v>0</v>
      </c>
      <c r="I7188">
        <v>0</v>
      </c>
      <c r="J7188">
        <v>8324.1987125004707</v>
      </c>
      <c r="K7188">
        <v>7417.5510543792197</v>
      </c>
      <c r="L7188">
        <v>67.570999999999998</v>
      </c>
      <c r="M7188">
        <v>73.820999999999998</v>
      </c>
      <c r="N7188">
        <v>22.541</v>
      </c>
    </row>
    <row r="7189" spans="1:14" x14ac:dyDescent="0.45">
      <c r="A7189">
        <v>2013</v>
      </c>
      <c r="B7189" t="s">
        <v>265</v>
      </c>
      <c r="C7189">
        <v>0</v>
      </c>
      <c r="D7189">
        <v>0</v>
      </c>
      <c r="E7189">
        <v>0</v>
      </c>
      <c r="F7189">
        <v>1</v>
      </c>
      <c r="G7189">
        <v>0</v>
      </c>
      <c r="H7189">
        <v>0</v>
      </c>
      <c r="I7189">
        <v>0</v>
      </c>
      <c r="J7189">
        <v>3292.2342455255198</v>
      </c>
      <c r="K7189">
        <v>2978.1595295604402</v>
      </c>
      <c r="L7189">
        <v>75.239000000000004</v>
      </c>
      <c r="M7189">
        <v>69.986000000000004</v>
      </c>
      <c r="N7189">
        <v>21.943999999999999</v>
      </c>
    </row>
    <row r="7190" spans="1:14" x14ac:dyDescent="0.45">
      <c r="A7190">
        <v>2013</v>
      </c>
      <c r="B7190" t="s">
        <v>266</v>
      </c>
      <c r="C7190">
        <v>0</v>
      </c>
      <c r="D7190">
        <v>0</v>
      </c>
      <c r="E7190">
        <v>0</v>
      </c>
      <c r="F7190">
        <v>1</v>
      </c>
      <c r="G7190">
        <v>0</v>
      </c>
      <c r="H7190">
        <v>0</v>
      </c>
      <c r="I7190">
        <v>0</v>
      </c>
      <c r="J7190">
        <v>6262.3237201791198</v>
      </c>
      <c r="K7190">
        <v>5664.9064658115904</v>
      </c>
      <c r="L7190">
        <v>80.614999999999995</v>
      </c>
      <c r="M7190">
        <v>71.228999999999999</v>
      </c>
      <c r="N7190">
        <v>18.873999999999999</v>
      </c>
    </row>
    <row r="7191" spans="1:14" x14ac:dyDescent="0.45">
      <c r="A7191">
        <v>2013</v>
      </c>
      <c r="B7191" t="s">
        <v>267</v>
      </c>
      <c r="C7191">
        <v>1</v>
      </c>
      <c r="D7191">
        <v>0</v>
      </c>
      <c r="E7191">
        <v>0</v>
      </c>
      <c r="F7191">
        <v>1</v>
      </c>
      <c r="G7191">
        <v>0</v>
      </c>
      <c r="H7191">
        <v>0</v>
      </c>
      <c r="I7191">
        <v>0</v>
      </c>
      <c r="J7191">
        <v>8828.2768325163797</v>
      </c>
      <c r="K7191">
        <v>8013.1888342950897</v>
      </c>
      <c r="L7191">
        <v>44.530999999999999</v>
      </c>
      <c r="M7191">
        <v>76.335999999999999</v>
      </c>
      <c r="N7191">
        <v>16.324000000000002</v>
      </c>
    </row>
    <row r="7192" spans="1:14" x14ac:dyDescent="0.45">
      <c r="A7192">
        <v>2013</v>
      </c>
      <c r="B7192" t="s">
        <v>268</v>
      </c>
      <c r="C7192">
        <v>0</v>
      </c>
      <c r="D7192">
        <v>0</v>
      </c>
      <c r="E7192">
        <v>0</v>
      </c>
      <c r="F7192">
        <v>1</v>
      </c>
      <c r="G7192">
        <v>0</v>
      </c>
      <c r="H7192">
        <v>0</v>
      </c>
      <c r="I7192">
        <v>0</v>
      </c>
      <c r="L7192">
        <v>66.441000000000003</v>
      </c>
      <c r="M7192">
        <v>67.960999999999999</v>
      </c>
      <c r="N7192">
        <v>50.43</v>
      </c>
    </row>
    <row r="7193" spans="1:14" x14ac:dyDescent="0.45">
      <c r="A7193">
        <v>2013</v>
      </c>
      <c r="B7193" t="s">
        <v>269</v>
      </c>
      <c r="C7193">
        <v>0</v>
      </c>
      <c r="D7193">
        <v>0</v>
      </c>
      <c r="E7193">
        <v>1</v>
      </c>
      <c r="F7193">
        <v>0</v>
      </c>
      <c r="G7193">
        <v>1</v>
      </c>
      <c r="H7193">
        <v>0</v>
      </c>
      <c r="I7193">
        <v>0</v>
      </c>
      <c r="J7193">
        <v>14699.0668127928</v>
      </c>
      <c r="K7193">
        <v>13839.7760239952</v>
      </c>
      <c r="L7193">
        <v>36.207000000000001</v>
      </c>
      <c r="M7193">
        <v>62.387999999999998</v>
      </c>
      <c r="N7193">
        <v>42.682000000000002</v>
      </c>
    </row>
    <row r="7194" spans="1:14" x14ac:dyDescent="0.45">
      <c r="A7194">
        <v>2013</v>
      </c>
      <c r="B7194" t="s">
        <v>270</v>
      </c>
      <c r="C7194">
        <v>0</v>
      </c>
      <c r="D7194">
        <v>0</v>
      </c>
      <c r="E7194">
        <v>1</v>
      </c>
      <c r="F7194">
        <v>1</v>
      </c>
      <c r="G7194">
        <v>0</v>
      </c>
      <c r="H7194">
        <v>0</v>
      </c>
      <c r="I7194">
        <v>0</v>
      </c>
      <c r="J7194">
        <v>3535.2244904314398</v>
      </c>
      <c r="K7194">
        <v>3319.0712032930901</v>
      </c>
      <c r="L7194">
        <v>59.134999999999998</v>
      </c>
      <c r="M7194">
        <v>59.445</v>
      </c>
      <c r="N7194">
        <v>71.817999999999998</v>
      </c>
    </row>
    <row r="7195" spans="1:14" x14ac:dyDescent="0.45">
      <c r="A7195">
        <v>2013</v>
      </c>
      <c r="B7195" t="s">
        <v>271</v>
      </c>
      <c r="C7195">
        <v>0</v>
      </c>
      <c r="D7195">
        <v>0</v>
      </c>
      <c r="E7195">
        <v>1</v>
      </c>
      <c r="F7195">
        <v>0</v>
      </c>
      <c r="G7195">
        <v>0</v>
      </c>
      <c r="H7195">
        <v>0</v>
      </c>
      <c r="I7195">
        <v>0</v>
      </c>
      <c r="J7195">
        <v>3319.7720860167601</v>
      </c>
      <c r="K7195">
        <v>2210.4233925877602</v>
      </c>
      <c r="L7195">
        <v>67.346000000000004</v>
      </c>
      <c r="M7195">
        <v>56.841999999999999</v>
      </c>
      <c r="N7195">
        <v>68.171000000000006</v>
      </c>
    </row>
    <row r="7196" spans="1:14" x14ac:dyDescent="0.45">
      <c r="A7196">
        <v>2014</v>
      </c>
      <c r="B7196" t="s">
        <v>54</v>
      </c>
      <c r="C7196">
        <v>0</v>
      </c>
      <c r="D7196">
        <v>1</v>
      </c>
      <c r="E7196">
        <v>0</v>
      </c>
      <c r="F7196">
        <v>0</v>
      </c>
      <c r="G7196">
        <v>0</v>
      </c>
      <c r="H7196">
        <v>1</v>
      </c>
      <c r="I7196">
        <v>1</v>
      </c>
      <c r="J7196">
        <v>36275.680955337099</v>
      </c>
      <c r="K7196">
        <v>35303.757478191503</v>
      </c>
      <c r="L7196">
        <v>56.959000000000003</v>
      </c>
      <c r="M7196">
        <v>75.260999999999996</v>
      </c>
      <c r="N7196">
        <v>16.768999999999998</v>
      </c>
    </row>
    <row r="7197" spans="1:14" x14ac:dyDescent="0.45">
      <c r="A7197">
        <v>2014</v>
      </c>
      <c r="B7197" t="s">
        <v>55</v>
      </c>
      <c r="C7197">
        <v>0</v>
      </c>
      <c r="D7197">
        <v>0</v>
      </c>
      <c r="E7197">
        <v>0</v>
      </c>
      <c r="F7197">
        <v>0</v>
      </c>
      <c r="G7197">
        <v>0</v>
      </c>
      <c r="H7197">
        <v>0</v>
      </c>
      <c r="I7197">
        <v>0</v>
      </c>
      <c r="J7197">
        <v>3017.9425442469601</v>
      </c>
      <c r="K7197">
        <v>2387.1657668437301</v>
      </c>
      <c r="L7197">
        <v>75.412999999999997</v>
      </c>
      <c r="M7197">
        <v>62.26</v>
      </c>
      <c r="N7197">
        <v>78.206999999999994</v>
      </c>
    </row>
    <row r="7198" spans="1:14" x14ac:dyDescent="0.45">
      <c r="A7198">
        <v>2014</v>
      </c>
      <c r="B7198" t="s">
        <v>56</v>
      </c>
      <c r="C7198">
        <v>0</v>
      </c>
      <c r="D7198">
        <v>0</v>
      </c>
      <c r="E7198">
        <v>1</v>
      </c>
      <c r="F7198">
        <v>0</v>
      </c>
      <c r="G7198">
        <v>1</v>
      </c>
      <c r="H7198">
        <v>0</v>
      </c>
      <c r="I7198">
        <v>0</v>
      </c>
      <c r="J7198">
        <v>10250.592404033299</v>
      </c>
      <c r="K7198">
        <v>7927.3037896156102</v>
      </c>
      <c r="L7198">
        <v>37.268999999999998</v>
      </c>
      <c r="M7198">
        <v>60.396000000000001</v>
      </c>
      <c r="N7198">
        <v>93.23</v>
      </c>
    </row>
    <row r="7199" spans="1:14" x14ac:dyDescent="0.45">
      <c r="A7199">
        <v>2014</v>
      </c>
      <c r="B7199" t="s">
        <v>57</v>
      </c>
      <c r="C7199">
        <v>1</v>
      </c>
      <c r="D7199">
        <v>0</v>
      </c>
      <c r="E7199">
        <v>0</v>
      </c>
      <c r="F7199">
        <v>0</v>
      </c>
      <c r="G7199">
        <v>1</v>
      </c>
      <c r="H7199">
        <v>0</v>
      </c>
      <c r="I7199">
        <v>0</v>
      </c>
      <c r="J7199">
        <v>12832.2122230451</v>
      </c>
      <c r="K7199">
        <v>11625.3956903051</v>
      </c>
      <c r="L7199">
        <v>43.576999999999998</v>
      </c>
      <c r="M7199">
        <v>78.028999999999996</v>
      </c>
      <c r="N7199">
        <v>10.456</v>
      </c>
    </row>
    <row r="7200" spans="1:14" x14ac:dyDescent="0.45">
      <c r="A7200">
        <v>2014</v>
      </c>
      <c r="B7200" t="s">
        <v>58</v>
      </c>
      <c r="C7200">
        <v>1</v>
      </c>
      <c r="D7200">
        <v>0</v>
      </c>
      <c r="E7200">
        <v>0</v>
      </c>
      <c r="F7200">
        <v>0</v>
      </c>
      <c r="G7200">
        <v>0</v>
      </c>
      <c r="H7200">
        <v>1</v>
      </c>
      <c r="I7200">
        <v>1</v>
      </c>
      <c r="J7200">
        <v>59929.244467050099</v>
      </c>
      <c r="K7200">
        <v>50306.024146215299</v>
      </c>
      <c r="L7200">
        <v>11.558999999999999</v>
      </c>
      <c r="M7200">
        <v>84.484999999999999</v>
      </c>
      <c r="N7200">
        <v>5.8049999999999997</v>
      </c>
    </row>
    <row r="7201" spans="1:14" x14ac:dyDescent="0.45">
      <c r="A7201">
        <v>2014</v>
      </c>
      <c r="B7201" t="s">
        <v>59</v>
      </c>
      <c r="C7201">
        <v>0</v>
      </c>
      <c r="D7201">
        <v>0</v>
      </c>
      <c r="E7201">
        <v>0</v>
      </c>
      <c r="F7201">
        <v>0</v>
      </c>
      <c r="G7201">
        <v>0</v>
      </c>
      <c r="H7201">
        <v>1</v>
      </c>
      <c r="I7201">
        <v>1</v>
      </c>
      <c r="J7201">
        <v>69409.037041488104</v>
      </c>
      <c r="K7201">
        <v>68573.955414669297</v>
      </c>
      <c r="L7201">
        <v>14.625</v>
      </c>
      <c r="M7201">
        <v>81.99</v>
      </c>
      <c r="N7201">
        <v>7.78</v>
      </c>
    </row>
    <row r="7202" spans="1:14" x14ac:dyDescent="0.45">
      <c r="A7202">
        <v>2014</v>
      </c>
      <c r="B7202" t="s">
        <v>60</v>
      </c>
      <c r="C7202">
        <v>0</v>
      </c>
      <c r="D7202">
        <v>1</v>
      </c>
      <c r="E7202">
        <v>0</v>
      </c>
      <c r="F7202">
        <v>0</v>
      </c>
      <c r="G7202">
        <v>0</v>
      </c>
      <c r="H7202">
        <v>1</v>
      </c>
      <c r="I7202">
        <v>1</v>
      </c>
      <c r="J7202">
        <v>28200.815257131799</v>
      </c>
      <c r="K7202">
        <v>23274.408944467901</v>
      </c>
      <c r="L7202">
        <v>8.6229999999999993</v>
      </c>
      <c r="M7202">
        <v>76.268000000000001</v>
      </c>
      <c r="N7202">
        <v>13.342000000000001</v>
      </c>
    </row>
    <row r="7203" spans="1:14" x14ac:dyDescent="0.45">
      <c r="A7203">
        <v>2014</v>
      </c>
      <c r="B7203" t="s">
        <v>61</v>
      </c>
      <c r="C7203">
        <v>1</v>
      </c>
      <c r="D7203">
        <v>0</v>
      </c>
      <c r="E7203">
        <v>0</v>
      </c>
      <c r="F7203">
        <v>1</v>
      </c>
      <c r="G7203">
        <v>0</v>
      </c>
      <c r="H7203">
        <v>0</v>
      </c>
      <c r="I7203">
        <v>0</v>
      </c>
      <c r="J7203">
        <v>12667.375733024899</v>
      </c>
      <c r="K7203">
        <v>10730.549581525</v>
      </c>
      <c r="L7203">
        <v>36.887999999999998</v>
      </c>
      <c r="M7203">
        <v>73.98</v>
      </c>
      <c r="N7203">
        <v>15.263</v>
      </c>
    </row>
    <row r="7204" spans="1:14" x14ac:dyDescent="0.45">
      <c r="A7204">
        <v>2014</v>
      </c>
      <c r="B7204" t="s">
        <v>62</v>
      </c>
      <c r="C7204">
        <v>0</v>
      </c>
      <c r="D7204">
        <v>0</v>
      </c>
      <c r="E7204">
        <v>0</v>
      </c>
      <c r="F7204">
        <v>0</v>
      </c>
      <c r="G7204">
        <v>1</v>
      </c>
      <c r="H7204">
        <v>0</v>
      </c>
      <c r="I7204">
        <v>0</v>
      </c>
      <c r="L7204">
        <v>12.712</v>
      </c>
      <c r="M7204">
        <v>72.686999999999998</v>
      </c>
      <c r="N7204">
        <v>11.039</v>
      </c>
    </row>
    <row r="7205" spans="1:14" x14ac:dyDescent="0.45">
      <c r="A7205">
        <v>2014</v>
      </c>
      <c r="B7205" t="s">
        <v>63</v>
      </c>
      <c r="C7205">
        <v>0</v>
      </c>
      <c r="D7205">
        <v>1</v>
      </c>
      <c r="E7205">
        <v>0</v>
      </c>
      <c r="F7205">
        <v>0</v>
      </c>
      <c r="G7205">
        <v>0</v>
      </c>
      <c r="H7205">
        <v>1</v>
      </c>
      <c r="I7205">
        <v>1</v>
      </c>
      <c r="J7205">
        <v>25557.524912471599</v>
      </c>
      <c r="K7205">
        <v>20129.025631842302</v>
      </c>
      <c r="L7205">
        <v>74.825000000000003</v>
      </c>
      <c r="M7205">
        <v>76.912000000000006</v>
      </c>
      <c r="N7205">
        <v>11.106999999999999</v>
      </c>
    </row>
    <row r="7206" spans="1:14" x14ac:dyDescent="0.45">
      <c r="A7206">
        <v>2014</v>
      </c>
      <c r="B7206" t="s">
        <v>64</v>
      </c>
      <c r="C7206">
        <v>0</v>
      </c>
      <c r="D7206">
        <v>0</v>
      </c>
      <c r="E7206">
        <v>0</v>
      </c>
      <c r="F7206">
        <v>0</v>
      </c>
      <c r="G7206">
        <v>0</v>
      </c>
      <c r="H7206">
        <v>1</v>
      </c>
      <c r="I7206">
        <v>1</v>
      </c>
      <c r="J7206">
        <v>55288.115337800496</v>
      </c>
      <c r="K7206">
        <v>47887.889060052599</v>
      </c>
      <c r="L7206">
        <v>14.398</v>
      </c>
      <c r="M7206">
        <v>82.518000000000001</v>
      </c>
      <c r="N7206">
        <v>3.9710000000000001</v>
      </c>
    </row>
    <row r="7207" spans="1:14" x14ac:dyDescent="0.45">
      <c r="A7207">
        <v>2014</v>
      </c>
      <c r="B7207" t="s">
        <v>65</v>
      </c>
      <c r="C7207">
        <v>1</v>
      </c>
      <c r="D7207">
        <v>0</v>
      </c>
      <c r="E7207">
        <v>0</v>
      </c>
      <c r="F7207">
        <v>0</v>
      </c>
      <c r="G7207">
        <v>0</v>
      </c>
      <c r="H7207">
        <v>1</v>
      </c>
      <c r="I7207">
        <v>1</v>
      </c>
      <c r="J7207">
        <v>60919.8407084024</v>
      </c>
      <c r="K7207">
        <v>51913.179398269203</v>
      </c>
      <c r="L7207">
        <v>42.473999999999997</v>
      </c>
      <c r="M7207">
        <v>81.39</v>
      </c>
      <c r="N7207">
        <v>3.7029999999999998</v>
      </c>
    </row>
    <row r="7208" spans="1:14" x14ac:dyDescent="0.45">
      <c r="A7208">
        <v>2014</v>
      </c>
      <c r="B7208" t="s">
        <v>66</v>
      </c>
      <c r="C7208">
        <v>1</v>
      </c>
      <c r="D7208">
        <v>0</v>
      </c>
      <c r="E7208">
        <v>0</v>
      </c>
      <c r="F7208">
        <v>0</v>
      </c>
      <c r="G7208">
        <v>1</v>
      </c>
      <c r="H7208">
        <v>0</v>
      </c>
      <c r="I7208">
        <v>0</v>
      </c>
      <c r="J7208">
        <v>20709.201624598401</v>
      </c>
      <c r="K7208">
        <v>15080.696489817599</v>
      </c>
      <c r="L7208">
        <v>45.578000000000003</v>
      </c>
      <c r="M7208">
        <v>71.930000000000007</v>
      </c>
      <c r="N7208">
        <v>28.863</v>
      </c>
    </row>
    <row r="7209" spans="1:14" x14ac:dyDescent="0.45">
      <c r="A7209">
        <v>2014</v>
      </c>
      <c r="B7209" t="s">
        <v>67</v>
      </c>
      <c r="C7209">
        <v>0</v>
      </c>
      <c r="D7209">
        <v>0</v>
      </c>
      <c r="E7209">
        <v>1</v>
      </c>
      <c r="F7209">
        <v>0</v>
      </c>
      <c r="G7209">
        <v>0</v>
      </c>
      <c r="H7209">
        <v>0</v>
      </c>
      <c r="I7209">
        <v>0</v>
      </c>
      <c r="J7209">
        <v>977.76584028813397</v>
      </c>
      <c r="K7209">
        <v>844.89063365427501</v>
      </c>
      <c r="L7209">
        <v>88.224000000000004</v>
      </c>
      <c r="M7209">
        <v>59.764000000000003</v>
      </c>
      <c r="N7209">
        <v>72.022999999999996</v>
      </c>
    </row>
    <row r="7210" spans="1:14" x14ac:dyDescent="0.45">
      <c r="A7210">
        <v>2014</v>
      </c>
      <c r="B7210" t="s">
        <v>68</v>
      </c>
      <c r="C7210">
        <v>1</v>
      </c>
      <c r="D7210">
        <v>0</v>
      </c>
      <c r="E7210">
        <v>0</v>
      </c>
      <c r="F7210">
        <v>0</v>
      </c>
      <c r="G7210">
        <v>0</v>
      </c>
      <c r="H7210">
        <v>1</v>
      </c>
      <c r="I7210">
        <v>1</v>
      </c>
      <c r="J7210">
        <v>57028.057967589702</v>
      </c>
      <c r="K7210">
        <v>47990.058955201297</v>
      </c>
      <c r="L7210">
        <v>2.1669999999999998</v>
      </c>
      <c r="M7210">
        <v>81.08</v>
      </c>
      <c r="N7210">
        <v>4.0419999999999998</v>
      </c>
    </row>
    <row r="7211" spans="1:14" x14ac:dyDescent="0.45">
      <c r="A7211">
        <v>2014</v>
      </c>
      <c r="B7211" t="s">
        <v>69</v>
      </c>
      <c r="C7211">
        <v>0</v>
      </c>
      <c r="D7211">
        <v>0</v>
      </c>
      <c r="E7211">
        <v>1</v>
      </c>
      <c r="F7211">
        <v>0</v>
      </c>
      <c r="G7211">
        <v>0</v>
      </c>
      <c r="H7211">
        <v>0</v>
      </c>
      <c r="I7211">
        <v>0</v>
      </c>
      <c r="J7211">
        <v>2987.3823632615299</v>
      </c>
      <c r="K7211">
        <v>2834.2846469542201</v>
      </c>
      <c r="L7211">
        <v>54.834000000000003</v>
      </c>
      <c r="M7211">
        <v>59.008000000000003</v>
      </c>
      <c r="N7211">
        <v>99.393000000000001</v>
      </c>
    </row>
    <row r="7212" spans="1:14" x14ac:dyDescent="0.45">
      <c r="A7212">
        <v>2014</v>
      </c>
      <c r="B7212" t="s">
        <v>70</v>
      </c>
      <c r="C7212">
        <v>0</v>
      </c>
      <c r="D7212">
        <v>0</v>
      </c>
      <c r="E7212">
        <v>1</v>
      </c>
      <c r="F7212">
        <v>0</v>
      </c>
      <c r="G7212">
        <v>0</v>
      </c>
      <c r="H7212">
        <v>0</v>
      </c>
      <c r="I7212">
        <v>0</v>
      </c>
      <c r="J7212">
        <v>2083.19844698304</v>
      </c>
      <c r="K7212">
        <v>1905.99551834928</v>
      </c>
      <c r="L7212">
        <v>73.066000000000003</v>
      </c>
      <c r="M7212">
        <v>58.331000000000003</v>
      </c>
      <c r="N7212">
        <v>104.717</v>
      </c>
    </row>
    <row r="7213" spans="1:14" x14ac:dyDescent="0.45">
      <c r="A7213">
        <v>2014</v>
      </c>
      <c r="B7213" t="s">
        <v>71</v>
      </c>
      <c r="C7213">
        <v>0</v>
      </c>
      <c r="D7213">
        <v>0</v>
      </c>
      <c r="E7213">
        <v>0</v>
      </c>
      <c r="F7213">
        <v>1</v>
      </c>
      <c r="G7213">
        <v>0</v>
      </c>
      <c r="H7213">
        <v>0</v>
      </c>
      <c r="I7213">
        <v>0</v>
      </c>
      <c r="J7213">
        <v>5068.6396567274096</v>
      </c>
      <c r="K7213">
        <v>4120.7764924696703</v>
      </c>
      <c r="L7213">
        <v>66.465000000000003</v>
      </c>
      <c r="M7213">
        <v>70.016000000000005</v>
      </c>
      <c r="N7213">
        <v>40.549999999999997</v>
      </c>
    </row>
    <row r="7214" spans="1:14" x14ac:dyDescent="0.45">
      <c r="A7214">
        <v>2014</v>
      </c>
      <c r="B7214" t="s">
        <v>72</v>
      </c>
      <c r="C7214">
        <v>1</v>
      </c>
      <c r="D7214">
        <v>0</v>
      </c>
      <c r="E7214">
        <v>0</v>
      </c>
      <c r="F7214">
        <v>0</v>
      </c>
      <c r="G7214">
        <v>1</v>
      </c>
      <c r="H7214">
        <v>0</v>
      </c>
      <c r="I7214">
        <v>0</v>
      </c>
      <c r="J7214">
        <v>23446.406311584102</v>
      </c>
      <c r="K7214">
        <v>19455.815594945201</v>
      </c>
      <c r="L7214">
        <v>26.349</v>
      </c>
      <c r="M7214">
        <v>74.465999999999994</v>
      </c>
      <c r="N7214">
        <v>8.9870000000000001</v>
      </c>
    </row>
    <row r="7215" spans="1:14" x14ac:dyDescent="0.45">
      <c r="A7215">
        <v>2014</v>
      </c>
      <c r="B7215" t="s">
        <v>73</v>
      </c>
      <c r="C7215">
        <v>0</v>
      </c>
      <c r="D7215">
        <v>0</v>
      </c>
      <c r="E7215">
        <v>0</v>
      </c>
      <c r="F7215">
        <v>0</v>
      </c>
      <c r="G7215">
        <v>0</v>
      </c>
      <c r="H7215">
        <v>1</v>
      </c>
      <c r="I7215">
        <v>1</v>
      </c>
      <c r="J7215">
        <v>55065.818947212902</v>
      </c>
      <c r="K7215">
        <v>51308.251257131597</v>
      </c>
      <c r="L7215">
        <v>11.085000000000001</v>
      </c>
      <c r="M7215">
        <v>80.213999999999999</v>
      </c>
      <c r="N7215">
        <v>7.79</v>
      </c>
    </row>
    <row r="7216" spans="1:14" x14ac:dyDescent="0.45">
      <c r="A7216">
        <v>2014</v>
      </c>
      <c r="B7216" t="s">
        <v>74</v>
      </c>
      <c r="C7216">
        <v>0</v>
      </c>
      <c r="D7216">
        <v>1</v>
      </c>
      <c r="E7216">
        <v>0</v>
      </c>
      <c r="F7216">
        <v>0</v>
      </c>
      <c r="G7216">
        <v>0</v>
      </c>
      <c r="H7216">
        <v>1</v>
      </c>
      <c r="I7216">
        <v>1</v>
      </c>
      <c r="J7216">
        <v>32712.661365182699</v>
      </c>
      <c r="K7216">
        <v>33932.385161240702</v>
      </c>
      <c r="L7216">
        <v>17.332000000000001</v>
      </c>
      <c r="M7216">
        <v>74.028999999999996</v>
      </c>
      <c r="N7216">
        <v>14.247</v>
      </c>
    </row>
    <row r="7217" spans="1:14" x14ac:dyDescent="0.45">
      <c r="A7217">
        <v>2014</v>
      </c>
      <c r="B7217" t="s">
        <v>75</v>
      </c>
      <c r="C7217">
        <v>1</v>
      </c>
      <c r="D7217">
        <v>0</v>
      </c>
      <c r="E7217">
        <v>0</v>
      </c>
      <c r="F7217">
        <v>0</v>
      </c>
      <c r="G7217">
        <v>1</v>
      </c>
      <c r="H7217">
        <v>0</v>
      </c>
      <c r="I7217">
        <v>0</v>
      </c>
      <c r="J7217">
        <v>13454.3840964213</v>
      </c>
      <c r="K7217">
        <v>11622.7216193849</v>
      </c>
      <c r="L7217">
        <v>53.16</v>
      </c>
      <c r="M7217">
        <v>77.088999999999999</v>
      </c>
      <c r="N7217">
        <v>6.5780000000000003</v>
      </c>
    </row>
    <row r="7218" spans="1:14" x14ac:dyDescent="0.45">
      <c r="A7218">
        <v>2014</v>
      </c>
      <c r="B7218" t="s">
        <v>76</v>
      </c>
      <c r="C7218">
        <v>1</v>
      </c>
      <c r="D7218">
        <v>0</v>
      </c>
      <c r="E7218">
        <v>0</v>
      </c>
      <c r="F7218">
        <v>0</v>
      </c>
      <c r="G7218">
        <v>1</v>
      </c>
      <c r="H7218">
        <v>0</v>
      </c>
      <c r="I7218">
        <v>0</v>
      </c>
      <c r="J7218">
        <v>26564.4347191138</v>
      </c>
      <c r="K7218">
        <v>19179.390858682898</v>
      </c>
      <c r="L7218">
        <v>23.306999999999999</v>
      </c>
      <c r="M7218">
        <v>73.245000000000005</v>
      </c>
      <c r="N7218">
        <v>4.34</v>
      </c>
    </row>
    <row r="7219" spans="1:14" x14ac:dyDescent="0.45">
      <c r="A7219">
        <v>2014</v>
      </c>
      <c r="B7219" t="s">
        <v>77</v>
      </c>
      <c r="C7219">
        <v>0</v>
      </c>
      <c r="D7219">
        <v>1</v>
      </c>
      <c r="E7219">
        <v>0</v>
      </c>
      <c r="F7219">
        <v>0</v>
      </c>
      <c r="G7219">
        <v>1</v>
      </c>
      <c r="H7219">
        <v>0</v>
      </c>
      <c r="I7219">
        <v>0</v>
      </c>
      <c r="J7219">
        <v>12249.2214195699</v>
      </c>
      <c r="K7219">
        <v>9653.5278277323305</v>
      </c>
      <c r="L7219">
        <v>54.664999999999999</v>
      </c>
      <c r="M7219">
        <v>71.436999999999998</v>
      </c>
      <c r="N7219">
        <v>16.286999999999999</v>
      </c>
    </row>
    <row r="7220" spans="1:14" x14ac:dyDescent="0.45">
      <c r="A7220">
        <v>2014</v>
      </c>
      <c r="B7220" t="s">
        <v>78</v>
      </c>
      <c r="C7220">
        <v>0</v>
      </c>
      <c r="D7220">
        <v>0</v>
      </c>
      <c r="E7220">
        <v>0</v>
      </c>
      <c r="F7220">
        <v>0</v>
      </c>
      <c r="G7220">
        <v>0</v>
      </c>
      <c r="H7220">
        <v>1</v>
      </c>
      <c r="I7220">
        <v>1</v>
      </c>
      <c r="J7220">
        <v>93042.273305103299</v>
      </c>
      <c r="K7220">
        <v>82664.702703409494</v>
      </c>
      <c r="L7220">
        <v>0</v>
      </c>
      <c r="M7220">
        <v>80.198999999999998</v>
      </c>
      <c r="N7220">
        <v>3.9140000000000001</v>
      </c>
    </row>
    <row r="7221" spans="1:14" x14ac:dyDescent="0.45">
      <c r="A7221">
        <v>2014</v>
      </c>
      <c r="B7221" t="s">
        <v>79</v>
      </c>
      <c r="C7221">
        <v>0</v>
      </c>
      <c r="D7221">
        <v>1</v>
      </c>
      <c r="E7221">
        <v>0</v>
      </c>
      <c r="F7221">
        <v>1</v>
      </c>
      <c r="G7221">
        <v>0</v>
      </c>
      <c r="H7221">
        <v>0</v>
      </c>
      <c r="I7221">
        <v>0</v>
      </c>
      <c r="J7221">
        <v>8851.7116278247704</v>
      </c>
      <c r="K7221">
        <v>7812.0799799835004</v>
      </c>
      <c r="L7221">
        <v>31.952999999999999</v>
      </c>
      <c r="M7221">
        <v>66.97</v>
      </c>
      <c r="N7221">
        <v>52.988</v>
      </c>
    </row>
    <row r="7222" spans="1:14" x14ac:dyDescent="0.45">
      <c r="A7222">
        <v>2014</v>
      </c>
      <c r="B7222" t="s">
        <v>80</v>
      </c>
      <c r="C7222">
        <v>0</v>
      </c>
      <c r="D7222">
        <v>1</v>
      </c>
      <c r="E7222">
        <v>0</v>
      </c>
      <c r="F7222">
        <v>0</v>
      </c>
      <c r="G7222">
        <v>1</v>
      </c>
      <c r="H7222">
        <v>0</v>
      </c>
      <c r="I7222">
        <v>0</v>
      </c>
      <c r="J7222">
        <v>19183.172744635998</v>
      </c>
      <c r="K7222">
        <v>15757.2334531578</v>
      </c>
      <c r="L7222">
        <v>14.507999999999999</v>
      </c>
      <c r="M7222">
        <v>74.822999999999993</v>
      </c>
      <c r="N7222">
        <v>16.404</v>
      </c>
    </row>
    <row r="7223" spans="1:14" x14ac:dyDescent="0.45">
      <c r="A7223">
        <v>2014</v>
      </c>
      <c r="B7223" t="s">
        <v>81</v>
      </c>
      <c r="C7223">
        <v>0</v>
      </c>
      <c r="D7223">
        <v>1</v>
      </c>
      <c r="E7223">
        <v>0</v>
      </c>
      <c r="F7223">
        <v>0</v>
      </c>
      <c r="G7223">
        <v>0</v>
      </c>
      <c r="H7223">
        <v>1</v>
      </c>
      <c r="I7223">
        <v>1</v>
      </c>
      <c r="J7223">
        <v>18665.1769798481</v>
      </c>
      <c r="K7223">
        <v>17827.102496749601</v>
      </c>
      <c r="L7223">
        <v>68.671999999999997</v>
      </c>
      <c r="M7223">
        <v>75.926000000000002</v>
      </c>
      <c r="N7223">
        <v>13.558999999999999</v>
      </c>
    </row>
    <row r="7224" spans="1:14" x14ac:dyDescent="0.45">
      <c r="A7224">
        <v>2014</v>
      </c>
      <c r="B7224" t="s">
        <v>82</v>
      </c>
      <c r="C7224">
        <v>0</v>
      </c>
      <c r="D7224">
        <v>0</v>
      </c>
      <c r="E7224">
        <v>0</v>
      </c>
      <c r="F7224">
        <v>0</v>
      </c>
      <c r="G7224">
        <v>0</v>
      </c>
      <c r="H7224">
        <v>1</v>
      </c>
      <c r="I7224">
        <v>1</v>
      </c>
      <c r="J7224">
        <v>83310.615064198195</v>
      </c>
      <c r="K7224">
        <v>65049.300953498503</v>
      </c>
      <c r="L7224">
        <v>23.667999999999999</v>
      </c>
      <c r="M7224">
        <v>74.861999999999995</v>
      </c>
      <c r="N7224">
        <v>9.8490000000000002</v>
      </c>
    </row>
    <row r="7225" spans="1:14" x14ac:dyDescent="0.45">
      <c r="A7225">
        <v>2014</v>
      </c>
      <c r="B7225" t="s">
        <v>83</v>
      </c>
      <c r="C7225">
        <v>0</v>
      </c>
      <c r="D7225">
        <v>0</v>
      </c>
      <c r="E7225">
        <v>0</v>
      </c>
      <c r="F7225">
        <v>1</v>
      </c>
      <c r="G7225">
        <v>0</v>
      </c>
      <c r="H7225">
        <v>0</v>
      </c>
      <c r="I7225">
        <v>0</v>
      </c>
      <c r="J7225">
        <v>11744.518912482499</v>
      </c>
      <c r="K7225">
        <v>10172.2386017224</v>
      </c>
      <c r="L7225">
        <v>62.082000000000001</v>
      </c>
      <c r="M7225">
        <v>70.504000000000005</v>
      </c>
      <c r="N7225">
        <v>31.934999999999999</v>
      </c>
    </row>
    <row r="7226" spans="1:14" x14ac:dyDescent="0.45">
      <c r="A7226">
        <v>2014</v>
      </c>
      <c r="B7226" t="s">
        <v>84</v>
      </c>
      <c r="C7226">
        <v>0</v>
      </c>
      <c r="D7226">
        <v>0</v>
      </c>
      <c r="E7226">
        <v>1</v>
      </c>
      <c r="F7226">
        <v>0</v>
      </c>
      <c r="G7226">
        <v>1</v>
      </c>
      <c r="H7226">
        <v>0</v>
      </c>
      <c r="I7226">
        <v>0</v>
      </c>
      <c r="J7226">
        <v>17052.192403995799</v>
      </c>
      <c r="K7226">
        <v>15428.5923736064</v>
      </c>
      <c r="L7226">
        <v>33.631999999999998</v>
      </c>
      <c r="M7226">
        <v>62.167000000000002</v>
      </c>
      <c r="N7226">
        <v>50.637</v>
      </c>
    </row>
    <row r="7227" spans="1:14" x14ac:dyDescent="0.45">
      <c r="A7227">
        <v>2014</v>
      </c>
      <c r="B7227" t="s">
        <v>85</v>
      </c>
      <c r="C7227">
        <v>0</v>
      </c>
      <c r="D7227">
        <v>0</v>
      </c>
      <c r="E7227">
        <v>1</v>
      </c>
      <c r="F7227">
        <v>0</v>
      </c>
      <c r="G7227">
        <v>0</v>
      </c>
      <c r="H7227">
        <v>0</v>
      </c>
      <c r="I7227">
        <v>0</v>
      </c>
      <c r="J7227">
        <v>1001.8559805349601</v>
      </c>
      <c r="K7227">
        <v>802.13631517026101</v>
      </c>
      <c r="L7227">
        <v>60.040999999999997</v>
      </c>
      <c r="M7227">
        <v>40.265000000000001</v>
      </c>
      <c r="N7227">
        <v>179.34899999999999</v>
      </c>
    </row>
    <row r="7228" spans="1:14" x14ac:dyDescent="0.45">
      <c r="A7228">
        <v>2014</v>
      </c>
      <c r="B7228" t="s">
        <v>86</v>
      </c>
      <c r="C7228">
        <v>0</v>
      </c>
      <c r="D7228">
        <v>0</v>
      </c>
      <c r="E7228">
        <v>0</v>
      </c>
      <c r="F7228">
        <v>0</v>
      </c>
      <c r="G7228">
        <v>0</v>
      </c>
      <c r="H7228">
        <v>1</v>
      </c>
      <c r="I7228">
        <v>1</v>
      </c>
      <c r="J7228">
        <v>55723.483540415902</v>
      </c>
      <c r="K7228">
        <v>48235.170999509501</v>
      </c>
      <c r="L7228">
        <v>18.782</v>
      </c>
      <c r="M7228">
        <v>81.837000000000003</v>
      </c>
      <c r="N7228">
        <v>5.3490000000000002</v>
      </c>
    </row>
    <row r="7229" spans="1:14" x14ac:dyDescent="0.45">
      <c r="A7229">
        <v>2014</v>
      </c>
      <c r="B7229" t="s">
        <v>87</v>
      </c>
      <c r="C7229">
        <v>1</v>
      </c>
      <c r="D7229">
        <v>0</v>
      </c>
      <c r="E7229">
        <v>0</v>
      </c>
      <c r="F7229">
        <v>0</v>
      </c>
      <c r="G7229">
        <v>0</v>
      </c>
      <c r="H7229">
        <v>1</v>
      </c>
      <c r="I7229">
        <v>1</v>
      </c>
      <c r="J7229">
        <v>76189.601844396893</v>
      </c>
      <c r="K7229">
        <v>66282.431846769396</v>
      </c>
      <c r="L7229">
        <v>26.303999999999998</v>
      </c>
      <c r="M7229">
        <v>83.084000000000003</v>
      </c>
      <c r="N7229">
        <v>4.4880000000000004</v>
      </c>
    </row>
    <row r="7230" spans="1:14" x14ac:dyDescent="0.45">
      <c r="A7230">
        <v>2014</v>
      </c>
      <c r="B7230" t="s">
        <v>88</v>
      </c>
      <c r="C7230">
        <v>1</v>
      </c>
      <c r="D7230">
        <v>0</v>
      </c>
      <c r="E7230">
        <v>0</v>
      </c>
      <c r="F7230">
        <v>0</v>
      </c>
      <c r="G7230">
        <v>0</v>
      </c>
      <c r="H7230">
        <v>1</v>
      </c>
      <c r="I7230">
        <v>1</v>
      </c>
      <c r="L7230">
        <v>69.004999999999995</v>
      </c>
      <c r="M7230">
        <v>81.565304167742099</v>
      </c>
      <c r="N7230">
        <v>8.2255130341801603</v>
      </c>
    </row>
    <row r="7231" spans="1:14" x14ac:dyDescent="0.45">
      <c r="A7231">
        <v>2014</v>
      </c>
      <c r="B7231" t="s">
        <v>89</v>
      </c>
      <c r="C7231">
        <v>0</v>
      </c>
      <c r="D7231">
        <v>1</v>
      </c>
      <c r="E7231">
        <v>0</v>
      </c>
      <c r="F7231">
        <v>0</v>
      </c>
      <c r="G7231">
        <v>0</v>
      </c>
      <c r="H7231">
        <v>1</v>
      </c>
      <c r="I7231">
        <v>1</v>
      </c>
      <c r="J7231">
        <v>27505.0495524158</v>
      </c>
      <c r="K7231">
        <v>23959.152116539499</v>
      </c>
      <c r="L7231">
        <v>12.696999999999999</v>
      </c>
      <c r="M7231">
        <v>79.713999999999999</v>
      </c>
      <c r="N7231">
        <v>8.3629999999999995</v>
      </c>
    </row>
    <row r="7232" spans="1:14" x14ac:dyDescent="0.45">
      <c r="A7232">
        <v>2014</v>
      </c>
      <c r="B7232" t="s">
        <v>90</v>
      </c>
      <c r="C7232">
        <v>0</v>
      </c>
      <c r="D7232">
        <v>0</v>
      </c>
      <c r="E7232">
        <v>0</v>
      </c>
      <c r="F7232">
        <v>0</v>
      </c>
      <c r="G7232">
        <v>1</v>
      </c>
      <c r="H7232">
        <v>0</v>
      </c>
      <c r="I7232">
        <v>0</v>
      </c>
      <c r="J7232">
        <v>13968.581485524001</v>
      </c>
      <c r="K7232">
        <v>12521.9288415919</v>
      </c>
      <c r="L7232">
        <v>45.741</v>
      </c>
      <c r="M7232">
        <v>76.713999999999999</v>
      </c>
      <c r="N7232">
        <v>11.643000000000001</v>
      </c>
    </row>
    <row r="7233" spans="1:14" x14ac:dyDescent="0.45">
      <c r="A7233">
        <v>2014</v>
      </c>
      <c r="B7233" t="s">
        <v>91</v>
      </c>
      <c r="C7233">
        <v>0</v>
      </c>
      <c r="D7233">
        <v>0</v>
      </c>
      <c r="E7233">
        <v>1</v>
      </c>
      <c r="F7233">
        <v>1</v>
      </c>
      <c r="G7233">
        <v>0</v>
      </c>
      <c r="H7233">
        <v>0</v>
      </c>
      <c r="I7233">
        <v>0</v>
      </c>
      <c r="J7233">
        <v>4907.57450294516</v>
      </c>
      <c r="K7233">
        <v>4142.7156302345202</v>
      </c>
      <c r="L7233">
        <v>50.985999999999997</v>
      </c>
      <c r="M7233">
        <v>57.771999999999998</v>
      </c>
      <c r="N7233">
        <v>89.695999999999998</v>
      </c>
    </row>
    <row r="7234" spans="1:14" x14ac:dyDescent="0.45">
      <c r="A7234">
        <v>2014</v>
      </c>
      <c r="B7234" t="s">
        <v>92</v>
      </c>
      <c r="C7234">
        <v>0</v>
      </c>
      <c r="D7234">
        <v>0</v>
      </c>
      <c r="E7234">
        <v>1</v>
      </c>
      <c r="F7234">
        <v>1</v>
      </c>
      <c r="G7234">
        <v>0</v>
      </c>
      <c r="H7234">
        <v>0</v>
      </c>
      <c r="I7234">
        <v>0</v>
      </c>
      <c r="J7234">
        <v>4588.4864949903003</v>
      </c>
      <c r="K7234">
        <v>3602.9372496794599</v>
      </c>
      <c r="L7234">
        <v>46.024000000000001</v>
      </c>
      <c r="M7234">
        <v>59.13</v>
      </c>
      <c r="N7234">
        <v>93.48</v>
      </c>
    </row>
    <row r="7235" spans="1:14" x14ac:dyDescent="0.45">
      <c r="A7235">
        <v>2014</v>
      </c>
      <c r="B7235" t="s">
        <v>93</v>
      </c>
      <c r="C7235">
        <v>0</v>
      </c>
      <c r="D7235">
        <v>0</v>
      </c>
      <c r="E7235">
        <v>1</v>
      </c>
      <c r="F7235">
        <v>0</v>
      </c>
      <c r="G7235">
        <v>0</v>
      </c>
      <c r="H7235">
        <v>0</v>
      </c>
      <c r="I7235">
        <v>0</v>
      </c>
      <c r="J7235">
        <v>1225.70218711959</v>
      </c>
      <c r="K7235">
        <v>981.25367757615004</v>
      </c>
      <c r="L7235">
        <v>57.82</v>
      </c>
      <c r="M7235">
        <v>58.235999999999997</v>
      </c>
      <c r="N7235">
        <v>99.012</v>
      </c>
    </row>
    <row r="7236" spans="1:14" x14ac:dyDescent="0.45">
      <c r="A7236">
        <v>2014</v>
      </c>
      <c r="B7236" t="s">
        <v>94</v>
      </c>
      <c r="C7236">
        <v>0</v>
      </c>
      <c r="D7236">
        <v>0</v>
      </c>
      <c r="E7236">
        <v>1</v>
      </c>
      <c r="F7236">
        <v>1</v>
      </c>
      <c r="G7236">
        <v>0</v>
      </c>
      <c r="H7236">
        <v>0</v>
      </c>
      <c r="I7236">
        <v>0</v>
      </c>
      <c r="J7236">
        <v>9159.2566441404506</v>
      </c>
      <c r="K7236">
        <v>5521.6140103411699</v>
      </c>
      <c r="L7236">
        <v>34.914999999999999</v>
      </c>
      <c r="M7236">
        <v>63.348999999999997</v>
      </c>
      <c r="N7236">
        <v>53.759</v>
      </c>
    </row>
    <row r="7237" spans="1:14" x14ac:dyDescent="0.45">
      <c r="A7237">
        <v>2014</v>
      </c>
      <c r="B7237" t="s">
        <v>95</v>
      </c>
      <c r="C7237">
        <v>0</v>
      </c>
      <c r="D7237">
        <v>1</v>
      </c>
      <c r="E7237">
        <v>0</v>
      </c>
      <c r="F7237">
        <v>0</v>
      </c>
      <c r="G7237">
        <v>1</v>
      </c>
      <c r="H7237">
        <v>0</v>
      </c>
      <c r="I7237">
        <v>0</v>
      </c>
      <c r="J7237">
        <v>16480.363147416101</v>
      </c>
      <c r="K7237">
        <v>13721.706668295799</v>
      </c>
      <c r="L7237">
        <v>20.585000000000001</v>
      </c>
      <c r="M7237">
        <v>75.95</v>
      </c>
      <c r="N7237">
        <v>16.149000000000001</v>
      </c>
    </row>
    <row r="7238" spans="1:14" x14ac:dyDescent="0.45">
      <c r="A7238">
        <v>2014</v>
      </c>
      <c r="B7238" t="s">
        <v>96</v>
      </c>
      <c r="C7238">
        <v>0</v>
      </c>
      <c r="D7238">
        <v>0</v>
      </c>
      <c r="E7238">
        <v>1</v>
      </c>
      <c r="F7238">
        <v>0</v>
      </c>
      <c r="G7238">
        <v>0</v>
      </c>
      <c r="H7238">
        <v>0</v>
      </c>
      <c r="I7238">
        <v>0</v>
      </c>
      <c r="J7238">
        <v>3109.89565554513</v>
      </c>
      <c r="K7238">
        <v>3216.0289967785902</v>
      </c>
      <c r="L7238">
        <v>71.662000000000006</v>
      </c>
      <c r="M7238">
        <v>64.143000000000001</v>
      </c>
      <c r="N7238">
        <v>63.405999999999999</v>
      </c>
    </row>
    <row r="7239" spans="1:14" x14ac:dyDescent="0.45">
      <c r="A7239">
        <v>2014</v>
      </c>
      <c r="B7239" t="s">
        <v>97</v>
      </c>
      <c r="C7239">
        <v>0</v>
      </c>
      <c r="D7239">
        <v>0</v>
      </c>
      <c r="E7239">
        <v>1</v>
      </c>
      <c r="F7239">
        <v>1</v>
      </c>
      <c r="G7239">
        <v>0</v>
      </c>
      <c r="H7239">
        <v>0</v>
      </c>
      <c r="I7239">
        <v>0</v>
      </c>
      <c r="J7239">
        <v>7491.0219822824301</v>
      </c>
      <c r="K7239">
        <v>7219.2035561494804</v>
      </c>
      <c r="L7239">
        <v>36.19</v>
      </c>
      <c r="M7239">
        <v>73.787999999999997</v>
      </c>
      <c r="N7239">
        <v>19.699000000000002</v>
      </c>
    </row>
    <row r="7240" spans="1:14" x14ac:dyDescent="0.45">
      <c r="A7240">
        <v>2014</v>
      </c>
      <c r="B7240" t="s">
        <v>98</v>
      </c>
      <c r="C7240">
        <v>0</v>
      </c>
      <c r="D7240">
        <v>1</v>
      </c>
      <c r="E7240">
        <v>0</v>
      </c>
      <c r="F7240">
        <v>0</v>
      </c>
      <c r="G7240">
        <v>1</v>
      </c>
      <c r="H7240">
        <v>0</v>
      </c>
      <c r="I7240">
        <v>0</v>
      </c>
      <c r="J7240">
        <v>20724.9217693549</v>
      </c>
      <c r="K7240">
        <v>18556.150766608702</v>
      </c>
      <c r="L7240">
        <v>24.059000000000001</v>
      </c>
      <c r="M7240">
        <v>80.230999999999995</v>
      </c>
      <c r="N7240">
        <v>9.3390000000000004</v>
      </c>
    </row>
    <row r="7241" spans="1:14" x14ac:dyDescent="0.45">
      <c r="A7241">
        <v>2014</v>
      </c>
      <c r="B7241" t="s">
        <v>99</v>
      </c>
      <c r="C7241">
        <v>0</v>
      </c>
      <c r="D7241">
        <v>1</v>
      </c>
      <c r="E7241">
        <v>0</v>
      </c>
      <c r="F7241">
        <v>0</v>
      </c>
      <c r="G7241">
        <v>1</v>
      </c>
      <c r="H7241">
        <v>0</v>
      </c>
      <c r="I7241">
        <v>0</v>
      </c>
      <c r="L7241">
        <v>23.138999999999999</v>
      </c>
      <c r="M7241">
        <v>77.825000000000003</v>
      </c>
      <c r="N7241">
        <v>6.2060000000000004</v>
      </c>
    </row>
    <row r="7242" spans="1:14" x14ac:dyDescent="0.45">
      <c r="A7242">
        <v>2014</v>
      </c>
      <c r="B7242" t="s">
        <v>100</v>
      </c>
      <c r="C7242">
        <v>0</v>
      </c>
      <c r="D7242">
        <v>1</v>
      </c>
      <c r="E7242">
        <v>0</v>
      </c>
      <c r="F7242">
        <v>0</v>
      </c>
      <c r="G7242">
        <v>0</v>
      </c>
      <c r="H7242">
        <v>1</v>
      </c>
      <c r="I7242">
        <v>1</v>
      </c>
      <c r="J7242">
        <v>31128.646931983199</v>
      </c>
      <c r="K7242">
        <v>25466.732232122398</v>
      </c>
      <c r="L7242">
        <v>10.557</v>
      </c>
      <c r="M7242">
        <v>76.384</v>
      </c>
      <c r="N7242">
        <v>12.045999999999999</v>
      </c>
    </row>
    <row r="7243" spans="1:14" x14ac:dyDescent="0.45">
      <c r="A7243">
        <v>2014</v>
      </c>
      <c r="B7243" t="s">
        <v>101</v>
      </c>
      <c r="C7243">
        <v>0</v>
      </c>
      <c r="D7243">
        <v>1</v>
      </c>
      <c r="E7243">
        <v>0</v>
      </c>
      <c r="F7243">
        <v>0</v>
      </c>
      <c r="G7243">
        <v>0</v>
      </c>
      <c r="H7243">
        <v>1</v>
      </c>
      <c r="I7243">
        <v>1</v>
      </c>
      <c r="J7243">
        <v>73017.594917444003</v>
      </c>
      <c r="K7243">
        <v>66606.3778716909</v>
      </c>
      <c r="L7243">
        <v>0</v>
      </c>
      <c r="M7243">
        <v>77.864999999999995</v>
      </c>
      <c r="N7243">
        <v>3.1349999999999998</v>
      </c>
    </row>
    <row r="7244" spans="1:14" x14ac:dyDescent="0.45">
      <c r="A7244">
        <v>2014</v>
      </c>
      <c r="B7244" t="s">
        <v>102</v>
      </c>
      <c r="C7244">
        <v>1</v>
      </c>
      <c r="D7244">
        <v>0</v>
      </c>
      <c r="E7244">
        <v>0</v>
      </c>
      <c r="F7244">
        <v>0</v>
      </c>
      <c r="G7244">
        <v>0</v>
      </c>
      <c r="H7244">
        <v>1</v>
      </c>
      <c r="I7244">
        <v>1</v>
      </c>
      <c r="J7244">
        <v>36442.01171875</v>
      </c>
      <c r="K7244">
        <v>32464.0801521416</v>
      </c>
      <c r="L7244">
        <v>32.969000000000001</v>
      </c>
      <c r="M7244">
        <v>81.337000000000003</v>
      </c>
      <c r="N7244">
        <v>3.0830000000000002</v>
      </c>
    </row>
    <row r="7245" spans="1:14" x14ac:dyDescent="0.45">
      <c r="A7245">
        <v>2014</v>
      </c>
      <c r="B7245" t="s">
        <v>103</v>
      </c>
      <c r="C7245">
        <v>1</v>
      </c>
      <c r="D7245">
        <v>0</v>
      </c>
      <c r="E7245">
        <v>0</v>
      </c>
      <c r="F7245">
        <v>0</v>
      </c>
      <c r="G7245">
        <v>0</v>
      </c>
      <c r="H7245">
        <v>1</v>
      </c>
      <c r="I7245">
        <v>1</v>
      </c>
      <c r="J7245">
        <v>40158.016427573501</v>
      </c>
      <c r="K7245">
        <v>33435.666598857097</v>
      </c>
      <c r="L7245">
        <v>26.616</v>
      </c>
      <c r="M7245">
        <v>78.744</v>
      </c>
      <c r="N7245">
        <v>3.0059999999999998</v>
      </c>
    </row>
    <row r="7246" spans="1:14" x14ac:dyDescent="0.45">
      <c r="A7246">
        <v>2014</v>
      </c>
      <c r="B7246" t="s">
        <v>104</v>
      </c>
      <c r="C7246">
        <v>1</v>
      </c>
      <c r="D7246">
        <v>0</v>
      </c>
      <c r="E7246">
        <v>0</v>
      </c>
      <c r="F7246">
        <v>0</v>
      </c>
      <c r="G7246">
        <v>0</v>
      </c>
      <c r="H7246">
        <v>1</v>
      </c>
      <c r="I7246">
        <v>1</v>
      </c>
      <c r="J7246">
        <v>59239.340101756097</v>
      </c>
      <c r="K7246">
        <v>51363.5961959462</v>
      </c>
      <c r="L7246">
        <v>22.81</v>
      </c>
      <c r="M7246">
        <v>80.906000000000006</v>
      </c>
      <c r="N7246">
        <v>3.8460000000000001</v>
      </c>
    </row>
    <row r="7247" spans="1:14" x14ac:dyDescent="0.45">
      <c r="A7247">
        <v>2014</v>
      </c>
      <c r="B7247" t="s">
        <v>105</v>
      </c>
      <c r="C7247">
        <v>0</v>
      </c>
      <c r="D7247">
        <v>0</v>
      </c>
      <c r="E7247">
        <v>0</v>
      </c>
      <c r="F7247">
        <v>1</v>
      </c>
      <c r="G7247">
        <v>0</v>
      </c>
      <c r="H7247">
        <v>0</v>
      </c>
      <c r="I7247">
        <v>0</v>
      </c>
      <c r="J7247">
        <v>4705.0492677218399</v>
      </c>
      <c r="K7247">
        <v>4058.3442226706302</v>
      </c>
      <c r="L7247">
        <v>22.686</v>
      </c>
      <c r="M7247">
        <v>62.427</v>
      </c>
      <c r="N7247">
        <v>67.299000000000007</v>
      </c>
    </row>
    <row r="7248" spans="1:14" x14ac:dyDescent="0.45">
      <c r="A7248">
        <v>2014</v>
      </c>
      <c r="B7248" t="s">
        <v>106</v>
      </c>
      <c r="C7248">
        <v>0</v>
      </c>
      <c r="D7248">
        <v>1</v>
      </c>
      <c r="E7248">
        <v>0</v>
      </c>
      <c r="F7248">
        <v>0</v>
      </c>
      <c r="G7248">
        <v>1</v>
      </c>
      <c r="H7248">
        <v>0</v>
      </c>
      <c r="I7248">
        <v>0</v>
      </c>
      <c r="J7248">
        <v>17520.8546265613</v>
      </c>
      <c r="K7248">
        <v>13635.2254427717</v>
      </c>
      <c r="L7248">
        <v>30.72</v>
      </c>
      <c r="M7248">
        <v>71.188999999999993</v>
      </c>
      <c r="N7248">
        <v>26.193000000000001</v>
      </c>
    </row>
    <row r="7249" spans="1:14" x14ac:dyDescent="0.45">
      <c r="A7249">
        <v>2014</v>
      </c>
      <c r="B7249" t="s">
        <v>107</v>
      </c>
      <c r="C7249">
        <v>1</v>
      </c>
      <c r="D7249">
        <v>0</v>
      </c>
      <c r="E7249">
        <v>0</v>
      </c>
      <c r="F7249">
        <v>0</v>
      </c>
      <c r="G7249">
        <v>0</v>
      </c>
      <c r="H7249">
        <v>1</v>
      </c>
      <c r="I7249">
        <v>1</v>
      </c>
      <c r="J7249">
        <v>61047.333718282098</v>
      </c>
      <c r="K7249">
        <v>51593.976356321</v>
      </c>
      <c r="L7249">
        <v>12.59</v>
      </c>
      <c r="M7249">
        <v>80.632000000000005</v>
      </c>
      <c r="N7249">
        <v>4.5650000000000004</v>
      </c>
    </row>
    <row r="7250" spans="1:14" x14ac:dyDescent="0.45">
      <c r="A7250">
        <v>2014</v>
      </c>
      <c r="B7250" t="s">
        <v>108</v>
      </c>
      <c r="C7250">
        <v>0</v>
      </c>
      <c r="D7250">
        <v>1</v>
      </c>
      <c r="E7250">
        <v>0</v>
      </c>
      <c r="F7250">
        <v>0</v>
      </c>
      <c r="G7250">
        <v>1</v>
      </c>
      <c r="H7250">
        <v>0</v>
      </c>
      <c r="I7250">
        <v>0</v>
      </c>
      <c r="J7250">
        <v>16993.587444403001</v>
      </c>
      <c r="K7250">
        <v>14679.485621138499</v>
      </c>
      <c r="L7250">
        <v>22.33</v>
      </c>
      <c r="M7250">
        <v>73.144999999999996</v>
      </c>
      <c r="N7250">
        <v>34.966000000000001</v>
      </c>
    </row>
    <row r="7251" spans="1:14" x14ac:dyDescent="0.45">
      <c r="A7251">
        <v>2014</v>
      </c>
      <c r="B7251" t="s">
        <v>109</v>
      </c>
      <c r="C7251">
        <v>0</v>
      </c>
      <c r="D7251">
        <v>0</v>
      </c>
      <c r="E7251">
        <v>0</v>
      </c>
      <c r="F7251">
        <v>0</v>
      </c>
      <c r="G7251">
        <v>1</v>
      </c>
      <c r="H7251">
        <v>0</v>
      </c>
      <c r="I7251">
        <v>0</v>
      </c>
      <c r="J7251">
        <v>15073.762940356501</v>
      </c>
      <c r="K7251">
        <v>13184.0274265275</v>
      </c>
      <c r="L7251">
        <v>29.779</v>
      </c>
      <c r="M7251">
        <v>74.992000000000004</v>
      </c>
      <c r="N7251">
        <v>25.698</v>
      </c>
    </row>
    <row r="7252" spans="1:14" x14ac:dyDescent="0.45">
      <c r="A7252">
        <v>2014</v>
      </c>
      <c r="B7252" t="s">
        <v>110</v>
      </c>
      <c r="C7252">
        <v>0</v>
      </c>
      <c r="D7252">
        <v>1</v>
      </c>
      <c r="E7252">
        <v>0</v>
      </c>
      <c r="F7252">
        <v>0</v>
      </c>
      <c r="G7252">
        <v>1</v>
      </c>
      <c r="H7252">
        <v>0</v>
      </c>
      <c r="I7252">
        <v>0</v>
      </c>
      <c r="J7252">
        <v>14064.799224672701</v>
      </c>
      <c r="K7252">
        <v>11698.365477719401</v>
      </c>
      <c r="L7252">
        <v>36.738999999999997</v>
      </c>
      <c r="M7252">
        <v>76.141000000000005</v>
      </c>
      <c r="N7252">
        <v>15.976000000000001</v>
      </c>
    </row>
    <row r="7253" spans="1:14" x14ac:dyDescent="0.45">
      <c r="A7253">
        <v>2014</v>
      </c>
      <c r="B7253" t="s">
        <v>111</v>
      </c>
      <c r="C7253">
        <v>0</v>
      </c>
      <c r="D7253">
        <v>0</v>
      </c>
      <c r="E7253">
        <v>0</v>
      </c>
      <c r="F7253">
        <v>1</v>
      </c>
      <c r="G7253">
        <v>0</v>
      </c>
      <c r="H7253">
        <v>0</v>
      </c>
      <c r="I7253">
        <v>0</v>
      </c>
      <c r="J7253">
        <v>13136.365629827</v>
      </c>
      <c r="K7253">
        <v>10424.7984341105</v>
      </c>
      <c r="L7253">
        <v>57.161000000000001</v>
      </c>
      <c r="M7253">
        <v>69.911000000000001</v>
      </c>
      <c r="N7253">
        <v>24.256</v>
      </c>
    </row>
    <row r="7254" spans="1:14" x14ac:dyDescent="0.45">
      <c r="A7254">
        <v>2014</v>
      </c>
      <c r="B7254" t="s">
        <v>112</v>
      </c>
      <c r="C7254">
        <v>0</v>
      </c>
      <c r="D7254">
        <v>0</v>
      </c>
      <c r="E7254">
        <v>1</v>
      </c>
      <c r="F7254">
        <v>0</v>
      </c>
      <c r="G7254">
        <v>0</v>
      </c>
      <c r="H7254">
        <v>0</v>
      </c>
      <c r="I7254">
        <v>0</v>
      </c>
      <c r="L7254">
        <v>62.41</v>
      </c>
      <c r="M7254">
        <v>65.516999999999996</v>
      </c>
      <c r="N7254">
        <v>48.113</v>
      </c>
    </row>
    <row r="7255" spans="1:14" x14ac:dyDescent="0.45">
      <c r="A7255">
        <v>2014</v>
      </c>
      <c r="B7255" t="s">
        <v>113</v>
      </c>
      <c r="C7255">
        <v>1</v>
      </c>
      <c r="D7255">
        <v>0</v>
      </c>
      <c r="E7255">
        <v>0</v>
      </c>
      <c r="F7255">
        <v>0</v>
      </c>
      <c r="G7255">
        <v>0</v>
      </c>
      <c r="H7255">
        <v>1</v>
      </c>
      <c r="I7255">
        <v>1</v>
      </c>
      <c r="J7255">
        <v>41339.411116941701</v>
      </c>
      <c r="K7255">
        <v>36379.7812504416</v>
      </c>
      <c r="L7255">
        <v>20.634</v>
      </c>
      <c r="M7255">
        <v>82.828000000000003</v>
      </c>
      <c r="N7255">
        <v>3.3740000000000001</v>
      </c>
    </row>
    <row r="7256" spans="1:14" x14ac:dyDescent="0.45">
      <c r="A7256">
        <v>2014</v>
      </c>
      <c r="B7256" t="s">
        <v>114</v>
      </c>
      <c r="C7256">
        <v>1</v>
      </c>
      <c r="D7256">
        <v>0</v>
      </c>
      <c r="E7256">
        <v>0</v>
      </c>
      <c r="F7256">
        <v>0</v>
      </c>
      <c r="G7256">
        <v>0</v>
      </c>
      <c r="H7256">
        <v>1</v>
      </c>
      <c r="I7256">
        <v>1</v>
      </c>
      <c r="J7256">
        <v>36090.494094819202</v>
      </c>
      <c r="K7256">
        <v>30619.387226708099</v>
      </c>
      <c r="L7256">
        <v>31.731000000000002</v>
      </c>
      <c r="M7256">
        <v>77.11</v>
      </c>
      <c r="N7256">
        <v>3.7559999999999998</v>
      </c>
    </row>
    <row r="7257" spans="1:14" x14ac:dyDescent="0.45">
      <c r="A7257">
        <v>2014</v>
      </c>
      <c r="B7257" t="s">
        <v>115</v>
      </c>
      <c r="C7257">
        <v>0</v>
      </c>
      <c r="D7257">
        <v>0</v>
      </c>
      <c r="E7257">
        <v>1</v>
      </c>
      <c r="F7257">
        <v>0</v>
      </c>
      <c r="G7257">
        <v>0</v>
      </c>
      <c r="H7257">
        <v>0</v>
      </c>
      <c r="I7257">
        <v>0</v>
      </c>
      <c r="J7257">
        <v>1821.3916176818</v>
      </c>
      <c r="K7257">
        <v>1642.6956198825201</v>
      </c>
      <c r="L7257">
        <v>81.001999999999995</v>
      </c>
      <c r="M7257">
        <v>62.927</v>
      </c>
      <c r="N7257">
        <v>66.692999999999998</v>
      </c>
    </row>
    <row r="7258" spans="1:14" x14ac:dyDescent="0.45">
      <c r="A7258">
        <v>2014</v>
      </c>
      <c r="B7258" t="s">
        <v>116</v>
      </c>
      <c r="C7258">
        <v>1</v>
      </c>
      <c r="D7258">
        <v>0</v>
      </c>
      <c r="E7258">
        <v>0</v>
      </c>
      <c r="F7258">
        <v>0</v>
      </c>
      <c r="G7258">
        <v>0</v>
      </c>
      <c r="H7258">
        <v>1</v>
      </c>
      <c r="I7258">
        <v>1</v>
      </c>
      <c r="J7258">
        <v>52710.733486777797</v>
      </c>
      <c r="K7258">
        <v>44313.0076427694</v>
      </c>
      <c r="L7258">
        <v>14.824999999999999</v>
      </c>
      <c r="M7258">
        <v>81.055000000000007</v>
      </c>
      <c r="N7258">
        <v>2.6619999999999999</v>
      </c>
    </row>
    <row r="7259" spans="1:14" x14ac:dyDescent="0.45">
      <c r="A7259">
        <v>2014</v>
      </c>
      <c r="B7259" t="s">
        <v>117</v>
      </c>
      <c r="C7259">
        <v>0</v>
      </c>
      <c r="D7259">
        <v>0</v>
      </c>
      <c r="E7259">
        <v>0</v>
      </c>
      <c r="F7259">
        <v>0</v>
      </c>
      <c r="G7259">
        <v>1</v>
      </c>
      <c r="H7259">
        <v>0</v>
      </c>
      <c r="I7259">
        <v>0</v>
      </c>
      <c r="J7259">
        <v>11621.129490822501</v>
      </c>
      <c r="K7259">
        <v>11380.6034621409</v>
      </c>
      <c r="L7259">
        <v>45.783999999999999</v>
      </c>
      <c r="M7259">
        <v>66.581000000000003</v>
      </c>
      <c r="N7259">
        <v>21.574000000000002</v>
      </c>
    </row>
    <row r="7260" spans="1:14" x14ac:dyDescent="0.45">
      <c r="A7260">
        <v>2014</v>
      </c>
      <c r="B7260" t="s">
        <v>118</v>
      </c>
      <c r="C7260">
        <v>1</v>
      </c>
      <c r="D7260">
        <v>0</v>
      </c>
      <c r="E7260">
        <v>0</v>
      </c>
      <c r="F7260">
        <v>0</v>
      </c>
      <c r="G7260">
        <v>0</v>
      </c>
      <c r="H7260">
        <v>1</v>
      </c>
      <c r="I7260">
        <v>1</v>
      </c>
      <c r="J7260">
        <v>50326.567863089003</v>
      </c>
      <c r="K7260">
        <v>42017.590503152402</v>
      </c>
      <c r="L7260">
        <v>20.606000000000002</v>
      </c>
      <c r="M7260">
        <v>82.436999999999998</v>
      </c>
      <c r="N7260">
        <v>4.1159999999999997</v>
      </c>
    </row>
    <row r="7261" spans="1:14" x14ac:dyDescent="0.45">
      <c r="A7261">
        <v>2014</v>
      </c>
      <c r="B7261" t="s">
        <v>119</v>
      </c>
      <c r="C7261">
        <v>1</v>
      </c>
      <c r="D7261">
        <v>0</v>
      </c>
      <c r="E7261">
        <v>0</v>
      </c>
      <c r="F7261">
        <v>0</v>
      </c>
      <c r="G7261">
        <v>0</v>
      </c>
      <c r="H7261">
        <v>1</v>
      </c>
      <c r="I7261">
        <v>1</v>
      </c>
      <c r="J7261">
        <v>63151.504426651103</v>
      </c>
      <c r="K7261">
        <v>55173.028779935201</v>
      </c>
      <c r="L7261">
        <v>58.499000000000002</v>
      </c>
      <c r="M7261">
        <v>79.3</v>
      </c>
      <c r="N7261">
        <v>8.3309999999999995</v>
      </c>
    </row>
    <row r="7262" spans="1:14" x14ac:dyDescent="0.45">
      <c r="A7262">
        <v>2014</v>
      </c>
      <c r="B7262" t="s">
        <v>120</v>
      </c>
      <c r="C7262">
        <v>0</v>
      </c>
      <c r="D7262">
        <v>0</v>
      </c>
      <c r="E7262">
        <v>0</v>
      </c>
      <c r="F7262">
        <v>1</v>
      </c>
      <c r="G7262">
        <v>0</v>
      </c>
      <c r="H7262">
        <v>0</v>
      </c>
      <c r="I7262">
        <v>0</v>
      </c>
      <c r="J7262">
        <v>3632.2415661624</v>
      </c>
      <c r="K7262">
        <v>3287.67983267625</v>
      </c>
      <c r="L7262">
        <v>77.600999999999999</v>
      </c>
      <c r="M7262">
        <v>65.293999999999997</v>
      </c>
      <c r="N7262">
        <v>30.372</v>
      </c>
    </row>
    <row r="7263" spans="1:14" x14ac:dyDescent="0.45">
      <c r="A7263">
        <v>2014</v>
      </c>
      <c r="B7263" t="s">
        <v>121</v>
      </c>
      <c r="C7263">
        <v>0</v>
      </c>
      <c r="D7263">
        <v>0</v>
      </c>
      <c r="E7263">
        <v>1</v>
      </c>
      <c r="F7263">
        <v>0</v>
      </c>
      <c r="G7263">
        <v>1</v>
      </c>
      <c r="H7263">
        <v>0</v>
      </c>
      <c r="I7263">
        <v>0</v>
      </c>
      <c r="J7263">
        <v>20008.989977871599</v>
      </c>
      <c r="K7263">
        <v>15139.6005360942</v>
      </c>
      <c r="L7263">
        <v>12.349</v>
      </c>
      <c r="M7263">
        <v>66.069999999999993</v>
      </c>
      <c r="N7263">
        <v>51.929000000000002</v>
      </c>
    </row>
    <row r="7264" spans="1:14" x14ac:dyDescent="0.45">
      <c r="A7264">
        <v>2014</v>
      </c>
      <c r="B7264" t="s">
        <v>122</v>
      </c>
      <c r="C7264">
        <v>1</v>
      </c>
      <c r="D7264">
        <v>0</v>
      </c>
      <c r="E7264">
        <v>0</v>
      </c>
      <c r="F7264">
        <v>0</v>
      </c>
      <c r="G7264">
        <v>0</v>
      </c>
      <c r="H7264">
        <v>1</v>
      </c>
      <c r="I7264">
        <v>1</v>
      </c>
      <c r="J7264">
        <v>49250.559990405403</v>
      </c>
      <c r="K7264">
        <v>42430.8426742015</v>
      </c>
      <c r="L7264">
        <v>17.635000000000002</v>
      </c>
      <c r="M7264">
        <v>81.153000000000006</v>
      </c>
      <c r="N7264">
        <v>4.4690000000000003</v>
      </c>
    </row>
    <row r="7265" spans="1:14" x14ac:dyDescent="0.45">
      <c r="A7265">
        <v>2014</v>
      </c>
      <c r="B7265" t="s">
        <v>123</v>
      </c>
      <c r="C7265">
        <v>1</v>
      </c>
      <c r="D7265">
        <v>0</v>
      </c>
      <c r="E7265">
        <v>0</v>
      </c>
      <c r="F7265">
        <v>1</v>
      </c>
      <c r="G7265">
        <v>0</v>
      </c>
      <c r="H7265">
        <v>0</v>
      </c>
      <c r="I7265">
        <v>0</v>
      </c>
      <c r="J7265">
        <v>14475.3135356035</v>
      </c>
      <c r="K7265">
        <v>12229.9851165936</v>
      </c>
      <c r="L7265">
        <v>42.933</v>
      </c>
      <c r="M7265">
        <v>73.105000000000004</v>
      </c>
      <c r="N7265">
        <v>11.141999999999999</v>
      </c>
    </row>
    <row r="7266" spans="1:14" x14ac:dyDescent="0.45">
      <c r="A7266">
        <v>2014</v>
      </c>
      <c r="B7266" t="s">
        <v>124</v>
      </c>
      <c r="C7266">
        <v>0</v>
      </c>
      <c r="D7266">
        <v>0</v>
      </c>
      <c r="E7266">
        <v>1</v>
      </c>
      <c r="F7266">
        <v>1</v>
      </c>
      <c r="G7266">
        <v>0</v>
      </c>
      <c r="H7266">
        <v>0</v>
      </c>
      <c r="I7266">
        <v>0</v>
      </c>
      <c r="J7266">
        <v>5619.0723351159104</v>
      </c>
      <c r="K7266">
        <v>4847.8137868525801</v>
      </c>
      <c r="L7266">
        <v>46.581000000000003</v>
      </c>
      <c r="M7266">
        <v>62.832000000000001</v>
      </c>
      <c r="N7266">
        <v>58.003999999999998</v>
      </c>
    </row>
    <row r="7267" spans="1:14" x14ac:dyDescent="0.45">
      <c r="A7267">
        <v>2014</v>
      </c>
      <c r="B7267" t="s">
        <v>125</v>
      </c>
      <c r="C7267">
        <v>1</v>
      </c>
      <c r="D7267">
        <v>0</v>
      </c>
      <c r="E7267">
        <v>0</v>
      </c>
      <c r="F7267">
        <v>0</v>
      </c>
      <c r="G7267">
        <v>0</v>
      </c>
      <c r="H7267">
        <v>1</v>
      </c>
      <c r="I7267">
        <v>1</v>
      </c>
      <c r="L7267">
        <v>0</v>
      </c>
      <c r="M7267">
        <v>82.644000000000005</v>
      </c>
      <c r="N7267">
        <v>11.587</v>
      </c>
    </row>
    <row r="7268" spans="1:14" x14ac:dyDescent="0.45">
      <c r="A7268">
        <v>2014</v>
      </c>
      <c r="B7268" t="s">
        <v>126</v>
      </c>
      <c r="C7268">
        <v>0</v>
      </c>
      <c r="D7268">
        <v>0</v>
      </c>
      <c r="E7268">
        <v>1</v>
      </c>
      <c r="F7268">
        <v>0</v>
      </c>
      <c r="G7268">
        <v>0</v>
      </c>
      <c r="H7268">
        <v>0</v>
      </c>
      <c r="I7268">
        <v>0</v>
      </c>
      <c r="J7268">
        <v>2834.9663434784602</v>
      </c>
      <c r="K7268">
        <v>2285.7364392598201</v>
      </c>
      <c r="L7268">
        <v>65.164000000000001</v>
      </c>
      <c r="M7268">
        <v>57.581000000000003</v>
      </c>
      <c r="N7268">
        <v>114.342</v>
      </c>
    </row>
    <row r="7269" spans="1:14" x14ac:dyDescent="0.45">
      <c r="A7269">
        <v>2014</v>
      </c>
      <c r="B7269" t="s">
        <v>127</v>
      </c>
      <c r="C7269">
        <v>0</v>
      </c>
      <c r="D7269">
        <v>0</v>
      </c>
      <c r="E7269">
        <v>1</v>
      </c>
      <c r="F7269">
        <v>0</v>
      </c>
      <c r="G7269">
        <v>0</v>
      </c>
      <c r="H7269">
        <v>0</v>
      </c>
      <c r="I7269">
        <v>0</v>
      </c>
      <c r="J7269">
        <v>2465.10971144823</v>
      </c>
      <c r="K7269">
        <v>1984.1593256485</v>
      </c>
      <c r="L7269">
        <v>41.472000000000001</v>
      </c>
      <c r="M7269">
        <v>62.576000000000001</v>
      </c>
      <c r="N7269">
        <v>62.122</v>
      </c>
    </row>
    <row r="7270" spans="1:14" x14ac:dyDescent="0.45">
      <c r="A7270">
        <v>2014</v>
      </c>
      <c r="B7270" t="s">
        <v>128</v>
      </c>
      <c r="C7270">
        <v>0</v>
      </c>
      <c r="D7270">
        <v>0</v>
      </c>
      <c r="E7270">
        <v>1</v>
      </c>
      <c r="F7270">
        <v>0</v>
      </c>
      <c r="G7270">
        <v>0</v>
      </c>
      <c r="H7270">
        <v>0</v>
      </c>
      <c r="I7270">
        <v>0</v>
      </c>
      <c r="J7270">
        <v>2130.1912326209399</v>
      </c>
      <c r="K7270">
        <v>1916.3167283042701</v>
      </c>
      <c r="L7270">
        <v>58.284999999999997</v>
      </c>
      <c r="M7270">
        <v>59.475999999999999</v>
      </c>
      <c r="N7270">
        <v>95.941999999999993</v>
      </c>
    </row>
    <row r="7271" spans="1:14" x14ac:dyDescent="0.45">
      <c r="A7271">
        <v>2014</v>
      </c>
      <c r="B7271" t="s">
        <v>129</v>
      </c>
      <c r="C7271">
        <v>0</v>
      </c>
      <c r="D7271">
        <v>0</v>
      </c>
      <c r="E7271">
        <v>1</v>
      </c>
      <c r="F7271">
        <v>0</v>
      </c>
      <c r="G7271">
        <v>0</v>
      </c>
      <c r="H7271">
        <v>1</v>
      </c>
      <c r="I7271">
        <v>1</v>
      </c>
      <c r="J7271">
        <v>31765.8997056851</v>
      </c>
      <c r="K7271">
        <v>26318.453191316501</v>
      </c>
      <c r="L7271">
        <v>29.917000000000002</v>
      </c>
      <c r="M7271">
        <v>60.228000000000002</v>
      </c>
      <c r="N7271">
        <v>96.597999999999999</v>
      </c>
    </row>
    <row r="7272" spans="1:14" x14ac:dyDescent="0.45">
      <c r="A7272">
        <v>2014</v>
      </c>
      <c r="B7272" t="s">
        <v>130</v>
      </c>
      <c r="C7272">
        <v>1</v>
      </c>
      <c r="D7272">
        <v>0</v>
      </c>
      <c r="E7272">
        <v>0</v>
      </c>
      <c r="F7272">
        <v>0</v>
      </c>
      <c r="G7272">
        <v>0</v>
      </c>
      <c r="H7272">
        <v>1</v>
      </c>
      <c r="I7272">
        <v>1</v>
      </c>
      <c r="J7272">
        <v>31213.376512029801</v>
      </c>
      <c r="K7272">
        <v>27942.030875750301</v>
      </c>
      <c r="L7272">
        <v>22.297999999999998</v>
      </c>
      <c r="M7272">
        <v>81.12</v>
      </c>
      <c r="N7272">
        <v>4.1449999999999996</v>
      </c>
    </row>
    <row r="7273" spans="1:14" x14ac:dyDescent="0.45">
      <c r="A7273">
        <v>2014</v>
      </c>
      <c r="B7273" t="s">
        <v>131</v>
      </c>
      <c r="C7273">
        <v>0</v>
      </c>
      <c r="D7273">
        <v>1</v>
      </c>
      <c r="E7273">
        <v>0</v>
      </c>
      <c r="F7273">
        <v>0</v>
      </c>
      <c r="G7273">
        <v>1</v>
      </c>
      <c r="H7273">
        <v>0</v>
      </c>
      <c r="I7273">
        <v>0</v>
      </c>
      <c r="J7273">
        <v>14296.709140622699</v>
      </c>
      <c r="K7273">
        <v>13191.646040295</v>
      </c>
      <c r="L7273">
        <v>64.061999999999998</v>
      </c>
      <c r="M7273">
        <v>75.045000000000002</v>
      </c>
      <c r="N7273">
        <v>14.911</v>
      </c>
    </row>
    <row r="7274" spans="1:14" x14ac:dyDescent="0.45">
      <c r="A7274">
        <v>2014</v>
      </c>
      <c r="B7274" t="s">
        <v>132</v>
      </c>
      <c r="C7274">
        <v>1</v>
      </c>
      <c r="D7274">
        <v>0</v>
      </c>
      <c r="E7274">
        <v>0</v>
      </c>
      <c r="F7274">
        <v>0</v>
      </c>
      <c r="G7274">
        <v>0</v>
      </c>
      <c r="H7274">
        <v>1</v>
      </c>
      <c r="I7274">
        <v>1</v>
      </c>
      <c r="J7274">
        <v>64799.3056628017</v>
      </c>
      <c r="K7274">
        <v>58654.268935173299</v>
      </c>
      <c r="L7274">
        <v>14.186999999999999</v>
      </c>
      <c r="M7274">
        <v>70.085999999999999</v>
      </c>
      <c r="N7274">
        <v>11.125</v>
      </c>
    </row>
    <row r="7275" spans="1:14" x14ac:dyDescent="0.45">
      <c r="A7275">
        <v>2014</v>
      </c>
      <c r="B7275" t="s">
        <v>133</v>
      </c>
      <c r="C7275">
        <v>0</v>
      </c>
      <c r="D7275">
        <v>1</v>
      </c>
      <c r="E7275">
        <v>0</v>
      </c>
      <c r="F7275">
        <v>1</v>
      </c>
      <c r="G7275">
        <v>0</v>
      </c>
      <c r="H7275">
        <v>0</v>
      </c>
      <c r="I7275">
        <v>0</v>
      </c>
      <c r="J7275">
        <v>10553.563931495601</v>
      </c>
      <c r="K7275">
        <v>9167.6241106770194</v>
      </c>
      <c r="L7275">
        <v>50.366</v>
      </c>
      <c r="M7275">
        <v>70.941999999999993</v>
      </c>
      <c r="N7275">
        <v>29.521999999999998</v>
      </c>
    </row>
    <row r="7276" spans="1:14" x14ac:dyDescent="0.45">
      <c r="A7276">
        <v>2014</v>
      </c>
      <c r="B7276" t="s">
        <v>134</v>
      </c>
      <c r="C7276">
        <v>0</v>
      </c>
      <c r="D7276">
        <v>0</v>
      </c>
      <c r="E7276">
        <v>0</v>
      </c>
      <c r="F7276">
        <v>0</v>
      </c>
      <c r="G7276">
        <v>0</v>
      </c>
      <c r="H7276">
        <v>1</v>
      </c>
      <c r="I7276">
        <v>1</v>
      </c>
      <c r="L7276">
        <v>5.5510000000000002</v>
      </c>
      <c r="M7276">
        <v>76.423000000000002</v>
      </c>
      <c r="N7276">
        <v>13.231</v>
      </c>
    </row>
    <row r="7277" spans="1:14" x14ac:dyDescent="0.45">
      <c r="A7277">
        <v>2014</v>
      </c>
      <c r="B7277" t="s">
        <v>135</v>
      </c>
      <c r="C7277">
        <v>0</v>
      </c>
      <c r="D7277">
        <v>1</v>
      </c>
      <c r="E7277">
        <v>0</v>
      </c>
      <c r="F7277">
        <v>1</v>
      </c>
      <c r="G7277">
        <v>0</v>
      </c>
      <c r="H7277">
        <v>0</v>
      </c>
      <c r="I7277">
        <v>0</v>
      </c>
      <c r="J7277">
        <v>12030.052934404501</v>
      </c>
      <c r="K7277">
        <v>11505.291659214499</v>
      </c>
      <c r="L7277">
        <v>73.585999999999999</v>
      </c>
      <c r="M7277">
        <v>67.334000000000003</v>
      </c>
      <c r="N7277">
        <v>33.909999999999997</v>
      </c>
    </row>
    <row r="7278" spans="1:14" x14ac:dyDescent="0.45">
      <c r="A7278">
        <v>2014</v>
      </c>
      <c r="B7278" t="s">
        <v>136</v>
      </c>
      <c r="C7278">
        <v>0</v>
      </c>
      <c r="D7278">
        <v>0</v>
      </c>
      <c r="E7278">
        <v>0</v>
      </c>
      <c r="F7278">
        <v>0</v>
      </c>
      <c r="G7278">
        <v>0</v>
      </c>
      <c r="H7278">
        <v>1</v>
      </c>
      <c r="I7278">
        <v>1</v>
      </c>
      <c r="J7278">
        <v>61839.777703571497</v>
      </c>
      <c r="K7278">
        <v>55810.612594088801</v>
      </c>
      <c r="L7278">
        <v>0</v>
      </c>
      <c r="M7278">
        <v>83.927000000000007</v>
      </c>
      <c r="N7278">
        <v>2.625</v>
      </c>
    </row>
    <row r="7279" spans="1:14" x14ac:dyDescent="0.45">
      <c r="A7279">
        <v>2014</v>
      </c>
      <c r="B7279" t="s">
        <v>137</v>
      </c>
      <c r="C7279">
        <v>0</v>
      </c>
      <c r="D7279">
        <v>1</v>
      </c>
      <c r="E7279">
        <v>0</v>
      </c>
      <c r="F7279">
        <v>1</v>
      </c>
      <c r="G7279">
        <v>0</v>
      </c>
      <c r="H7279">
        <v>0</v>
      </c>
      <c r="I7279">
        <v>0</v>
      </c>
      <c r="J7279">
        <v>5705.1624626548401</v>
      </c>
      <c r="K7279">
        <v>5257.1818805737803</v>
      </c>
      <c r="L7279">
        <v>45.485999999999997</v>
      </c>
      <c r="M7279">
        <v>71.031999999999996</v>
      </c>
      <c r="N7279">
        <v>21.262</v>
      </c>
    </row>
    <row r="7280" spans="1:14" x14ac:dyDescent="0.45">
      <c r="A7280">
        <v>2014</v>
      </c>
      <c r="B7280" t="s">
        <v>138</v>
      </c>
      <c r="C7280">
        <v>1</v>
      </c>
      <c r="D7280">
        <v>0</v>
      </c>
      <c r="E7280">
        <v>0</v>
      </c>
      <c r="F7280">
        <v>0</v>
      </c>
      <c r="G7280">
        <v>0</v>
      </c>
      <c r="H7280">
        <v>1</v>
      </c>
      <c r="I7280">
        <v>1</v>
      </c>
      <c r="J7280">
        <v>28460.729569006799</v>
      </c>
      <c r="K7280">
        <v>24544.793319878001</v>
      </c>
      <c r="L7280">
        <v>44.076999999999998</v>
      </c>
      <c r="M7280">
        <v>77.513999999999996</v>
      </c>
      <c r="N7280">
        <v>5.1230000000000002</v>
      </c>
    </row>
    <row r="7281" spans="1:14" x14ac:dyDescent="0.45">
      <c r="A7281">
        <v>2014</v>
      </c>
      <c r="B7281" t="s">
        <v>139</v>
      </c>
      <c r="C7281">
        <v>0</v>
      </c>
      <c r="D7281">
        <v>1</v>
      </c>
      <c r="E7281">
        <v>0</v>
      </c>
      <c r="F7281">
        <v>0</v>
      </c>
      <c r="G7281">
        <v>0</v>
      </c>
      <c r="H7281">
        <v>0</v>
      </c>
      <c r="I7281">
        <v>0</v>
      </c>
      <c r="J7281">
        <v>3423.6531773452598</v>
      </c>
      <c r="K7281">
        <v>3290.6639712453202</v>
      </c>
      <c r="L7281">
        <v>48.555999999999997</v>
      </c>
      <c r="M7281">
        <v>62.969000000000001</v>
      </c>
      <c r="N7281">
        <v>71.766999999999996</v>
      </c>
    </row>
    <row r="7282" spans="1:14" x14ac:dyDescent="0.45">
      <c r="A7282">
        <v>2014</v>
      </c>
      <c r="B7282" t="s">
        <v>140</v>
      </c>
      <c r="C7282">
        <v>1</v>
      </c>
      <c r="D7282">
        <v>0</v>
      </c>
      <c r="E7282">
        <v>0</v>
      </c>
      <c r="F7282">
        <v>0</v>
      </c>
      <c r="G7282">
        <v>0</v>
      </c>
      <c r="H7282">
        <v>1</v>
      </c>
      <c r="I7282">
        <v>1</v>
      </c>
      <c r="J7282">
        <v>30264.949230216102</v>
      </c>
      <c r="K7282">
        <v>26373.405787482301</v>
      </c>
      <c r="L7282">
        <v>29.773</v>
      </c>
      <c r="M7282">
        <v>75.849000000000004</v>
      </c>
      <c r="N7282">
        <v>5.4249999999999998</v>
      </c>
    </row>
    <row r="7283" spans="1:14" x14ac:dyDescent="0.45">
      <c r="A7283">
        <v>2014</v>
      </c>
      <c r="B7283" t="s">
        <v>141</v>
      </c>
      <c r="C7283">
        <v>0</v>
      </c>
      <c r="D7283">
        <v>0</v>
      </c>
      <c r="E7283">
        <v>0</v>
      </c>
      <c r="F7283">
        <v>1</v>
      </c>
      <c r="G7283">
        <v>0</v>
      </c>
      <c r="H7283">
        <v>0</v>
      </c>
      <c r="I7283">
        <v>0</v>
      </c>
      <c r="J7283">
        <v>10504.3869411088</v>
      </c>
      <c r="K7283">
        <v>9536.3277113825407</v>
      </c>
      <c r="L7283">
        <v>47.365000000000002</v>
      </c>
      <c r="M7283">
        <v>69.292000000000002</v>
      </c>
      <c r="N7283">
        <v>28.673999999999999</v>
      </c>
    </row>
    <row r="7284" spans="1:14" x14ac:dyDescent="0.45">
      <c r="A7284">
        <v>2014</v>
      </c>
      <c r="B7284" t="s">
        <v>142</v>
      </c>
      <c r="C7284">
        <v>1</v>
      </c>
      <c r="D7284">
        <v>0</v>
      </c>
      <c r="E7284">
        <v>0</v>
      </c>
      <c r="F7284">
        <v>0</v>
      </c>
      <c r="G7284">
        <v>0</v>
      </c>
      <c r="H7284">
        <v>1</v>
      </c>
      <c r="I7284">
        <v>1</v>
      </c>
      <c r="L7284">
        <v>47.838000000000001</v>
      </c>
      <c r="M7284">
        <v>80.198999999999998</v>
      </c>
      <c r="N7284">
        <v>14.661</v>
      </c>
    </row>
    <row r="7285" spans="1:14" x14ac:dyDescent="0.45">
      <c r="A7285">
        <v>2014</v>
      </c>
      <c r="B7285" t="s">
        <v>143</v>
      </c>
      <c r="C7285">
        <v>0</v>
      </c>
      <c r="D7285">
        <v>0</v>
      </c>
      <c r="E7285">
        <v>0</v>
      </c>
      <c r="F7285">
        <v>1</v>
      </c>
      <c r="G7285">
        <v>0</v>
      </c>
      <c r="H7285">
        <v>0</v>
      </c>
      <c r="I7285">
        <v>0</v>
      </c>
      <c r="J7285">
        <v>6079.8439352369496</v>
      </c>
      <c r="K7285">
        <v>5099.0760206844898</v>
      </c>
      <c r="L7285">
        <v>67.616</v>
      </c>
      <c r="M7285">
        <v>68.932000000000002</v>
      </c>
      <c r="N7285">
        <v>46.081000000000003</v>
      </c>
    </row>
    <row r="7286" spans="1:14" x14ac:dyDescent="0.45">
      <c r="A7286">
        <v>2014</v>
      </c>
      <c r="B7286" t="s">
        <v>144</v>
      </c>
      <c r="C7286">
        <v>1</v>
      </c>
      <c r="D7286">
        <v>0</v>
      </c>
      <c r="E7286">
        <v>0</v>
      </c>
      <c r="F7286">
        <v>0</v>
      </c>
      <c r="G7286">
        <v>0</v>
      </c>
      <c r="H7286">
        <v>1</v>
      </c>
      <c r="I7286">
        <v>1</v>
      </c>
      <c r="J7286">
        <v>65660.182764710597</v>
      </c>
      <c r="K7286">
        <v>60371.112405366999</v>
      </c>
      <c r="L7286">
        <v>37.659999999999997</v>
      </c>
      <c r="M7286">
        <v>81.406000000000006</v>
      </c>
      <c r="N7286">
        <v>3.9460000000000002</v>
      </c>
    </row>
    <row r="7287" spans="1:14" x14ac:dyDescent="0.45">
      <c r="A7287">
        <v>2014</v>
      </c>
      <c r="B7287" t="s">
        <v>145</v>
      </c>
      <c r="C7287">
        <v>0</v>
      </c>
      <c r="D7287">
        <v>0</v>
      </c>
      <c r="E7287">
        <v>0</v>
      </c>
      <c r="F7287">
        <v>0</v>
      </c>
      <c r="G7287">
        <v>1</v>
      </c>
      <c r="H7287">
        <v>0</v>
      </c>
      <c r="I7287">
        <v>0</v>
      </c>
      <c r="J7287">
        <v>14299.5717729808</v>
      </c>
      <c r="K7287">
        <v>14263.7466541701</v>
      </c>
      <c r="L7287">
        <v>27.17</v>
      </c>
      <c r="M7287">
        <v>75.635000000000005</v>
      </c>
      <c r="N7287">
        <v>16.149000000000001</v>
      </c>
    </row>
    <row r="7288" spans="1:14" x14ac:dyDescent="0.45">
      <c r="A7288">
        <v>2014</v>
      </c>
      <c r="B7288" t="s">
        <v>146</v>
      </c>
      <c r="C7288">
        <v>0</v>
      </c>
      <c r="D7288">
        <v>0</v>
      </c>
      <c r="E7288">
        <v>0</v>
      </c>
      <c r="F7288">
        <v>0</v>
      </c>
      <c r="G7288">
        <v>1</v>
      </c>
      <c r="H7288">
        <v>0</v>
      </c>
      <c r="I7288">
        <v>0</v>
      </c>
      <c r="J7288">
        <v>13536.8227681431</v>
      </c>
      <c r="K7288">
        <v>9569.0279574491306</v>
      </c>
      <c r="L7288">
        <v>30.242000000000001</v>
      </c>
      <c r="M7288">
        <v>69.679000000000002</v>
      </c>
      <c r="N7288">
        <v>30.536000000000001</v>
      </c>
    </row>
    <row r="7289" spans="1:14" x14ac:dyDescent="0.45">
      <c r="A7289">
        <v>2014</v>
      </c>
      <c r="B7289" t="s">
        <v>147</v>
      </c>
      <c r="C7289">
        <v>1</v>
      </c>
      <c r="D7289">
        <v>0</v>
      </c>
      <c r="E7289">
        <v>0</v>
      </c>
      <c r="F7289">
        <v>0</v>
      </c>
      <c r="G7289">
        <v>0</v>
      </c>
      <c r="H7289">
        <v>1</v>
      </c>
      <c r="I7289">
        <v>1</v>
      </c>
      <c r="J7289">
        <v>58031.8586754801</v>
      </c>
      <c r="K7289">
        <v>50214.322333882803</v>
      </c>
      <c r="L7289">
        <v>6.3330000000000002</v>
      </c>
      <c r="M7289">
        <v>82.43</v>
      </c>
      <c r="N7289">
        <v>2.6819999999999999</v>
      </c>
    </row>
    <row r="7290" spans="1:14" x14ac:dyDescent="0.45">
      <c r="A7290">
        <v>2014</v>
      </c>
      <c r="B7290" t="s">
        <v>148</v>
      </c>
      <c r="C7290">
        <v>0</v>
      </c>
      <c r="D7290">
        <v>0</v>
      </c>
      <c r="E7290">
        <v>0</v>
      </c>
      <c r="F7290">
        <v>0</v>
      </c>
      <c r="G7290">
        <v>0</v>
      </c>
      <c r="H7290">
        <v>1</v>
      </c>
      <c r="I7290">
        <v>1</v>
      </c>
      <c r="J7290">
        <v>40872.5808449627</v>
      </c>
      <c r="K7290">
        <v>37491.485474184199</v>
      </c>
      <c r="L7290">
        <v>7.8959999999999999</v>
      </c>
      <c r="M7290">
        <v>82.361000000000004</v>
      </c>
      <c r="N7290">
        <v>3.9809999999999999</v>
      </c>
    </row>
    <row r="7291" spans="1:14" x14ac:dyDescent="0.45">
      <c r="A7291">
        <v>2014</v>
      </c>
      <c r="B7291" t="s">
        <v>149</v>
      </c>
      <c r="C7291">
        <v>1</v>
      </c>
      <c r="D7291">
        <v>0</v>
      </c>
      <c r="E7291">
        <v>0</v>
      </c>
      <c r="F7291">
        <v>0</v>
      </c>
      <c r="G7291">
        <v>0</v>
      </c>
      <c r="H7291">
        <v>1</v>
      </c>
      <c r="I7291">
        <v>1</v>
      </c>
      <c r="J7291">
        <v>46825.651124506199</v>
      </c>
      <c r="K7291">
        <v>39884.549815447797</v>
      </c>
      <c r="L7291">
        <v>30.728000000000002</v>
      </c>
      <c r="M7291">
        <v>82.900999999999996</v>
      </c>
      <c r="N7291">
        <v>3.2389999999999999</v>
      </c>
    </row>
    <row r="7292" spans="1:14" x14ac:dyDescent="0.45">
      <c r="A7292">
        <v>2014</v>
      </c>
      <c r="B7292" t="s">
        <v>150</v>
      </c>
      <c r="C7292">
        <v>0</v>
      </c>
      <c r="D7292">
        <v>1</v>
      </c>
      <c r="E7292">
        <v>0</v>
      </c>
      <c r="F7292">
        <v>0</v>
      </c>
      <c r="G7292">
        <v>1</v>
      </c>
      <c r="H7292">
        <v>0</v>
      </c>
      <c r="I7292">
        <v>0</v>
      </c>
      <c r="J7292">
        <v>9719.3038989570596</v>
      </c>
      <c r="K7292">
        <v>9578.6671025988908</v>
      </c>
      <c r="L7292">
        <v>45.415999999999997</v>
      </c>
      <c r="M7292">
        <v>72.356999999999999</v>
      </c>
      <c r="N7292">
        <v>18.774999999999999</v>
      </c>
    </row>
    <row r="7293" spans="1:14" x14ac:dyDescent="0.45">
      <c r="A7293">
        <v>2014</v>
      </c>
      <c r="B7293" t="s">
        <v>151</v>
      </c>
      <c r="C7293">
        <v>0</v>
      </c>
      <c r="D7293">
        <v>0</v>
      </c>
      <c r="E7293">
        <v>0</v>
      </c>
      <c r="F7293">
        <v>0</v>
      </c>
      <c r="G7293">
        <v>1</v>
      </c>
      <c r="H7293">
        <v>0</v>
      </c>
      <c r="I7293">
        <v>0</v>
      </c>
      <c r="J7293">
        <v>10148.998098759999</v>
      </c>
      <c r="K7293">
        <v>10068.265773564601</v>
      </c>
      <c r="L7293">
        <v>10</v>
      </c>
      <c r="M7293">
        <v>74.605999999999995</v>
      </c>
      <c r="N7293">
        <v>18.045999999999999</v>
      </c>
    </row>
    <row r="7294" spans="1:14" x14ac:dyDescent="0.45">
      <c r="A7294">
        <v>2014</v>
      </c>
      <c r="B7294" t="s">
        <v>152</v>
      </c>
      <c r="C7294">
        <v>0</v>
      </c>
      <c r="D7294">
        <v>0</v>
      </c>
      <c r="E7294">
        <v>0</v>
      </c>
      <c r="F7294">
        <v>0</v>
      </c>
      <c r="G7294">
        <v>0</v>
      </c>
      <c r="H7294">
        <v>1</v>
      </c>
      <c r="I7294">
        <v>1</v>
      </c>
      <c r="J7294">
        <v>42674.697630132097</v>
      </c>
      <c r="K7294">
        <v>39530.951804583601</v>
      </c>
      <c r="L7294">
        <v>8.6959999999999997</v>
      </c>
      <c r="M7294">
        <v>83.643000000000001</v>
      </c>
      <c r="N7294">
        <v>2.863</v>
      </c>
    </row>
    <row r="7295" spans="1:14" x14ac:dyDescent="0.45">
      <c r="A7295">
        <v>2014</v>
      </c>
      <c r="B7295" t="s">
        <v>153</v>
      </c>
      <c r="C7295">
        <v>1</v>
      </c>
      <c r="D7295">
        <v>0</v>
      </c>
      <c r="E7295">
        <v>0</v>
      </c>
      <c r="F7295">
        <v>0</v>
      </c>
      <c r="G7295">
        <v>1</v>
      </c>
      <c r="H7295">
        <v>0</v>
      </c>
      <c r="I7295">
        <v>0</v>
      </c>
      <c r="J7295">
        <v>30986.4379168995</v>
      </c>
      <c r="K7295">
        <v>23563.928353127001</v>
      </c>
      <c r="L7295">
        <v>42.881999999999998</v>
      </c>
      <c r="M7295">
        <v>71.415000000000006</v>
      </c>
      <c r="N7295">
        <v>13.435</v>
      </c>
    </row>
    <row r="7296" spans="1:14" x14ac:dyDescent="0.45">
      <c r="A7296">
        <v>2014</v>
      </c>
      <c r="B7296" t="s">
        <v>154</v>
      </c>
      <c r="C7296">
        <v>0</v>
      </c>
      <c r="D7296">
        <v>0</v>
      </c>
      <c r="E7296">
        <v>1</v>
      </c>
      <c r="F7296">
        <v>1</v>
      </c>
      <c r="G7296">
        <v>0</v>
      </c>
      <c r="H7296">
        <v>0</v>
      </c>
      <c r="I7296">
        <v>0</v>
      </c>
      <c r="J7296">
        <v>4558.55155266374</v>
      </c>
      <c r="K7296">
        <v>3928.7705118600502</v>
      </c>
      <c r="L7296">
        <v>74.778999999999996</v>
      </c>
      <c r="M7296">
        <v>61.99</v>
      </c>
      <c r="N7296">
        <v>48.14</v>
      </c>
    </row>
    <row r="7297" spans="1:14" x14ac:dyDescent="0.45">
      <c r="A7297">
        <v>2014</v>
      </c>
      <c r="B7297" t="s">
        <v>155</v>
      </c>
      <c r="C7297">
        <v>1</v>
      </c>
      <c r="D7297">
        <v>0</v>
      </c>
      <c r="E7297">
        <v>0</v>
      </c>
      <c r="F7297">
        <v>1</v>
      </c>
      <c r="G7297">
        <v>0</v>
      </c>
      <c r="H7297">
        <v>0</v>
      </c>
      <c r="I7297">
        <v>0</v>
      </c>
      <c r="J7297">
        <v>5513.7544695252</v>
      </c>
      <c r="K7297">
        <v>4660.0490332297704</v>
      </c>
      <c r="L7297">
        <v>64.364999999999995</v>
      </c>
      <c r="M7297">
        <v>68.828999999999994</v>
      </c>
      <c r="N7297">
        <v>23.468</v>
      </c>
    </row>
    <row r="7298" spans="1:14" x14ac:dyDescent="0.45">
      <c r="A7298">
        <v>2014</v>
      </c>
      <c r="B7298" t="s">
        <v>156</v>
      </c>
      <c r="C7298">
        <v>0</v>
      </c>
      <c r="D7298">
        <v>0</v>
      </c>
      <c r="E7298">
        <v>0</v>
      </c>
      <c r="F7298">
        <v>0</v>
      </c>
      <c r="G7298">
        <v>0</v>
      </c>
      <c r="H7298">
        <v>0</v>
      </c>
      <c r="I7298">
        <v>0</v>
      </c>
      <c r="J7298">
        <v>4702.7306182305501</v>
      </c>
      <c r="K7298">
        <v>4216.7894083159799</v>
      </c>
      <c r="L7298">
        <v>78.200999999999993</v>
      </c>
      <c r="M7298">
        <v>69.117000000000004</v>
      </c>
      <c r="N7298">
        <v>33.715000000000003</v>
      </c>
    </row>
    <row r="7299" spans="1:14" x14ac:dyDescent="0.45">
      <c r="A7299">
        <v>2014</v>
      </c>
      <c r="B7299" t="s">
        <v>157</v>
      </c>
      <c r="C7299">
        <v>0</v>
      </c>
      <c r="D7299">
        <v>0</v>
      </c>
      <c r="E7299">
        <v>0</v>
      </c>
      <c r="F7299">
        <v>1</v>
      </c>
      <c r="G7299">
        <v>0</v>
      </c>
      <c r="H7299">
        <v>0</v>
      </c>
      <c r="I7299">
        <v>0</v>
      </c>
      <c r="J7299">
        <v>2381.3483732560799</v>
      </c>
      <c r="K7299">
        <v>2154.16606526348</v>
      </c>
      <c r="L7299">
        <v>49.226999999999997</v>
      </c>
      <c r="M7299">
        <v>65.869</v>
      </c>
      <c r="N7299">
        <v>58.515000000000001</v>
      </c>
    </row>
    <row r="7300" spans="1:14" x14ac:dyDescent="0.45">
      <c r="A7300">
        <v>2014</v>
      </c>
      <c r="B7300" t="s">
        <v>158</v>
      </c>
      <c r="C7300">
        <v>0</v>
      </c>
      <c r="D7300">
        <v>1</v>
      </c>
      <c r="E7300">
        <v>0</v>
      </c>
      <c r="F7300">
        <v>0</v>
      </c>
      <c r="G7300">
        <v>0</v>
      </c>
      <c r="H7300">
        <v>1</v>
      </c>
      <c r="I7300">
        <v>1</v>
      </c>
      <c r="J7300">
        <v>28530.307224901298</v>
      </c>
      <c r="K7300">
        <v>28177.559026255902</v>
      </c>
      <c r="L7300">
        <v>69.114999999999995</v>
      </c>
      <c r="M7300">
        <v>71.227999999999994</v>
      </c>
      <c r="N7300">
        <v>18.157</v>
      </c>
    </row>
    <row r="7301" spans="1:14" x14ac:dyDescent="0.45">
      <c r="A7301">
        <v>2014</v>
      </c>
      <c r="B7301" t="s">
        <v>159</v>
      </c>
      <c r="C7301">
        <v>0</v>
      </c>
      <c r="D7301">
        <v>0</v>
      </c>
      <c r="E7301">
        <v>0</v>
      </c>
      <c r="F7301">
        <v>0</v>
      </c>
      <c r="G7301">
        <v>0</v>
      </c>
      <c r="H7301">
        <v>1</v>
      </c>
      <c r="I7301">
        <v>1</v>
      </c>
      <c r="J7301">
        <v>41518.094229689203</v>
      </c>
      <c r="K7301">
        <v>37848.828713019298</v>
      </c>
      <c r="L7301">
        <v>18.292999999999999</v>
      </c>
      <c r="M7301">
        <v>82.364000000000004</v>
      </c>
      <c r="N7301">
        <v>3.6360000000000001</v>
      </c>
    </row>
    <row r="7302" spans="1:14" x14ac:dyDescent="0.45">
      <c r="A7302">
        <v>2014</v>
      </c>
      <c r="B7302" t="s">
        <v>160</v>
      </c>
      <c r="C7302">
        <v>0</v>
      </c>
      <c r="D7302">
        <v>0</v>
      </c>
      <c r="E7302">
        <v>0</v>
      </c>
      <c r="F7302">
        <v>0</v>
      </c>
      <c r="G7302">
        <v>0</v>
      </c>
      <c r="H7302">
        <v>1</v>
      </c>
      <c r="I7302">
        <v>1</v>
      </c>
      <c r="J7302">
        <v>60065.654437988698</v>
      </c>
      <c r="K7302">
        <v>53494.479363552397</v>
      </c>
      <c r="L7302">
        <v>0</v>
      </c>
      <c r="M7302">
        <v>78.927000000000007</v>
      </c>
      <c r="N7302">
        <v>9.5079999999999991</v>
      </c>
    </row>
    <row r="7303" spans="1:14" x14ac:dyDescent="0.45">
      <c r="A7303">
        <v>2014</v>
      </c>
      <c r="B7303" t="s">
        <v>161</v>
      </c>
      <c r="C7303">
        <v>0</v>
      </c>
      <c r="D7303">
        <v>0</v>
      </c>
      <c r="E7303">
        <v>0</v>
      </c>
      <c r="F7303">
        <v>1</v>
      </c>
      <c r="G7303">
        <v>0</v>
      </c>
      <c r="H7303">
        <v>0</v>
      </c>
      <c r="I7303">
        <v>0</v>
      </c>
      <c r="J7303">
        <v>6341.2122967032001</v>
      </c>
      <c r="K7303">
        <v>6093.3190607228098</v>
      </c>
      <c r="L7303">
        <v>67.513000000000005</v>
      </c>
      <c r="M7303">
        <v>66.349999999999994</v>
      </c>
      <c r="N7303">
        <v>55.837000000000003</v>
      </c>
    </row>
    <row r="7304" spans="1:14" x14ac:dyDescent="0.45">
      <c r="A7304">
        <v>2014</v>
      </c>
      <c r="B7304" t="s">
        <v>162</v>
      </c>
      <c r="C7304">
        <v>0</v>
      </c>
      <c r="D7304">
        <v>0</v>
      </c>
      <c r="E7304">
        <v>0</v>
      </c>
      <c r="F7304">
        <v>0</v>
      </c>
      <c r="G7304">
        <v>1</v>
      </c>
      <c r="H7304">
        <v>0</v>
      </c>
      <c r="I7304">
        <v>0</v>
      </c>
      <c r="J7304">
        <v>15205.873265402</v>
      </c>
      <c r="K7304">
        <v>19764.493841867301</v>
      </c>
      <c r="L7304">
        <v>12.053000000000001</v>
      </c>
      <c r="M7304">
        <v>78.147999999999996</v>
      </c>
      <c r="N7304">
        <v>12.898</v>
      </c>
    </row>
    <row r="7305" spans="1:14" x14ac:dyDescent="0.45">
      <c r="A7305">
        <v>2014</v>
      </c>
      <c r="B7305" t="s">
        <v>163</v>
      </c>
      <c r="C7305">
        <v>0</v>
      </c>
      <c r="D7305">
        <v>0</v>
      </c>
      <c r="E7305">
        <v>1</v>
      </c>
      <c r="F7305">
        <v>0</v>
      </c>
      <c r="G7305">
        <v>0</v>
      </c>
      <c r="H7305">
        <v>0</v>
      </c>
      <c r="I7305">
        <v>0</v>
      </c>
      <c r="J7305">
        <v>1750.1438489328</v>
      </c>
      <c r="K7305">
        <v>2585.7420630812699</v>
      </c>
      <c r="L7305">
        <v>50.603000000000002</v>
      </c>
      <c r="M7305">
        <v>59.21</v>
      </c>
      <c r="N7305">
        <v>93.856999999999999</v>
      </c>
    </row>
    <row r="7306" spans="1:14" x14ac:dyDescent="0.45">
      <c r="A7306">
        <v>2014</v>
      </c>
      <c r="B7306" t="s">
        <v>164</v>
      </c>
      <c r="C7306">
        <v>0</v>
      </c>
      <c r="D7306">
        <v>0</v>
      </c>
      <c r="E7306">
        <v>0</v>
      </c>
      <c r="F7306">
        <v>0</v>
      </c>
      <c r="G7306">
        <v>1</v>
      </c>
      <c r="H7306">
        <v>0</v>
      </c>
      <c r="I7306">
        <v>0</v>
      </c>
      <c r="J7306">
        <v>12495.792970176</v>
      </c>
      <c r="K7306">
        <v>14603.7725687316</v>
      </c>
      <c r="L7306">
        <v>20.991</v>
      </c>
      <c r="M7306">
        <v>71.3</v>
      </c>
      <c r="N7306">
        <v>15.055</v>
      </c>
    </row>
    <row r="7307" spans="1:14" x14ac:dyDescent="0.45">
      <c r="A7307">
        <v>2014</v>
      </c>
      <c r="B7307" t="s">
        <v>165</v>
      </c>
      <c r="C7307">
        <v>0</v>
      </c>
      <c r="D7307">
        <v>1</v>
      </c>
      <c r="E7307">
        <v>0</v>
      </c>
      <c r="F7307">
        <v>0</v>
      </c>
      <c r="G7307">
        <v>1</v>
      </c>
      <c r="H7307">
        <v>0</v>
      </c>
      <c r="I7307">
        <v>0</v>
      </c>
      <c r="J7307">
        <v>21214.4773346334</v>
      </c>
      <c r="K7307">
        <v>15261.8436517297</v>
      </c>
      <c r="L7307">
        <v>81.518000000000001</v>
      </c>
      <c r="M7307">
        <v>72.676000000000002</v>
      </c>
      <c r="N7307">
        <v>17.835999999999999</v>
      </c>
    </row>
    <row r="7308" spans="1:14" x14ac:dyDescent="0.45">
      <c r="A7308">
        <v>2014</v>
      </c>
      <c r="B7308" t="s">
        <v>166</v>
      </c>
      <c r="C7308">
        <v>1</v>
      </c>
      <c r="D7308">
        <v>0</v>
      </c>
      <c r="E7308">
        <v>0</v>
      </c>
      <c r="F7308">
        <v>0</v>
      </c>
      <c r="G7308">
        <v>0</v>
      </c>
      <c r="H7308">
        <v>1</v>
      </c>
      <c r="I7308">
        <v>1</v>
      </c>
      <c r="L7308">
        <v>85.686999999999998</v>
      </c>
      <c r="M7308">
        <v>82.546000000000006</v>
      </c>
      <c r="N7308">
        <v>7.3860000000000001</v>
      </c>
    </row>
    <row r="7309" spans="1:14" x14ac:dyDescent="0.45">
      <c r="A7309">
        <v>2014</v>
      </c>
      <c r="B7309" t="s">
        <v>167</v>
      </c>
      <c r="C7309">
        <v>0</v>
      </c>
      <c r="D7309">
        <v>0</v>
      </c>
      <c r="E7309">
        <v>0</v>
      </c>
      <c r="F7309">
        <v>1</v>
      </c>
      <c r="G7309">
        <v>0</v>
      </c>
      <c r="H7309">
        <v>0</v>
      </c>
      <c r="I7309">
        <v>0</v>
      </c>
      <c r="J7309">
        <v>12909.9663066055</v>
      </c>
      <c r="K7309">
        <v>12057.7044870548</v>
      </c>
      <c r="L7309">
        <v>81.781999999999996</v>
      </c>
      <c r="M7309">
        <v>75.757000000000005</v>
      </c>
      <c r="N7309">
        <v>9.43</v>
      </c>
    </row>
    <row r="7310" spans="1:14" x14ac:dyDescent="0.45">
      <c r="A7310">
        <v>2014</v>
      </c>
      <c r="B7310" t="s">
        <v>168</v>
      </c>
      <c r="C7310">
        <v>0</v>
      </c>
      <c r="D7310">
        <v>0</v>
      </c>
      <c r="E7310">
        <v>1</v>
      </c>
      <c r="F7310">
        <v>1</v>
      </c>
      <c r="G7310">
        <v>0</v>
      </c>
      <c r="H7310">
        <v>0</v>
      </c>
      <c r="I7310">
        <v>0</v>
      </c>
      <c r="J7310">
        <v>2930.6172403620599</v>
      </c>
      <c r="K7310">
        <v>2624.1338630289001</v>
      </c>
      <c r="L7310">
        <v>73.498000000000005</v>
      </c>
      <c r="M7310">
        <v>50.786000000000001</v>
      </c>
      <c r="N7310">
        <v>82.704999999999998</v>
      </c>
    </row>
    <row r="7311" spans="1:14" x14ac:dyDescent="0.45">
      <c r="A7311">
        <v>2014</v>
      </c>
      <c r="B7311" t="s">
        <v>169</v>
      </c>
      <c r="C7311">
        <v>1</v>
      </c>
      <c r="D7311">
        <v>0</v>
      </c>
      <c r="E7311">
        <v>0</v>
      </c>
      <c r="F7311">
        <v>0</v>
      </c>
      <c r="G7311">
        <v>0</v>
      </c>
      <c r="H7311">
        <v>1</v>
      </c>
      <c r="I7311">
        <v>1</v>
      </c>
      <c r="J7311">
        <v>33975.0843756963</v>
      </c>
      <c r="K7311">
        <v>29067.9501611048</v>
      </c>
      <c r="L7311">
        <v>32.892000000000003</v>
      </c>
      <c r="M7311">
        <v>74.596000000000004</v>
      </c>
      <c r="N7311">
        <v>5.0830000000000002</v>
      </c>
    </row>
    <row r="7312" spans="1:14" x14ac:dyDescent="0.45">
      <c r="A7312">
        <v>2014</v>
      </c>
      <c r="B7312" t="s">
        <v>170</v>
      </c>
      <c r="C7312">
        <v>1</v>
      </c>
      <c r="D7312">
        <v>0</v>
      </c>
      <c r="E7312">
        <v>0</v>
      </c>
      <c r="F7312">
        <v>0</v>
      </c>
      <c r="G7312">
        <v>0</v>
      </c>
      <c r="H7312">
        <v>1</v>
      </c>
      <c r="I7312">
        <v>1</v>
      </c>
      <c r="J7312">
        <v>130247.661687069</v>
      </c>
      <c r="K7312">
        <v>111304.612810262</v>
      </c>
      <c r="L7312">
        <v>10.116</v>
      </c>
      <c r="M7312">
        <v>81.236000000000004</v>
      </c>
      <c r="N7312">
        <v>4.1740000000000004</v>
      </c>
    </row>
    <row r="7313" spans="1:14" x14ac:dyDescent="0.45">
      <c r="A7313">
        <v>2014</v>
      </c>
      <c r="B7313" t="s">
        <v>171</v>
      </c>
      <c r="C7313">
        <v>1</v>
      </c>
      <c r="D7313">
        <v>0</v>
      </c>
      <c r="E7313">
        <v>0</v>
      </c>
      <c r="F7313">
        <v>0</v>
      </c>
      <c r="G7313">
        <v>0</v>
      </c>
      <c r="H7313">
        <v>1</v>
      </c>
      <c r="I7313">
        <v>1</v>
      </c>
      <c r="J7313">
        <v>29243.741250262901</v>
      </c>
      <c r="K7313">
        <v>25371.556531620099</v>
      </c>
      <c r="L7313">
        <v>32.048000000000002</v>
      </c>
      <c r="M7313">
        <v>74.305999999999997</v>
      </c>
      <c r="N7313">
        <v>5.0519999999999996</v>
      </c>
    </row>
    <row r="7314" spans="1:14" x14ac:dyDescent="0.45">
      <c r="A7314">
        <v>2014</v>
      </c>
      <c r="B7314" t="s">
        <v>172</v>
      </c>
      <c r="C7314">
        <v>0</v>
      </c>
      <c r="D7314">
        <v>0</v>
      </c>
      <c r="E7314">
        <v>0</v>
      </c>
      <c r="F7314">
        <v>0</v>
      </c>
      <c r="G7314">
        <v>0</v>
      </c>
      <c r="H7314">
        <v>1</v>
      </c>
      <c r="I7314">
        <v>1</v>
      </c>
      <c r="J7314">
        <v>162582.44843822799</v>
      </c>
      <c r="K7314">
        <v>147338.95962078299</v>
      </c>
      <c r="L7314">
        <v>0</v>
      </c>
      <c r="M7314">
        <v>82.694999999999993</v>
      </c>
      <c r="N7314">
        <v>3.9660000000000002</v>
      </c>
    </row>
    <row r="7315" spans="1:14" x14ac:dyDescent="0.45">
      <c r="A7315">
        <v>2014</v>
      </c>
      <c r="B7315" t="s">
        <v>173</v>
      </c>
      <c r="C7315">
        <v>0</v>
      </c>
      <c r="D7315">
        <v>1</v>
      </c>
      <c r="E7315">
        <v>0</v>
      </c>
      <c r="F7315">
        <v>0</v>
      </c>
      <c r="G7315">
        <v>0</v>
      </c>
      <c r="H7315">
        <v>1</v>
      </c>
      <c r="I7315">
        <v>1</v>
      </c>
      <c r="L7315">
        <v>0</v>
      </c>
      <c r="M7315">
        <v>79.727000000000004</v>
      </c>
      <c r="N7315">
        <v>10.189</v>
      </c>
    </row>
    <row r="7316" spans="1:14" x14ac:dyDescent="0.45">
      <c r="A7316">
        <v>2014</v>
      </c>
      <c r="B7316" t="s">
        <v>174</v>
      </c>
      <c r="C7316">
        <v>0</v>
      </c>
      <c r="D7316">
        <v>0</v>
      </c>
      <c r="E7316">
        <v>0</v>
      </c>
      <c r="F7316">
        <v>1</v>
      </c>
      <c r="G7316">
        <v>0</v>
      </c>
      <c r="H7316">
        <v>0</v>
      </c>
      <c r="I7316">
        <v>0</v>
      </c>
      <c r="J7316">
        <v>7951.79833984375</v>
      </c>
      <c r="K7316">
        <v>7636.6561643617597</v>
      </c>
      <c r="L7316">
        <v>39.744</v>
      </c>
      <c r="M7316">
        <v>72.522000000000006</v>
      </c>
      <c r="N7316">
        <v>24.568999999999999</v>
      </c>
    </row>
    <row r="7317" spans="1:14" x14ac:dyDescent="0.45">
      <c r="A7317">
        <v>2014</v>
      </c>
      <c r="B7317" t="s">
        <v>175</v>
      </c>
      <c r="C7317">
        <v>1</v>
      </c>
      <c r="D7317">
        <v>0</v>
      </c>
      <c r="E7317">
        <v>0</v>
      </c>
      <c r="F7317">
        <v>0</v>
      </c>
      <c r="G7317">
        <v>0</v>
      </c>
      <c r="H7317">
        <v>1</v>
      </c>
      <c r="I7317">
        <v>1</v>
      </c>
      <c r="L7317">
        <v>0</v>
      </c>
      <c r="M7317">
        <v>85.093000000000004</v>
      </c>
      <c r="N7317">
        <v>5.327</v>
      </c>
    </row>
    <row r="7318" spans="1:14" x14ac:dyDescent="0.45">
      <c r="A7318">
        <v>2014</v>
      </c>
      <c r="B7318" t="s">
        <v>176</v>
      </c>
      <c r="C7318">
        <v>1</v>
      </c>
      <c r="D7318">
        <v>0</v>
      </c>
      <c r="E7318">
        <v>0</v>
      </c>
      <c r="F7318">
        <v>1</v>
      </c>
      <c r="G7318">
        <v>0</v>
      </c>
      <c r="H7318">
        <v>0</v>
      </c>
      <c r="I7318">
        <v>0</v>
      </c>
      <c r="J7318">
        <v>11641.1208436577</v>
      </c>
      <c r="K7318">
        <v>9984.6782718130598</v>
      </c>
      <c r="L7318">
        <v>57.503999999999998</v>
      </c>
      <c r="M7318">
        <v>70.241</v>
      </c>
      <c r="N7318">
        <v>15.948</v>
      </c>
    </row>
    <row r="7319" spans="1:14" x14ac:dyDescent="0.45">
      <c r="A7319">
        <v>2014</v>
      </c>
      <c r="B7319" t="s">
        <v>177</v>
      </c>
      <c r="C7319">
        <v>0</v>
      </c>
      <c r="D7319">
        <v>0</v>
      </c>
      <c r="E7319">
        <v>1</v>
      </c>
      <c r="F7319">
        <v>0</v>
      </c>
      <c r="G7319">
        <v>0</v>
      </c>
      <c r="H7319">
        <v>0</v>
      </c>
      <c r="I7319">
        <v>0</v>
      </c>
      <c r="J7319">
        <v>1620.3578890635499</v>
      </c>
      <c r="K7319">
        <v>1501.14255973838</v>
      </c>
      <c r="L7319">
        <v>65.465999999999994</v>
      </c>
      <c r="M7319">
        <v>63.261000000000003</v>
      </c>
      <c r="N7319">
        <v>66.747</v>
      </c>
    </row>
    <row r="7320" spans="1:14" x14ac:dyDescent="0.45">
      <c r="A7320">
        <v>2014</v>
      </c>
      <c r="B7320" t="s">
        <v>178</v>
      </c>
      <c r="C7320">
        <v>0</v>
      </c>
      <c r="D7320">
        <v>0</v>
      </c>
      <c r="E7320">
        <v>0</v>
      </c>
      <c r="F7320">
        <v>0</v>
      </c>
      <c r="G7320">
        <v>1</v>
      </c>
      <c r="H7320">
        <v>0</v>
      </c>
      <c r="I7320">
        <v>0</v>
      </c>
      <c r="J7320">
        <v>18765.359223961601</v>
      </c>
      <c r="K7320">
        <v>18513.590000736</v>
      </c>
      <c r="L7320">
        <v>61.893999999999998</v>
      </c>
      <c r="M7320">
        <v>78.186999999999998</v>
      </c>
      <c r="N7320">
        <v>10.481</v>
      </c>
    </row>
    <row r="7321" spans="1:14" x14ac:dyDescent="0.45">
      <c r="A7321">
        <v>2014</v>
      </c>
      <c r="B7321" t="s">
        <v>179</v>
      </c>
      <c r="C7321">
        <v>0</v>
      </c>
      <c r="D7321">
        <v>1</v>
      </c>
      <c r="E7321">
        <v>0</v>
      </c>
      <c r="F7321">
        <v>0</v>
      </c>
      <c r="G7321">
        <v>1</v>
      </c>
      <c r="H7321">
        <v>0</v>
      </c>
      <c r="I7321">
        <v>0</v>
      </c>
      <c r="J7321">
        <v>21069.766161016902</v>
      </c>
      <c r="K7321">
        <v>19588.03888842</v>
      </c>
      <c r="L7321">
        <v>21.007000000000001</v>
      </c>
      <c r="M7321">
        <v>74.403999999999996</v>
      </c>
      <c r="N7321">
        <v>16.777000000000001</v>
      </c>
    </row>
    <row r="7322" spans="1:14" x14ac:dyDescent="0.45">
      <c r="A7322">
        <v>2014</v>
      </c>
      <c r="B7322" t="s">
        <v>180</v>
      </c>
      <c r="C7322">
        <v>0</v>
      </c>
      <c r="D7322">
        <v>0</v>
      </c>
      <c r="E7322">
        <v>0</v>
      </c>
      <c r="F7322">
        <v>0</v>
      </c>
      <c r="G7322">
        <v>1</v>
      </c>
      <c r="H7322">
        <v>0</v>
      </c>
      <c r="I7322">
        <v>0</v>
      </c>
      <c r="J7322">
        <v>4491.9919386453403</v>
      </c>
      <c r="K7322">
        <v>4062.9388207393899</v>
      </c>
      <c r="L7322">
        <v>24.616</v>
      </c>
      <c r="M7322">
        <v>65.11</v>
      </c>
      <c r="N7322">
        <v>36.121000000000002</v>
      </c>
    </row>
    <row r="7323" spans="1:14" x14ac:dyDescent="0.45">
      <c r="A7323">
        <v>2014</v>
      </c>
      <c r="B7323" t="s">
        <v>181</v>
      </c>
      <c r="C7323">
        <v>1</v>
      </c>
      <c r="D7323">
        <v>0</v>
      </c>
      <c r="E7323">
        <v>0</v>
      </c>
      <c r="F7323">
        <v>0</v>
      </c>
      <c r="G7323">
        <v>1</v>
      </c>
      <c r="H7323">
        <v>0</v>
      </c>
      <c r="I7323">
        <v>0</v>
      </c>
      <c r="J7323">
        <v>18451.1900046341</v>
      </c>
      <c r="K7323">
        <v>15576.270950820301</v>
      </c>
      <c r="L7323">
        <v>42.716000000000001</v>
      </c>
      <c r="M7323">
        <v>75.632999999999996</v>
      </c>
      <c r="N7323">
        <v>10.827</v>
      </c>
    </row>
    <row r="7324" spans="1:14" x14ac:dyDescent="0.45">
      <c r="A7324">
        <v>2014</v>
      </c>
      <c r="B7324" t="s">
        <v>182</v>
      </c>
      <c r="C7324">
        <v>0</v>
      </c>
      <c r="D7324">
        <v>0</v>
      </c>
      <c r="E7324">
        <v>1</v>
      </c>
      <c r="F7324">
        <v>0</v>
      </c>
      <c r="G7324">
        <v>0</v>
      </c>
      <c r="H7324">
        <v>0</v>
      </c>
      <c r="I7324">
        <v>0</v>
      </c>
      <c r="J7324">
        <v>2615.6703103311002</v>
      </c>
      <c r="K7324">
        <v>2421.09002520371</v>
      </c>
      <c r="L7324">
        <v>60.804000000000002</v>
      </c>
      <c r="M7324">
        <v>57.481999999999999</v>
      </c>
      <c r="N7324">
        <v>119.288</v>
      </c>
    </row>
    <row r="7325" spans="1:14" x14ac:dyDescent="0.45">
      <c r="A7325">
        <v>2014</v>
      </c>
      <c r="B7325" t="s">
        <v>183</v>
      </c>
      <c r="C7325">
        <v>0</v>
      </c>
      <c r="D7325">
        <v>0</v>
      </c>
      <c r="E7325">
        <v>0</v>
      </c>
      <c r="F7325">
        <v>0</v>
      </c>
      <c r="G7325">
        <v>0</v>
      </c>
      <c r="H7325">
        <v>1</v>
      </c>
      <c r="I7325">
        <v>1</v>
      </c>
      <c r="J7325">
        <v>43121.6083126636</v>
      </c>
      <c r="K7325">
        <v>37302.301810539197</v>
      </c>
      <c r="L7325">
        <v>5.6530000000000102</v>
      </c>
      <c r="M7325">
        <v>82.317999999999998</v>
      </c>
      <c r="N7325">
        <v>5.6929999999999996</v>
      </c>
    </row>
    <row r="7326" spans="1:14" x14ac:dyDescent="0.45">
      <c r="A7326">
        <v>2014</v>
      </c>
      <c r="B7326" t="s">
        <v>184</v>
      </c>
      <c r="C7326">
        <v>0</v>
      </c>
      <c r="D7326">
        <v>0</v>
      </c>
      <c r="E7326">
        <v>0</v>
      </c>
      <c r="F7326">
        <v>1</v>
      </c>
      <c r="G7326">
        <v>0</v>
      </c>
      <c r="H7326">
        <v>0</v>
      </c>
      <c r="I7326">
        <v>0</v>
      </c>
      <c r="J7326">
        <v>5006.5066714976701</v>
      </c>
      <c r="K7326">
        <v>4008.72557274366</v>
      </c>
      <c r="L7326">
        <v>70.349999999999994</v>
      </c>
      <c r="M7326">
        <v>64.994</v>
      </c>
      <c r="N7326">
        <v>53.606000000000002</v>
      </c>
    </row>
    <row r="7327" spans="1:14" x14ac:dyDescent="0.45">
      <c r="A7327">
        <v>2014</v>
      </c>
      <c r="B7327" t="s">
        <v>185</v>
      </c>
      <c r="C7327">
        <v>1</v>
      </c>
      <c r="D7327">
        <v>0</v>
      </c>
      <c r="E7327">
        <v>0</v>
      </c>
      <c r="F7327">
        <v>0</v>
      </c>
      <c r="G7327">
        <v>1</v>
      </c>
      <c r="H7327">
        <v>0</v>
      </c>
      <c r="I7327">
        <v>0</v>
      </c>
      <c r="J7327">
        <v>20475.517052815801</v>
      </c>
      <c r="K7327">
        <v>17300.561937693699</v>
      </c>
      <c r="L7327">
        <v>34.529000000000003</v>
      </c>
      <c r="M7327">
        <v>76.468000000000004</v>
      </c>
      <c r="N7327">
        <v>5.5629999999999997</v>
      </c>
    </row>
    <row r="7328" spans="1:14" x14ac:dyDescent="0.45">
      <c r="A7328">
        <v>2014</v>
      </c>
      <c r="B7328" t="s">
        <v>186</v>
      </c>
      <c r="C7328">
        <v>0</v>
      </c>
      <c r="D7328">
        <v>0</v>
      </c>
      <c r="E7328">
        <v>0</v>
      </c>
      <c r="F7328">
        <v>0</v>
      </c>
      <c r="G7328">
        <v>1</v>
      </c>
      <c r="H7328">
        <v>0</v>
      </c>
      <c r="I7328">
        <v>0</v>
      </c>
      <c r="J7328">
        <v>13943.4277148653</v>
      </c>
      <c r="K7328">
        <v>10743.075039294001</v>
      </c>
      <c r="L7328">
        <v>31.837</v>
      </c>
      <c r="M7328">
        <v>68.736999999999995</v>
      </c>
      <c r="N7328">
        <v>20.594000000000001</v>
      </c>
    </row>
    <row r="7329" spans="1:14" x14ac:dyDescent="0.45">
      <c r="A7329">
        <v>2014</v>
      </c>
      <c r="B7329" t="s">
        <v>187</v>
      </c>
      <c r="C7329">
        <v>0</v>
      </c>
      <c r="D7329">
        <v>0</v>
      </c>
      <c r="E7329">
        <v>0</v>
      </c>
      <c r="F7329">
        <v>0</v>
      </c>
      <c r="G7329">
        <v>0</v>
      </c>
      <c r="H7329">
        <v>1</v>
      </c>
      <c r="I7329">
        <v>1</v>
      </c>
      <c r="L7329">
        <v>8.7270000000000003</v>
      </c>
      <c r="M7329">
        <v>77.376999999999995</v>
      </c>
      <c r="N7329">
        <v>8.3330000000000002</v>
      </c>
    </row>
    <row r="7330" spans="1:14" x14ac:dyDescent="0.45">
      <c r="A7330">
        <v>2014</v>
      </c>
      <c r="B7330" t="s">
        <v>188</v>
      </c>
      <c r="C7330">
        <v>0</v>
      </c>
      <c r="D7330">
        <v>0</v>
      </c>
      <c r="E7330">
        <v>1</v>
      </c>
      <c r="F7330">
        <v>0</v>
      </c>
      <c r="G7330">
        <v>0</v>
      </c>
      <c r="H7330">
        <v>0</v>
      </c>
      <c r="I7330">
        <v>0</v>
      </c>
      <c r="J7330">
        <v>1449.9292663272199</v>
      </c>
      <c r="K7330">
        <v>1214.02563770086</v>
      </c>
      <c r="L7330">
        <v>66.122</v>
      </c>
      <c r="M7330">
        <v>57.965000000000003</v>
      </c>
      <c r="N7330">
        <v>87.384</v>
      </c>
    </row>
    <row r="7331" spans="1:14" x14ac:dyDescent="0.45">
      <c r="A7331">
        <v>2014</v>
      </c>
      <c r="B7331" t="s">
        <v>189</v>
      </c>
      <c r="C7331">
        <v>0</v>
      </c>
      <c r="D7331">
        <v>0</v>
      </c>
      <c r="E7331">
        <v>1</v>
      </c>
      <c r="F7331">
        <v>1</v>
      </c>
      <c r="G7331">
        <v>0</v>
      </c>
      <c r="H7331">
        <v>0</v>
      </c>
      <c r="I7331">
        <v>0</v>
      </c>
      <c r="J7331">
        <v>5837.8520365210597</v>
      </c>
      <c r="K7331">
        <v>5164.8257528247896</v>
      </c>
      <c r="L7331">
        <v>49.796999999999997</v>
      </c>
      <c r="M7331">
        <v>66.206999999999994</v>
      </c>
      <c r="N7331">
        <v>50.283999999999999</v>
      </c>
    </row>
    <row r="7332" spans="1:14" x14ac:dyDescent="0.45">
      <c r="A7332">
        <v>2014</v>
      </c>
      <c r="B7332" t="s">
        <v>190</v>
      </c>
      <c r="C7332">
        <v>0</v>
      </c>
      <c r="D7332">
        <v>0</v>
      </c>
      <c r="E7332">
        <v>1</v>
      </c>
      <c r="F7332">
        <v>0</v>
      </c>
      <c r="G7332">
        <v>1</v>
      </c>
      <c r="H7332">
        <v>0</v>
      </c>
      <c r="I7332">
        <v>0</v>
      </c>
      <c r="J7332">
        <v>21568.864854943298</v>
      </c>
      <c r="K7332">
        <v>20245.068943643299</v>
      </c>
      <c r="L7332">
        <v>58.889000000000003</v>
      </c>
      <c r="M7332">
        <v>74.614000000000004</v>
      </c>
      <c r="N7332">
        <v>14.37</v>
      </c>
    </row>
    <row r="7333" spans="1:14" x14ac:dyDescent="0.45">
      <c r="A7333">
        <v>2014</v>
      </c>
      <c r="B7333" t="s">
        <v>191</v>
      </c>
      <c r="C7333">
        <v>0</v>
      </c>
      <c r="D7333">
        <v>0</v>
      </c>
      <c r="E7333">
        <v>1</v>
      </c>
      <c r="F7333">
        <v>0</v>
      </c>
      <c r="G7333">
        <v>0</v>
      </c>
      <c r="H7333">
        <v>0</v>
      </c>
      <c r="I7333">
        <v>0</v>
      </c>
      <c r="J7333">
        <v>1597.56484331405</v>
      </c>
      <c r="K7333">
        <v>1366.9745204332</v>
      </c>
      <c r="L7333">
        <v>83.867999999999995</v>
      </c>
      <c r="M7333">
        <v>61.651000000000003</v>
      </c>
      <c r="N7333">
        <v>60.756</v>
      </c>
    </row>
    <row r="7334" spans="1:14" x14ac:dyDescent="0.45">
      <c r="A7334">
        <v>2014</v>
      </c>
      <c r="B7334" t="s">
        <v>192</v>
      </c>
      <c r="C7334">
        <v>0</v>
      </c>
      <c r="D7334">
        <v>0</v>
      </c>
      <c r="E7334">
        <v>0</v>
      </c>
      <c r="F7334">
        <v>0</v>
      </c>
      <c r="G7334">
        <v>1</v>
      </c>
      <c r="H7334">
        <v>0</v>
      </c>
      <c r="I7334">
        <v>0</v>
      </c>
      <c r="J7334">
        <v>26818.431728165899</v>
      </c>
      <c r="K7334">
        <v>23972.513622491198</v>
      </c>
      <c r="L7334">
        <v>26.422999999999998</v>
      </c>
      <c r="M7334">
        <v>75.344999999999999</v>
      </c>
      <c r="N7334">
        <v>8.1329999999999991</v>
      </c>
    </row>
    <row r="7335" spans="1:14" x14ac:dyDescent="0.45">
      <c r="A7335">
        <v>2014</v>
      </c>
      <c r="B7335" t="s">
        <v>193</v>
      </c>
      <c r="C7335">
        <v>0</v>
      </c>
      <c r="D7335">
        <v>0</v>
      </c>
      <c r="E7335">
        <v>1</v>
      </c>
      <c r="F7335">
        <v>0</v>
      </c>
      <c r="G7335">
        <v>1</v>
      </c>
      <c r="H7335">
        <v>0</v>
      </c>
      <c r="I7335">
        <v>0</v>
      </c>
      <c r="J7335">
        <v>11982.696364834799</v>
      </c>
      <c r="K7335">
        <v>10385.400595675899</v>
      </c>
      <c r="L7335">
        <v>54.173999999999999</v>
      </c>
      <c r="M7335">
        <v>59.311</v>
      </c>
      <c r="N7335">
        <v>46.311999999999998</v>
      </c>
    </row>
    <row r="7336" spans="1:14" x14ac:dyDescent="0.45">
      <c r="A7336">
        <v>2014</v>
      </c>
      <c r="B7336" t="s">
        <v>194</v>
      </c>
      <c r="C7336">
        <v>0</v>
      </c>
      <c r="D7336">
        <v>0</v>
      </c>
      <c r="E7336">
        <v>0</v>
      </c>
      <c r="F7336">
        <v>0</v>
      </c>
      <c r="G7336">
        <v>0</v>
      </c>
      <c r="H7336">
        <v>1</v>
      </c>
      <c r="I7336">
        <v>1</v>
      </c>
      <c r="L7336">
        <v>31.068999999999999</v>
      </c>
      <c r="M7336">
        <v>77.052999999999997</v>
      </c>
      <c r="N7336">
        <v>14.606999999999999</v>
      </c>
    </row>
    <row r="7337" spans="1:14" x14ac:dyDescent="0.45">
      <c r="A7337">
        <v>2014</v>
      </c>
      <c r="B7337" t="s">
        <v>195</v>
      </c>
      <c r="C7337">
        <v>0</v>
      </c>
      <c r="D7337">
        <v>0</v>
      </c>
      <c r="E7337">
        <v>1</v>
      </c>
      <c r="F7337">
        <v>0</v>
      </c>
      <c r="G7337">
        <v>0</v>
      </c>
      <c r="H7337">
        <v>0</v>
      </c>
      <c r="I7337">
        <v>0</v>
      </c>
      <c r="J7337">
        <v>1462.8212299849099</v>
      </c>
      <c r="K7337">
        <v>1162.69739293674</v>
      </c>
      <c r="L7337">
        <v>83.781000000000006</v>
      </c>
      <c r="M7337">
        <v>58.692999999999998</v>
      </c>
      <c r="N7337">
        <v>128.78399999999999</v>
      </c>
    </row>
    <row r="7338" spans="1:14" x14ac:dyDescent="0.45">
      <c r="A7338">
        <v>2014</v>
      </c>
      <c r="B7338" t="s">
        <v>196</v>
      </c>
      <c r="C7338">
        <v>0</v>
      </c>
      <c r="D7338">
        <v>0</v>
      </c>
      <c r="E7338">
        <v>1</v>
      </c>
      <c r="F7338">
        <v>1</v>
      </c>
      <c r="G7338">
        <v>0</v>
      </c>
      <c r="H7338">
        <v>0</v>
      </c>
      <c r="I7338">
        <v>0</v>
      </c>
      <c r="J7338">
        <v>5980.1918164830004</v>
      </c>
      <c r="K7338">
        <v>5287.2955640038899</v>
      </c>
      <c r="L7338">
        <v>53.018000000000001</v>
      </c>
      <c r="M7338">
        <v>51.94</v>
      </c>
      <c r="N7338">
        <v>128.02699999999999</v>
      </c>
    </row>
    <row r="7339" spans="1:14" x14ac:dyDescent="0.45">
      <c r="A7339">
        <v>2014</v>
      </c>
      <c r="B7339" t="s">
        <v>197</v>
      </c>
      <c r="C7339">
        <v>0</v>
      </c>
      <c r="D7339">
        <v>1</v>
      </c>
      <c r="E7339">
        <v>0</v>
      </c>
      <c r="F7339">
        <v>1</v>
      </c>
      <c r="G7339">
        <v>0</v>
      </c>
      <c r="H7339">
        <v>0</v>
      </c>
      <c r="I7339">
        <v>0</v>
      </c>
      <c r="J7339">
        <v>6712.2174981631597</v>
      </c>
      <c r="K7339">
        <v>5653.4668880981499</v>
      </c>
      <c r="L7339">
        <v>42.3</v>
      </c>
      <c r="M7339">
        <v>72.792000000000002</v>
      </c>
      <c r="N7339">
        <v>20.119</v>
      </c>
    </row>
    <row r="7340" spans="1:14" x14ac:dyDescent="0.45">
      <c r="A7340">
        <v>2014</v>
      </c>
      <c r="B7340" t="s">
        <v>198</v>
      </c>
      <c r="C7340">
        <v>1</v>
      </c>
      <c r="D7340">
        <v>0</v>
      </c>
      <c r="E7340">
        <v>0</v>
      </c>
      <c r="F7340">
        <v>0</v>
      </c>
      <c r="G7340">
        <v>0</v>
      </c>
      <c r="H7340">
        <v>1</v>
      </c>
      <c r="I7340">
        <v>1</v>
      </c>
      <c r="J7340">
        <v>62045.856380208497</v>
      </c>
      <c r="K7340">
        <v>52375.576892189703</v>
      </c>
      <c r="L7340">
        <v>10.31</v>
      </c>
      <c r="M7340">
        <v>81.650000000000006</v>
      </c>
      <c r="N7340">
        <v>4.1909999999999998</v>
      </c>
    </row>
    <row r="7341" spans="1:14" x14ac:dyDescent="0.45">
      <c r="A7341">
        <v>2014</v>
      </c>
      <c r="B7341" t="s">
        <v>199</v>
      </c>
      <c r="C7341">
        <v>1</v>
      </c>
      <c r="D7341">
        <v>0</v>
      </c>
      <c r="E7341">
        <v>0</v>
      </c>
      <c r="F7341">
        <v>0</v>
      </c>
      <c r="G7341">
        <v>0</v>
      </c>
      <c r="H7341">
        <v>1</v>
      </c>
      <c r="I7341">
        <v>1</v>
      </c>
      <c r="J7341">
        <v>84830.255801696097</v>
      </c>
      <c r="K7341">
        <v>62680.0247352757</v>
      </c>
      <c r="L7341">
        <v>19.308</v>
      </c>
      <c r="M7341">
        <v>82.087000000000003</v>
      </c>
      <c r="N7341">
        <v>2.883</v>
      </c>
    </row>
    <row r="7342" spans="1:14" x14ac:dyDescent="0.45">
      <c r="A7342">
        <v>2014</v>
      </c>
      <c r="B7342" t="s">
        <v>200</v>
      </c>
      <c r="C7342">
        <v>0</v>
      </c>
      <c r="D7342">
        <v>0</v>
      </c>
      <c r="E7342">
        <v>0</v>
      </c>
      <c r="F7342">
        <v>0</v>
      </c>
      <c r="G7342">
        <v>0</v>
      </c>
      <c r="H7342">
        <v>0</v>
      </c>
      <c r="I7342">
        <v>0</v>
      </c>
      <c r="J7342">
        <v>3621.73168937112</v>
      </c>
      <c r="K7342">
        <v>3206.3441366769298</v>
      </c>
      <c r="L7342">
        <v>81.817999999999998</v>
      </c>
      <c r="M7342">
        <v>67.811999999999998</v>
      </c>
      <c r="N7342">
        <v>40.213000000000001</v>
      </c>
    </row>
    <row r="7343" spans="1:14" x14ac:dyDescent="0.45">
      <c r="A7343">
        <v>2014</v>
      </c>
      <c r="B7343" t="s">
        <v>201</v>
      </c>
      <c r="C7343">
        <v>0</v>
      </c>
      <c r="D7343">
        <v>0</v>
      </c>
      <c r="E7343">
        <v>0</v>
      </c>
      <c r="F7343">
        <v>0</v>
      </c>
      <c r="G7343">
        <v>0</v>
      </c>
      <c r="H7343">
        <v>1</v>
      </c>
      <c r="I7343">
        <v>1</v>
      </c>
      <c r="J7343">
        <v>11264.078830865599</v>
      </c>
      <c r="K7343">
        <v>10190.842687246701</v>
      </c>
      <c r="L7343">
        <v>0</v>
      </c>
      <c r="M7343">
        <v>60.834000000000003</v>
      </c>
      <c r="N7343">
        <v>33.886000000000003</v>
      </c>
    </row>
    <row r="7344" spans="1:14" x14ac:dyDescent="0.45">
      <c r="A7344">
        <v>2014</v>
      </c>
      <c r="B7344" t="s">
        <v>202</v>
      </c>
      <c r="C7344">
        <v>0</v>
      </c>
      <c r="D7344">
        <v>0</v>
      </c>
      <c r="E7344">
        <v>0</v>
      </c>
      <c r="F7344">
        <v>0</v>
      </c>
      <c r="G7344">
        <v>0</v>
      </c>
      <c r="H7344">
        <v>1</v>
      </c>
      <c r="I7344">
        <v>1</v>
      </c>
      <c r="J7344">
        <v>44255.504663745902</v>
      </c>
      <c r="K7344">
        <v>40252.682779685303</v>
      </c>
      <c r="L7344">
        <v>13.718999999999999</v>
      </c>
      <c r="M7344">
        <v>81.411000000000001</v>
      </c>
      <c r="N7344">
        <v>6.4980000000000002</v>
      </c>
    </row>
    <row r="7345" spans="1:14" x14ac:dyDescent="0.45">
      <c r="A7345">
        <v>2014</v>
      </c>
      <c r="B7345" t="s">
        <v>203</v>
      </c>
      <c r="C7345">
        <v>0</v>
      </c>
      <c r="D7345">
        <v>0</v>
      </c>
      <c r="E7345">
        <v>0</v>
      </c>
      <c r="F7345">
        <v>0</v>
      </c>
      <c r="G7345">
        <v>0</v>
      </c>
      <c r="H7345">
        <v>1</v>
      </c>
      <c r="I7345">
        <v>1</v>
      </c>
      <c r="J7345">
        <v>39639.987051480202</v>
      </c>
      <c r="K7345">
        <v>34444.000790956998</v>
      </c>
      <c r="L7345">
        <v>19.855</v>
      </c>
      <c r="M7345">
        <v>79.03</v>
      </c>
      <c r="N7345">
        <v>11.324</v>
      </c>
    </row>
    <row r="7346" spans="1:14" x14ac:dyDescent="0.45">
      <c r="A7346">
        <v>2014</v>
      </c>
      <c r="B7346" t="s">
        <v>204</v>
      </c>
      <c r="C7346">
        <v>0</v>
      </c>
      <c r="D7346">
        <v>0</v>
      </c>
      <c r="E7346">
        <v>0</v>
      </c>
      <c r="F7346">
        <v>1</v>
      </c>
      <c r="G7346">
        <v>0</v>
      </c>
      <c r="H7346">
        <v>0</v>
      </c>
      <c r="I7346">
        <v>0</v>
      </c>
      <c r="J7346">
        <v>4520.2346339928599</v>
      </c>
      <c r="K7346">
        <v>4302.8058340527195</v>
      </c>
      <c r="L7346">
        <v>64.180999999999997</v>
      </c>
      <c r="M7346">
        <v>65.373999999999995</v>
      </c>
      <c r="N7346">
        <v>78.42</v>
      </c>
    </row>
    <row r="7347" spans="1:14" x14ac:dyDescent="0.45">
      <c r="A7347">
        <v>2014</v>
      </c>
      <c r="B7347" t="s">
        <v>205</v>
      </c>
      <c r="C7347">
        <v>0</v>
      </c>
      <c r="D7347">
        <v>1</v>
      </c>
      <c r="E7347">
        <v>0</v>
      </c>
      <c r="F7347">
        <v>0</v>
      </c>
      <c r="G7347">
        <v>1</v>
      </c>
      <c r="H7347">
        <v>0</v>
      </c>
      <c r="I7347">
        <v>0</v>
      </c>
      <c r="J7347">
        <v>28931.804446955401</v>
      </c>
      <c r="K7347">
        <v>30337.254558201399</v>
      </c>
      <c r="L7347">
        <v>33.628999999999998</v>
      </c>
      <c r="M7347">
        <v>77.364999999999995</v>
      </c>
      <c r="N7347">
        <v>17.411999999999999</v>
      </c>
    </row>
    <row r="7348" spans="1:14" x14ac:dyDescent="0.45">
      <c r="A7348">
        <v>2014</v>
      </c>
      <c r="B7348" t="s">
        <v>206</v>
      </c>
      <c r="C7348">
        <v>0</v>
      </c>
      <c r="D7348">
        <v>1</v>
      </c>
      <c r="E7348">
        <v>0</v>
      </c>
      <c r="F7348">
        <v>0</v>
      </c>
      <c r="G7348">
        <v>1</v>
      </c>
      <c r="H7348">
        <v>0</v>
      </c>
      <c r="I7348">
        <v>0</v>
      </c>
      <c r="J7348">
        <v>14244.566021294801</v>
      </c>
      <c r="K7348">
        <v>11902.534639195501</v>
      </c>
      <c r="L7348">
        <v>22.827000000000002</v>
      </c>
      <c r="M7348">
        <v>75.260000000000005</v>
      </c>
      <c r="N7348">
        <v>17.742999999999999</v>
      </c>
    </row>
    <row r="7349" spans="1:14" x14ac:dyDescent="0.45">
      <c r="A7349">
        <v>2014</v>
      </c>
      <c r="B7349" t="s">
        <v>207</v>
      </c>
      <c r="C7349">
        <v>0</v>
      </c>
      <c r="D7349">
        <v>0</v>
      </c>
      <c r="E7349">
        <v>0</v>
      </c>
      <c r="F7349">
        <v>1</v>
      </c>
      <c r="G7349">
        <v>0</v>
      </c>
      <c r="H7349">
        <v>0</v>
      </c>
      <c r="I7349">
        <v>0</v>
      </c>
      <c r="J7349">
        <v>7340.361585912</v>
      </c>
      <c r="K7349">
        <v>6647.4356641581699</v>
      </c>
      <c r="L7349">
        <v>53.906999999999996</v>
      </c>
      <c r="M7349">
        <v>69.311000000000007</v>
      </c>
      <c r="N7349">
        <v>28.623999999999999</v>
      </c>
    </row>
    <row r="7350" spans="1:14" x14ac:dyDescent="0.45">
      <c r="A7350">
        <v>2014</v>
      </c>
      <c r="B7350" t="s">
        <v>208</v>
      </c>
      <c r="C7350">
        <v>0</v>
      </c>
      <c r="D7350">
        <v>0</v>
      </c>
      <c r="E7350">
        <v>0</v>
      </c>
      <c r="F7350">
        <v>0</v>
      </c>
      <c r="G7350">
        <v>1</v>
      </c>
      <c r="H7350">
        <v>0</v>
      </c>
      <c r="I7350">
        <v>0</v>
      </c>
      <c r="J7350">
        <v>18561.4404851498</v>
      </c>
      <c r="K7350">
        <v>16792.915148510001</v>
      </c>
      <c r="L7350">
        <v>22.483000000000001</v>
      </c>
      <c r="M7350">
        <v>69.061999999999998</v>
      </c>
      <c r="N7350">
        <v>20.803999999999998</v>
      </c>
    </row>
    <row r="7351" spans="1:14" x14ac:dyDescent="0.45">
      <c r="A7351">
        <v>2014</v>
      </c>
      <c r="B7351" t="s">
        <v>209</v>
      </c>
      <c r="C7351">
        <v>0</v>
      </c>
      <c r="D7351">
        <v>0</v>
      </c>
      <c r="E7351">
        <v>0</v>
      </c>
      <c r="F7351">
        <v>1</v>
      </c>
      <c r="G7351">
        <v>0</v>
      </c>
      <c r="H7351">
        <v>0</v>
      </c>
      <c r="I7351">
        <v>0</v>
      </c>
      <c r="J7351">
        <v>3998.6180500430801</v>
      </c>
      <c r="K7351">
        <v>3617.1552698575701</v>
      </c>
      <c r="L7351">
        <v>87.012</v>
      </c>
      <c r="M7351">
        <v>64.197999999999993</v>
      </c>
      <c r="N7351">
        <v>52.834000000000003</v>
      </c>
    </row>
    <row r="7352" spans="1:14" x14ac:dyDescent="0.45">
      <c r="A7352">
        <v>2014</v>
      </c>
      <c r="B7352" t="s">
        <v>210</v>
      </c>
      <c r="C7352">
        <v>1</v>
      </c>
      <c r="D7352">
        <v>0</v>
      </c>
      <c r="E7352">
        <v>0</v>
      </c>
      <c r="F7352">
        <v>0</v>
      </c>
      <c r="G7352">
        <v>0</v>
      </c>
      <c r="H7352">
        <v>1</v>
      </c>
      <c r="I7352">
        <v>1</v>
      </c>
      <c r="J7352">
        <v>30334.878656961799</v>
      </c>
      <c r="K7352">
        <v>26184.189471950998</v>
      </c>
      <c r="L7352">
        <v>39.597000000000001</v>
      </c>
      <c r="M7352">
        <v>77.311999999999998</v>
      </c>
      <c r="N7352">
        <v>5.0220000000000002</v>
      </c>
    </row>
    <row r="7353" spans="1:14" x14ac:dyDescent="0.45">
      <c r="A7353">
        <v>2014</v>
      </c>
      <c r="B7353" t="s">
        <v>211</v>
      </c>
      <c r="C7353">
        <v>0</v>
      </c>
      <c r="D7353">
        <v>1</v>
      </c>
      <c r="E7353">
        <v>0</v>
      </c>
      <c r="F7353">
        <v>0</v>
      </c>
      <c r="G7353">
        <v>0</v>
      </c>
      <c r="H7353">
        <v>1</v>
      </c>
      <c r="I7353">
        <v>1</v>
      </c>
      <c r="J7353">
        <v>41593.679828070803</v>
      </c>
      <c r="K7353">
        <v>31953.9590245619</v>
      </c>
      <c r="L7353">
        <v>6.3490000000000002</v>
      </c>
      <c r="M7353">
        <v>80.039000000000001</v>
      </c>
      <c r="N7353">
        <v>7.4669999999999996</v>
      </c>
    </row>
    <row r="7354" spans="1:14" x14ac:dyDescent="0.45">
      <c r="A7354">
        <v>2014</v>
      </c>
      <c r="B7354" t="s">
        <v>212</v>
      </c>
      <c r="C7354">
        <v>0</v>
      </c>
      <c r="D7354">
        <v>0</v>
      </c>
      <c r="E7354">
        <v>0</v>
      </c>
      <c r="F7354">
        <v>0</v>
      </c>
      <c r="G7354">
        <v>0</v>
      </c>
      <c r="H7354">
        <v>0</v>
      </c>
      <c r="I7354">
        <v>0</v>
      </c>
      <c r="L7354">
        <v>38.902000000000001</v>
      </c>
      <c r="M7354">
        <v>72.450999999999993</v>
      </c>
      <c r="N7354">
        <v>22.692</v>
      </c>
    </row>
    <row r="7355" spans="1:14" x14ac:dyDescent="0.45">
      <c r="A7355">
        <v>2014</v>
      </c>
      <c r="B7355" t="s">
        <v>213</v>
      </c>
      <c r="C7355">
        <v>1</v>
      </c>
      <c r="D7355">
        <v>0</v>
      </c>
      <c r="E7355">
        <v>0</v>
      </c>
      <c r="F7355">
        <v>0</v>
      </c>
      <c r="G7355">
        <v>0</v>
      </c>
      <c r="H7355">
        <v>1</v>
      </c>
      <c r="I7355">
        <v>1</v>
      </c>
      <c r="J7355">
        <v>35097.409677021104</v>
      </c>
      <c r="K7355">
        <v>30337.607563065299</v>
      </c>
      <c r="L7355">
        <v>37.064</v>
      </c>
      <c r="M7355">
        <v>81.313999999999993</v>
      </c>
      <c r="N7355">
        <v>3.4649999999999999</v>
      </c>
    </row>
    <row r="7356" spans="1:14" x14ac:dyDescent="0.45">
      <c r="A7356">
        <v>2014</v>
      </c>
      <c r="B7356" t="s">
        <v>214</v>
      </c>
      <c r="C7356">
        <v>0</v>
      </c>
      <c r="D7356">
        <v>1</v>
      </c>
      <c r="E7356">
        <v>0</v>
      </c>
      <c r="F7356">
        <v>0</v>
      </c>
      <c r="G7356">
        <v>1</v>
      </c>
      <c r="H7356">
        <v>0</v>
      </c>
      <c r="I7356">
        <v>0</v>
      </c>
      <c r="J7356">
        <v>14219.354423733001</v>
      </c>
      <c r="K7356">
        <v>12972.8720917643</v>
      </c>
      <c r="L7356">
        <v>39.526000000000003</v>
      </c>
      <c r="M7356">
        <v>73.415000000000006</v>
      </c>
      <c r="N7356">
        <v>22.803000000000001</v>
      </c>
    </row>
    <row r="7357" spans="1:14" x14ac:dyDescent="0.45">
      <c r="A7357">
        <v>2014</v>
      </c>
      <c r="B7357" t="s">
        <v>215</v>
      </c>
      <c r="C7357">
        <v>0</v>
      </c>
      <c r="D7357">
        <v>0</v>
      </c>
      <c r="E7357">
        <v>0</v>
      </c>
      <c r="F7357">
        <v>1</v>
      </c>
      <c r="G7357">
        <v>0</v>
      </c>
      <c r="H7357">
        <v>0</v>
      </c>
      <c r="I7357">
        <v>0</v>
      </c>
      <c r="J7357">
        <v>5990.4266152377804</v>
      </c>
      <c r="K7357">
        <v>5107.94612861522</v>
      </c>
      <c r="L7357">
        <v>24.887</v>
      </c>
      <c r="M7357">
        <v>72.781000000000006</v>
      </c>
      <c r="N7357">
        <v>22.187999999999999</v>
      </c>
    </row>
    <row r="7358" spans="1:14" x14ac:dyDescent="0.45">
      <c r="A7358">
        <v>2014</v>
      </c>
      <c r="B7358" t="s">
        <v>216</v>
      </c>
      <c r="C7358">
        <v>0</v>
      </c>
      <c r="D7358">
        <v>0</v>
      </c>
      <c r="E7358">
        <v>0</v>
      </c>
      <c r="F7358">
        <v>0</v>
      </c>
      <c r="G7358">
        <v>0</v>
      </c>
      <c r="H7358">
        <v>1</v>
      </c>
      <c r="I7358">
        <v>1</v>
      </c>
      <c r="L7358">
        <v>38.366999999999997</v>
      </c>
      <c r="M7358">
        <v>82.150999999999996</v>
      </c>
      <c r="N7358">
        <v>7.5410000000000004</v>
      </c>
    </row>
    <row r="7359" spans="1:14" x14ac:dyDescent="0.45">
      <c r="A7359">
        <v>2014</v>
      </c>
      <c r="B7359" t="s">
        <v>217</v>
      </c>
      <c r="C7359">
        <v>0</v>
      </c>
      <c r="D7359">
        <v>0</v>
      </c>
      <c r="E7359">
        <v>0</v>
      </c>
      <c r="F7359">
        <v>0</v>
      </c>
      <c r="G7359">
        <v>0</v>
      </c>
      <c r="H7359">
        <v>1</v>
      </c>
      <c r="I7359">
        <v>1</v>
      </c>
      <c r="J7359">
        <v>128013.987050891</v>
      </c>
      <c r="K7359">
        <v>110539.80411784899</v>
      </c>
      <c r="L7359">
        <v>1.1320000000000101</v>
      </c>
      <c r="M7359">
        <v>81.394999999999996</v>
      </c>
      <c r="N7359">
        <v>7.9930000000000003</v>
      </c>
    </row>
    <row r="7360" spans="1:14" x14ac:dyDescent="0.45">
      <c r="A7360">
        <v>2014</v>
      </c>
      <c r="B7360" t="s">
        <v>218</v>
      </c>
      <c r="C7360">
        <v>1</v>
      </c>
      <c r="D7360">
        <v>0</v>
      </c>
      <c r="E7360">
        <v>0</v>
      </c>
      <c r="F7360">
        <v>0</v>
      </c>
      <c r="G7360">
        <v>1</v>
      </c>
      <c r="H7360">
        <v>0</v>
      </c>
      <c r="I7360">
        <v>0</v>
      </c>
      <c r="J7360">
        <v>28153.107277267201</v>
      </c>
      <c r="K7360">
        <v>22883.860940587201</v>
      </c>
      <c r="L7360">
        <v>46.1</v>
      </c>
      <c r="M7360">
        <v>74.765000000000001</v>
      </c>
      <c r="N7360">
        <v>10.234999999999999</v>
      </c>
    </row>
    <row r="7361" spans="1:14" x14ac:dyDescent="0.45">
      <c r="A7361">
        <v>2014</v>
      </c>
      <c r="B7361" t="s">
        <v>219</v>
      </c>
      <c r="C7361">
        <v>1</v>
      </c>
      <c r="D7361">
        <v>0</v>
      </c>
      <c r="E7361">
        <v>0</v>
      </c>
      <c r="F7361">
        <v>0</v>
      </c>
      <c r="G7361">
        <v>0</v>
      </c>
      <c r="H7361">
        <v>1</v>
      </c>
      <c r="I7361">
        <v>1</v>
      </c>
      <c r="J7361">
        <v>35853.24609375</v>
      </c>
      <c r="K7361">
        <v>25982.889118132502</v>
      </c>
      <c r="L7361">
        <v>26.05</v>
      </c>
      <c r="M7361">
        <v>70.798000000000002</v>
      </c>
      <c r="N7361">
        <v>9.1449999999999996</v>
      </c>
    </row>
    <row r="7362" spans="1:14" x14ac:dyDescent="0.45">
      <c r="A7362">
        <v>2014</v>
      </c>
      <c r="B7362" t="s">
        <v>220</v>
      </c>
      <c r="C7362">
        <v>0</v>
      </c>
      <c r="D7362">
        <v>0</v>
      </c>
      <c r="E7362">
        <v>1</v>
      </c>
      <c r="F7362">
        <v>0</v>
      </c>
      <c r="G7362">
        <v>0</v>
      </c>
      <c r="H7362">
        <v>0</v>
      </c>
      <c r="I7362">
        <v>0</v>
      </c>
      <c r="J7362">
        <v>2106.2145436558899</v>
      </c>
      <c r="K7362">
        <v>1762.59376469632</v>
      </c>
      <c r="L7362">
        <v>83.033000000000001</v>
      </c>
      <c r="M7362">
        <v>65.087999999999994</v>
      </c>
      <c r="N7362">
        <v>49.792000000000002</v>
      </c>
    </row>
    <row r="7363" spans="1:14" x14ac:dyDescent="0.45">
      <c r="A7363">
        <v>2014</v>
      </c>
      <c r="B7363" t="s">
        <v>221</v>
      </c>
      <c r="C7363">
        <v>0</v>
      </c>
      <c r="D7363">
        <v>0</v>
      </c>
      <c r="E7363">
        <v>0</v>
      </c>
      <c r="F7363">
        <v>0</v>
      </c>
      <c r="G7363">
        <v>0</v>
      </c>
      <c r="H7363">
        <v>1</v>
      </c>
      <c r="I7363">
        <v>1</v>
      </c>
      <c r="J7363">
        <v>58872.267140012598</v>
      </c>
      <c r="K7363">
        <v>53972.801720992298</v>
      </c>
      <c r="L7363">
        <v>17.04</v>
      </c>
      <c r="M7363">
        <v>77.116</v>
      </c>
      <c r="N7363">
        <v>9.6479999999999997</v>
      </c>
    </row>
    <row r="7364" spans="1:14" x14ac:dyDescent="0.45">
      <c r="A7364">
        <v>2014</v>
      </c>
      <c r="B7364" t="s">
        <v>222</v>
      </c>
      <c r="C7364">
        <v>0</v>
      </c>
      <c r="D7364">
        <v>0</v>
      </c>
      <c r="E7364">
        <v>1</v>
      </c>
      <c r="F7364">
        <v>1</v>
      </c>
      <c r="G7364">
        <v>0</v>
      </c>
      <c r="H7364">
        <v>0</v>
      </c>
      <c r="I7364">
        <v>0</v>
      </c>
      <c r="J7364">
        <v>4207.50048828125</v>
      </c>
      <c r="K7364">
        <v>4405.8078722182299</v>
      </c>
      <c r="L7364">
        <v>66.311000000000007</v>
      </c>
      <c r="M7364">
        <v>63.99</v>
      </c>
      <c r="N7364">
        <v>66.813999999999993</v>
      </c>
    </row>
    <row r="7365" spans="1:14" x14ac:dyDescent="0.45">
      <c r="A7365">
        <v>2014</v>
      </c>
      <c r="B7365" t="s">
        <v>223</v>
      </c>
      <c r="C7365">
        <v>0</v>
      </c>
      <c r="D7365">
        <v>0</v>
      </c>
      <c r="E7365">
        <v>1</v>
      </c>
      <c r="F7365">
        <v>1</v>
      </c>
      <c r="G7365">
        <v>0</v>
      </c>
      <c r="H7365">
        <v>0</v>
      </c>
      <c r="I7365">
        <v>0</v>
      </c>
      <c r="J7365">
        <v>3484.0121974979702</v>
      </c>
      <c r="K7365">
        <v>2910.6796972987099</v>
      </c>
      <c r="L7365">
        <v>54.564</v>
      </c>
      <c r="M7365">
        <v>66.001000000000005</v>
      </c>
      <c r="N7365">
        <v>53.762</v>
      </c>
    </row>
    <row r="7366" spans="1:14" x14ac:dyDescent="0.45">
      <c r="A7366">
        <v>2014</v>
      </c>
      <c r="B7366" t="s">
        <v>224</v>
      </c>
      <c r="C7366">
        <v>0</v>
      </c>
      <c r="D7366">
        <v>0</v>
      </c>
      <c r="E7366">
        <v>0</v>
      </c>
      <c r="F7366">
        <v>0</v>
      </c>
      <c r="G7366">
        <v>0</v>
      </c>
      <c r="H7366">
        <v>1</v>
      </c>
      <c r="I7366">
        <v>1</v>
      </c>
      <c r="J7366">
        <v>107066.85861399199</v>
      </c>
      <c r="K7366">
        <v>88012.952783925502</v>
      </c>
      <c r="L7366">
        <v>0</v>
      </c>
      <c r="M7366">
        <v>82.614999999999995</v>
      </c>
      <c r="N7366">
        <v>2.7069999999999999</v>
      </c>
    </row>
    <row r="7367" spans="1:14" x14ac:dyDescent="0.45">
      <c r="A7367">
        <v>2014</v>
      </c>
      <c r="B7367" t="s">
        <v>225</v>
      </c>
      <c r="C7367">
        <v>0</v>
      </c>
      <c r="D7367">
        <v>0</v>
      </c>
      <c r="E7367">
        <v>0</v>
      </c>
      <c r="F7367">
        <v>1</v>
      </c>
      <c r="G7367">
        <v>0</v>
      </c>
      <c r="H7367">
        <v>0</v>
      </c>
      <c r="I7367">
        <v>0</v>
      </c>
      <c r="J7367">
        <v>2716.4180724369498</v>
      </c>
      <c r="K7367">
        <v>2457.19833619263</v>
      </c>
      <c r="L7367">
        <v>78.103999999999999</v>
      </c>
      <c r="M7367">
        <v>68.983999999999995</v>
      </c>
      <c r="N7367">
        <v>25.085999999999999</v>
      </c>
    </row>
    <row r="7368" spans="1:14" x14ac:dyDescent="0.45">
      <c r="A7368">
        <v>2014</v>
      </c>
      <c r="B7368" t="s">
        <v>226</v>
      </c>
      <c r="C7368">
        <v>0</v>
      </c>
      <c r="D7368">
        <v>0</v>
      </c>
      <c r="E7368">
        <v>1</v>
      </c>
      <c r="F7368">
        <v>0</v>
      </c>
      <c r="G7368">
        <v>0</v>
      </c>
      <c r="H7368">
        <v>0</v>
      </c>
      <c r="I7368">
        <v>0</v>
      </c>
      <c r="J7368">
        <v>2815.05858238971</v>
      </c>
      <c r="K7368">
        <v>2555.1458578361699</v>
      </c>
      <c r="L7368">
        <v>59.567999999999998</v>
      </c>
      <c r="M7368">
        <v>54.280999999999999</v>
      </c>
      <c r="N7368">
        <v>138.76599999999999</v>
      </c>
    </row>
    <row r="7369" spans="1:14" x14ac:dyDescent="0.45">
      <c r="A7369">
        <v>2014</v>
      </c>
      <c r="B7369" t="s">
        <v>227</v>
      </c>
      <c r="C7369">
        <v>0</v>
      </c>
      <c r="D7369">
        <v>1</v>
      </c>
      <c r="E7369">
        <v>0</v>
      </c>
      <c r="F7369">
        <v>1</v>
      </c>
      <c r="G7369">
        <v>0</v>
      </c>
      <c r="H7369">
        <v>0</v>
      </c>
      <c r="I7369">
        <v>0</v>
      </c>
      <c r="J7369">
        <v>9451.744607867</v>
      </c>
      <c r="K7369">
        <v>8419.1452465122693</v>
      </c>
      <c r="L7369">
        <v>31.126000000000001</v>
      </c>
      <c r="M7369">
        <v>71.144000000000005</v>
      </c>
      <c r="N7369">
        <v>16.081</v>
      </c>
    </row>
    <row r="7370" spans="1:14" x14ac:dyDescent="0.45">
      <c r="A7370">
        <v>2014</v>
      </c>
      <c r="B7370" t="s">
        <v>228</v>
      </c>
      <c r="C7370">
        <v>1</v>
      </c>
      <c r="D7370">
        <v>0</v>
      </c>
      <c r="E7370">
        <v>0</v>
      </c>
      <c r="F7370">
        <v>0</v>
      </c>
      <c r="G7370">
        <v>0</v>
      </c>
      <c r="H7370">
        <v>1</v>
      </c>
      <c r="I7370">
        <v>1</v>
      </c>
      <c r="J7370">
        <v>58743.584421942098</v>
      </c>
      <c r="K7370">
        <v>51775.087453942499</v>
      </c>
      <c r="L7370">
        <v>3.4409999999999998</v>
      </c>
      <c r="M7370">
        <v>84.394000000000005</v>
      </c>
      <c r="N7370">
        <v>2.1190000000000002</v>
      </c>
    </row>
    <row r="7371" spans="1:14" x14ac:dyDescent="0.45">
      <c r="A7371">
        <v>2014</v>
      </c>
      <c r="B7371" t="s">
        <v>229</v>
      </c>
      <c r="C7371">
        <v>0</v>
      </c>
      <c r="D7371">
        <v>0</v>
      </c>
      <c r="E7371">
        <v>1</v>
      </c>
      <c r="F7371">
        <v>0</v>
      </c>
      <c r="G7371">
        <v>0</v>
      </c>
      <c r="H7371">
        <v>0</v>
      </c>
      <c r="I7371">
        <v>0</v>
      </c>
      <c r="J7371">
        <v>1258.82249426267</v>
      </c>
      <c r="K7371">
        <v>1167.6010199872901</v>
      </c>
      <c r="L7371">
        <v>57.320999999999998</v>
      </c>
      <c r="M7371">
        <v>54.442</v>
      </c>
      <c r="N7371">
        <v>137.59100000000001</v>
      </c>
    </row>
    <row r="7372" spans="1:14" x14ac:dyDescent="0.45">
      <c r="A7372">
        <v>2014</v>
      </c>
      <c r="B7372" t="s">
        <v>230</v>
      </c>
      <c r="C7372">
        <v>1</v>
      </c>
      <c r="D7372">
        <v>0</v>
      </c>
      <c r="E7372">
        <v>0</v>
      </c>
      <c r="F7372">
        <v>0</v>
      </c>
      <c r="G7372">
        <v>1</v>
      </c>
      <c r="H7372">
        <v>0</v>
      </c>
      <c r="I7372">
        <v>0</v>
      </c>
      <c r="J7372">
        <v>17921.434809409198</v>
      </c>
      <c r="K7372">
        <v>15758.743481409399</v>
      </c>
      <c r="L7372">
        <v>44.417000000000002</v>
      </c>
      <c r="M7372">
        <v>75.477999999999994</v>
      </c>
      <c r="N7372">
        <v>6.74</v>
      </c>
    </row>
    <row r="7373" spans="1:14" x14ac:dyDescent="0.45">
      <c r="A7373">
        <v>2014</v>
      </c>
      <c r="B7373" t="s">
        <v>231</v>
      </c>
      <c r="C7373">
        <v>0</v>
      </c>
      <c r="D7373">
        <v>0</v>
      </c>
      <c r="E7373">
        <v>1</v>
      </c>
      <c r="F7373">
        <v>0</v>
      </c>
      <c r="G7373">
        <v>0</v>
      </c>
      <c r="H7373">
        <v>0</v>
      </c>
      <c r="I7373">
        <v>0</v>
      </c>
      <c r="L7373">
        <v>81.373999999999995</v>
      </c>
      <c r="M7373">
        <v>45.625</v>
      </c>
      <c r="N7373">
        <v>188.857</v>
      </c>
    </row>
    <row r="7374" spans="1:14" x14ac:dyDescent="0.45">
      <c r="A7374">
        <v>2014</v>
      </c>
      <c r="B7374" t="s">
        <v>232</v>
      </c>
      <c r="C7374">
        <v>0</v>
      </c>
      <c r="D7374">
        <v>0</v>
      </c>
      <c r="E7374">
        <v>1</v>
      </c>
      <c r="F7374">
        <v>1</v>
      </c>
      <c r="G7374">
        <v>0</v>
      </c>
      <c r="H7374">
        <v>0</v>
      </c>
      <c r="I7374">
        <v>0</v>
      </c>
      <c r="J7374">
        <v>5223.0957288638801</v>
      </c>
      <c r="K7374">
        <v>3250.7726833400902</v>
      </c>
      <c r="L7374">
        <v>30.786999999999999</v>
      </c>
      <c r="M7374">
        <v>65.477999999999994</v>
      </c>
      <c r="N7374">
        <v>25.311</v>
      </c>
    </row>
    <row r="7375" spans="1:14" x14ac:dyDescent="0.45">
      <c r="A7375">
        <v>2014</v>
      </c>
      <c r="B7375" t="s">
        <v>233</v>
      </c>
      <c r="C7375">
        <v>0</v>
      </c>
      <c r="D7375">
        <v>1</v>
      </c>
      <c r="E7375">
        <v>0</v>
      </c>
      <c r="F7375">
        <v>0</v>
      </c>
      <c r="G7375">
        <v>1</v>
      </c>
      <c r="H7375">
        <v>0</v>
      </c>
      <c r="I7375">
        <v>0</v>
      </c>
      <c r="J7375">
        <v>24414.3554759734</v>
      </c>
      <c r="K7375">
        <v>19433.329549882299</v>
      </c>
      <c r="L7375">
        <v>33.911000000000001</v>
      </c>
      <c r="M7375">
        <v>70.33</v>
      </c>
      <c r="N7375">
        <v>20.934999999999999</v>
      </c>
    </row>
    <row r="7376" spans="1:14" x14ac:dyDescent="0.45">
      <c r="A7376">
        <v>2014</v>
      </c>
      <c r="B7376" t="s">
        <v>234</v>
      </c>
      <c r="C7376">
        <v>1</v>
      </c>
      <c r="D7376">
        <v>0</v>
      </c>
      <c r="E7376">
        <v>0</v>
      </c>
      <c r="F7376">
        <v>0</v>
      </c>
      <c r="G7376">
        <v>0</v>
      </c>
      <c r="H7376">
        <v>1</v>
      </c>
      <c r="I7376">
        <v>1</v>
      </c>
      <c r="J7376">
        <v>31888.742882459799</v>
      </c>
      <c r="K7376">
        <v>27465.226855676399</v>
      </c>
      <c r="L7376">
        <v>46</v>
      </c>
      <c r="M7376">
        <v>76.847999999999999</v>
      </c>
      <c r="N7376">
        <v>6.7949999999999999</v>
      </c>
    </row>
    <row r="7377" spans="1:14" x14ac:dyDescent="0.45">
      <c r="A7377">
        <v>2014</v>
      </c>
      <c r="B7377" t="s">
        <v>235</v>
      </c>
      <c r="C7377">
        <v>1</v>
      </c>
      <c r="D7377">
        <v>0</v>
      </c>
      <c r="E7377">
        <v>0</v>
      </c>
      <c r="F7377">
        <v>0</v>
      </c>
      <c r="G7377">
        <v>0</v>
      </c>
      <c r="H7377">
        <v>1</v>
      </c>
      <c r="I7377">
        <v>1</v>
      </c>
      <c r="J7377">
        <v>37664.651943335302</v>
      </c>
      <c r="K7377">
        <v>32421.909094107501</v>
      </c>
      <c r="L7377">
        <v>46.442999999999998</v>
      </c>
      <c r="M7377">
        <v>80.251999999999995</v>
      </c>
      <c r="N7377">
        <v>2.5790000000000002</v>
      </c>
    </row>
    <row r="7378" spans="1:14" x14ac:dyDescent="0.45">
      <c r="A7378">
        <v>2014</v>
      </c>
      <c r="B7378" t="s">
        <v>236</v>
      </c>
      <c r="C7378">
        <v>1</v>
      </c>
      <c r="D7378">
        <v>0</v>
      </c>
      <c r="E7378">
        <v>0</v>
      </c>
      <c r="F7378">
        <v>0</v>
      </c>
      <c r="G7378">
        <v>0</v>
      </c>
      <c r="H7378">
        <v>1</v>
      </c>
      <c r="I7378">
        <v>1</v>
      </c>
      <c r="J7378">
        <v>57085.385356262501</v>
      </c>
      <c r="K7378">
        <v>48763.389502777303</v>
      </c>
      <c r="L7378">
        <v>13.753</v>
      </c>
      <c r="M7378">
        <v>82.224000000000004</v>
      </c>
      <c r="N7378">
        <v>2.621</v>
      </c>
    </row>
    <row r="7379" spans="1:14" x14ac:dyDescent="0.45">
      <c r="A7379">
        <v>2014</v>
      </c>
      <c r="B7379" t="s">
        <v>237</v>
      </c>
      <c r="C7379">
        <v>0</v>
      </c>
      <c r="D7379">
        <v>0</v>
      </c>
      <c r="E7379">
        <v>1</v>
      </c>
      <c r="F7379">
        <v>1</v>
      </c>
      <c r="G7379">
        <v>0</v>
      </c>
      <c r="H7379">
        <v>0</v>
      </c>
      <c r="I7379">
        <v>0</v>
      </c>
      <c r="J7379">
        <v>9119.6636335434396</v>
      </c>
      <c r="K7379">
        <v>8075.4638182170302</v>
      </c>
      <c r="L7379">
        <v>76.850999999999999</v>
      </c>
      <c r="M7379">
        <v>53.491</v>
      </c>
      <c r="N7379">
        <v>66.710999999999999</v>
      </c>
    </row>
    <row r="7380" spans="1:14" x14ac:dyDescent="0.45">
      <c r="A7380">
        <v>2014</v>
      </c>
      <c r="B7380" t="s">
        <v>238</v>
      </c>
      <c r="C7380">
        <v>0</v>
      </c>
      <c r="D7380">
        <v>1</v>
      </c>
      <c r="E7380">
        <v>0</v>
      </c>
      <c r="F7380">
        <v>0</v>
      </c>
      <c r="G7380">
        <v>0</v>
      </c>
      <c r="H7380">
        <v>1</v>
      </c>
      <c r="I7380">
        <v>1</v>
      </c>
      <c r="J7380">
        <v>52439.473675604801</v>
      </c>
      <c r="K7380">
        <v>50608.679910650499</v>
      </c>
      <c r="L7380">
        <v>0</v>
      </c>
      <c r="M7380">
        <v>75.734999999999999</v>
      </c>
      <c r="N7380">
        <v>16.425999999999998</v>
      </c>
    </row>
    <row r="7381" spans="1:14" x14ac:dyDescent="0.45">
      <c r="A7381">
        <v>2014</v>
      </c>
      <c r="B7381" t="s">
        <v>239</v>
      </c>
      <c r="C7381">
        <v>0</v>
      </c>
      <c r="D7381">
        <v>0</v>
      </c>
      <c r="E7381">
        <v>1</v>
      </c>
      <c r="F7381">
        <v>0</v>
      </c>
      <c r="G7381">
        <v>0</v>
      </c>
      <c r="H7381">
        <v>1</v>
      </c>
      <c r="I7381">
        <v>1</v>
      </c>
      <c r="J7381">
        <v>25379.4180707013</v>
      </c>
      <c r="K7381">
        <v>24639.604987551</v>
      </c>
      <c r="L7381">
        <v>45.030999999999999</v>
      </c>
      <c r="M7381">
        <v>72.355000000000004</v>
      </c>
      <c r="N7381">
        <v>14.443</v>
      </c>
    </row>
    <row r="7382" spans="1:14" x14ac:dyDescent="0.45">
      <c r="A7382">
        <v>2014</v>
      </c>
      <c r="B7382" t="s">
        <v>240</v>
      </c>
      <c r="C7382">
        <v>0</v>
      </c>
      <c r="D7382">
        <v>0</v>
      </c>
      <c r="E7382">
        <v>0</v>
      </c>
      <c r="F7382">
        <v>1</v>
      </c>
      <c r="G7382">
        <v>0</v>
      </c>
      <c r="H7382">
        <v>0</v>
      </c>
      <c r="I7382">
        <v>0</v>
      </c>
      <c r="J7382">
        <v>5301.62535257941</v>
      </c>
      <c r="K7382">
        <v>3477.48148422854</v>
      </c>
      <c r="L7382">
        <v>48.5</v>
      </c>
      <c r="M7382">
        <v>65.492000000000004</v>
      </c>
      <c r="N7382">
        <v>36.527000000000001</v>
      </c>
    </row>
    <row r="7383" spans="1:14" x14ac:dyDescent="0.45">
      <c r="A7383">
        <v>2014</v>
      </c>
      <c r="B7383" t="s">
        <v>241</v>
      </c>
      <c r="C7383">
        <v>0</v>
      </c>
      <c r="D7383">
        <v>1</v>
      </c>
      <c r="E7383">
        <v>0</v>
      </c>
      <c r="F7383">
        <v>0</v>
      </c>
      <c r="G7383">
        <v>0</v>
      </c>
      <c r="H7383">
        <v>1</v>
      </c>
      <c r="I7383">
        <v>1</v>
      </c>
      <c r="J7383">
        <v>16138.8487604249</v>
      </c>
      <c r="K7383">
        <v>25125.560702413499</v>
      </c>
      <c r="L7383">
        <v>8.1489999999999991</v>
      </c>
      <c r="M7383">
        <v>77.212000000000003</v>
      </c>
      <c r="N7383">
        <v>7.048</v>
      </c>
    </row>
    <row r="7384" spans="1:14" x14ac:dyDescent="0.45">
      <c r="A7384">
        <v>2014</v>
      </c>
      <c r="B7384" t="s">
        <v>242</v>
      </c>
      <c r="C7384">
        <v>0</v>
      </c>
      <c r="D7384">
        <v>0</v>
      </c>
      <c r="E7384">
        <v>1</v>
      </c>
      <c r="F7384">
        <v>0</v>
      </c>
      <c r="G7384">
        <v>0</v>
      </c>
      <c r="H7384">
        <v>0</v>
      </c>
      <c r="I7384">
        <v>0</v>
      </c>
      <c r="J7384">
        <v>2821.2751543915101</v>
      </c>
      <c r="K7384">
        <v>2369.9731995337702</v>
      </c>
      <c r="L7384">
        <v>77.628</v>
      </c>
      <c r="M7384">
        <v>51.140999999999998</v>
      </c>
      <c r="N7384">
        <v>132.262</v>
      </c>
    </row>
    <row r="7385" spans="1:14" x14ac:dyDescent="0.45">
      <c r="A7385">
        <v>2014</v>
      </c>
      <c r="B7385" t="s">
        <v>243</v>
      </c>
      <c r="C7385">
        <v>0</v>
      </c>
      <c r="D7385">
        <v>0</v>
      </c>
      <c r="E7385">
        <v>1</v>
      </c>
      <c r="F7385">
        <v>0</v>
      </c>
      <c r="G7385">
        <v>0</v>
      </c>
      <c r="H7385">
        <v>0</v>
      </c>
      <c r="I7385">
        <v>0</v>
      </c>
      <c r="J7385">
        <v>2253.4852621831401</v>
      </c>
      <c r="K7385">
        <v>1872.7313063972599</v>
      </c>
      <c r="L7385">
        <v>60.420999999999999</v>
      </c>
      <c r="M7385">
        <v>58.765999999999998</v>
      </c>
      <c r="N7385">
        <v>78.370999999999995</v>
      </c>
    </row>
    <row r="7386" spans="1:14" x14ac:dyDescent="0.45">
      <c r="A7386">
        <v>2014</v>
      </c>
      <c r="B7386" t="s">
        <v>244</v>
      </c>
      <c r="C7386">
        <v>0</v>
      </c>
      <c r="D7386">
        <v>0</v>
      </c>
      <c r="E7386">
        <v>0</v>
      </c>
      <c r="F7386">
        <v>0</v>
      </c>
      <c r="G7386">
        <v>1</v>
      </c>
      <c r="H7386">
        <v>0</v>
      </c>
      <c r="I7386">
        <v>0</v>
      </c>
      <c r="J7386">
        <v>18324.614467487499</v>
      </c>
      <c r="K7386">
        <v>16025.371490052699</v>
      </c>
      <c r="L7386">
        <v>53.057000000000002</v>
      </c>
      <c r="M7386">
        <v>76.278999999999996</v>
      </c>
      <c r="N7386">
        <v>10.775</v>
      </c>
    </row>
    <row r="7387" spans="1:14" x14ac:dyDescent="0.45">
      <c r="A7387">
        <v>2014</v>
      </c>
      <c r="B7387" t="s">
        <v>245</v>
      </c>
      <c r="C7387">
        <v>1</v>
      </c>
      <c r="D7387">
        <v>0</v>
      </c>
      <c r="E7387">
        <v>0</v>
      </c>
      <c r="F7387">
        <v>1</v>
      </c>
      <c r="G7387">
        <v>0</v>
      </c>
      <c r="H7387">
        <v>0</v>
      </c>
      <c r="I7387">
        <v>0</v>
      </c>
      <c r="J7387">
        <v>2943.08867917317</v>
      </c>
      <c r="K7387">
        <v>2680.3744642649199</v>
      </c>
      <c r="L7387">
        <v>73.344999999999999</v>
      </c>
      <c r="M7387">
        <v>69.697000000000003</v>
      </c>
      <c r="N7387">
        <v>38.793999999999997</v>
      </c>
    </row>
    <row r="7388" spans="1:14" x14ac:dyDescent="0.45">
      <c r="A7388">
        <v>2014</v>
      </c>
      <c r="B7388" t="s">
        <v>246</v>
      </c>
      <c r="C7388">
        <v>1</v>
      </c>
      <c r="D7388">
        <v>0</v>
      </c>
      <c r="E7388">
        <v>0</v>
      </c>
      <c r="F7388">
        <v>0</v>
      </c>
      <c r="G7388">
        <v>1</v>
      </c>
      <c r="H7388">
        <v>0</v>
      </c>
      <c r="I7388">
        <v>0</v>
      </c>
      <c r="J7388">
        <v>12544.3983464061</v>
      </c>
      <c r="K7388">
        <v>11807.0250957643</v>
      </c>
      <c r="L7388">
        <v>50.079000000000001</v>
      </c>
      <c r="M7388">
        <v>69.001000000000005</v>
      </c>
      <c r="N7388">
        <v>42.48</v>
      </c>
    </row>
    <row r="7389" spans="1:14" x14ac:dyDescent="0.45">
      <c r="A7389">
        <v>2014</v>
      </c>
      <c r="B7389" t="s">
        <v>247</v>
      </c>
      <c r="C7389">
        <v>0</v>
      </c>
      <c r="D7389">
        <v>0</v>
      </c>
      <c r="E7389">
        <v>0</v>
      </c>
      <c r="F7389">
        <v>1</v>
      </c>
      <c r="G7389">
        <v>0</v>
      </c>
      <c r="H7389">
        <v>0</v>
      </c>
      <c r="I7389">
        <v>0</v>
      </c>
      <c r="J7389">
        <v>4447.4845814547398</v>
      </c>
      <c r="K7389">
        <v>3588.5091715173398</v>
      </c>
      <c r="L7389">
        <v>70.867000000000004</v>
      </c>
      <c r="M7389">
        <v>65.027000000000001</v>
      </c>
      <c r="N7389">
        <v>62.814</v>
      </c>
    </row>
    <row r="7390" spans="1:14" x14ac:dyDescent="0.45">
      <c r="A7390">
        <v>2014</v>
      </c>
      <c r="B7390" t="s">
        <v>248</v>
      </c>
      <c r="C7390">
        <v>0</v>
      </c>
      <c r="D7390">
        <v>0</v>
      </c>
      <c r="E7390">
        <v>0</v>
      </c>
      <c r="F7390">
        <v>0</v>
      </c>
      <c r="G7390">
        <v>1</v>
      </c>
      <c r="H7390">
        <v>0</v>
      </c>
      <c r="I7390">
        <v>0</v>
      </c>
      <c r="J7390">
        <v>6096.8692341643</v>
      </c>
      <c r="K7390">
        <v>5519.0766827539501</v>
      </c>
      <c r="L7390">
        <v>76.671999999999997</v>
      </c>
      <c r="M7390">
        <v>71.721000000000004</v>
      </c>
      <c r="N7390">
        <v>12.676</v>
      </c>
    </row>
    <row r="7391" spans="1:14" x14ac:dyDescent="0.45">
      <c r="A7391">
        <v>2014</v>
      </c>
      <c r="B7391" t="s">
        <v>249</v>
      </c>
      <c r="C7391">
        <v>0</v>
      </c>
      <c r="D7391">
        <v>1</v>
      </c>
      <c r="E7391">
        <v>0</v>
      </c>
      <c r="F7391">
        <v>0</v>
      </c>
      <c r="G7391">
        <v>0</v>
      </c>
      <c r="H7391">
        <v>1</v>
      </c>
      <c r="I7391">
        <v>1</v>
      </c>
      <c r="J7391">
        <v>39299.0859114493</v>
      </c>
      <c r="K7391">
        <v>32798.742994769003</v>
      </c>
      <c r="L7391">
        <v>46.587000000000003</v>
      </c>
      <c r="M7391">
        <v>72.897999999999996</v>
      </c>
      <c r="N7391">
        <v>19.806000000000001</v>
      </c>
    </row>
    <row r="7392" spans="1:14" x14ac:dyDescent="0.45">
      <c r="A7392">
        <v>2014</v>
      </c>
      <c r="B7392" t="s">
        <v>250</v>
      </c>
      <c r="C7392">
        <v>0</v>
      </c>
      <c r="D7392">
        <v>0</v>
      </c>
      <c r="E7392">
        <v>0</v>
      </c>
      <c r="F7392">
        <v>0</v>
      </c>
      <c r="G7392">
        <v>1</v>
      </c>
      <c r="H7392">
        <v>0</v>
      </c>
      <c r="I7392">
        <v>0</v>
      </c>
      <c r="J7392">
        <v>12823.9888072464</v>
      </c>
      <c r="K7392">
        <v>11175.892029131899</v>
      </c>
      <c r="L7392">
        <v>32.228000000000002</v>
      </c>
      <c r="M7392">
        <v>74.784000000000006</v>
      </c>
      <c r="N7392">
        <v>17.779</v>
      </c>
    </row>
    <row r="7393" spans="1:14" x14ac:dyDescent="0.45">
      <c r="A7393">
        <v>2014</v>
      </c>
      <c r="B7393" t="s">
        <v>251</v>
      </c>
      <c r="C7393">
        <v>1</v>
      </c>
      <c r="D7393">
        <v>0</v>
      </c>
      <c r="E7393">
        <v>0</v>
      </c>
      <c r="F7393">
        <v>0</v>
      </c>
      <c r="G7393">
        <v>1</v>
      </c>
      <c r="H7393">
        <v>0</v>
      </c>
      <c r="I7393">
        <v>0</v>
      </c>
      <c r="J7393">
        <v>24595.699058767401</v>
      </c>
      <c r="K7393">
        <v>24661.496501346301</v>
      </c>
      <c r="L7393">
        <v>26.922999999999998</v>
      </c>
      <c r="M7393">
        <v>76.451999999999998</v>
      </c>
      <c r="N7393">
        <v>14.154</v>
      </c>
    </row>
    <row r="7394" spans="1:14" x14ac:dyDescent="0.45">
      <c r="A7394">
        <v>2014</v>
      </c>
      <c r="B7394" t="s">
        <v>252</v>
      </c>
      <c r="C7394">
        <v>0</v>
      </c>
      <c r="D7394">
        <v>0</v>
      </c>
      <c r="E7394">
        <v>0</v>
      </c>
      <c r="F7394">
        <v>0</v>
      </c>
      <c r="G7394">
        <v>1</v>
      </c>
      <c r="H7394">
        <v>0</v>
      </c>
      <c r="I7394">
        <v>0</v>
      </c>
      <c r="J7394">
        <v>3695.9534517961902</v>
      </c>
      <c r="K7394">
        <v>3343.5606111048901</v>
      </c>
      <c r="L7394">
        <v>41.213999999999999</v>
      </c>
      <c r="M7394">
        <v>65.278000000000006</v>
      </c>
      <c r="N7394">
        <v>26.899000000000001</v>
      </c>
    </row>
    <row r="7395" spans="1:14" x14ac:dyDescent="0.45">
      <c r="A7395">
        <v>2014</v>
      </c>
      <c r="B7395" t="s">
        <v>253</v>
      </c>
      <c r="C7395">
        <v>0</v>
      </c>
      <c r="D7395">
        <v>0</v>
      </c>
      <c r="E7395">
        <v>0</v>
      </c>
      <c r="F7395">
        <v>0</v>
      </c>
      <c r="G7395">
        <v>0</v>
      </c>
      <c r="H7395">
        <v>1</v>
      </c>
      <c r="I7395">
        <v>1</v>
      </c>
      <c r="L7395">
        <v>45.741</v>
      </c>
      <c r="M7395">
        <v>79.472999999999999</v>
      </c>
      <c r="N7395">
        <v>5.1189999999999998</v>
      </c>
    </row>
    <row r="7396" spans="1:14" x14ac:dyDescent="0.45">
      <c r="A7396">
        <v>2014</v>
      </c>
      <c r="B7396" t="s">
        <v>254</v>
      </c>
      <c r="C7396">
        <v>0</v>
      </c>
      <c r="D7396">
        <v>0</v>
      </c>
      <c r="E7396">
        <v>1</v>
      </c>
      <c r="F7396">
        <v>0</v>
      </c>
      <c r="G7396">
        <v>0</v>
      </c>
      <c r="H7396">
        <v>0</v>
      </c>
      <c r="I7396">
        <v>0</v>
      </c>
      <c r="J7396">
        <v>3027.56909179688</v>
      </c>
      <c r="K7396">
        <v>2255.1355100133801</v>
      </c>
      <c r="L7396">
        <v>69.096000000000004</v>
      </c>
      <c r="M7396">
        <v>63.363999999999997</v>
      </c>
      <c r="N7396">
        <v>56.973999999999997</v>
      </c>
    </row>
    <row r="7397" spans="1:14" x14ac:dyDescent="0.45">
      <c r="A7397">
        <v>2014</v>
      </c>
      <c r="B7397" t="s">
        <v>255</v>
      </c>
      <c r="C7397">
        <v>0</v>
      </c>
      <c r="D7397">
        <v>0</v>
      </c>
      <c r="E7397">
        <v>1</v>
      </c>
      <c r="F7397">
        <v>0</v>
      </c>
      <c r="G7397">
        <v>0</v>
      </c>
      <c r="H7397">
        <v>0</v>
      </c>
      <c r="I7397">
        <v>0</v>
      </c>
      <c r="J7397">
        <v>2470.5038090959802</v>
      </c>
      <c r="K7397">
        <v>2095.7396230549598</v>
      </c>
      <c r="L7397">
        <v>78.495999999999995</v>
      </c>
      <c r="M7397">
        <v>63.057000000000002</v>
      </c>
      <c r="N7397">
        <v>59.207000000000001</v>
      </c>
    </row>
    <row r="7398" spans="1:14" x14ac:dyDescent="0.45">
      <c r="A7398">
        <v>2014</v>
      </c>
      <c r="B7398" t="s">
        <v>256</v>
      </c>
      <c r="C7398">
        <v>1</v>
      </c>
      <c r="D7398">
        <v>0</v>
      </c>
      <c r="E7398">
        <v>0</v>
      </c>
      <c r="F7398">
        <v>1</v>
      </c>
      <c r="G7398">
        <v>0</v>
      </c>
      <c r="H7398">
        <v>0</v>
      </c>
      <c r="I7398">
        <v>0</v>
      </c>
      <c r="J7398">
        <v>16978.8125</v>
      </c>
      <c r="K7398">
        <v>12008.868451980699</v>
      </c>
      <c r="L7398">
        <v>31.032</v>
      </c>
      <c r="M7398">
        <v>71.802999999999997</v>
      </c>
      <c r="N7398">
        <v>9.2609999999999992</v>
      </c>
    </row>
    <row r="7399" spans="1:14" x14ac:dyDescent="0.45">
      <c r="A7399">
        <v>2014</v>
      </c>
      <c r="B7399" t="s">
        <v>257</v>
      </c>
      <c r="C7399">
        <v>0</v>
      </c>
      <c r="D7399">
        <v>1</v>
      </c>
      <c r="E7399">
        <v>0</v>
      </c>
      <c r="F7399">
        <v>0</v>
      </c>
      <c r="G7399">
        <v>0</v>
      </c>
      <c r="H7399">
        <v>1</v>
      </c>
      <c r="I7399">
        <v>1</v>
      </c>
      <c r="J7399">
        <v>28935.0974409271</v>
      </c>
      <c r="K7399">
        <v>22950.410121427001</v>
      </c>
      <c r="L7399">
        <v>5.0550000000000104</v>
      </c>
      <c r="M7399">
        <v>77.194000000000003</v>
      </c>
      <c r="N7399">
        <v>9.4870000000000001</v>
      </c>
    </row>
    <row r="7400" spans="1:14" x14ac:dyDescent="0.45">
      <c r="A7400">
        <v>2014</v>
      </c>
      <c r="B7400" t="s">
        <v>258</v>
      </c>
      <c r="C7400">
        <v>0</v>
      </c>
      <c r="D7400">
        <v>0</v>
      </c>
      <c r="E7400">
        <v>0</v>
      </c>
      <c r="F7400">
        <v>0</v>
      </c>
      <c r="G7400">
        <v>0</v>
      </c>
      <c r="H7400">
        <v>1</v>
      </c>
      <c r="I7400">
        <v>1</v>
      </c>
      <c r="J7400">
        <v>63018.803393441398</v>
      </c>
      <c r="K7400">
        <v>57200.567623040799</v>
      </c>
      <c r="L7400">
        <v>18.516999999999999</v>
      </c>
      <c r="M7400">
        <v>78.879000000000005</v>
      </c>
      <c r="N7400">
        <v>6.7889999999999997</v>
      </c>
    </row>
    <row r="7401" spans="1:14" x14ac:dyDescent="0.45">
      <c r="A7401">
        <v>2014</v>
      </c>
      <c r="B7401" t="s">
        <v>259</v>
      </c>
      <c r="C7401">
        <v>1</v>
      </c>
      <c r="D7401">
        <v>0</v>
      </c>
      <c r="E7401">
        <v>0</v>
      </c>
      <c r="F7401">
        <v>1</v>
      </c>
      <c r="G7401">
        <v>0</v>
      </c>
      <c r="H7401">
        <v>0</v>
      </c>
      <c r="I7401">
        <v>0</v>
      </c>
      <c r="J7401">
        <v>7145.1098066415097</v>
      </c>
      <c r="K7401">
        <v>6941.73855977316</v>
      </c>
      <c r="L7401">
        <v>49.15</v>
      </c>
      <c r="M7401">
        <v>70.972999999999999</v>
      </c>
      <c r="N7401">
        <v>21.686</v>
      </c>
    </row>
    <row r="7402" spans="1:14" x14ac:dyDescent="0.45">
      <c r="A7402">
        <v>2014</v>
      </c>
      <c r="B7402" t="s">
        <v>260</v>
      </c>
      <c r="C7402">
        <v>0</v>
      </c>
      <c r="D7402">
        <v>1</v>
      </c>
      <c r="E7402">
        <v>0</v>
      </c>
      <c r="F7402">
        <v>0</v>
      </c>
      <c r="G7402">
        <v>1</v>
      </c>
      <c r="H7402">
        <v>0</v>
      </c>
      <c r="I7402">
        <v>0</v>
      </c>
      <c r="J7402">
        <v>14054.755701731699</v>
      </c>
      <c r="K7402">
        <v>12283.3108556689</v>
      </c>
      <c r="L7402">
        <v>49.442</v>
      </c>
      <c r="M7402">
        <v>70.355000000000004</v>
      </c>
      <c r="N7402">
        <v>18.402999999999999</v>
      </c>
    </row>
    <row r="7403" spans="1:14" x14ac:dyDescent="0.45">
      <c r="A7403">
        <v>2014</v>
      </c>
      <c r="B7403" t="s">
        <v>261</v>
      </c>
      <c r="C7403">
        <v>0</v>
      </c>
      <c r="D7403">
        <v>1</v>
      </c>
      <c r="E7403">
        <v>0</v>
      </c>
      <c r="F7403">
        <v>0</v>
      </c>
      <c r="G7403">
        <v>0</v>
      </c>
      <c r="H7403">
        <v>1</v>
      </c>
      <c r="I7403">
        <v>1</v>
      </c>
      <c r="L7403">
        <v>11.856</v>
      </c>
      <c r="M7403">
        <v>72.837000000000003</v>
      </c>
      <c r="N7403">
        <v>18.079999999999998</v>
      </c>
    </row>
    <row r="7404" spans="1:14" x14ac:dyDescent="0.45">
      <c r="A7404">
        <v>2014</v>
      </c>
      <c r="B7404" t="s">
        <v>262</v>
      </c>
      <c r="C7404">
        <v>0</v>
      </c>
      <c r="D7404">
        <v>1</v>
      </c>
      <c r="E7404">
        <v>0</v>
      </c>
      <c r="F7404">
        <v>0</v>
      </c>
      <c r="G7404">
        <v>0</v>
      </c>
      <c r="H7404">
        <v>1</v>
      </c>
      <c r="I7404">
        <v>1</v>
      </c>
      <c r="L7404">
        <v>53.783999999999999</v>
      </c>
      <c r="M7404">
        <v>76.527000000000001</v>
      </c>
      <c r="N7404">
        <v>15.29</v>
      </c>
    </row>
    <row r="7405" spans="1:14" x14ac:dyDescent="0.45">
      <c r="A7405">
        <v>2014</v>
      </c>
      <c r="B7405" t="s">
        <v>263</v>
      </c>
      <c r="C7405">
        <v>0</v>
      </c>
      <c r="D7405">
        <v>1</v>
      </c>
      <c r="E7405">
        <v>0</v>
      </c>
      <c r="F7405">
        <v>0</v>
      </c>
      <c r="G7405">
        <v>0</v>
      </c>
      <c r="H7405">
        <v>1</v>
      </c>
      <c r="I7405">
        <v>1</v>
      </c>
      <c r="J7405">
        <v>42853.898659918501</v>
      </c>
      <c r="K7405">
        <v>33562.068465432603</v>
      </c>
      <c r="L7405">
        <v>4.7870000000000097</v>
      </c>
      <c r="M7405">
        <v>74.197999999999993</v>
      </c>
      <c r="N7405">
        <v>8.1880000000000006</v>
      </c>
    </row>
    <row r="7406" spans="1:14" x14ac:dyDescent="0.45">
      <c r="A7406">
        <v>2014</v>
      </c>
      <c r="B7406" t="s">
        <v>264</v>
      </c>
      <c r="C7406">
        <v>0</v>
      </c>
      <c r="D7406">
        <v>0</v>
      </c>
      <c r="E7406">
        <v>0</v>
      </c>
      <c r="F7406">
        <v>1</v>
      </c>
      <c r="G7406">
        <v>0</v>
      </c>
      <c r="H7406">
        <v>0</v>
      </c>
      <c r="I7406">
        <v>0</v>
      </c>
      <c r="J7406">
        <v>8751.8828063437504</v>
      </c>
      <c r="K7406">
        <v>7798.6530331756303</v>
      </c>
      <c r="L7406">
        <v>66.885000000000005</v>
      </c>
      <c r="M7406">
        <v>73.885999999999996</v>
      </c>
      <c r="N7406">
        <v>22.268000000000001</v>
      </c>
    </row>
    <row r="7407" spans="1:14" x14ac:dyDescent="0.45">
      <c r="A7407">
        <v>2014</v>
      </c>
      <c r="B7407" t="s">
        <v>265</v>
      </c>
      <c r="C7407">
        <v>0</v>
      </c>
      <c r="D7407">
        <v>0</v>
      </c>
      <c r="E7407">
        <v>0</v>
      </c>
      <c r="F7407">
        <v>1</v>
      </c>
      <c r="G7407">
        <v>0</v>
      </c>
      <c r="H7407">
        <v>0</v>
      </c>
      <c r="I7407">
        <v>0</v>
      </c>
      <c r="J7407">
        <v>3302.2917794868899</v>
      </c>
      <c r="K7407">
        <v>2987.25758831846</v>
      </c>
      <c r="L7407">
        <v>75.138999999999996</v>
      </c>
      <c r="M7407">
        <v>70.043000000000006</v>
      </c>
      <c r="N7407">
        <v>21.984999999999999</v>
      </c>
    </row>
    <row r="7408" spans="1:14" x14ac:dyDescent="0.45">
      <c r="A7408">
        <v>2014</v>
      </c>
      <c r="B7408" t="s">
        <v>266</v>
      </c>
      <c r="C7408">
        <v>0</v>
      </c>
      <c r="D7408">
        <v>0</v>
      </c>
      <c r="E7408">
        <v>0</v>
      </c>
      <c r="F7408">
        <v>1</v>
      </c>
      <c r="G7408">
        <v>0</v>
      </c>
      <c r="H7408">
        <v>0</v>
      </c>
      <c r="I7408">
        <v>0</v>
      </c>
      <c r="J7408">
        <v>6247.9048090472297</v>
      </c>
      <c r="K7408">
        <v>5651.8630993951001</v>
      </c>
      <c r="L7408">
        <v>80.850999999999999</v>
      </c>
      <c r="M7408">
        <v>71.141999999999996</v>
      </c>
      <c r="N7408">
        <v>18.7</v>
      </c>
    </row>
    <row r="7409" spans="1:14" x14ac:dyDescent="0.45">
      <c r="A7409">
        <v>2014</v>
      </c>
      <c r="B7409" t="s">
        <v>267</v>
      </c>
      <c r="C7409">
        <v>1</v>
      </c>
      <c r="D7409">
        <v>0</v>
      </c>
      <c r="E7409">
        <v>0</v>
      </c>
      <c r="F7409">
        <v>1</v>
      </c>
      <c r="G7409">
        <v>0</v>
      </c>
      <c r="H7409">
        <v>0</v>
      </c>
      <c r="I7409">
        <v>0</v>
      </c>
      <c r="J7409">
        <v>9150.7499729388292</v>
      </c>
      <c r="K7409">
        <v>8305.88900865705</v>
      </c>
      <c r="L7409">
        <v>44.417000000000002</v>
      </c>
      <c r="M7409">
        <v>76.179000000000002</v>
      </c>
      <c r="N7409">
        <v>15.282</v>
      </c>
    </row>
    <row r="7410" spans="1:14" x14ac:dyDescent="0.45">
      <c r="A7410">
        <v>2014</v>
      </c>
      <c r="B7410" t="s">
        <v>268</v>
      </c>
      <c r="C7410">
        <v>0</v>
      </c>
      <c r="D7410">
        <v>0</v>
      </c>
      <c r="E7410">
        <v>0</v>
      </c>
      <c r="F7410">
        <v>1</v>
      </c>
      <c r="G7410">
        <v>0</v>
      </c>
      <c r="H7410">
        <v>0</v>
      </c>
      <c r="I7410">
        <v>0</v>
      </c>
      <c r="L7410">
        <v>65.834999999999994</v>
      </c>
      <c r="M7410">
        <v>68.003</v>
      </c>
      <c r="N7410">
        <v>49.24</v>
      </c>
    </row>
    <row r="7411" spans="1:14" x14ac:dyDescent="0.45">
      <c r="A7411">
        <v>2014</v>
      </c>
      <c r="B7411" t="s">
        <v>269</v>
      </c>
      <c r="C7411">
        <v>0</v>
      </c>
      <c r="D7411">
        <v>0</v>
      </c>
      <c r="E7411">
        <v>1</v>
      </c>
      <c r="F7411">
        <v>0</v>
      </c>
      <c r="G7411">
        <v>1</v>
      </c>
      <c r="H7411">
        <v>0</v>
      </c>
      <c r="I7411">
        <v>0</v>
      </c>
      <c r="J7411">
        <v>14661.262434825099</v>
      </c>
      <c r="K7411">
        <v>13804.1816471234</v>
      </c>
      <c r="L7411">
        <v>35.688000000000002</v>
      </c>
      <c r="M7411">
        <v>63.183999999999997</v>
      </c>
      <c r="N7411">
        <v>41.975999999999999</v>
      </c>
    </row>
    <row r="7412" spans="1:14" x14ac:dyDescent="0.45">
      <c r="A7412">
        <v>2014</v>
      </c>
      <c r="B7412" t="s">
        <v>270</v>
      </c>
      <c r="C7412">
        <v>0</v>
      </c>
      <c r="D7412">
        <v>0</v>
      </c>
      <c r="E7412">
        <v>1</v>
      </c>
      <c r="F7412">
        <v>1</v>
      </c>
      <c r="G7412">
        <v>0</v>
      </c>
      <c r="H7412">
        <v>0</v>
      </c>
      <c r="I7412">
        <v>0</v>
      </c>
      <c r="J7412">
        <v>3585.5774850713101</v>
      </c>
      <c r="K7412">
        <v>3366.3454782255899</v>
      </c>
      <c r="L7412">
        <v>58.618000000000002</v>
      </c>
      <c r="M7412">
        <v>60.109000000000002</v>
      </c>
      <c r="N7412">
        <v>69.460999999999999</v>
      </c>
    </row>
    <row r="7413" spans="1:14" x14ac:dyDescent="0.45">
      <c r="A7413">
        <v>2014</v>
      </c>
      <c r="B7413" t="s">
        <v>271</v>
      </c>
      <c r="C7413">
        <v>0</v>
      </c>
      <c r="D7413">
        <v>0</v>
      </c>
      <c r="E7413">
        <v>1</v>
      </c>
      <c r="F7413">
        <v>0</v>
      </c>
      <c r="G7413">
        <v>0</v>
      </c>
      <c r="H7413">
        <v>0</v>
      </c>
      <c r="I7413">
        <v>0</v>
      </c>
      <c r="J7413">
        <v>3352.38134856227</v>
      </c>
      <c r="K7413">
        <v>2232.1358098495498</v>
      </c>
      <c r="L7413">
        <v>67.495999999999995</v>
      </c>
      <c r="M7413">
        <v>58.106000000000002</v>
      </c>
      <c r="N7413">
        <v>64.23</v>
      </c>
    </row>
    <row r="7414" spans="1:14" x14ac:dyDescent="0.45">
      <c r="A7414">
        <v>2015</v>
      </c>
      <c r="B7414" t="s">
        <v>54</v>
      </c>
      <c r="C7414">
        <v>0</v>
      </c>
      <c r="D7414">
        <v>1</v>
      </c>
      <c r="E7414">
        <v>0</v>
      </c>
      <c r="F7414">
        <v>0</v>
      </c>
      <c r="G7414">
        <v>0</v>
      </c>
      <c r="H7414">
        <v>1</v>
      </c>
      <c r="I7414">
        <v>1</v>
      </c>
      <c r="J7414">
        <v>35682.300252670197</v>
      </c>
      <c r="K7414">
        <v>34726.275047331503</v>
      </c>
      <c r="L7414">
        <v>56.892000000000003</v>
      </c>
      <c r="M7414">
        <v>75.405000000000001</v>
      </c>
      <c r="N7414">
        <v>16.477</v>
      </c>
    </row>
    <row r="7415" spans="1:14" x14ac:dyDescent="0.45">
      <c r="A7415">
        <v>2015</v>
      </c>
      <c r="B7415" t="s">
        <v>55</v>
      </c>
      <c r="C7415">
        <v>0</v>
      </c>
      <c r="D7415">
        <v>0</v>
      </c>
      <c r="E7415">
        <v>0</v>
      </c>
      <c r="F7415">
        <v>0</v>
      </c>
      <c r="G7415">
        <v>0</v>
      </c>
      <c r="H7415">
        <v>0</v>
      </c>
      <c r="I7415">
        <v>0</v>
      </c>
      <c r="J7415">
        <v>2967.6920671530002</v>
      </c>
      <c r="K7415">
        <v>2347.4180854589599</v>
      </c>
      <c r="L7415">
        <v>75.197000000000003</v>
      </c>
      <c r="M7415">
        <v>62.27</v>
      </c>
      <c r="N7415">
        <v>76.549000000000007</v>
      </c>
    </row>
    <row r="7416" spans="1:14" x14ac:dyDescent="0.45">
      <c r="A7416">
        <v>2015</v>
      </c>
      <c r="B7416" t="s">
        <v>56</v>
      </c>
      <c r="C7416">
        <v>0</v>
      </c>
      <c r="D7416">
        <v>0</v>
      </c>
      <c r="E7416">
        <v>1</v>
      </c>
      <c r="F7416">
        <v>0</v>
      </c>
      <c r="G7416">
        <v>1</v>
      </c>
      <c r="H7416">
        <v>0</v>
      </c>
      <c r="I7416">
        <v>0</v>
      </c>
      <c r="J7416">
        <v>9980.9298818542502</v>
      </c>
      <c r="K7416">
        <v>7718.76006358216</v>
      </c>
      <c r="L7416">
        <v>36.554000000000002</v>
      </c>
      <c r="M7416">
        <v>61.042000000000002</v>
      </c>
      <c r="N7416">
        <v>88.608999999999995</v>
      </c>
    </row>
    <row r="7417" spans="1:14" x14ac:dyDescent="0.45">
      <c r="A7417">
        <v>2015</v>
      </c>
      <c r="B7417" t="s">
        <v>57</v>
      </c>
      <c r="C7417">
        <v>1</v>
      </c>
      <c r="D7417">
        <v>0</v>
      </c>
      <c r="E7417">
        <v>0</v>
      </c>
      <c r="F7417">
        <v>0</v>
      </c>
      <c r="G7417">
        <v>1</v>
      </c>
      <c r="H7417">
        <v>0</v>
      </c>
      <c r="I7417">
        <v>0</v>
      </c>
      <c r="J7417">
        <v>13156.3322090523</v>
      </c>
      <c r="K7417">
        <v>11919.033530996599</v>
      </c>
      <c r="L7417">
        <v>42.566000000000003</v>
      </c>
      <c r="M7417">
        <v>78.358000000000004</v>
      </c>
      <c r="N7417">
        <v>10.071</v>
      </c>
    </row>
    <row r="7418" spans="1:14" x14ac:dyDescent="0.45">
      <c r="A7418">
        <v>2015</v>
      </c>
      <c r="B7418" t="s">
        <v>58</v>
      </c>
      <c r="C7418">
        <v>1</v>
      </c>
      <c r="D7418">
        <v>0</v>
      </c>
      <c r="E7418">
        <v>0</v>
      </c>
      <c r="F7418">
        <v>0</v>
      </c>
      <c r="G7418">
        <v>0</v>
      </c>
      <c r="H7418">
        <v>1</v>
      </c>
      <c r="I7418">
        <v>1</v>
      </c>
      <c r="J7418">
        <v>62105.154238967501</v>
      </c>
      <c r="K7418">
        <v>52132.534233227001</v>
      </c>
      <c r="L7418">
        <v>11.654999999999999</v>
      </c>
      <c r="M7418">
        <v>84.531999999999996</v>
      </c>
      <c r="N7418">
        <v>5.79</v>
      </c>
    </row>
    <row r="7419" spans="1:14" x14ac:dyDescent="0.45">
      <c r="A7419">
        <v>2015</v>
      </c>
      <c r="B7419" t="s">
        <v>59</v>
      </c>
      <c r="C7419">
        <v>0</v>
      </c>
      <c r="D7419">
        <v>0</v>
      </c>
      <c r="E7419">
        <v>0</v>
      </c>
      <c r="F7419">
        <v>0</v>
      </c>
      <c r="G7419">
        <v>0</v>
      </c>
      <c r="H7419">
        <v>1</v>
      </c>
      <c r="I7419">
        <v>1</v>
      </c>
      <c r="J7419">
        <v>70234.731749310304</v>
      </c>
      <c r="K7419">
        <v>69389.715933670304</v>
      </c>
      <c r="L7419">
        <v>14.326000000000001</v>
      </c>
      <c r="M7419">
        <v>82.075999999999993</v>
      </c>
      <c r="N7419">
        <v>7.5830000000000002</v>
      </c>
    </row>
    <row r="7420" spans="1:14" x14ac:dyDescent="0.45">
      <c r="A7420">
        <v>2015</v>
      </c>
      <c r="B7420" t="s">
        <v>60</v>
      </c>
      <c r="C7420">
        <v>0</v>
      </c>
      <c r="D7420">
        <v>1</v>
      </c>
      <c r="E7420">
        <v>0</v>
      </c>
      <c r="F7420">
        <v>0</v>
      </c>
      <c r="G7420">
        <v>1</v>
      </c>
      <c r="H7420">
        <v>0</v>
      </c>
      <c r="I7420">
        <v>0</v>
      </c>
      <c r="J7420">
        <v>28669.2061336796</v>
      </c>
      <c r="K7420">
        <v>23660.976520874199</v>
      </c>
      <c r="L7420">
        <v>8.4969999999999999</v>
      </c>
      <c r="M7420">
        <v>76.599999999999994</v>
      </c>
      <c r="N7420">
        <v>12.891</v>
      </c>
    </row>
    <row r="7421" spans="1:14" x14ac:dyDescent="0.45">
      <c r="A7421">
        <v>2015</v>
      </c>
      <c r="B7421" t="s">
        <v>61</v>
      </c>
      <c r="C7421">
        <v>1</v>
      </c>
      <c r="D7421">
        <v>0</v>
      </c>
      <c r="E7421">
        <v>0</v>
      </c>
      <c r="F7421">
        <v>1</v>
      </c>
      <c r="G7421">
        <v>0</v>
      </c>
      <c r="H7421">
        <v>0</v>
      </c>
      <c r="I7421">
        <v>0</v>
      </c>
      <c r="J7421">
        <v>13112.7600902915</v>
      </c>
      <c r="K7421">
        <v>11107.835218993299</v>
      </c>
      <c r="L7421">
        <v>36.914999999999999</v>
      </c>
      <c r="M7421">
        <v>74.228999999999999</v>
      </c>
      <c r="N7421">
        <v>14.557</v>
      </c>
    </row>
    <row r="7422" spans="1:14" x14ac:dyDescent="0.45">
      <c r="A7422">
        <v>2015</v>
      </c>
      <c r="B7422" t="s">
        <v>62</v>
      </c>
      <c r="C7422">
        <v>0</v>
      </c>
      <c r="D7422">
        <v>0</v>
      </c>
      <c r="E7422">
        <v>0</v>
      </c>
      <c r="F7422">
        <v>0</v>
      </c>
      <c r="G7422">
        <v>1</v>
      </c>
      <c r="H7422">
        <v>0</v>
      </c>
      <c r="I7422">
        <v>0</v>
      </c>
      <c r="L7422">
        <v>12.762</v>
      </c>
      <c r="M7422">
        <v>72.653999999999996</v>
      </c>
      <c r="N7422">
        <v>11.045</v>
      </c>
    </row>
    <row r="7423" spans="1:14" x14ac:dyDescent="0.45">
      <c r="A7423">
        <v>2015</v>
      </c>
      <c r="B7423" t="s">
        <v>63</v>
      </c>
      <c r="C7423">
        <v>0</v>
      </c>
      <c r="D7423">
        <v>1</v>
      </c>
      <c r="E7423">
        <v>0</v>
      </c>
      <c r="F7423">
        <v>0</v>
      </c>
      <c r="G7423">
        <v>0</v>
      </c>
      <c r="H7423">
        <v>1</v>
      </c>
      <c r="I7423">
        <v>1</v>
      </c>
      <c r="J7423">
        <v>25734.151644417099</v>
      </c>
      <c r="K7423">
        <v>20268.136286210301</v>
      </c>
      <c r="L7423">
        <v>75</v>
      </c>
      <c r="M7423">
        <v>76.891999999999996</v>
      </c>
      <c r="N7423">
        <v>10.923999999999999</v>
      </c>
    </row>
    <row r="7424" spans="1:14" x14ac:dyDescent="0.45">
      <c r="A7424">
        <v>2015</v>
      </c>
      <c r="B7424" t="s">
        <v>64</v>
      </c>
      <c r="C7424">
        <v>0</v>
      </c>
      <c r="D7424">
        <v>0</v>
      </c>
      <c r="E7424">
        <v>0</v>
      </c>
      <c r="F7424">
        <v>0</v>
      </c>
      <c r="G7424">
        <v>0</v>
      </c>
      <c r="H7424">
        <v>1</v>
      </c>
      <c r="I7424">
        <v>1</v>
      </c>
      <c r="J7424">
        <v>55691.698849996203</v>
      </c>
      <c r="K7424">
        <v>48237.453561219103</v>
      </c>
      <c r="L7424">
        <v>14.298999999999999</v>
      </c>
      <c r="M7424">
        <v>82.605000000000004</v>
      </c>
      <c r="N7424">
        <v>3.7589999999999999</v>
      </c>
    </row>
    <row r="7425" spans="1:14" x14ac:dyDescent="0.45">
      <c r="A7425">
        <v>2015</v>
      </c>
      <c r="B7425" t="s">
        <v>65</v>
      </c>
      <c r="C7425">
        <v>1</v>
      </c>
      <c r="D7425">
        <v>0</v>
      </c>
      <c r="E7425">
        <v>0</v>
      </c>
      <c r="F7425">
        <v>0</v>
      </c>
      <c r="G7425">
        <v>0</v>
      </c>
      <c r="H7425">
        <v>1</v>
      </c>
      <c r="I7425">
        <v>1</v>
      </c>
      <c r="J7425">
        <v>61025.999453964003</v>
      </c>
      <c r="K7425">
        <v>52003.643160796302</v>
      </c>
      <c r="L7425">
        <v>42.284999999999997</v>
      </c>
      <c r="M7425">
        <v>81.159000000000006</v>
      </c>
      <c r="N7425">
        <v>3.6709999999999998</v>
      </c>
    </row>
    <row r="7426" spans="1:14" x14ac:dyDescent="0.45">
      <c r="A7426">
        <v>2015</v>
      </c>
      <c r="B7426" t="s">
        <v>66</v>
      </c>
      <c r="C7426">
        <v>1</v>
      </c>
      <c r="D7426">
        <v>0</v>
      </c>
      <c r="E7426">
        <v>0</v>
      </c>
      <c r="F7426">
        <v>0</v>
      </c>
      <c r="G7426">
        <v>1</v>
      </c>
      <c r="H7426">
        <v>0</v>
      </c>
      <c r="I7426">
        <v>0</v>
      </c>
      <c r="J7426">
        <v>20678.753961558199</v>
      </c>
      <c r="K7426">
        <v>15058.524125404099</v>
      </c>
      <c r="L7426">
        <v>45.286000000000001</v>
      </c>
      <c r="M7426">
        <v>72.349000000000004</v>
      </c>
      <c r="N7426">
        <v>26.844000000000001</v>
      </c>
    </row>
    <row r="7427" spans="1:14" x14ac:dyDescent="0.45">
      <c r="A7427">
        <v>2015</v>
      </c>
      <c r="B7427" t="s">
        <v>67</v>
      </c>
      <c r="C7427">
        <v>0</v>
      </c>
      <c r="D7427">
        <v>0</v>
      </c>
      <c r="E7427">
        <v>1</v>
      </c>
      <c r="F7427">
        <v>0</v>
      </c>
      <c r="G7427">
        <v>0</v>
      </c>
      <c r="H7427">
        <v>0</v>
      </c>
      <c r="I7427">
        <v>0</v>
      </c>
      <c r="J7427">
        <v>918.55719294129597</v>
      </c>
      <c r="K7427">
        <v>793.72824945813602</v>
      </c>
      <c r="L7427">
        <v>87.921999999999997</v>
      </c>
      <c r="M7427">
        <v>60.106999999999999</v>
      </c>
      <c r="N7427">
        <v>68.653000000000006</v>
      </c>
    </row>
    <row r="7428" spans="1:14" x14ac:dyDescent="0.45">
      <c r="A7428">
        <v>2015</v>
      </c>
      <c r="B7428" t="s">
        <v>68</v>
      </c>
      <c r="C7428">
        <v>1</v>
      </c>
      <c r="D7428">
        <v>0</v>
      </c>
      <c r="E7428">
        <v>0</v>
      </c>
      <c r="F7428">
        <v>0</v>
      </c>
      <c r="G7428">
        <v>0</v>
      </c>
      <c r="H7428">
        <v>1</v>
      </c>
      <c r="I7428">
        <v>1</v>
      </c>
      <c r="J7428">
        <v>57534.396611736804</v>
      </c>
      <c r="K7428">
        <v>48416.151342876903</v>
      </c>
      <c r="L7428">
        <v>2.1240000000000001</v>
      </c>
      <c r="M7428">
        <v>80.888999999999996</v>
      </c>
      <c r="N7428">
        <v>3.9060000000000001</v>
      </c>
    </row>
    <row r="7429" spans="1:14" x14ac:dyDescent="0.45">
      <c r="A7429">
        <v>2015</v>
      </c>
      <c r="B7429" t="s">
        <v>69</v>
      </c>
      <c r="C7429">
        <v>0</v>
      </c>
      <c r="D7429">
        <v>0</v>
      </c>
      <c r="E7429">
        <v>1</v>
      </c>
      <c r="F7429">
        <v>0</v>
      </c>
      <c r="G7429">
        <v>0</v>
      </c>
      <c r="H7429">
        <v>0</v>
      </c>
      <c r="I7429">
        <v>0</v>
      </c>
      <c r="J7429">
        <v>2952.0021833870501</v>
      </c>
      <c r="K7429">
        <v>2800.71763462332</v>
      </c>
      <c r="L7429">
        <v>54.305</v>
      </c>
      <c r="M7429">
        <v>59.122999999999998</v>
      </c>
      <c r="N7429">
        <v>97.141999999999996</v>
      </c>
    </row>
    <row r="7430" spans="1:14" x14ac:dyDescent="0.45">
      <c r="A7430">
        <v>2015</v>
      </c>
      <c r="B7430" t="s">
        <v>70</v>
      </c>
      <c r="C7430">
        <v>0</v>
      </c>
      <c r="D7430">
        <v>0</v>
      </c>
      <c r="E7430">
        <v>1</v>
      </c>
      <c r="F7430">
        <v>0</v>
      </c>
      <c r="G7430">
        <v>0</v>
      </c>
      <c r="H7430">
        <v>0</v>
      </c>
      <c r="I7430">
        <v>0</v>
      </c>
      <c r="J7430">
        <v>2101.7026619202702</v>
      </c>
      <c r="K7430">
        <v>1922.9257108578299</v>
      </c>
      <c r="L7430">
        <v>72.47</v>
      </c>
      <c r="M7430">
        <v>58.777999999999999</v>
      </c>
      <c r="N7430">
        <v>100.92400000000001</v>
      </c>
    </row>
    <row r="7431" spans="1:14" x14ac:dyDescent="0.45">
      <c r="A7431">
        <v>2015</v>
      </c>
      <c r="B7431" t="s">
        <v>71</v>
      </c>
      <c r="C7431">
        <v>0</v>
      </c>
      <c r="D7431">
        <v>0</v>
      </c>
      <c r="E7431">
        <v>0</v>
      </c>
      <c r="F7431">
        <v>1</v>
      </c>
      <c r="G7431">
        <v>0</v>
      </c>
      <c r="H7431">
        <v>0</v>
      </c>
      <c r="I7431">
        <v>0</v>
      </c>
      <c r="J7431">
        <v>5352.7113329956601</v>
      </c>
      <c r="K7431">
        <v>4351.72522132416</v>
      </c>
      <c r="L7431">
        <v>65.691999999999993</v>
      </c>
      <c r="M7431">
        <v>70.543000000000006</v>
      </c>
      <c r="N7431">
        <v>38.670999999999999</v>
      </c>
    </row>
    <row r="7432" spans="1:14" x14ac:dyDescent="0.45">
      <c r="A7432">
        <v>2015</v>
      </c>
      <c r="B7432" t="s">
        <v>72</v>
      </c>
      <c r="C7432">
        <v>1</v>
      </c>
      <c r="D7432">
        <v>0</v>
      </c>
      <c r="E7432">
        <v>0</v>
      </c>
      <c r="F7432">
        <v>0</v>
      </c>
      <c r="G7432">
        <v>1</v>
      </c>
      <c r="H7432">
        <v>0</v>
      </c>
      <c r="I7432">
        <v>0</v>
      </c>
      <c r="J7432">
        <v>24553.143682793401</v>
      </c>
      <c r="K7432">
        <v>20374.1856820338</v>
      </c>
      <c r="L7432">
        <v>26.01</v>
      </c>
      <c r="M7432">
        <v>74.620999999999995</v>
      </c>
      <c r="N7432">
        <v>7.7069999999999999</v>
      </c>
    </row>
    <row r="7433" spans="1:14" x14ac:dyDescent="0.45">
      <c r="A7433">
        <v>2015</v>
      </c>
      <c r="B7433" t="s">
        <v>73</v>
      </c>
      <c r="C7433">
        <v>0</v>
      </c>
      <c r="D7433">
        <v>0</v>
      </c>
      <c r="E7433">
        <v>0</v>
      </c>
      <c r="F7433">
        <v>0</v>
      </c>
      <c r="G7433">
        <v>0</v>
      </c>
      <c r="H7433">
        <v>1</v>
      </c>
      <c r="I7433">
        <v>1</v>
      </c>
      <c r="J7433">
        <v>54149.913152472102</v>
      </c>
      <c r="K7433">
        <v>50454.844814752701</v>
      </c>
      <c r="L7433">
        <v>11.000999999999999</v>
      </c>
      <c r="M7433">
        <v>80.337999999999994</v>
      </c>
      <c r="N7433">
        <v>7.6139999999999999</v>
      </c>
    </row>
    <row r="7434" spans="1:14" x14ac:dyDescent="0.45">
      <c r="A7434">
        <v>2015</v>
      </c>
      <c r="B7434" t="s">
        <v>74</v>
      </c>
      <c r="C7434">
        <v>0</v>
      </c>
      <c r="D7434">
        <v>1</v>
      </c>
      <c r="E7434">
        <v>0</v>
      </c>
      <c r="F7434">
        <v>0</v>
      </c>
      <c r="G7434">
        <v>0</v>
      </c>
      <c r="H7434">
        <v>1</v>
      </c>
      <c r="I7434">
        <v>1</v>
      </c>
      <c r="J7434">
        <v>32777.395608262297</v>
      </c>
      <c r="K7434">
        <v>33999.533084326999</v>
      </c>
      <c r="L7434">
        <v>17.254000000000001</v>
      </c>
      <c r="M7434">
        <v>73.805000000000007</v>
      </c>
      <c r="N7434">
        <v>15.081</v>
      </c>
    </row>
    <row r="7435" spans="1:14" x14ac:dyDescent="0.45">
      <c r="A7435">
        <v>2015</v>
      </c>
      <c r="B7435" t="s">
        <v>75</v>
      </c>
      <c r="C7435">
        <v>1</v>
      </c>
      <c r="D7435">
        <v>0</v>
      </c>
      <c r="E7435">
        <v>0</v>
      </c>
      <c r="F7435">
        <v>0</v>
      </c>
      <c r="G7435">
        <v>1</v>
      </c>
      <c r="H7435">
        <v>0</v>
      </c>
      <c r="I7435">
        <v>0</v>
      </c>
      <c r="J7435">
        <v>14219.5427756874</v>
      </c>
      <c r="K7435">
        <v>12283.7125841167</v>
      </c>
      <c r="L7435">
        <v>52.826999999999998</v>
      </c>
      <c r="M7435">
        <v>77.072999999999993</v>
      </c>
      <c r="N7435">
        <v>6.4</v>
      </c>
    </row>
    <row r="7436" spans="1:14" x14ac:dyDescent="0.45">
      <c r="A7436">
        <v>2015</v>
      </c>
      <c r="B7436" t="s">
        <v>76</v>
      </c>
      <c r="C7436">
        <v>1</v>
      </c>
      <c r="D7436">
        <v>0</v>
      </c>
      <c r="E7436">
        <v>0</v>
      </c>
      <c r="F7436">
        <v>0</v>
      </c>
      <c r="G7436">
        <v>1</v>
      </c>
      <c r="H7436">
        <v>0</v>
      </c>
      <c r="I7436">
        <v>0</v>
      </c>
      <c r="J7436">
        <v>25513.213293121</v>
      </c>
      <c r="K7436">
        <v>18420.4141734523</v>
      </c>
      <c r="L7436">
        <v>22.818999999999999</v>
      </c>
      <c r="M7436">
        <v>73.760999999999996</v>
      </c>
      <c r="N7436">
        <v>4.07</v>
      </c>
    </row>
    <row r="7437" spans="1:14" x14ac:dyDescent="0.45">
      <c r="A7437">
        <v>2015</v>
      </c>
      <c r="B7437" t="s">
        <v>77</v>
      </c>
      <c r="C7437">
        <v>0</v>
      </c>
      <c r="D7437">
        <v>1</v>
      </c>
      <c r="E7437">
        <v>0</v>
      </c>
      <c r="F7437">
        <v>0</v>
      </c>
      <c r="G7437">
        <v>1</v>
      </c>
      <c r="H7437">
        <v>0</v>
      </c>
      <c r="I7437">
        <v>0</v>
      </c>
      <c r="J7437">
        <v>12339.4807382581</v>
      </c>
      <c r="K7437">
        <v>9724.6605809762805</v>
      </c>
      <c r="L7437">
        <v>54.594000000000001</v>
      </c>
      <c r="M7437">
        <v>71.647000000000006</v>
      </c>
      <c r="N7437">
        <v>15.582000000000001</v>
      </c>
    </row>
    <row r="7438" spans="1:14" x14ac:dyDescent="0.45">
      <c r="A7438">
        <v>2015</v>
      </c>
      <c r="B7438" t="s">
        <v>78</v>
      </c>
      <c r="C7438">
        <v>0</v>
      </c>
      <c r="D7438">
        <v>0</v>
      </c>
      <c r="E7438">
        <v>0</v>
      </c>
      <c r="F7438">
        <v>0</v>
      </c>
      <c r="G7438">
        <v>0</v>
      </c>
      <c r="H7438">
        <v>1</v>
      </c>
      <c r="I7438">
        <v>1</v>
      </c>
      <c r="J7438">
        <v>93859.876949462094</v>
      </c>
      <c r="K7438">
        <v>83391.114040850807</v>
      </c>
      <c r="L7438">
        <v>0</v>
      </c>
      <c r="M7438">
        <v>80.337999999999994</v>
      </c>
      <c r="N7438">
        <v>3.746</v>
      </c>
    </row>
    <row r="7439" spans="1:14" x14ac:dyDescent="0.45">
      <c r="A7439">
        <v>2015</v>
      </c>
      <c r="B7439" t="s">
        <v>79</v>
      </c>
      <c r="C7439">
        <v>0</v>
      </c>
      <c r="D7439">
        <v>1</v>
      </c>
      <c r="E7439">
        <v>0</v>
      </c>
      <c r="F7439">
        <v>1</v>
      </c>
      <c r="G7439">
        <v>0</v>
      </c>
      <c r="H7439">
        <v>0</v>
      </c>
      <c r="I7439">
        <v>0</v>
      </c>
      <c r="J7439">
        <v>9141.9284090088204</v>
      </c>
      <c r="K7439">
        <v>8068.2108619494702</v>
      </c>
      <c r="L7439">
        <v>31.606999999999999</v>
      </c>
      <c r="M7439">
        <v>67.204999999999998</v>
      </c>
      <c r="N7439">
        <v>51.363</v>
      </c>
    </row>
    <row r="7440" spans="1:14" x14ac:dyDescent="0.45">
      <c r="A7440">
        <v>2015</v>
      </c>
      <c r="B7440" t="s">
        <v>80</v>
      </c>
      <c r="C7440">
        <v>0</v>
      </c>
      <c r="D7440">
        <v>1</v>
      </c>
      <c r="E7440">
        <v>0</v>
      </c>
      <c r="F7440">
        <v>0</v>
      </c>
      <c r="G7440">
        <v>1</v>
      </c>
      <c r="H7440">
        <v>0</v>
      </c>
      <c r="I7440">
        <v>0</v>
      </c>
      <c r="J7440">
        <v>18357.069061799099</v>
      </c>
      <c r="K7440">
        <v>15078.664336346001</v>
      </c>
      <c r="L7440">
        <v>14.23</v>
      </c>
      <c r="M7440">
        <v>75.105999999999995</v>
      </c>
      <c r="N7440">
        <v>15.999000000000001</v>
      </c>
    </row>
    <row r="7441" spans="1:14" x14ac:dyDescent="0.45">
      <c r="A7441">
        <v>2015</v>
      </c>
      <c r="B7441" t="s">
        <v>81</v>
      </c>
      <c r="C7441">
        <v>0</v>
      </c>
      <c r="D7441">
        <v>1</v>
      </c>
      <c r="E7441">
        <v>0</v>
      </c>
      <c r="F7441">
        <v>0</v>
      </c>
      <c r="G7441">
        <v>0</v>
      </c>
      <c r="H7441">
        <v>1</v>
      </c>
      <c r="I7441">
        <v>1</v>
      </c>
      <c r="J7441">
        <v>18464.6630889427</v>
      </c>
      <c r="K7441">
        <v>17635.5917658816</v>
      </c>
      <c r="L7441">
        <v>68.751000000000005</v>
      </c>
      <c r="M7441">
        <v>76.055000000000007</v>
      </c>
      <c r="N7441">
        <v>13.285</v>
      </c>
    </row>
    <row r="7442" spans="1:14" x14ac:dyDescent="0.45">
      <c r="A7442">
        <v>2015</v>
      </c>
      <c r="B7442" t="s">
        <v>82</v>
      </c>
      <c r="C7442">
        <v>0</v>
      </c>
      <c r="D7442">
        <v>0</v>
      </c>
      <c r="E7442">
        <v>0</v>
      </c>
      <c r="F7442">
        <v>0</v>
      </c>
      <c r="G7442">
        <v>0</v>
      </c>
      <c r="H7442">
        <v>1</v>
      </c>
      <c r="I7442">
        <v>1</v>
      </c>
      <c r="J7442">
        <v>81910.188395268793</v>
      </c>
      <c r="K7442">
        <v>63955.841545231</v>
      </c>
      <c r="L7442">
        <v>23.337</v>
      </c>
      <c r="M7442">
        <v>74.88</v>
      </c>
      <c r="N7442">
        <v>9.8710000000000004</v>
      </c>
    </row>
    <row r="7443" spans="1:14" x14ac:dyDescent="0.45">
      <c r="A7443">
        <v>2015</v>
      </c>
      <c r="B7443" t="s">
        <v>83</v>
      </c>
      <c r="C7443">
        <v>0</v>
      </c>
      <c r="D7443">
        <v>0</v>
      </c>
      <c r="E7443">
        <v>0</v>
      </c>
      <c r="F7443">
        <v>1</v>
      </c>
      <c r="G7443">
        <v>0</v>
      </c>
      <c r="H7443">
        <v>0</v>
      </c>
      <c r="I7443">
        <v>0</v>
      </c>
      <c r="J7443">
        <v>12400.2983237391</v>
      </c>
      <c r="K7443">
        <v>10740.2265023855</v>
      </c>
      <c r="L7443">
        <v>61.322000000000003</v>
      </c>
      <c r="M7443">
        <v>70.796999999999997</v>
      </c>
      <c r="N7443">
        <v>30.614999999999998</v>
      </c>
    </row>
    <row r="7444" spans="1:14" x14ac:dyDescent="0.45">
      <c r="A7444">
        <v>2015</v>
      </c>
      <c r="B7444" t="s">
        <v>84</v>
      </c>
      <c r="C7444">
        <v>0</v>
      </c>
      <c r="D7444">
        <v>0</v>
      </c>
      <c r="E7444">
        <v>1</v>
      </c>
      <c r="F7444">
        <v>0</v>
      </c>
      <c r="G7444">
        <v>1</v>
      </c>
      <c r="H7444">
        <v>0</v>
      </c>
      <c r="I7444">
        <v>0</v>
      </c>
      <c r="J7444">
        <v>15994.9643027691</v>
      </c>
      <c r="K7444">
        <v>14472.0267289491</v>
      </c>
      <c r="L7444">
        <v>32.844999999999999</v>
      </c>
      <c r="M7444">
        <v>63.215000000000003</v>
      </c>
      <c r="N7444">
        <v>48.76</v>
      </c>
    </row>
    <row r="7445" spans="1:14" x14ac:dyDescent="0.45">
      <c r="A7445">
        <v>2015</v>
      </c>
      <c r="B7445" t="s">
        <v>85</v>
      </c>
      <c r="C7445">
        <v>0</v>
      </c>
      <c r="D7445">
        <v>0</v>
      </c>
      <c r="E7445">
        <v>1</v>
      </c>
      <c r="F7445">
        <v>0</v>
      </c>
      <c r="G7445">
        <v>0</v>
      </c>
      <c r="H7445">
        <v>0</v>
      </c>
      <c r="I7445">
        <v>0</v>
      </c>
      <c r="J7445">
        <v>1043.92171697157</v>
      </c>
      <c r="K7445">
        <v>835.81626066718604</v>
      </c>
      <c r="L7445">
        <v>59.722999999999999</v>
      </c>
      <c r="M7445">
        <v>51.933999999999997</v>
      </c>
      <c r="N7445">
        <v>123.53400000000001</v>
      </c>
    </row>
    <row r="7446" spans="1:14" x14ac:dyDescent="0.45">
      <c r="A7446">
        <v>2015</v>
      </c>
      <c r="B7446" t="s">
        <v>86</v>
      </c>
      <c r="C7446">
        <v>0</v>
      </c>
      <c r="D7446">
        <v>0</v>
      </c>
      <c r="E7446">
        <v>0</v>
      </c>
      <c r="F7446">
        <v>0</v>
      </c>
      <c r="G7446">
        <v>0</v>
      </c>
      <c r="H7446">
        <v>1</v>
      </c>
      <c r="I7446">
        <v>1</v>
      </c>
      <c r="J7446">
        <v>55660.867527261398</v>
      </c>
      <c r="K7446">
        <v>48180.969540628597</v>
      </c>
      <c r="L7446">
        <v>18.741</v>
      </c>
      <c r="M7446">
        <v>81.908000000000001</v>
      </c>
      <c r="N7446">
        <v>5.2779999999999996</v>
      </c>
    </row>
    <row r="7447" spans="1:14" x14ac:dyDescent="0.45">
      <c r="A7447">
        <v>2015</v>
      </c>
      <c r="B7447" t="s">
        <v>87</v>
      </c>
      <c r="C7447">
        <v>1</v>
      </c>
      <c r="D7447">
        <v>0</v>
      </c>
      <c r="E7447">
        <v>0</v>
      </c>
      <c r="F7447">
        <v>0</v>
      </c>
      <c r="G7447">
        <v>0</v>
      </c>
      <c r="H7447">
        <v>1</v>
      </c>
      <c r="I7447">
        <v>1</v>
      </c>
      <c r="J7447">
        <v>76566.077254214804</v>
      </c>
      <c r="K7447">
        <v>66609.952992557795</v>
      </c>
      <c r="L7447">
        <v>26.282</v>
      </c>
      <c r="M7447">
        <v>82.846000000000004</v>
      </c>
      <c r="N7447">
        <v>4.5819999999999999</v>
      </c>
    </row>
    <row r="7448" spans="1:14" x14ac:dyDescent="0.45">
      <c r="A7448">
        <v>2015</v>
      </c>
      <c r="B7448" t="s">
        <v>88</v>
      </c>
      <c r="C7448">
        <v>1</v>
      </c>
      <c r="D7448">
        <v>0</v>
      </c>
      <c r="E7448">
        <v>0</v>
      </c>
      <c r="F7448">
        <v>0</v>
      </c>
      <c r="G7448">
        <v>0</v>
      </c>
      <c r="H7448">
        <v>1</v>
      </c>
      <c r="I7448">
        <v>1</v>
      </c>
      <c r="L7448">
        <v>69.037999999999997</v>
      </c>
      <c r="M7448">
        <v>81.372813709055706</v>
      </c>
      <c r="N7448">
        <v>8.3857033354950001</v>
      </c>
    </row>
    <row r="7449" spans="1:14" x14ac:dyDescent="0.45">
      <c r="A7449">
        <v>2015</v>
      </c>
      <c r="B7449" t="s">
        <v>89</v>
      </c>
      <c r="C7449">
        <v>0</v>
      </c>
      <c r="D7449">
        <v>1</v>
      </c>
      <c r="E7449">
        <v>0</v>
      </c>
      <c r="F7449">
        <v>0</v>
      </c>
      <c r="G7449">
        <v>0</v>
      </c>
      <c r="H7449">
        <v>1</v>
      </c>
      <c r="I7449">
        <v>1</v>
      </c>
      <c r="J7449">
        <v>27811.374515861698</v>
      </c>
      <c r="K7449">
        <v>24225.9862621137</v>
      </c>
      <c r="L7449">
        <v>12.64</v>
      </c>
      <c r="M7449">
        <v>80.007999999999996</v>
      </c>
      <c r="N7449">
        <v>8.17</v>
      </c>
    </row>
    <row r="7450" spans="1:14" x14ac:dyDescent="0.45">
      <c r="A7450">
        <v>2015</v>
      </c>
      <c r="B7450" t="s">
        <v>90</v>
      </c>
      <c r="C7450">
        <v>0</v>
      </c>
      <c r="D7450">
        <v>0</v>
      </c>
      <c r="E7450">
        <v>0</v>
      </c>
      <c r="F7450">
        <v>0</v>
      </c>
      <c r="G7450">
        <v>1</v>
      </c>
      <c r="H7450">
        <v>0</v>
      </c>
      <c r="I7450">
        <v>0</v>
      </c>
      <c r="J7450">
        <v>14856.7807604461</v>
      </c>
      <c r="K7450">
        <v>13318.141981004401</v>
      </c>
      <c r="L7450">
        <v>44.5</v>
      </c>
      <c r="M7450">
        <v>76.974999999999994</v>
      </c>
      <c r="N7450">
        <v>10.795</v>
      </c>
    </row>
    <row r="7451" spans="1:14" x14ac:dyDescent="0.45">
      <c r="A7451">
        <v>2015</v>
      </c>
      <c r="B7451" t="s">
        <v>91</v>
      </c>
      <c r="C7451">
        <v>0</v>
      </c>
      <c r="D7451">
        <v>0</v>
      </c>
      <c r="E7451">
        <v>1</v>
      </c>
      <c r="F7451">
        <v>1</v>
      </c>
      <c r="G7451">
        <v>0</v>
      </c>
      <c r="H7451">
        <v>0</v>
      </c>
      <c r="I7451">
        <v>0</v>
      </c>
      <c r="J7451">
        <v>5110.8624080988102</v>
      </c>
      <c r="K7451">
        <v>4314.3205608600801</v>
      </c>
      <c r="L7451">
        <v>50.555999999999997</v>
      </c>
      <c r="M7451">
        <v>58.280999999999999</v>
      </c>
      <c r="N7451">
        <v>86.731999999999999</v>
      </c>
    </row>
    <row r="7452" spans="1:14" x14ac:dyDescent="0.45">
      <c r="A7452">
        <v>2015</v>
      </c>
      <c r="B7452" t="s">
        <v>92</v>
      </c>
      <c r="C7452">
        <v>0</v>
      </c>
      <c r="D7452">
        <v>0</v>
      </c>
      <c r="E7452">
        <v>1</v>
      </c>
      <c r="F7452">
        <v>1</v>
      </c>
      <c r="G7452">
        <v>0</v>
      </c>
      <c r="H7452">
        <v>0</v>
      </c>
      <c r="I7452">
        <v>0</v>
      </c>
      <c r="J7452">
        <v>4698.6667784358697</v>
      </c>
      <c r="K7452">
        <v>3689.4521926437001</v>
      </c>
      <c r="L7452">
        <v>45.421999999999997</v>
      </c>
      <c r="M7452">
        <v>59.686999999999998</v>
      </c>
      <c r="N7452">
        <v>89.768000000000001</v>
      </c>
    </row>
    <row r="7453" spans="1:14" x14ac:dyDescent="0.45">
      <c r="A7453">
        <v>2015</v>
      </c>
      <c r="B7453" t="s">
        <v>93</v>
      </c>
      <c r="C7453">
        <v>0</v>
      </c>
      <c r="D7453">
        <v>0</v>
      </c>
      <c r="E7453">
        <v>1</v>
      </c>
      <c r="F7453">
        <v>0</v>
      </c>
      <c r="G7453">
        <v>0</v>
      </c>
      <c r="H7453">
        <v>0</v>
      </c>
      <c r="I7453">
        <v>0</v>
      </c>
      <c r="J7453">
        <v>1267.9054867822699</v>
      </c>
      <c r="K7453">
        <v>1015.04014172302</v>
      </c>
      <c r="L7453">
        <v>57.26</v>
      </c>
      <c r="M7453">
        <v>58.658000000000001</v>
      </c>
      <c r="N7453">
        <v>95.748999999999995</v>
      </c>
    </row>
    <row r="7454" spans="1:14" x14ac:dyDescent="0.45">
      <c r="A7454">
        <v>2015</v>
      </c>
      <c r="B7454" t="s">
        <v>94</v>
      </c>
      <c r="C7454">
        <v>0</v>
      </c>
      <c r="D7454">
        <v>0</v>
      </c>
      <c r="E7454">
        <v>1</v>
      </c>
      <c r="F7454">
        <v>1</v>
      </c>
      <c r="G7454">
        <v>0</v>
      </c>
      <c r="H7454">
        <v>0</v>
      </c>
      <c r="I7454">
        <v>0</v>
      </c>
      <c r="J7454">
        <v>8977.7068164141692</v>
      </c>
      <c r="K7454">
        <v>5412.1675660175797</v>
      </c>
      <c r="L7454">
        <v>34.457000000000001</v>
      </c>
      <c r="M7454">
        <v>63.661999999999999</v>
      </c>
      <c r="N7454">
        <v>51.848999999999997</v>
      </c>
    </row>
    <row r="7455" spans="1:14" x14ac:dyDescent="0.45">
      <c r="A7455">
        <v>2015</v>
      </c>
      <c r="B7455" t="s">
        <v>95</v>
      </c>
      <c r="C7455">
        <v>0</v>
      </c>
      <c r="D7455">
        <v>1</v>
      </c>
      <c r="E7455">
        <v>0</v>
      </c>
      <c r="F7455">
        <v>0</v>
      </c>
      <c r="G7455">
        <v>1</v>
      </c>
      <c r="H7455">
        <v>0</v>
      </c>
      <c r="I7455">
        <v>0</v>
      </c>
      <c r="J7455">
        <v>16821.380140063098</v>
      </c>
      <c r="K7455">
        <v>14005.640650826999</v>
      </c>
      <c r="L7455">
        <v>20.236000000000001</v>
      </c>
      <c r="M7455">
        <v>76.066999999999993</v>
      </c>
      <c r="N7455">
        <v>15.608000000000001</v>
      </c>
    </row>
    <row r="7456" spans="1:14" x14ac:dyDescent="0.45">
      <c r="A7456">
        <v>2015</v>
      </c>
      <c r="B7456" t="s">
        <v>96</v>
      </c>
      <c r="C7456">
        <v>0</v>
      </c>
      <c r="D7456">
        <v>0</v>
      </c>
      <c r="E7456">
        <v>1</v>
      </c>
      <c r="F7456">
        <v>0</v>
      </c>
      <c r="G7456">
        <v>0</v>
      </c>
      <c r="H7456">
        <v>0</v>
      </c>
      <c r="I7456">
        <v>0</v>
      </c>
      <c r="J7456">
        <v>3105.5929632385</v>
      </c>
      <c r="K7456">
        <v>3211.5794638183202</v>
      </c>
      <c r="L7456">
        <v>71.53</v>
      </c>
      <c r="M7456">
        <v>64.472999999999999</v>
      </c>
      <c r="N7456">
        <v>61.222999999999999</v>
      </c>
    </row>
    <row r="7457" spans="1:14" x14ac:dyDescent="0.45">
      <c r="A7457">
        <v>2015</v>
      </c>
      <c r="B7457" t="s">
        <v>97</v>
      </c>
      <c r="C7457">
        <v>0</v>
      </c>
      <c r="D7457">
        <v>0</v>
      </c>
      <c r="E7457">
        <v>1</v>
      </c>
      <c r="F7457">
        <v>1</v>
      </c>
      <c r="G7457">
        <v>0</v>
      </c>
      <c r="H7457">
        <v>0</v>
      </c>
      <c r="I7457">
        <v>0</v>
      </c>
      <c r="J7457">
        <v>7560.1364920246897</v>
      </c>
      <c r="K7457">
        <v>7285.8101841493699</v>
      </c>
      <c r="L7457">
        <v>35.700000000000003</v>
      </c>
      <c r="M7457">
        <v>74.096000000000004</v>
      </c>
      <c r="N7457">
        <v>18.584</v>
      </c>
    </row>
    <row r="7458" spans="1:14" x14ac:dyDescent="0.45">
      <c r="A7458">
        <v>2015</v>
      </c>
      <c r="B7458" t="s">
        <v>98</v>
      </c>
      <c r="C7458">
        <v>0</v>
      </c>
      <c r="D7458">
        <v>1</v>
      </c>
      <c r="E7458">
        <v>0</v>
      </c>
      <c r="F7458">
        <v>0</v>
      </c>
      <c r="G7458">
        <v>1</v>
      </c>
      <c r="H7458">
        <v>0</v>
      </c>
      <c r="I7458">
        <v>0</v>
      </c>
      <c r="J7458">
        <v>21254.784093217899</v>
      </c>
      <c r="K7458">
        <v>19030.5653519359</v>
      </c>
      <c r="L7458">
        <v>23.138000000000002</v>
      </c>
      <c r="M7458">
        <v>80.406999999999996</v>
      </c>
      <c r="N7458">
        <v>9.0939999999999994</v>
      </c>
    </row>
    <row r="7459" spans="1:14" x14ac:dyDescent="0.45">
      <c r="A7459">
        <v>2015</v>
      </c>
      <c r="B7459" t="s">
        <v>99</v>
      </c>
      <c r="C7459">
        <v>0</v>
      </c>
      <c r="D7459">
        <v>1</v>
      </c>
      <c r="E7459">
        <v>0</v>
      </c>
      <c r="F7459">
        <v>0</v>
      </c>
      <c r="G7459">
        <v>1</v>
      </c>
      <c r="H7459">
        <v>0</v>
      </c>
      <c r="I7459">
        <v>0</v>
      </c>
      <c r="L7459">
        <v>23.103999999999999</v>
      </c>
      <c r="M7459">
        <v>77.745000000000005</v>
      </c>
      <c r="N7459">
        <v>6.2830000000000004</v>
      </c>
    </row>
    <row r="7460" spans="1:14" x14ac:dyDescent="0.45">
      <c r="A7460">
        <v>2015</v>
      </c>
      <c r="B7460" t="s">
        <v>100</v>
      </c>
      <c r="C7460">
        <v>0</v>
      </c>
      <c r="D7460">
        <v>1</v>
      </c>
      <c r="E7460">
        <v>0</v>
      </c>
      <c r="F7460">
        <v>0</v>
      </c>
      <c r="G7460">
        <v>0</v>
      </c>
      <c r="H7460">
        <v>1</v>
      </c>
      <c r="I7460">
        <v>1</v>
      </c>
      <c r="J7460">
        <v>30861.320364458301</v>
      </c>
      <c r="K7460">
        <v>25248.029050819201</v>
      </c>
      <c r="L7460">
        <v>10.648</v>
      </c>
      <c r="M7460">
        <v>76.481999999999999</v>
      </c>
      <c r="N7460">
        <v>11.644</v>
      </c>
    </row>
    <row r="7461" spans="1:14" x14ac:dyDescent="0.45">
      <c r="A7461">
        <v>2015</v>
      </c>
      <c r="B7461" t="s">
        <v>101</v>
      </c>
      <c r="C7461">
        <v>0</v>
      </c>
      <c r="D7461">
        <v>1</v>
      </c>
      <c r="E7461">
        <v>0</v>
      </c>
      <c r="F7461">
        <v>0</v>
      </c>
      <c r="G7461">
        <v>0</v>
      </c>
      <c r="H7461">
        <v>1</v>
      </c>
      <c r="I7461">
        <v>1</v>
      </c>
      <c r="J7461">
        <v>73281.0447634718</v>
      </c>
      <c r="K7461">
        <v>66846.695839087697</v>
      </c>
      <c r="L7461">
        <v>0</v>
      </c>
      <c r="M7461">
        <v>78.119</v>
      </c>
      <c r="N7461">
        <v>2.9470000000000001</v>
      </c>
    </row>
    <row r="7462" spans="1:14" x14ac:dyDescent="0.45">
      <c r="A7462">
        <v>2015</v>
      </c>
      <c r="B7462" t="s">
        <v>102</v>
      </c>
      <c r="C7462">
        <v>1</v>
      </c>
      <c r="D7462">
        <v>0</v>
      </c>
      <c r="E7462">
        <v>0</v>
      </c>
      <c r="F7462">
        <v>0</v>
      </c>
      <c r="G7462">
        <v>0</v>
      </c>
      <c r="H7462">
        <v>1</v>
      </c>
      <c r="I7462">
        <v>1</v>
      </c>
      <c r="J7462">
        <v>37903.125</v>
      </c>
      <c r="K7462">
        <v>33765.701452303001</v>
      </c>
      <c r="L7462">
        <v>33.054000000000002</v>
      </c>
      <c r="M7462">
        <v>81.463999999999999</v>
      </c>
      <c r="N7462">
        <v>3.0659999999999998</v>
      </c>
    </row>
    <row r="7463" spans="1:14" x14ac:dyDescent="0.45">
      <c r="A7463">
        <v>2015</v>
      </c>
      <c r="B7463" t="s">
        <v>103</v>
      </c>
      <c r="C7463">
        <v>1</v>
      </c>
      <c r="D7463">
        <v>0</v>
      </c>
      <c r="E7463">
        <v>0</v>
      </c>
      <c r="F7463">
        <v>0</v>
      </c>
      <c r="G7463">
        <v>0</v>
      </c>
      <c r="H7463">
        <v>1</v>
      </c>
      <c r="I7463">
        <v>1</v>
      </c>
      <c r="J7463">
        <v>42066.575980080102</v>
      </c>
      <c r="K7463">
        <v>35024.738135713698</v>
      </c>
      <c r="L7463">
        <v>26.523</v>
      </c>
      <c r="M7463">
        <v>78.561000000000007</v>
      </c>
      <c r="N7463">
        <v>3.016</v>
      </c>
    </row>
    <row r="7464" spans="1:14" x14ac:dyDescent="0.45">
      <c r="A7464">
        <v>2015</v>
      </c>
      <c r="B7464" t="s">
        <v>104</v>
      </c>
      <c r="C7464">
        <v>1</v>
      </c>
      <c r="D7464">
        <v>0</v>
      </c>
      <c r="E7464">
        <v>0</v>
      </c>
      <c r="F7464">
        <v>0</v>
      </c>
      <c r="G7464">
        <v>0</v>
      </c>
      <c r="H7464">
        <v>1</v>
      </c>
      <c r="I7464">
        <v>1</v>
      </c>
      <c r="J7464">
        <v>59699.3381223014</v>
      </c>
      <c r="K7464">
        <v>51762.4384608607</v>
      </c>
      <c r="L7464">
        <v>22.8</v>
      </c>
      <c r="M7464">
        <v>80.566000000000003</v>
      </c>
      <c r="N7464">
        <v>3.9340000000000002</v>
      </c>
    </row>
    <row r="7465" spans="1:14" x14ac:dyDescent="0.45">
      <c r="A7465">
        <v>2015</v>
      </c>
      <c r="B7465" t="s">
        <v>105</v>
      </c>
      <c r="C7465">
        <v>0</v>
      </c>
      <c r="D7465">
        <v>0</v>
      </c>
      <c r="E7465">
        <v>0</v>
      </c>
      <c r="F7465">
        <v>1</v>
      </c>
      <c r="G7465">
        <v>0</v>
      </c>
      <c r="H7465">
        <v>0</v>
      </c>
      <c r="I7465">
        <v>0</v>
      </c>
      <c r="J7465">
        <v>4961.8681860591996</v>
      </c>
      <c r="K7465">
        <v>4279.8635977507502</v>
      </c>
      <c r="L7465">
        <v>22.582999999999998</v>
      </c>
      <c r="M7465">
        <v>62.832999999999998</v>
      </c>
      <c r="N7465">
        <v>65.173000000000002</v>
      </c>
    </row>
    <row r="7466" spans="1:14" x14ac:dyDescent="0.45">
      <c r="A7466">
        <v>2015</v>
      </c>
      <c r="B7466" t="s">
        <v>106</v>
      </c>
      <c r="C7466">
        <v>0</v>
      </c>
      <c r="D7466">
        <v>1</v>
      </c>
      <c r="E7466">
        <v>0</v>
      </c>
      <c r="F7466">
        <v>0</v>
      </c>
      <c r="G7466">
        <v>1</v>
      </c>
      <c r="H7466">
        <v>0</v>
      </c>
      <c r="I7466">
        <v>0</v>
      </c>
      <c r="J7466">
        <v>16920.912655566801</v>
      </c>
      <c r="K7466">
        <v>13168.3336043627</v>
      </c>
      <c r="L7466">
        <v>30.420999999999999</v>
      </c>
      <c r="M7466">
        <v>69.968000000000004</v>
      </c>
      <c r="N7466">
        <v>32.186999999999998</v>
      </c>
    </row>
    <row r="7467" spans="1:14" x14ac:dyDescent="0.45">
      <c r="A7467">
        <v>2015</v>
      </c>
      <c r="B7467" t="s">
        <v>107</v>
      </c>
      <c r="C7467">
        <v>1</v>
      </c>
      <c r="D7467">
        <v>0</v>
      </c>
      <c r="E7467">
        <v>0</v>
      </c>
      <c r="F7467">
        <v>0</v>
      </c>
      <c r="G7467">
        <v>0</v>
      </c>
      <c r="H7467">
        <v>1</v>
      </c>
      <c r="I7467">
        <v>1</v>
      </c>
      <c r="J7467">
        <v>61893.246062027298</v>
      </c>
      <c r="K7467">
        <v>52308.896710813802</v>
      </c>
      <c r="L7467">
        <v>12.474</v>
      </c>
      <c r="M7467">
        <v>80.739000000000004</v>
      </c>
      <c r="N7467">
        <v>4.0810000000000004</v>
      </c>
    </row>
    <row r="7468" spans="1:14" x14ac:dyDescent="0.45">
      <c r="A7468">
        <v>2015</v>
      </c>
      <c r="B7468" t="s">
        <v>108</v>
      </c>
      <c r="C7468">
        <v>0</v>
      </c>
      <c r="D7468">
        <v>1</v>
      </c>
      <c r="E7468">
        <v>0</v>
      </c>
      <c r="F7468">
        <v>0</v>
      </c>
      <c r="G7468">
        <v>1</v>
      </c>
      <c r="H7468">
        <v>0</v>
      </c>
      <c r="I7468">
        <v>0</v>
      </c>
      <c r="J7468">
        <v>17973.187025681498</v>
      </c>
      <c r="K7468">
        <v>15525.6882263799</v>
      </c>
      <c r="L7468">
        <v>21.434000000000001</v>
      </c>
      <c r="M7468">
        <v>72.981999999999999</v>
      </c>
      <c r="N7468">
        <v>34.923999999999999</v>
      </c>
    </row>
    <row r="7469" spans="1:14" x14ac:dyDescent="0.45">
      <c r="A7469">
        <v>2015</v>
      </c>
      <c r="B7469" t="s">
        <v>109</v>
      </c>
      <c r="C7469">
        <v>0</v>
      </c>
      <c r="D7469">
        <v>0</v>
      </c>
      <c r="E7469">
        <v>0</v>
      </c>
      <c r="F7469">
        <v>0</v>
      </c>
      <c r="G7469">
        <v>1</v>
      </c>
      <c r="H7469">
        <v>0</v>
      </c>
      <c r="I7469">
        <v>0</v>
      </c>
      <c r="J7469">
        <v>15239.5171456469</v>
      </c>
      <c r="K7469">
        <v>13329.0017104709</v>
      </c>
      <c r="L7469">
        <v>29.152000000000001</v>
      </c>
      <c r="M7469">
        <v>75.159000000000006</v>
      </c>
      <c r="N7469">
        <v>25.257999999999999</v>
      </c>
    </row>
    <row r="7470" spans="1:14" x14ac:dyDescent="0.45">
      <c r="A7470">
        <v>2015</v>
      </c>
      <c r="B7470" t="s">
        <v>110</v>
      </c>
      <c r="C7470">
        <v>0</v>
      </c>
      <c r="D7470">
        <v>1</v>
      </c>
      <c r="E7470">
        <v>0</v>
      </c>
      <c r="F7470">
        <v>0</v>
      </c>
      <c r="G7470">
        <v>1</v>
      </c>
      <c r="H7470">
        <v>0</v>
      </c>
      <c r="I7470">
        <v>0</v>
      </c>
      <c r="J7470">
        <v>13881.570073810501</v>
      </c>
      <c r="K7470">
        <v>11545.965038956099</v>
      </c>
      <c r="L7470">
        <v>36.601999999999997</v>
      </c>
      <c r="M7470">
        <v>76.221999999999994</v>
      </c>
      <c r="N7470">
        <v>15.396000000000001</v>
      </c>
    </row>
    <row r="7471" spans="1:14" x14ac:dyDescent="0.45">
      <c r="A7471">
        <v>2015</v>
      </c>
      <c r="B7471" t="s">
        <v>111</v>
      </c>
      <c r="C7471">
        <v>0</v>
      </c>
      <c r="D7471">
        <v>0</v>
      </c>
      <c r="E7471">
        <v>0</v>
      </c>
      <c r="F7471">
        <v>1</v>
      </c>
      <c r="G7471">
        <v>0</v>
      </c>
      <c r="H7471">
        <v>0</v>
      </c>
      <c r="I7471">
        <v>0</v>
      </c>
      <c r="J7471">
        <v>13425.9119599775</v>
      </c>
      <c r="K7471">
        <v>10654.577523260001</v>
      </c>
      <c r="L7471">
        <v>57.215000000000003</v>
      </c>
      <c r="M7471">
        <v>70.135000000000005</v>
      </c>
      <c r="N7471">
        <v>23.378</v>
      </c>
    </row>
    <row r="7472" spans="1:14" x14ac:dyDescent="0.45">
      <c r="A7472">
        <v>2015</v>
      </c>
      <c r="B7472" t="s">
        <v>112</v>
      </c>
      <c r="C7472">
        <v>0</v>
      </c>
      <c r="D7472">
        <v>0</v>
      </c>
      <c r="E7472">
        <v>1</v>
      </c>
      <c r="F7472">
        <v>0</v>
      </c>
      <c r="G7472">
        <v>0</v>
      </c>
      <c r="H7472">
        <v>0</v>
      </c>
      <c r="I7472">
        <v>0</v>
      </c>
      <c r="L7472">
        <v>61.793999999999997</v>
      </c>
      <c r="M7472">
        <v>65.909000000000006</v>
      </c>
      <c r="N7472">
        <v>46.47</v>
      </c>
    </row>
    <row r="7473" spans="1:14" x14ac:dyDescent="0.45">
      <c r="A7473">
        <v>2015</v>
      </c>
      <c r="B7473" t="s">
        <v>113</v>
      </c>
      <c r="C7473">
        <v>1</v>
      </c>
      <c r="D7473">
        <v>0</v>
      </c>
      <c r="E7473">
        <v>0</v>
      </c>
      <c r="F7473">
        <v>0</v>
      </c>
      <c r="G7473">
        <v>0</v>
      </c>
      <c r="H7473">
        <v>1</v>
      </c>
      <c r="I7473">
        <v>1</v>
      </c>
      <c r="J7473">
        <v>43053.761430314</v>
      </c>
      <c r="K7473">
        <v>37888.455121259103</v>
      </c>
      <c r="L7473">
        <v>20.398</v>
      </c>
      <c r="M7473">
        <v>82.611000000000004</v>
      </c>
      <c r="N7473">
        <v>3.0960000000000001</v>
      </c>
    </row>
    <row r="7474" spans="1:14" x14ac:dyDescent="0.45">
      <c r="A7474">
        <v>2015</v>
      </c>
      <c r="B7474" t="s">
        <v>114</v>
      </c>
      <c r="C7474">
        <v>1</v>
      </c>
      <c r="D7474">
        <v>0</v>
      </c>
      <c r="E7474">
        <v>0</v>
      </c>
      <c r="F7474">
        <v>0</v>
      </c>
      <c r="G7474">
        <v>0</v>
      </c>
      <c r="H7474">
        <v>1</v>
      </c>
      <c r="I7474">
        <v>1</v>
      </c>
      <c r="J7474">
        <v>36729.807249662503</v>
      </c>
      <c r="K7474">
        <v>31161.784263330701</v>
      </c>
      <c r="L7474">
        <v>31.584</v>
      </c>
      <c r="M7474">
        <v>77.665000000000006</v>
      </c>
      <c r="N7474">
        <v>3.4289999999999998</v>
      </c>
    </row>
    <row r="7475" spans="1:14" x14ac:dyDescent="0.45">
      <c r="A7475">
        <v>2015</v>
      </c>
      <c r="B7475" t="s">
        <v>115</v>
      </c>
      <c r="C7475">
        <v>0</v>
      </c>
      <c r="D7475">
        <v>0</v>
      </c>
      <c r="E7475">
        <v>1</v>
      </c>
      <c r="F7475">
        <v>0</v>
      </c>
      <c r="G7475">
        <v>0</v>
      </c>
      <c r="H7475">
        <v>0</v>
      </c>
      <c r="I7475">
        <v>0</v>
      </c>
      <c r="J7475">
        <v>1957.41454190833</v>
      </c>
      <c r="K7475">
        <v>1765.37338981479</v>
      </c>
      <c r="L7475">
        <v>80.572000000000003</v>
      </c>
      <c r="M7475">
        <v>63.591999999999999</v>
      </c>
      <c r="N7475">
        <v>63.335999999999999</v>
      </c>
    </row>
    <row r="7476" spans="1:14" x14ac:dyDescent="0.45">
      <c r="A7476">
        <v>2015</v>
      </c>
      <c r="B7476" t="s">
        <v>116</v>
      </c>
      <c r="C7476">
        <v>1</v>
      </c>
      <c r="D7476">
        <v>0</v>
      </c>
      <c r="E7476">
        <v>0</v>
      </c>
      <c r="F7476">
        <v>0</v>
      </c>
      <c r="G7476">
        <v>0</v>
      </c>
      <c r="H7476">
        <v>1</v>
      </c>
      <c r="I7476">
        <v>1</v>
      </c>
      <c r="J7476">
        <v>52782.4873926277</v>
      </c>
      <c r="K7476">
        <v>44373.329918101103</v>
      </c>
      <c r="L7476">
        <v>14.775</v>
      </c>
      <c r="M7476">
        <v>81.376999999999995</v>
      </c>
      <c r="N7476">
        <v>2.0990000000000002</v>
      </c>
    </row>
    <row r="7477" spans="1:14" x14ac:dyDescent="0.45">
      <c r="A7477">
        <v>2015</v>
      </c>
      <c r="B7477" t="s">
        <v>117</v>
      </c>
      <c r="C7477">
        <v>0</v>
      </c>
      <c r="D7477">
        <v>0</v>
      </c>
      <c r="E7477">
        <v>0</v>
      </c>
      <c r="F7477">
        <v>0</v>
      </c>
      <c r="G7477">
        <v>1</v>
      </c>
      <c r="H7477">
        <v>0</v>
      </c>
      <c r="I7477">
        <v>0</v>
      </c>
      <c r="J7477">
        <v>12131.0916903613</v>
      </c>
      <c r="K7477">
        <v>11880.010819938299</v>
      </c>
      <c r="L7477">
        <v>45.274000000000001</v>
      </c>
      <c r="M7477">
        <v>66.48</v>
      </c>
      <c r="N7477">
        <v>21.908999999999999</v>
      </c>
    </row>
    <row r="7478" spans="1:14" x14ac:dyDescent="0.45">
      <c r="A7478">
        <v>2015</v>
      </c>
      <c r="B7478" t="s">
        <v>118</v>
      </c>
      <c r="C7478">
        <v>1</v>
      </c>
      <c r="D7478">
        <v>0</v>
      </c>
      <c r="E7478">
        <v>0</v>
      </c>
      <c r="F7478">
        <v>0</v>
      </c>
      <c r="G7478">
        <v>0</v>
      </c>
      <c r="H7478">
        <v>1</v>
      </c>
      <c r="I7478">
        <v>1</v>
      </c>
      <c r="J7478">
        <v>50682.895358633301</v>
      </c>
      <c r="K7478">
        <v>42315.087897243102</v>
      </c>
      <c r="L7478">
        <v>20.344999999999999</v>
      </c>
      <c r="M7478">
        <v>82.149000000000001</v>
      </c>
      <c r="N7478">
        <v>4.2960000000000003</v>
      </c>
    </row>
    <row r="7479" spans="1:14" x14ac:dyDescent="0.45">
      <c r="A7479">
        <v>2015</v>
      </c>
      <c r="B7479" t="s">
        <v>119</v>
      </c>
      <c r="C7479">
        <v>1</v>
      </c>
      <c r="D7479">
        <v>0</v>
      </c>
      <c r="E7479">
        <v>0</v>
      </c>
      <c r="F7479">
        <v>0</v>
      </c>
      <c r="G7479">
        <v>0</v>
      </c>
      <c r="H7479">
        <v>1</v>
      </c>
      <c r="I7479">
        <v>1</v>
      </c>
      <c r="J7479">
        <v>63139.805722916302</v>
      </c>
      <c r="K7479">
        <v>55162.808074605899</v>
      </c>
      <c r="L7479">
        <v>58.362000000000002</v>
      </c>
      <c r="M7479">
        <v>79.426000000000002</v>
      </c>
      <c r="N7479">
        <v>8.2460000000000004</v>
      </c>
    </row>
    <row r="7480" spans="1:14" x14ac:dyDescent="0.45">
      <c r="A7480">
        <v>2015</v>
      </c>
      <c r="B7480" t="s">
        <v>120</v>
      </c>
      <c r="C7480">
        <v>0</v>
      </c>
      <c r="D7480">
        <v>0</v>
      </c>
      <c r="E7480">
        <v>0</v>
      </c>
      <c r="F7480">
        <v>1</v>
      </c>
      <c r="G7480">
        <v>0</v>
      </c>
      <c r="H7480">
        <v>0</v>
      </c>
      <c r="I7480">
        <v>0</v>
      </c>
      <c r="J7480">
        <v>3788.934100036</v>
      </c>
      <c r="K7480">
        <v>3429.5081979331999</v>
      </c>
      <c r="L7480">
        <v>77.543999999999997</v>
      </c>
      <c r="M7480">
        <v>65.305999999999997</v>
      </c>
      <c r="N7480">
        <v>30.038</v>
      </c>
    </row>
    <row r="7481" spans="1:14" x14ac:dyDescent="0.45">
      <c r="A7481">
        <v>2015</v>
      </c>
      <c r="B7481" t="s">
        <v>121</v>
      </c>
      <c r="C7481">
        <v>0</v>
      </c>
      <c r="D7481">
        <v>0</v>
      </c>
      <c r="E7481">
        <v>1</v>
      </c>
      <c r="F7481">
        <v>0</v>
      </c>
      <c r="G7481">
        <v>1</v>
      </c>
      <c r="H7481">
        <v>0</v>
      </c>
      <c r="I7481">
        <v>0</v>
      </c>
      <c r="J7481">
        <v>20147.7116201795</v>
      </c>
      <c r="K7481">
        <v>15244.5628681547</v>
      </c>
      <c r="L7481">
        <v>11.882</v>
      </c>
      <c r="M7481">
        <v>66.335999999999999</v>
      </c>
      <c r="N7481">
        <v>49.53</v>
      </c>
    </row>
    <row r="7482" spans="1:14" x14ac:dyDescent="0.45">
      <c r="A7482">
        <v>2015</v>
      </c>
      <c r="B7482" t="s">
        <v>122</v>
      </c>
      <c r="C7482">
        <v>1</v>
      </c>
      <c r="D7482">
        <v>0</v>
      </c>
      <c r="E7482">
        <v>0</v>
      </c>
      <c r="F7482">
        <v>0</v>
      </c>
      <c r="G7482">
        <v>0</v>
      </c>
      <c r="H7482">
        <v>1</v>
      </c>
      <c r="I7482">
        <v>1</v>
      </c>
      <c r="J7482">
        <v>49983.348590123504</v>
      </c>
      <c r="K7482">
        <v>43062.1621514652</v>
      </c>
      <c r="L7482">
        <v>17.373999999999999</v>
      </c>
      <c r="M7482">
        <v>80.918999999999997</v>
      </c>
      <c r="N7482">
        <v>4.5</v>
      </c>
    </row>
    <row r="7483" spans="1:14" x14ac:dyDescent="0.45">
      <c r="A7483">
        <v>2015</v>
      </c>
      <c r="B7483" t="s">
        <v>123</v>
      </c>
      <c r="C7483">
        <v>1</v>
      </c>
      <c r="D7483">
        <v>0</v>
      </c>
      <c r="E7483">
        <v>0</v>
      </c>
      <c r="F7483">
        <v>0</v>
      </c>
      <c r="G7483">
        <v>1</v>
      </c>
      <c r="H7483">
        <v>0</v>
      </c>
      <c r="I7483">
        <v>0</v>
      </c>
      <c r="J7483">
        <v>14936.8434116647</v>
      </c>
      <c r="K7483">
        <v>12619.925099669499</v>
      </c>
      <c r="L7483">
        <v>42.552</v>
      </c>
      <c r="M7483">
        <v>73.241</v>
      </c>
      <c r="N7483">
        <v>10.711</v>
      </c>
    </row>
    <row r="7484" spans="1:14" x14ac:dyDescent="0.45">
      <c r="A7484">
        <v>2015</v>
      </c>
      <c r="B7484" t="s">
        <v>124</v>
      </c>
      <c r="C7484">
        <v>0</v>
      </c>
      <c r="D7484">
        <v>0</v>
      </c>
      <c r="E7484">
        <v>1</v>
      </c>
      <c r="F7484">
        <v>1</v>
      </c>
      <c r="G7484">
        <v>0</v>
      </c>
      <c r="H7484">
        <v>0</v>
      </c>
      <c r="I7484">
        <v>0</v>
      </c>
      <c r="J7484">
        <v>5607.3663565741299</v>
      </c>
      <c r="K7484">
        <v>4837.71453900898</v>
      </c>
      <c r="L7484">
        <v>45.914000000000001</v>
      </c>
      <c r="M7484">
        <v>63.174999999999997</v>
      </c>
      <c r="N7484">
        <v>55.496000000000002</v>
      </c>
    </row>
    <row r="7485" spans="1:14" x14ac:dyDescent="0.45">
      <c r="A7485">
        <v>2015</v>
      </c>
      <c r="B7485" t="s">
        <v>125</v>
      </c>
      <c r="C7485">
        <v>1</v>
      </c>
      <c r="D7485">
        <v>0</v>
      </c>
      <c r="E7485">
        <v>0</v>
      </c>
      <c r="F7485">
        <v>0</v>
      </c>
      <c r="G7485">
        <v>0</v>
      </c>
      <c r="H7485">
        <v>1</v>
      </c>
      <c r="I7485">
        <v>1</v>
      </c>
      <c r="L7485">
        <v>0</v>
      </c>
      <c r="M7485">
        <v>82.668000000000006</v>
      </c>
      <c r="N7485">
        <v>11.553000000000001</v>
      </c>
    </row>
    <row r="7486" spans="1:14" x14ac:dyDescent="0.45">
      <c r="A7486">
        <v>2015</v>
      </c>
      <c r="B7486" t="s">
        <v>126</v>
      </c>
      <c r="C7486">
        <v>0</v>
      </c>
      <c r="D7486">
        <v>0</v>
      </c>
      <c r="E7486">
        <v>1</v>
      </c>
      <c r="F7486">
        <v>0</v>
      </c>
      <c r="G7486">
        <v>0</v>
      </c>
      <c r="H7486">
        <v>0</v>
      </c>
      <c r="I7486">
        <v>0</v>
      </c>
      <c r="J7486">
        <v>2869.8515717873202</v>
      </c>
      <c r="K7486">
        <v>2313.8632061686699</v>
      </c>
      <c r="L7486">
        <v>64.858999999999995</v>
      </c>
      <c r="M7486">
        <v>57.899000000000001</v>
      </c>
      <c r="N7486">
        <v>112.29300000000001</v>
      </c>
    </row>
    <row r="7487" spans="1:14" x14ac:dyDescent="0.45">
      <c r="A7487">
        <v>2015</v>
      </c>
      <c r="B7487" t="s">
        <v>127</v>
      </c>
      <c r="C7487">
        <v>0</v>
      </c>
      <c r="D7487">
        <v>0</v>
      </c>
      <c r="E7487">
        <v>1</v>
      </c>
      <c r="F7487">
        <v>0</v>
      </c>
      <c r="G7487">
        <v>0</v>
      </c>
      <c r="H7487">
        <v>0</v>
      </c>
      <c r="I7487">
        <v>0</v>
      </c>
      <c r="J7487">
        <v>2495.9574160152501</v>
      </c>
      <c r="K7487">
        <v>2008.9885494381199</v>
      </c>
      <c r="L7487">
        <v>40.771999999999998</v>
      </c>
      <c r="M7487">
        <v>62.970999999999997</v>
      </c>
      <c r="N7487">
        <v>59.593000000000004</v>
      </c>
    </row>
    <row r="7488" spans="1:14" x14ac:dyDescent="0.45">
      <c r="A7488">
        <v>2015</v>
      </c>
      <c r="B7488" t="s">
        <v>128</v>
      </c>
      <c r="C7488">
        <v>0</v>
      </c>
      <c r="D7488">
        <v>0</v>
      </c>
      <c r="E7488">
        <v>1</v>
      </c>
      <c r="F7488">
        <v>0</v>
      </c>
      <c r="G7488">
        <v>0</v>
      </c>
      <c r="H7488">
        <v>0</v>
      </c>
      <c r="I7488">
        <v>0</v>
      </c>
      <c r="J7488">
        <v>2203.4851437453699</v>
      </c>
      <c r="K7488">
        <v>1982.25181705111</v>
      </c>
      <c r="L7488">
        <v>57.877000000000002</v>
      </c>
      <c r="M7488">
        <v>60.070999999999998</v>
      </c>
      <c r="N7488">
        <v>92.159000000000006</v>
      </c>
    </row>
    <row r="7489" spans="1:14" x14ac:dyDescent="0.45">
      <c r="A7489">
        <v>2015</v>
      </c>
      <c r="B7489" t="s">
        <v>129</v>
      </c>
      <c r="C7489">
        <v>0</v>
      </c>
      <c r="D7489">
        <v>0</v>
      </c>
      <c r="E7489">
        <v>1</v>
      </c>
      <c r="F7489">
        <v>0</v>
      </c>
      <c r="G7489">
        <v>1</v>
      </c>
      <c r="H7489">
        <v>0</v>
      </c>
      <c r="I7489">
        <v>0</v>
      </c>
      <c r="J7489">
        <v>27797.794280317899</v>
      </c>
      <c r="K7489">
        <v>23030.827219336101</v>
      </c>
      <c r="L7489">
        <v>29.384</v>
      </c>
      <c r="M7489">
        <v>60.634999999999998</v>
      </c>
      <c r="N7489">
        <v>93.284000000000006</v>
      </c>
    </row>
    <row r="7490" spans="1:14" x14ac:dyDescent="0.45">
      <c r="A7490">
        <v>2015</v>
      </c>
      <c r="B7490" t="s">
        <v>130</v>
      </c>
      <c r="C7490">
        <v>1</v>
      </c>
      <c r="D7490">
        <v>0</v>
      </c>
      <c r="E7490">
        <v>0</v>
      </c>
      <c r="F7490">
        <v>0</v>
      </c>
      <c r="G7490">
        <v>0</v>
      </c>
      <c r="H7490">
        <v>1</v>
      </c>
      <c r="I7490">
        <v>1</v>
      </c>
      <c r="J7490">
        <v>31347.976574603999</v>
      </c>
      <c r="K7490">
        <v>28062.524059269701</v>
      </c>
      <c r="L7490">
        <v>21.954000000000001</v>
      </c>
      <c r="M7490">
        <v>80.789000000000001</v>
      </c>
      <c r="N7490">
        <v>4.165</v>
      </c>
    </row>
    <row r="7491" spans="1:14" x14ac:dyDescent="0.45">
      <c r="A7491">
        <v>2015</v>
      </c>
      <c r="B7491" t="s">
        <v>131</v>
      </c>
      <c r="C7491">
        <v>0</v>
      </c>
      <c r="D7491">
        <v>1</v>
      </c>
      <c r="E7491">
        <v>0</v>
      </c>
      <c r="F7491">
        <v>0</v>
      </c>
      <c r="G7491">
        <v>1</v>
      </c>
      <c r="H7491">
        <v>0</v>
      </c>
      <c r="I7491">
        <v>0</v>
      </c>
      <c r="J7491">
        <v>15145.9720224376</v>
      </c>
      <c r="K7491">
        <v>13975.265209005</v>
      </c>
      <c r="L7491">
        <v>64.003</v>
      </c>
      <c r="M7491">
        <v>75.037000000000006</v>
      </c>
      <c r="N7491">
        <v>15.055999999999999</v>
      </c>
    </row>
    <row r="7492" spans="1:14" x14ac:dyDescent="0.45">
      <c r="A7492">
        <v>2015</v>
      </c>
      <c r="B7492" t="s">
        <v>132</v>
      </c>
      <c r="C7492">
        <v>1</v>
      </c>
      <c r="D7492">
        <v>0</v>
      </c>
      <c r="E7492">
        <v>0</v>
      </c>
      <c r="F7492">
        <v>0</v>
      </c>
      <c r="G7492">
        <v>0</v>
      </c>
      <c r="H7492">
        <v>1</v>
      </c>
      <c r="I7492">
        <v>1</v>
      </c>
      <c r="J7492">
        <v>63364.053606116402</v>
      </c>
      <c r="K7492">
        <v>57355.124457288803</v>
      </c>
      <c r="L7492">
        <v>13.929</v>
      </c>
      <c r="M7492">
        <v>70.233999999999995</v>
      </c>
      <c r="N7492">
        <v>11.077</v>
      </c>
    </row>
    <row r="7493" spans="1:14" x14ac:dyDescent="0.45">
      <c r="A7493">
        <v>2015</v>
      </c>
      <c r="B7493" t="s">
        <v>133</v>
      </c>
      <c r="C7493">
        <v>0</v>
      </c>
      <c r="D7493">
        <v>1</v>
      </c>
      <c r="E7493">
        <v>0</v>
      </c>
      <c r="F7493">
        <v>1</v>
      </c>
      <c r="G7493">
        <v>0</v>
      </c>
      <c r="H7493">
        <v>0</v>
      </c>
      <c r="I7493">
        <v>0</v>
      </c>
      <c r="J7493">
        <v>10785.9581523698</v>
      </c>
      <c r="K7493">
        <v>9369.4993138119698</v>
      </c>
      <c r="L7493">
        <v>50.029000000000003</v>
      </c>
      <c r="M7493">
        <v>70.915000000000006</v>
      </c>
      <c r="N7493">
        <v>28.568000000000001</v>
      </c>
    </row>
    <row r="7494" spans="1:14" x14ac:dyDescent="0.45">
      <c r="A7494">
        <v>2015</v>
      </c>
      <c r="B7494" t="s">
        <v>134</v>
      </c>
      <c r="C7494">
        <v>0</v>
      </c>
      <c r="D7494">
        <v>0</v>
      </c>
      <c r="E7494">
        <v>0</v>
      </c>
      <c r="F7494">
        <v>0</v>
      </c>
      <c r="G7494">
        <v>0</v>
      </c>
      <c r="H7494">
        <v>1</v>
      </c>
      <c r="I7494">
        <v>1</v>
      </c>
      <c r="L7494">
        <v>5.4659999999999904</v>
      </c>
      <c r="M7494">
        <v>76.444000000000003</v>
      </c>
      <c r="N7494">
        <v>13.268000000000001</v>
      </c>
    </row>
    <row r="7495" spans="1:14" x14ac:dyDescent="0.45">
      <c r="A7495">
        <v>2015</v>
      </c>
      <c r="B7495" t="s">
        <v>135</v>
      </c>
      <c r="C7495">
        <v>0</v>
      </c>
      <c r="D7495">
        <v>1</v>
      </c>
      <c r="E7495">
        <v>0</v>
      </c>
      <c r="F7495">
        <v>0</v>
      </c>
      <c r="G7495">
        <v>1</v>
      </c>
      <c r="H7495">
        <v>0</v>
      </c>
      <c r="I7495">
        <v>0</v>
      </c>
      <c r="J7495">
        <v>12040.08253302</v>
      </c>
      <c r="K7495">
        <v>11514.883758096001</v>
      </c>
      <c r="L7495">
        <v>73.558999999999997</v>
      </c>
      <c r="M7495">
        <v>67.718999999999994</v>
      </c>
      <c r="N7495">
        <v>32.973999999999997</v>
      </c>
    </row>
    <row r="7496" spans="1:14" x14ac:dyDescent="0.45">
      <c r="A7496">
        <v>2015</v>
      </c>
      <c r="B7496" t="s">
        <v>136</v>
      </c>
      <c r="C7496">
        <v>0</v>
      </c>
      <c r="D7496">
        <v>0</v>
      </c>
      <c r="E7496">
        <v>0</v>
      </c>
      <c r="F7496">
        <v>0</v>
      </c>
      <c r="G7496">
        <v>0</v>
      </c>
      <c r="H7496">
        <v>1</v>
      </c>
      <c r="I7496">
        <v>1</v>
      </c>
      <c r="J7496">
        <v>62779.717224862201</v>
      </c>
      <c r="K7496">
        <v>56658.911252859703</v>
      </c>
      <c r="L7496">
        <v>0</v>
      </c>
      <c r="M7496">
        <v>84.147000000000006</v>
      </c>
      <c r="N7496">
        <v>2.4990000000000001</v>
      </c>
    </row>
    <row r="7497" spans="1:14" x14ac:dyDescent="0.45">
      <c r="A7497">
        <v>2015</v>
      </c>
      <c r="B7497" t="s">
        <v>137</v>
      </c>
      <c r="C7497">
        <v>0</v>
      </c>
      <c r="D7497">
        <v>1</v>
      </c>
      <c r="E7497">
        <v>0</v>
      </c>
      <c r="F7497">
        <v>1</v>
      </c>
      <c r="G7497">
        <v>0</v>
      </c>
      <c r="H7497">
        <v>0</v>
      </c>
      <c r="I7497">
        <v>0</v>
      </c>
      <c r="J7497">
        <v>5812.5348879105004</v>
      </c>
      <c r="K7497">
        <v>5356.1232117317104</v>
      </c>
      <c r="L7497">
        <v>44.835000000000001</v>
      </c>
      <c r="M7497">
        <v>71.322999999999993</v>
      </c>
      <c r="N7497">
        <v>20.477</v>
      </c>
    </row>
    <row r="7498" spans="1:14" x14ac:dyDescent="0.45">
      <c r="A7498">
        <v>2015</v>
      </c>
      <c r="B7498" t="s">
        <v>138</v>
      </c>
      <c r="C7498">
        <v>1</v>
      </c>
      <c r="D7498">
        <v>0</v>
      </c>
      <c r="E7498">
        <v>0</v>
      </c>
      <c r="F7498">
        <v>0</v>
      </c>
      <c r="G7498">
        <v>0</v>
      </c>
      <c r="H7498">
        <v>1</v>
      </c>
      <c r="I7498">
        <v>1</v>
      </c>
      <c r="J7498">
        <v>29471.752088073499</v>
      </c>
      <c r="K7498">
        <v>25416.7083813688</v>
      </c>
      <c r="L7498">
        <v>43.844999999999999</v>
      </c>
      <c r="M7498">
        <v>77.632999999999996</v>
      </c>
      <c r="N7498">
        <v>5.0750000000000002</v>
      </c>
    </row>
    <row r="7499" spans="1:14" x14ac:dyDescent="0.45">
      <c r="A7499">
        <v>2015</v>
      </c>
      <c r="B7499" t="s">
        <v>139</v>
      </c>
      <c r="C7499">
        <v>0</v>
      </c>
      <c r="D7499">
        <v>1</v>
      </c>
      <c r="E7499">
        <v>0</v>
      </c>
      <c r="F7499">
        <v>0</v>
      </c>
      <c r="G7499">
        <v>0</v>
      </c>
      <c r="H7499">
        <v>0</v>
      </c>
      <c r="I7499">
        <v>0</v>
      </c>
      <c r="J7499">
        <v>3422.0974862776802</v>
      </c>
      <c r="K7499">
        <v>3289.1687098151101</v>
      </c>
      <c r="L7499">
        <v>47.573</v>
      </c>
      <c r="M7499">
        <v>63.223999999999997</v>
      </c>
      <c r="N7499">
        <v>69.903000000000006</v>
      </c>
    </row>
    <row r="7500" spans="1:14" x14ac:dyDescent="0.45">
      <c r="A7500">
        <v>2015</v>
      </c>
      <c r="B7500" t="s">
        <v>140</v>
      </c>
      <c r="C7500">
        <v>1</v>
      </c>
      <c r="D7500">
        <v>0</v>
      </c>
      <c r="E7500">
        <v>0</v>
      </c>
      <c r="F7500">
        <v>0</v>
      </c>
      <c r="G7500">
        <v>0</v>
      </c>
      <c r="H7500">
        <v>1</v>
      </c>
      <c r="I7500">
        <v>1</v>
      </c>
      <c r="J7500">
        <v>31485.5675425634</v>
      </c>
      <c r="K7500">
        <v>27437.073921147199</v>
      </c>
      <c r="L7500">
        <v>29.5</v>
      </c>
      <c r="M7500">
        <v>75.653999999999996</v>
      </c>
      <c r="N7500">
        <v>5.1459999999999999</v>
      </c>
    </row>
    <row r="7501" spans="1:14" x14ac:dyDescent="0.45">
      <c r="A7501">
        <v>2015</v>
      </c>
      <c r="B7501" t="s">
        <v>141</v>
      </c>
      <c r="C7501">
        <v>0</v>
      </c>
      <c r="D7501">
        <v>0</v>
      </c>
      <c r="E7501">
        <v>0</v>
      </c>
      <c r="F7501">
        <v>1</v>
      </c>
      <c r="G7501">
        <v>0</v>
      </c>
      <c r="H7501">
        <v>0</v>
      </c>
      <c r="I7501">
        <v>0</v>
      </c>
      <c r="J7501">
        <v>10893.662114216901</v>
      </c>
      <c r="K7501">
        <v>9889.7282136180602</v>
      </c>
      <c r="L7501">
        <v>46.686999999999998</v>
      </c>
      <c r="M7501">
        <v>69.52</v>
      </c>
      <c r="N7501">
        <v>27.545000000000002</v>
      </c>
    </row>
    <row r="7502" spans="1:14" x14ac:dyDescent="0.45">
      <c r="A7502">
        <v>2015</v>
      </c>
      <c r="B7502" t="s">
        <v>142</v>
      </c>
      <c r="C7502">
        <v>1</v>
      </c>
      <c r="D7502">
        <v>0</v>
      </c>
      <c r="E7502">
        <v>0</v>
      </c>
      <c r="F7502">
        <v>0</v>
      </c>
      <c r="G7502">
        <v>0</v>
      </c>
      <c r="H7502">
        <v>1</v>
      </c>
      <c r="I7502">
        <v>1</v>
      </c>
      <c r="L7502">
        <v>47.755000000000003</v>
      </c>
      <c r="M7502">
        <v>80.266999999999996</v>
      </c>
      <c r="N7502">
        <v>14.555999999999999</v>
      </c>
    </row>
    <row r="7503" spans="1:14" x14ac:dyDescent="0.45">
      <c r="A7503">
        <v>2015</v>
      </c>
      <c r="B7503" t="s">
        <v>143</v>
      </c>
      <c r="C7503">
        <v>0</v>
      </c>
      <c r="D7503">
        <v>0</v>
      </c>
      <c r="E7503">
        <v>0</v>
      </c>
      <c r="F7503">
        <v>1</v>
      </c>
      <c r="G7503">
        <v>0</v>
      </c>
      <c r="H7503">
        <v>0</v>
      </c>
      <c r="I7503">
        <v>0</v>
      </c>
      <c r="J7503">
        <v>6488.1460291078702</v>
      </c>
      <c r="K7503">
        <v>5441.5130039738197</v>
      </c>
      <c r="L7503">
        <v>67.222999999999999</v>
      </c>
      <c r="M7503">
        <v>69.325999999999993</v>
      </c>
      <c r="N7503">
        <v>43.47</v>
      </c>
    </row>
    <row r="7504" spans="1:14" x14ac:dyDescent="0.45">
      <c r="A7504">
        <v>2015</v>
      </c>
      <c r="B7504" t="s">
        <v>144</v>
      </c>
      <c r="C7504">
        <v>1</v>
      </c>
      <c r="D7504">
        <v>0</v>
      </c>
      <c r="E7504">
        <v>0</v>
      </c>
      <c r="F7504">
        <v>0</v>
      </c>
      <c r="G7504">
        <v>0</v>
      </c>
      <c r="H7504">
        <v>1</v>
      </c>
      <c r="I7504">
        <v>1</v>
      </c>
      <c r="J7504">
        <v>81053.352777674401</v>
      </c>
      <c r="K7504">
        <v>74524.329134258296</v>
      </c>
      <c r="L7504">
        <v>37.462000000000003</v>
      </c>
      <c r="M7504">
        <v>81.533000000000001</v>
      </c>
      <c r="N7504">
        <v>3.9820000000000002</v>
      </c>
    </row>
    <row r="7505" spans="1:14" x14ac:dyDescent="0.45">
      <c r="A7505">
        <v>2015</v>
      </c>
      <c r="B7505" t="s">
        <v>145</v>
      </c>
      <c r="C7505">
        <v>0</v>
      </c>
      <c r="D7505">
        <v>0</v>
      </c>
      <c r="E7505">
        <v>0</v>
      </c>
      <c r="F7505">
        <v>0</v>
      </c>
      <c r="G7505">
        <v>1</v>
      </c>
      <c r="H7505">
        <v>0</v>
      </c>
      <c r="I7505">
        <v>0</v>
      </c>
      <c r="J7505">
        <v>13905.1921172487</v>
      </c>
      <c r="K7505">
        <v>13870.355048866801</v>
      </c>
      <c r="L7505">
        <v>26.641999999999999</v>
      </c>
      <c r="M7505">
        <v>75.906999999999996</v>
      </c>
      <c r="N7505">
        <v>15.516</v>
      </c>
    </row>
    <row r="7506" spans="1:14" x14ac:dyDescent="0.45">
      <c r="A7506">
        <v>2015</v>
      </c>
      <c r="B7506" t="s">
        <v>146</v>
      </c>
      <c r="C7506">
        <v>0</v>
      </c>
      <c r="D7506">
        <v>0</v>
      </c>
      <c r="E7506">
        <v>0</v>
      </c>
      <c r="F7506">
        <v>0</v>
      </c>
      <c r="G7506">
        <v>1</v>
      </c>
      <c r="H7506">
        <v>0</v>
      </c>
      <c r="I7506">
        <v>0</v>
      </c>
      <c r="J7506">
        <v>13516.027198920399</v>
      </c>
      <c r="K7506">
        <v>9554.3278031595</v>
      </c>
      <c r="L7506">
        <v>30.079000000000001</v>
      </c>
      <c r="M7506">
        <v>69.977000000000004</v>
      </c>
      <c r="N7506">
        <v>29.797999999999998</v>
      </c>
    </row>
    <row r="7507" spans="1:14" x14ac:dyDescent="0.45">
      <c r="A7507">
        <v>2015</v>
      </c>
      <c r="B7507" t="s">
        <v>147</v>
      </c>
      <c r="C7507">
        <v>1</v>
      </c>
      <c r="D7507">
        <v>0</v>
      </c>
      <c r="E7507">
        <v>0</v>
      </c>
      <c r="F7507">
        <v>0</v>
      </c>
      <c r="G7507">
        <v>0</v>
      </c>
      <c r="H7507">
        <v>1</v>
      </c>
      <c r="I7507">
        <v>1</v>
      </c>
      <c r="J7507">
        <v>59978.331566323097</v>
      </c>
      <c r="K7507">
        <v>51898.583692829299</v>
      </c>
      <c r="L7507">
        <v>6.3</v>
      </c>
      <c r="M7507">
        <v>82.164000000000001</v>
      </c>
      <c r="N7507">
        <v>3.258</v>
      </c>
    </row>
    <row r="7508" spans="1:14" x14ac:dyDescent="0.45">
      <c r="A7508">
        <v>2015</v>
      </c>
      <c r="B7508" t="s">
        <v>148</v>
      </c>
      <c r="C7508">
        <v>0</v>
      </c>
      <c r="D7508">
        <v>0</v>
      </c>
      <c r="E7508">
        <v>0</v>
      </c>
      <c r="F7508">
        <v>0</v>
      </c>
      <c r="G7508">
        <v>0</v>
      </c>
      <c r="H7508">
        <v>1</v>
      </c>
      <c r="I7508">
        <v>1</v>
      </c>
      <c r="J7508">
        <v>40967.370759663703</v>
      </c>
      <c r="K7508">
        <v>37578.434099317397</v>
      </c>
      <c r="L7508">
        <v>7.8209999999999997</v>
      </c>
      <c r="M7508">
        <v>82.254000000000005</v>
      </c>
      <c r="N7508">
        <v>3.7610000000000001</v>
      </c>
    </row>
    <row r="7509" spans="1:14" x14ac:dyDescent="0.45">
      <c r="A7509">
        <v>2015</v>
      </c>
      <c r="B7509" t="s">
        <v>149</v>
      </c>
      <c r="C7509">
        <v>1</v>
      </c>
      <c r="D7509">
        <v>0</v>
      </c>
      <c r="E7509">
        <v>0</v>
      </c>
      <c r="F7509">
        <v>0</v>
      </c>
      <c r="G7509">
        <v>0</v>
      </c>
      <c r="H7509">
        <v>1</v>
      </c>
      <c r="I7509">
        <v>1</v>
      </c>
      <c r="J7509">
        <v>47311.825526270899</v>
      </c>
      <c r="K7509">
        <v>40298.657183535797</v>
      </c>
      <c r="L7509">
        <v>30.434999999999999</v>
      </c>
      <c r="M7509">
        <v>82.521000000000001</v>
      </c>
      <c r="N7509">
        <v>3.3519999999999999</v>
      </c>
    </row>
    <row r="7510" spans="1:14" x14ac:dyDescent="0.45">
      <c r="A7510">
        <v>2015</v>
      </c>
      <c r="B7510" t="s">
        <v>150</v>
      </c>
      <c r="C7510">
        <v>0</v>
      </c>
      <c r="D7510">
        <v>1</v>
      </c>
      <c r="E7510">
        <v>0</v>
      </c>
      <c r="F7510">
        <v>0</v>
      </c>
      <c r="G7510">
        <v>1</v>
      </c>
      <c r="H7510">
        <v>0</v>
      </c>
      <c r="I7510">
        <v>0</v>
      </c>
      <c r="J7510">
        <v>9778.1185423628795</v>
      </c>
      <c r="K7510">
        <v>9636.6307073795706</v>
      </c>
      <c r="L7510">
        <v>45.167000000000002</v>
      </c>
      <c r="M7510">
        <v>72.213999999999999</v>
      </c>
      <c r="N7510">
        <v>18.739999999999998</v>
      </c>
    </row>
    <row r="7511" spans="1:14" x14ac:dyDescent="0.45">
      <c r="A7511">
        <v>2015</v>
      </c>
      <c r="B7511" t="s">
        <v>151</v>
      </c>
      <c r="C7511">
        <v>0</v>
      </c>
      <c r="D7511">
        <v>0</v>
      </c>
      <c r="E7511">
        <v>0</v>
      </c>
      <c r="F7511">
        <v>0</v>
      </c>
      <c r="G7511">
        <v>1</v>
      </c>
      <c r="H7511">
        <v>0</v>
      </c>
      <c r="I7511">
        <v>0</v>
      </c>
      <c r="J7511">
        <v>9581.6892256781302</v>
      </c>
      <c r="K7511">
        <v>9505.4696774072909</v>
      </c>
      <c r="L7511">
        <v>9.7439999999999998</v>
      </c>
      <c r="M7511">
        <v>75.06</v>
      </c>
      <c r="N7511">
        <v>17.535</v>
      </c>
    </row>
    <row r="7512" spans="1:14" x14ac:dyDescent="0.45">
      <c r="A7512">
        <v>2015</v>
      </c>
      <c r="B7512" t="s">
        <v>152</v>
      </c>
      <c r="C7512">
        <v>0</v>
      </c>
      <c r="D7512">
        <v>0</v>
      </c>
      <c r="E7512">
        <v>0</v>
      </c>
      <c r="F7512">
        <v>0</v>
      </c>
      <c r="G7512">
        <v>0</v>
      </c>
      <c r="H7512">
        <v>1</v>
      </c>
      <c r="I7512">
        <v>1</v>
      </c>
      <c r="J7512">
        <v>43386.710073951297</v>
      </c>
      <c r="K7512">
        <v>40190.511945930797</v>
      </c>
      <c r="L7512">
        <v>8.6189999999999998</v>
      </c>
      <c r="M7512">
        <v>83.882999999999996</v>
      </c>
      <c r="N7512">
        <v>2.73</v>
      </c>
    </row>
    <row r="7513" spans="1:14" x14ac:dyDescent="0.45">
      <c r="A7513">
        <v>2015</v>
      </c>
      <c r="B7513" t="s">
        <v>153</v>
      </c>
      <c r="C7513">
        <v>1</v>
      </c>
      <c r="D7513">
        <v>0</v>
      </c>
      <c r="E7513">
        <v>0</v>
      </c>
      <c r="F7513">
        <v>0</v>
      </c>
      <c r="G7513">
        <v>1</v>
      </c>
      <c r="H7513">
        <v>0</v>
      </c>
      <c r="I7513">
        <v>0</v>
      </c>
      <c r="J7513">
        <v>30893.759485104099</v>
      </c>
      <c r="K7513">
        <v>23493.450167394101</v>
      </c>
      <c r="L7513">
        <v>42.808999999999997</v>
      </c>
      <c r="M7513">
        <v>72.024000000000001</v>
      </c>
      <c r="N7513">
        <v>12.368</v>
      </c>
    </row>
    <row r="7514" spans="1:14" x14ac:dyDescent="0.45">
      <c r="A7514">
        <v>2015</v>
      </c>
      <c r="B7514" t="s">
        <v>154</v>
      </c>
      <c r="C7514">
        <v>0</v>
      </c>
      <c r="D7514">
        <v>0</v>
      </c>
      <c r="E7514">
        <v>1</v>
      </c>
      <c r="F7514">
        <v>1</v>
      </c>
      <c r="G7514">
        <v>0</v>
      </c>
      <c r="H7514">
        <v>0</v>
      </c>
      <c r="I7514">
        <v>0</v>
      </c>
      <c r="J7514">
        <v>4679.6218283193803</v>
      </c>
      <c r="K7514">
        <v>4033.1144736127098</v>
      </c>
      <c r="L7514">
        <v>74.341999999999999</v>
      </c>
      <c r="M7514">
        <v>62.279000000000003</v>
      </c>
      <c r="N7514">
        <v>47.088000000000001</v>
      </c>
    </row>
    <row r="7515" spans="1:14" x14ac:dyDescent="0.45">
      <c r="A7515">
        <v>2015</v>
      </c>
      <c r="B7515" t="s">
        <v>155</v>
      </c>
      <c r="C7515">
        <v>1</v>
      </c>
      <c r="D7515">
        <v>0</v>
      </c>
      <c r="E7515">
        <v>0</v>
      </c>
      <c r="F7515">
        <v>1</v>
      </c>
      <c r="G7515">
        <v>0</v>
      </c>
      <c r="H7515">
        <v>0</v>
      </c>
      <c r="I7515">
        <v>0</v>
      </c>
      <c r="J7515">
        <v>5600.2143342846002</v>
      </c>
      <c r="K7515">
        <v>4733.1221472779398</v>
      </c>
      <c r="L7515">
        <v>64.222999999999999</v>
      </c>
      <c r="M7515">
        <v>69.308999999999997</v>
      </c>
      <c r="N7515">
        <v>22.248000000000001</v>
      </c>
    </row>
    <row r="7516" spans="1:14" x14ac:dyDescent="0.45">
      <c r="A7516">
        <v>2015</v>
      </c>
      <c r="B7516" t="s">
        <v>156</v>
      </c>
      <c r="C7516">
        <v>0</v>
      </c>
      <c r="D7516">
        <v>0</v>
      </c>
      <c r="E7516">
        <v>0</v>
      </c>
      <c r="F7516">
        <v>1</v>
      </c>
      <c r="G7516">
        <v>0</v>
      </c>
      <c r="H7516">
        <v>0</v>
      </c>
      <c r="I7516">
        <v>0</v>
      </c>
      <c r="J7516">
        <v>4968.5727669898197</v>
      </c>
      <c r="K7516">
        <v>4455.1616324928</v>
      </c>
      <c r="L7516">
        <v>77.811999999999998</v>
      </c>
      <c r="M7516">
        <v>69.397999999999996</v>
      </c>
      <c r="N7516">
        <v>31.855</v>
      </c>
    </row>
    <row r="7517" spans="1:14" x14ac:dyDescent="0.45">
      <c r="A7517">
        <v>2015</v>
      </c>
      <c r="B7517" t="s">
        <v>157</v>
      </c>
      <c r="C7517">
        <v>0</v>
      </c>
      <c r="D7517">
        <v>0</v>
      </c>
      <c r="E7517">
        <v>0</v>
      </c>
      <c r="F7517">
        <v>1</v>
      </c>
      <c r="G7517">
        <v>0</v>
      </c>
      <c r="H7517">
        <v>0</v>
      </c>
      <c r="I7517">
        <v>0</v>
      </c>
      <c r="J7517">
        <v>2615.8411945610401</v>
      </c>
      <c r="K7517">
        <v>2366.2881066565101</v>
      </c>
      <c r="L7517">
        <v>48.381</v>
      </c>
      <c r="M7517">
        <v>65.831000000000003</v>
      </c>
      <c r="N7517">
        <v>58.779000000000003</v>
      </c>
    </row>
    <row r="7518" spans="1:14" x14ac:dyDescent="0.45">
      <c r="A7518">
        <v>2015</v>
      </c>
      <c r="B7518" t="s">
        <v>158</v>
      </c>
      <c r="C7518">
        <v>0</v>
      </c>
      <c r="D7518">
        <v>1</v>
      </c>
      <c r="E7518">
        <v>0</v>
      </c>
      <c r="F7518">
        <v>0</v>
      </c>
      <c r="G7518">
        <v>0</v>
      </c>
      <c r="H7518">
        <v>1</v>
      </c>
      <c r="I7518">
        <v>1</v>
      </c>
      <c r="J7518">
        <v>28729.566447666999</v>
      </c>
      <c r="K7518">
        <v>28374.354611622301</v>
      </c>
      <c r="L7518">
        <v>69.173000000000002</v>
      </c>
      <c r="M7518">
        <v>71.210999999999999</v>
      </c>
      <c r="N7518">
        <v>17.997</v>
      </c>
    </row>
    <row r="7519" spans="1:14" x14ac:dyDescent="0.45">
      <c r="A7519">
        <v>2015</v>
      </c>
      <c r="B7519" t="s">
        <v>159</v>
      </c>
      <c r="C7519">
        <v>0</v>
      </c>
      <c r="D7519">
        <v>0</v>
      </c>
      <c r="E7519">
        <v>0</v>
      </c>
      <c r="F7519">
        <v>0</v>
      </c>
      <c r="G7519">
        <v>0</v>
      </c>
      <c r="H7519">
        <v>1</v>
      </c>
      <c r="I7519">
        <v>1</v>
      </c>
      <c r="J7519">
        <v>42459.9028857999</v>
      </c>
      <c r="K7519">
        <v>38707.402671360702</v>
      </c>
      <c r="L7519">
        <v>18.366</v>
      </c>
      <c r="M7519">
        <v>82.54</v>
      </c>
      <c r="N7519">
        <v>3.5219999999999998</v>
      </c>
    </row>
    <row r="7520" spans="1:14" x14ac:dyDescent="0.45">
      <c r="A7520">
        <v>2015</v>
      </c>
      <c r="B7520" t="s">
        <v>160</v>
      </c>
      <c r="C7520">
        <v>0</v>
      </c>
      <c r="D7520">
        <v>0</v>
      </c>
      <c r="E7520">
        <v>0</v>
      </c>
      <c r="F7520">
        <v>0</v>
      </c>
      <c r="G7520">
        <v>0</v>
      </c>
      <c r="H7520">
        <v>1</v>
      </c>
      <c r="I7520">
        <v>1</v>
      </c>
      <c r="J7520">
        <v>57763.517438476498</v>
      </c>
      <c r="K7520">
        <v>51444.1958635263</v>
      </c>
      <c r="L7520">
        <v>0</v>
      </c>
      <c r="M7520">
        <v>79.218999999999994</v>
      </c>
      <c r="N7520">
        <v>9.3559999999999999</v>
      </c>
    </row>
    <row r="7521" spans="1:14" x14ac:dyDescent="0.45">
      <c r="A7521">
        <v>2015</v>
      </c>
      <c r="B7521" t="s">
        <v>161</v>
      </c>
      <c r="C7521">
        <v>0</v>
      </c>
      <c r="D7521">
        <v>0</v>
      </c>
      <c r="E7521">
        <v>0</v>
      </c>
      <c r="F7521">
        <v>1</v>
      </c>
      <c r="G7521">
        <v>0</v>
      </c>
      <c r="H7521">
        <v>0</v>
      </c>
      <c r="I7521">
        <v>0</v>
      </c>
      <c r="J7521">
        <v>6703.7412434888502</v>
      </c>
      <c r="K7521">
        <v>6441.67587928591</v>
      </c>
      <c r="L7521">
        <v>66.891999999999996</v>
      </c>
      <c r="M7521">
        <v>66.688000000000002</v>
      </c>
      <c r="N7521">
        <v>53.343000000000004</v>
      </c>
    </row>
    <row r="7522" spans="1:14" x14ac:dyDescent="0.45">
      <c r="A7522">
        <v>2015</v>
      </c>
      <c r="B7522" t="s">
        <v>162</v>
      </c>
      <c r="C7522">
        <v>0</v>
      </c>
      <c r="D7522">
        <v>0</v>
      </c>
      <c r="E7522">
        <v>0</v>
      </c>
      <c r="F7522">
        <v>0</v>
      </c>
      <c r="G7522">
        <v>1</v>
      </c>
      <c r="H7522">
        <v>0</v>
      </c>
      <c r="I7522">
        <v>0</v>
      </c>
      <c r="J7522">
        <v>14980.020515614</v>
      </c>
      <c r="K7522">
        <v>19470.9319263863</v>
      </c>
      <c r="L7522">
        <v>11.894</v>
      </c>
      <c r="M7522">
        <v>78.275000000000006</v>
      </c>
      <c r="N7522">
        <v>13.086</v>
      </c>
    </row>
    <row r="7523" spans="1:14" x14ac:dyDescent="0.45">
      <c r="A7523">
        <v>2015</v>
      </c>
      <c r="B7523" t="s">
        <v>163</v>
      </c>
      <c r="C7523">
        <v>0</v>
      </c>
      <c r="D7523">
        <v>0</v>
      </c>
      <c r="E7523">
        <v>1</v>
      </c>
      <c r="F7523">
        <v>0</v>
      </c>
      <c r="G7523">
        <v>0</v>
      </c>
      <c r="H7523">
        <v>0</v>
      </c>
      <c r="I7523">
        <v>0</v>
      </c>
      <c r="J7523">
        <v>1714.09047960464</v>
      </c>
      <c r="K7523">
        <v>2532.4751766796298</v>
      </c>
      <c r="L7523">
        <v>50.18</v>
      </c>
      <c r="M7523">
        <v>59.247999999999998</v>
      </c>
      <c r="N7523">
        <v>92.28</v>
      </c>
    </row>
    <row r="7524" spans="1:14" x14ac:dyDescent="0.45">
      <c r="A7524">
        <v>2015</v>
      </c>
      <c r="B7524" t="s">
        <v>164</v>
      </c>
      <c r="C7524">
        <v>0</v>
      </c>
      <c r="D7524">
        <v>0</v>
      </c>
      <c r="E7524">
        <v>0</v>
      </c>
      <c r="F7524">
        <v>0</v>
      </c>
      <c r="G7524">
        <v>1</v>
      </c>
      <c r="H7524">
        <v>0</v>
      </c>
      <c r="I7524">
        <v>0</v>
      </c>
      <c r="J7524">
        <v>12192.1386217463</v>
      </c>
      <c r="K7524">
        <v>14248.893206168699</v>
      </c>
      <c r="L7524">
        <v>20.73</v>
      </c>
      <c r="M7524">
        <v>71.644000000000005</v>
      </c>
      <c r="N7524">
        <v>14.606999999999999</v>
      </c>
    </row>
    <row r="7525" spans="1:14" x14ac:dyDescent="0.45">
      <c r="A7525">
        <v>2015</v>
      </c>
      <c r="B7525" t="s">
        <v>165</v>
      </c>
      <c r="C7525">
        <v>0</v>
      </c>
      <c r="D7525">
        <v>1</v>
      </c>
      <c r="E7525">
        <v>0</v>
      </c>
      <c r="F7525">
        <v>0</v>
      </c>
      <c r="G7525">
        <v>1</v>
      </c>
      <c r="H7525">
        <v>0</v>
      </c>
      <c r="I7525">
        <v>0</v>
      </c>
      <c r="J7525">
        <v>21142.973330436598</v>
      </c>
      <c r="K7525">
        <v>15210.4031700572</v>
      </c>
      <c r="L7525">
        <v>81.484999999999999</v>
      </c>
      <c r="M7525">
        <v>72.932000000000002</v>
      </c>
      <c r="N7525">
        <v>17.803000000000001</v>
      </c>
    </row>
    <row r="7526" spans="1:14" x14ac:dyDescent="0.45">
      <c r="A7526">
        <v>2015</v>
      </c>
      <c r="B7526" t="s">
        <v>166</v>
      </c>
      <c r="C7526">
        <v>1</v>
      </c>
      <c r="D7526">
        <v>0</v>
      </c>
      <c r="E7526">
        <v>0</v>
      </c>
      <c r="F7526">
        <v>0</v>
      </c>
      <c r="G7526">
        <v>0</v>
      </c>
      <c r="H7526">
        <v>1</v>
      </c>
      <c r="I7526">
        <v>1</v>
      </c>
      <c r="L7526">
        <v>85.697000000000003</v>
      </c>
      <c r="M7526">
        <v>82.762</v>
      </c>
      <c r="N7526">
        <v>7.2039999999999997</v>
      </c>
    </row>
    <row r="7527" spans="1:14" x14ac:dyDescent="0.45">
      <c r="A7527">
        <v>2015</v>
      </c>
      <c r="B7527" t="s">
        <v>167</v>
      </c>
      <c r="C7527">
        <v>0</v>
      </c>
      <c r="D7527">
        <v>0</v>
      </c>
      <c r="E7527">
        <v>0</v>
      </c>
      <c r="F7527">
        <v>1</v>
      </c>
      <c r="G7527">
        <v>0</v>
      </c>
      <c r="H7527">
        <v>0</v>
      </c>
      <c r="I7527">
        <v>0</v>
      </c>
      <c r="J7527">
        <v>13329.779343894699</v>
      </c>
      <c r="K7527">
        <v>12449.8032286956</v>
      </c>
      <c r="L7527">
        <v>81.744</v>
      </c>
      <c r="M7527">
        <v>75.989999999999995</v>
      </c>
      <c r="N7527">
        <v>8.8450000000000006</v>
      </c>
    </row>
    <row r="7528" spans="1:14" x14ac:dyDescent="0.45">
      <c r="A7528">
        <v>2015</v>
      </c>
      <c r="B7528" t="s">
        <v>168</v>
      </c>
      <c r="C7528">
        <v>0</v>
      </c>
      <c r="D7528">
        <v>0</v>
      </c>
      <c r="E7528">
        <v>1</v>
      </c>
      <c r="F7528">
        <v>1</v>
      </c>
      <c r="G7528">
        <v>0</v>
      </c>
      <c r="H7528">
        <v>0</v>
      </c>
      <c r="I7528">
        <v>0</v>
      </c>
      <c r="J7528">
        <v>2986.9586672987898</v>
      </c>
      <c r="K7528">
        <v>2674.5831145653401</v>
      </c>
      <c r="L7528">
        <v>73.091999999999999</v>
      </c>
      <c r="M7528">
        <v>51.83</v>
      </c>
      <c r="N7528">
        <v>81.19</v>
      </c>
    </row>
    <row r="7529" spans="1:14" x14ac:dyDescent="0.45">
      <c r="A7529">
        <v>2015</v>
      </c>
      <c r="B7529" t="s">
        <v>169</v>
      </c>
      <c r="C7529">
        <v>1</v>
      </c>
      <c r="D7529">
        <v>0</v>
      </c>
      <c r="E7529">
        <v>0</v>
      </c>
      <c r="F7529">
        <v>0</v>
      </c>
      <c r="G7529">
        <v>0</v>
      </c>
      <c r="H7529">
        <v>1</v>
      </c>
      <c r="I7529">
        <v>1</v>
      </c>
      <c r="J7529">
        <v>35251.298693177501</v>
      </c>
      <c r="K7529">
        <v>30159.836608397101</v>
      </c>
      <c r="L7529">
        <v>32.770000000000003</v>
      </c>
      <c r="M7529">
        <v>74.474000000000004</v>
      </c>
      <c r="N7529">
        <v>5.2779999999999996</v>
      </c>
    </row>
    <row r="7530" spans="1:14" x14ac:dyDescent="0.45">
      <c r="A7530">
        <v>2015</v>
      </c>
      <c r="B7530" t="s">
        <v>170</v>
      </c>
      <c r="C7530">
        <v>1</v>
      </c>
      <c r="D7530">
        <v>0</v>
      </c>
      <c r="E7530">
        <v>0</v>
      </c>
      <c r="F7530">
        <v>0</v>
      </c>
      <c r="G7530">
        <v>0</v>
      </c>
      <c r="H7530">
        <v>1</v>
      </c>
      <c r="I7530">
        <v>1</v>
      </c>
      <c r="J7530">
        <v>130097.2561798</v>
      </c>
      <c r="K7530">
        <v>111176.08208245999</v>
      </c>
      <c r="L7530">
        <v>9.8209999999999997</v>
      </c>
      <c r="M7530">
        <v>81.256</v>
      </c>
      <c r="N7530">
        <v>5.1429999999999998</v>
      </c>
    </row>
    <row r="7531" spans="1:14" x14ac:dyDescent="0.45">
      <c r="A7531">
        <v>2015</v>
      </c>
      <c r="B7531" t="s">
        <v>171</v>
      </c>
      <c r="C7531">
        <v>1</v>
      </c>
      <c r="D7531">
        <v>0</v>
      </c>
      <c r="E7531">
        <v>0</v>
      </c>
      <c r="F7531">
        <v>0</v>
      </c>
      <c r="G7531">
        <v>0</v>
      </c>
      <c r="H7531">
        <v>1</v>
      </c>
      <c r="I7531">
        <v>1</v>
      </c>
      <c r="J7531">
        <v>30599.613313414698</v>
      </c>
      <c r="K7531">
        <v>26547.896604031001</v>
      </c>
      <c r="L7531">
        <v>32.020000000000003</v>
      </c>
      <c r="M7531">
        <v>74.665000000000006</v>
      </c>
      <c r="N7531">
        <v>4.9009999999999998</v>
      </c>
    </row>
    <row r="7532" spans="1:14" x14ac:dyDescent="0.45">
      <c r="A7532">
        <v>2015</v>
      </c>
      <c r="B7532" t="s">
        <v>172</v>
      </c>
      <c r="C7532">
        <v>0</v>
      </c>
      <c r="D7532">
        <v>0</v>
      </c>
      <c r="E7532">
        <v>0</v>
      </c>
      <c r="F7532">
        <v>0</v>
      </c>
      <c r="G7532">
        <v>0</v>
      </c>
      <c r="H7532">
        <v>1</v>
      </c>
      <c r="I7532">
        <v>1</v>
      </c>
      <c r="J7532">
        <v>123396.168427464</v>
      </c>
      <c r="K7532">
        <v>111826.727004922</v>
      </c>
      <c r="L7532">
        <v>0</v>
      </c>
      <c r="M7532">
        <v>82.94</v>
      </c>
      <c r="N7532">
        <v>3.8319999999999999</v>
      </c>
    </row>
    <row r="7533" spans="1:14" x14ac:dyDescent="0.45">
      <c r="A7533">
        <v>2015</v>
      </c>
      <c r="B7533" t="s">
        <v>173</v>
      </c>
      <c r="C7533">
        <v>0</v>
      </c>
      <c r="D7533">
        <v>1</v>
      </c>
      <c r="E7533">
        <v>0</v>
      </c>
      <c r="F7533">
        <v>0</v>
      </c>
      <c r="G7533">
        <v>0</v>
      </c>
      <c r="H7533">
        <v>1</v>
      </c>
      <c r="I7533">
        <v>1</v>
      </c>
      <c r="L7533">
        <v>0</v>
      </c>
      <c r="M7533">
        <v>79.828999999999994</v>
      </c>
      <c r="N7533">
        <v>10.087</v>
      </c>
    </row>
    <row r="7534" spans="1:14" x14ac:dyDescent="0.45">
      <c r="A7534">
        <v>2015</v>
      </c>
      <c r="B7534" t="s">
        <v>174</v>
      </c>
      <c r="C7534">
        <v>0</v>
      </c>
      <c r="D7534">
        <v>0</v>
      </c>
      <c r="E7534">
        <v>0</v>
      </c>
      <c r="F7534">
        <v>1</v>
      </c>
      <c r="G7534">
        <v>0</v>
      </c>
      <c r="H7534">
        <v>0</v>
      </c>
      <c r="I7534">
        <v>0</v>
      </c>
      <c r="J7534">
        <v>8198.80859375</v>
      </c>
      <c r="K7534">
        <v>7873.8770164930302</v>
      </c>
      <c r="L7534">
        <v>39.191000000000003</v>
      </c>
      <c r="M7534">
        <v>72.894000000000005</v>
      </c>
      <c r="N7534">
        <v>23.271000000000001</v>
      </c>
    </row>
    <row r="7535" spans="1:14" x14ac:dyDescent="0.45">
      <c r="A7535">
        <v>2015</v>
      </c>
      <c r="B7535" t="s">
        <v>175</v>
      </c>
      <c r="C7535">
        <v>1</v>
      </c>
      <c r="D7535">
        <v>0</v>
      </c>
      <c r="E7535">
        <v>0</v>
      </c>
      <c r="F7535">
        <v>0</v>
      </c>
      <c r="G7535">
        <v>0</v>
      </c>
      <c r="H7535">
        <v>1</v>
      </c>
      <c r="I7535">
        <v>1</v>
      </c>
      <c r="L7535">
        <v>0</v>
      </c>
      <c r="M7535">
        <v>85.322999999999993</v>
      </c>
      <c r="N7535">
        <v>5.1760000000000002</v>
      </c>
    </row>
    <row r="7536" spans="1:14" x14ac:dyDescent="0.45">
      <c r="A7536">
        <v>2015</v>
      </c>
      <c r="B7536" t="s">
        <v>176</v>
      </c>
      <c r="C7536">
        <v>1</v>
      </c>
      <c r="D7536">
        <v>0</v>
      </c>
      <c r="E7536">
        <v>0</v>
      </c>
      <c r="F7536">
        <v>1</v>
      </c>
      <c r="G7536">
        <v>0</v>
      </c>
      <c r="H7536">
        <v>0</v>
      </c>
      <c r="I7536">
        <v>0</v>
      </c>
      <c r="J7536">
        <v>11691.0797484184</v>
      </c>
      <c r="K7536">
        <v>10027.528406052499</v>
      </c>
      <c r="L7536">
        <v>57.51</v>
      </c>
      <c r="M7536">
        <v>70.117999999999995</v>
      </c>
      <c r="N7536">
        <v>15.692</v>
      </c>
    </row>
    <row r="7537" spans="1:14" x14ac:dyDescent="0.45">
      <c r="A7537">
        <v>2015</v>
      </c>
      <c r="B7537" t="s">
        <v>177</v>
      </c>
      <c r="C7537">
        <v>0</v>
      </c>
      <c r="D7537">
        <v>0</v>
      </c>
      <c r="E7537">
        <v>1</v>
      </c>
      <c r="F7537">
        <v>0</v>
      </c>
      <c r="G7537">
        <v>0</v>
      </c>
      <c r="H7537">
        <v>0</v>
      </c>
      <c r="I7537">
        <v>0</v>
      </c>
      <c r="J7537">
        <v>1627.5806134199299</v>
      </c>
      <c r="K7537">
        <v>1507.83388330448</v>
      </c>
      <c r="L7537">
        <v>64.807000000000002</v>
      </c>
      <c r="M7537">
        <v>63.362000000000002</v>
      </c>
      <c r="N7537">
        <v>66.352999999999994</v>
      </c>
    </row>
    <row r="7538" spans="1:14" x14ac:dyDescent="0.45">
      <c r="A7538">
        <v>2015</v>
      </c>
      <c r="B7538" t="s">
        <v>178</v>
      </c>
      <c r="C7538">
        <v>0</v>
      </c>
      <c r="D7538">
        <v>0</v>
      </c>
      <c r="E7538">
        <v>0</v>
      </c>
      <c r="F7538">
        <v>0</v>
      </c>
      <c r="G7538">
        <v>1</v>
      </c>
      <c r="H7538">
        <v>0</v>
      </c>
      <c r="I7538">
        <v>0</v>
      </c>
      <c r="J7538">
        <v>18829.448159780699</v>
      </c>
      <c r="K7538">
        <v>18576.819074433799</v>
      </c>
      <c r="L7538">
        <v>61.470999999999997</v>
      </c>
      <c r="M7538">
        <v>78.606999999999999</v>
      </c>
      <c r="N7538">
        <v>9.7129999999999992</v>
      </c>
    </row>
    <row r="7539" spans="1:14" x14ac:dyDescent="0.45">
      <c r="A7539">
        <v>2015</v>
      </c>
      <c r="B7539" t="s">
        <v>179</v>
      </c>
      <c r="C7539">
        <v>0</v>
      </c>
      <c r="D7539">
        <v>1</v>
      </c>
      <c r="E7539">
        <v>0</v>
      </c>
      <c r="F7539">
        <v>0</v>
      </c>
      <c r="G7539">
        <v>1</v>
      </c>
      <c r="H7539">
        <v>0</v>
      </c>
      <c r="I7539">
        <v>0</v>
      </c>
      <c r="J7539">
        <v>21408.928320972798</v>
      </c>
      <c r="K7539">
        <v>19903.3495343914</v>
      </c>
      <c r="L7539">
        <v>20.715</v>
      </c>
      <c r="M7539">
        <v>74.430999999999997</v>
      </c>
      <c r="N7539">
        <v>16.23</v>
      </c>
    </row>
    <row r="7540" spans="1:14" x14ac:dyDescent="0.45">
      <c r="A7540">
        <v>2015</v>
      </c>
      <c r="B7540" t="s">
        <v>180</v>
      </c>
      <c r="C7540">
        <v>0</v>
      </c>
      <c r="D7540">
        <v>0</v>
      </c>
      <c r="E7540">
        <v>0</v>
      </c>
      <c r="F7540">
        <v>0</v>
      </c>
      <c r="G7540">
        <v>1</v>
      </c>
      <c r="H7540">
        <v>0</v>
      </c>
      <c r="I7540">
        <v>0</v>
      </c>
      <c r="J7540">
        <v>4670.1091824367304</v>
      </c>
      <c r="K7540">
        <v>4224.0431758512505</v>
      </c>
      <c r="L7540">
        <v>24.189</v>
      </c>
      <c r="M7540">
        <v>65.292000000000002</v>
      </c>
      <c r="N7540">
        <v>35.274999999999999</v>
      </c>
    </row>
    <row r="7541" spans="1:14" x14ac:dyDescent="0.45">
      <c r="A7541">
        <v>2015</v>
      </c>
      <c r="B7541" t="s">
        <v>181</v>
      </c>
      <c r="C7541">
        <v>1</v>
      </c>
      <c r="D7541">
        <v>0</v>
      </c>
      <c r="E7541">
        <v>0</v>
      </c>
      <c r="F7541">
        <v>0</v>
      </c>
      <c r="G7541">
        <v>1</v>
      </c>
      <c r="H7541">
        <v>0</v>
      </c>
      <c r="I7541">
        <v>0</v>
      </c>
      <c r="J7541">
        <v>19214.0158011118</v>
      </c>
      <c r="K7541">
        <v>16220.2392418209</v>
      </c>
      <c r="L7541">
        <v>42.591999999999999</v>
      </c>
      <c r="M7541">
        <v>75.629000000000005</v>
      </c>
      <c r="N7541">
        <v>9.6159999999999997</v>
      </c>
    </row>
    <row r="7542" spans="1:14" x14ac:dyDescent="0.45">
      <c r="A7542">
        <v>2015</v>
      </c>
      <c r="B7542" t="s">
        <v>182</v>
      </c>
      <c r="C7542">
        <v>0</v>
      </c>
      <c r="D7542">
        <v>0</v>
      </c>
      <c r="E7542">
        <v>1</v>
      </c>
      <c r="F7542">
        <v>0</v>
      </c>
      <c r="G7542">
        <v>0</v>
      </c>
      <c r="H7542">
        <v>0</v>
      </c>
      <c r="I7542">
        <v>0</v>
      </c>
      <c r="J7542">
        <v>2686.5597444810001</v>
      </c>
      <c r="K7542">
        <v>2486.7059788790498</v>
      </c>
      <c r="L7542">
        <v>60.009</v>
      </c>
      <c r="M7542">
        <v>57.851999999999997</v>
      </c>
      <c r="N7542">
        <v>115.797</v>
      </c>
    </row>
    <row r="7543" spans="1:14" x14ac:dyDescent="0.45">
      <c r="A7543">
        <v>2015</v>
      </c>
      <c r="B7543" t="s">
        <v>183</v>
      </c>
      <c r="C7543">
        <v>0</v>
      </c>
      <c r="D7543">
        <v>0</v>
      </c>
      <c r="E7543">
        <v>0</v>
      </c>
      <c r="F7543">
        <v>0</v>
      </c>
      <c r="G7543">
        <v>0</v>
      </c>
      <c r="H7543">
        <v>1</v>
      </c>
      <c r="I7543">
        <v>1</v>
      </c>
      <c r="J7543">
        <v>46127.620843266202</v>
      </c>
      <c r="K7543">
        <v>39902.649781091801</v>
      </c>
      <c r="L7543">
        <v>5.5860000000000003</v>
      </c>
      <c r="M7543">
        <v>82.590999999999994</v>
      </c>
      <c r="N7543">
        <v>6.766</v>
      </c>
    </row>
    <row r="7544" spans="1:14" x14ac:dyDescent="0.45">
      <c r="A7544">
        <v>2015</v>
      </c>
      <c r="B7544" t="s">
        <v>184</v>
      </c>
      <c r="C7544">
        <v>0</v>
      </c>
      <c r="D7544">
        <v>0</v>
      </c>
      <c r="E7544">
        <v>0</v>
      </c>
      <c r="F7544">
        <v>1</v>
      </c>
      <c r="G7544">
        <v>0</v>
      </c>
      <c r="H7544">
        <v>0</v>
      </c>
      <c r="I7544">
        <v>0</v>
      </c>
      <c r="J7544">
        <v>5313.8861590147599</v>
      </c>
      <c r="K7544">
        <v>4254.8452911416398</v>
      </c>
      <c r="L7544">
        <v>70.141999999999996</v>
      </c>
      <c r="M7544">
        <v>65.287999999999997</v>
      </c>
      <c r="N7544">
        <v>51.634</v>
      </c>
    </row>
    <row r="7545" spans="1:14" x14ac:dyDescent="0.45">
      <c r="A7545">
        <v>2015</v>
      </c>
      <c r="B7545" t="s">
        <v>185</v>
      </c>
      <c r="C7545">
        <v>1</v>
      </c>
      <c r="D7545">
        <v>0</v>
      </c>
      <c r="E7545">
        <v>0</v>
      </c>
      <c r="F7545">
        <v>0</v>
      </c>
      <c r="G7545">
        <v>1</v>
      </c>
      <c r="H7545">
        <v>0</v>
      </c>
      <c r="I7545">
        <v>0</v>
      </c>
      <c r="J7545">
        <v>21138.976518813299</v>
      </c>
      <c r="K7545">
        <v>17861.1446841529</v>
      </c>
      <c r="L7545">
        <v>34.194000000000003</v>
      </c>
      <c r="M7545">
        <v>76.593999999999994</v>
      </c>
      <c r="N7545">
        <v>3.8929999999999998</v>
      </c>
    </row>
    <row r="7546" spans="1:14" x14ac:dyDescent="0.45">
      <c r="A7546">
        <v>2015</v>
      </c>
      <c r="B7546" t="s">
        <v>186</v>
      </c>
      <c r="C7546">
        <v>0</v>
      </c>
      <c r="D7546">
        <v>0</v>
      </c>
      <c r="E7546">
        <v>0</v>
      </c>
      <c r="F7546">
        <v>1</v>
      </c>
      <c r="G7546">
        <v>0</v>
      </c>
      <c r="H7546">
        <v>0</v>
      </c>
      <c r="I7546">
        <v>0</v>
      </c>
      <c r="J7546">
        <v>13974.5967260365</v>
      </c>
      <c r="K7546">
        <v>10767.090011276499</v>
      </c>
      <c r="L7546">
        <v>31.77</v>
      </c>
      <c r="M7546">
        <v>69.239000000000004</v>
      </c>
      <c r="N7546">
        <v>19.446000000000002</v>
      </c>
    </row>
    <row r="7547" spans="1:14" x14ac:dyDescent="0.45">
      <c r="A7547">
        <v>2015</v>
      </c>
      <c r="B7547" t="s">
        <v>187</v>
      </c>
      <c r="C7547">
        <v>0</v>
      </c>
      <c r="D7547">
        <v>0</v>
      </c>
      <c r="E7547">
        <v>0</v>
      </c>
      <c r="F7547">
        <v>0</v>
      </c>
      <c r="G7547">
        <v>0</v>
      </c>
      <c r="H7547">
        <v>1</v>
      </c>
      <c r="I7547">
        <v>1</v>
      </c>
      <c r="L7547">
        <v>8.6430000000000007</v>
      </c>
      <c r="M7547">
        <v>77.36</v>
      </c>
      <c r="N7547">
        <v>8.4359999999999999</v>
      </c>
    </row>
    <row r="7548" spans="1:14" x14ac:dyDescent="0.45">
      <c r="A7548">
        <v>2015</v>
      </c>
      <c r="B7548" t="s">
        <v>188</v>
      </c>
      <c r="C7548">
        <v>0</v>
      </c>
      <c r="D7548">
        <v>0</v>
      </c>
      <c r="E7548">
        <v>1</v>
      </c>
      <c r="F7548">
        <v>0</v>
      </c>
      <c r="G7548">
        <v>0</v>
      </c>
      <c r="H7548">
        <v>0</v>
      </c>
      <c r="I7548">
        <v>0</v>
      </c>
      <c r="J7548">
        <v>1512.5997455554</v>
      </c>
      <c r="K7548">
        <v>1266.49962403727</v>
      </c>
      <c r="L7548">
        <v>65.599999999999994</v>
      </c>
      <c r="M7548">
        <v>58.710999999999999</v>
      </c>
      <c r="N7548">
        <v>83.938000000000002</v>
      </c>
    </row>
    <row r="7549" spans="1:14" x14ac:dyDescent="0.45">
      <c r="A7549">
        <v>2015</v>
      </c>
      <c r="B7549" t="s">
        <v>189</v>
      </c>
      <c r="C7549">
        <v>0</v>
      </c>
      <c r="D7549">
        <v>0</v>
      </c>
      <c r="E7549">
        <v>1</v>
      </c>
      <c r="F7549">
        <v>1</v>
      </c>
      <c r="G7549">
        <v>0</v>
      </c>
      <c r="H7549">
        <v>0</v>
      </c>
      <c r="I7549">
        <v>0</v>
      </c>
      <c r="J7549">
        <v>5969.5423988157499</v>
      </c>
      <c r="K7549">
        <v>5281.3339771380197</v>
      </c>
      <c r="L7549">
        <v>48.911000000000001</v>
      </c>
      <c r="M7549">
        <v>66.498000000000005</v>
      </c>
      <c r="N7549">
        <v>48.822000000000003</v>
      </c>
    </row>
    <row r="7550" spans="1:14" x14ac:dyDescent="0.45">
      <c r="A7550">
        <v>2015</v>
      </c>
      <c r="B7550" t="s">
        <v>190</v>
      </c>
      <c r="C7550">
        <v>0</v>
      </c>
      <c r="D7550">
        <v>0</v>
      </c>
      <c r="E7550">
        <v>1</v>
      </c>
      <c r="F7550">
        <v>0</v>
      </c>
      <c r="G7550">
        <v>1</v>
      </c>
      <c r="H7550">
        <v>0</v>
      </c>
      <c r="I7550">
        <v>0</v>
      </c>
      <c r="J7550">
        <v>22335.283616673201</v>
      </c>
      <c r="K7550">
        <v>20964.448511148399</v>
      </c>
      <c r="L7550">
        <v>59</v>
      </c>
      <c r="M7550">
        <v>74.673000000000002</v>
      </c>
      <c r="N7550">
        <v>14.188000000000001</v>
      </c>
    </row>
    <row r="7551" spans="1:14" x14ac:dyDescent="0.45">
      <c r="A7551">
        <v>2015</v>
      </c>
      <c r="B7551" t="s">
        <v>191</v>
      </c>
      <c r="C7551">
        <v>0</v>
      </c>
      <c r="D7551">
        <v>0</v>
      </c>
      <c r="E7551">
        <v>1</v>
      </c>
      <c r="F7551">
        <v>0</v>
      </c>
      <c r="G7551">
        <v>0</v>
      </c>
      <c r="H7551">
        <v>0</v>
      </c>
      <c r="I7551">
        <v>0</v>
      </c>
      <c r="J7551">
        <v>1597.69145324855</v>
      </c>
      <c r="K7551">
        <v>1367.0828556630399</v>
      </c>
      <c r="L7551">
        <v>83.686999999999998</v>
      </c>
      <c r="M7551">
        <v>62.323999999999998</v>
      </c>
      <c r="N7551">
        <v>56.999000000000002</v>
      </c>
    </row>
    <row r="7552" spans="1:14" x14ac:dyDescent="0.45">
      <c r="A7552">
        <v>2015</v>
      </c>
      <c r="B7552" t="s">
        <v>192</v>
      </c>
      <c r="C7552">
        <v>0</v>
      </c>
      <c r="D7552">
        <v>0</v>
      </c>
      <c r="E7552">
        <v>0</v>
      </c>
      <c r="F7552">
        <v>0</v>
      </c>
      <c r="G7552">
        <v>1</v>
      </c>
      <c r="H7552">
        <v>0</v>
      </c>
      <c r="I7552">
        <v>0</v>
      </c>
      <c r="J7552">
        <v>27699.627886038699</v>
      </c>
      <c r="K7552">
        <v>24760.199014120801</v>
      </c>
      <c r="L7552">
        <v>25.786999999999999</v>
      </c>
      <c r="M7552">
        <v>75.287999999999997</v>
      </c>
      <c r="N7552">
        <v>8.1310000000000002</v>
      </c>
    </row>
    <row r="7553" spans="1:14" x14ac:dyDescent="0.45">
      <c r="A7553">
        <v>2015</v>
      </c>
      <c r="B7553" t="s">
        <v>193</v>
      </c>
      <c r="C7553">
        <v>0</v>
      </c>
      <c r="D7553">
        <v>0</v>
      </c>
      <c r="E7553">
        <v>1</v>
      </c>
      <c r="F7553">
        <v>0</v>
      </c>
      <c r="G7553">
        <v>1</v>
      </c>
      <c r="H7553">
        <v>0</v>
      </c>
      <c r="I7553">
        <v>0</v>
      </c>
      <c r="J7553">
        <v>12166.565839205799</v>
      </c>
      <c r="K7553">
        <v>10544.7602331498</v>
      </c>
      <c r="L7553">
        <v>53.1</v>
      </c>
      <c r="M7553">
        <v>60.008000000000003</v>
      </c>
      <c r="N7553">
        <v>45.29</v>
      </c>
    </row>
    <row r="7554" spans="1:14" x14ac:dyDescent="0.45">
      <c r="A7554">
        <v>2015</v>
      </c>
      <c r="B7554" t="s">
        <v>194</v>
      </c>
      <c r="C7554">
        <v>0</v>
      </c>
      <c r="D7554">
        <v>0</v>
      </c>
      <c r="E7554">
        <v>0</v>
      </c>
      <c r="F7554">
        <v>0</v>
      </c>
      <c r="G7554">
        <v>0</v>
      </c>
      <c r="H7554">
        <v>1</v>
      </c>
      <c r="I7554">
        <v>1</v>
      </c>
      <c r="L7554">
        <v>30.620999999999999</v>
      </c>
      <c r="M7554">
        <v>77.206000000000003</v>
      </c>
      <c r="N7554">
        <v>14.231999999999999</v>
      </c>
    </row>
    <row r="7555" spans="1:14" x14ac:dyDescent="0.45">
      <c r="A7555">
        <v>2015</v>
      </c>
      <c r="B7555" t="s">
        <v>195</v>
      </c>
      <c r="C7555">
        <v>0</v>
      </c>
      <c r="D7555">
        <v>0</v>
      </c>
      <c r="E7555">
        <v>1</v>
      </c>
      <c r="F7555">
        <v>0</v>
      </c>
      <c r="G7555">
        <v>0</v>
      </c>
      <c r="H7555">
        <v>0</v>
      </c>
      <c r="I7555">
        <v>0</v>
      </c>
      <c r="J7555">
        <v>1471.6613532922399</v>
      </c>
      <c r="K7555">
        <v>1169.72380745137</v>
      </c>
      <c r="L7555">
        <v>83.753</v>
      </c>
      <c r="M7555">
        <v>58.85</v>
      </c>
      <c r="N7555">
        <v>127.438</v>
      </c>
    </row>
    <row r="7556" spans="1:14" x14ac:dyDescent="0.45">
      <c r="A7556">
        <v>2015</v>
      </c>
      <c r="B7556" t="s">
        <v>196</v>
      </c>
      <c r="C7556">
        <v>0</v>
      </c>
      <c r="D7556">
        <v>0</v>
      </c>
      <c r="E7556">
        <v>1</v>
      </c>
      <c r="F7556">
        <v>1</v>
      </c>
      <c r="G7556">
        <v>0</v>
      </c>
      <c r="H7556">
        <v>0</v>
      </c>
      <c r="I7556">
        <v>0</v>
      </c>
      <c r="J7556">
        <v>5985.0943524873101</v>
      </c>
      <c r="K7556">
        <v>5291.6300665856397</v>
      </c>
      <c r="L7556">
        <v>52.161999999999999</v>
      </c>
      <c r="M7556">
        <v>51.939</v>
      </c>
      <c r="N7556">
        <v>126.194</v>
      </c>
    </row>
    <row r="7557" spans="1:14" x14ac:dyDescent="0.45">
      <c r="A7557">
        <v>2015</v>
      </c>
      <c r="B7557" t="s">
        <v>197</v>
      </c>
      <c r="C7557">
        <v>0</v>
      </c>
      <c r="D7557">
        <v>1</v>
      </c>
      <c r="E7557">
        <v>0</v>
      </c>
      <c r="F7557">
        <v>1</v>
      </c>
      <c r="G7557">
        <v>0</v>
      </c>
      <c r="H7557">
        <v>0</v>
      </c>
      <c r="I7557">
        <v>0</v>
      </c>
      <c r="J7557">
        <v>6939.0328620773098</v>
      </c>
      <c r="K7557">
        <v>5844.5055649514397</v>
      </c>
      <c r="L7557">
        <v>42.104999999999997</v>
      </c>
      <c r="M7557">
        <v>72.899000000000001</v>
      </c>
      <c r="N7557">
        <v>19.385999999999999</v>
      </c>
    </row>
    <row r="7558" spans="1:14" x14ac:dyDescent="0.45">
      <c r="A7558">
        <v>2015</v>
      </c>
      <c r="B7558" t="s">
        <v>198</v>
      </c>
      <c r="C7558">
        <v>1</v>
      </c>
      <c r="D7558">
        <v>0</v>
      </c>
      <c r="E7558">
        <v>0</v>
      </c>
      <c r="F7558">
        <v>0</v>
      </c>
      <c r="G7558">
        <v>0</v>
      </c>
      <c r="H7558">
        <v>1</v>
      </c>
      <c r="I7558">
        <v>1</v>
      </c>
      <c r="J7558">
        <v>63081.394135067698</v>
      </c>
      <c r="K7558">
        <v>53249.718865056297</v>
      </c>
      <c r="L7558">
        <v>9.827</v>
      </c>
      <c r="M7558">
        <v>81.489999999999995</v>
      </c>
      <c r="N7558">
        <v>3.7949999999999999</v>
      </c>
    </row>
    <row r="7559" spans="1:14" x14ac:dyDescent="0.45">
      <c r="A7559">
        <v>2015</v>
      </c>
      <c r="B7559" t="s">
        <v>199</v>
      </c>
      <c r="C7559">
        <v>1</v>
      </c>
      <c r="D7559">
        <v>0</v>
      </c>
      <c r="E7559">
        <v>0</v>
      </c>
      <c r="F7559">
        <v>0</v>
      </c>
      <c r="G7559">
        <v>0</v>
      </c>
      <c r="H7559">
        <v>1</v>
      </c>
      <c r="I7559">
        <v>1</v>
      </c>
      <c r="J7559">
        <v>85550.294261449497</v>
      </c>
      <c r="K7559">
        <v>63212.052229961097</v>
      </c>
      <c r="L7559">
        <v>18.908999999999999</v>
      </c>
      <c r="M7559">
        <v>82.272999999999996</v>
      </c>
      <c r="N7559">
        <v>2.85</v>
      </c>
    </row>
    <row r="7560" spans="1:14" x14ac:dyDescent="0.45">
      <c r="A7560">
        <v>2015</v>
      </c>
      <c r="B7560" t="s">
        <v>200</v>
      </c>
      <c r="C7560">
        <v>0</v>
      </c>
      <c r="D7560">
        <v>0</v>
      </c>
      <c r="E7560">
        <v>0</v>
      </c>
      <c r="F7560">
        <v>0</v>
      </c>
      <c r="G7560">
        <v>0</v>
      </c>
      <c r="H7560">
        <v>0</v>
      </c>
      <c r="I7560">
        <v>0</v>
      </c>
      <c r="J7560">
        <v>3745.2618224947701</v>
      </c>
      <c r="K7560">
        <v>3315.70621869044</v>
      </c>
      <c r="L7560">
        <v>81.442999999999998</v>
      </c>
      <c r="M7560">
        <v>67.373999999999995</v>
      </c>
      <c r="N7560">
        <v>40.299999999999997</v>
      </c>
    </row>
    <row r="7561" spans="1:14" x14ac:dyDescent="0.45">
      <c r="A7561">
        <v>2015</v>
      </c>
      <c r="B7561" t="s">
        <v>201</v>
      </c>
      <c r="C7561">
        <v>0</v>
      </c>
      <c r="D7561">
        <v>0</v>
      </c>
      <c r="E7561">
        <v>0</v>
      </c>
      <c r="F7561">
        <v>0</v>
      </c>
      <c r="G7561">
        <v>0</v>
      </c>
      <c r="H7561">
        <v>1</v>
      </c>
      <c r="I7561">
        <v>1</v>
      </c>
      <c r="J7561">
        <v>11344.1027539731</v>
      </c>
      <c r="K7561">
        <v>10263.241968524</v>
      </c>
      <c r="L7561">
        <v>0</v>
      </c>
      <c r="M7561">
        <v>60.896999999999998</v>
      </c>
      <c r="N7561">
        <v>32.988</v>
      </c>
    </row>
    <row r="7562" spans="1:14" x14ac:dyDescent="0.45">
      <c r="A7562">
        <v>2015</v>
      </c>
      <c r="B7562" t="s">
        <v>202</v>
      </c>
      <c r="C7562">
        <v>0</v>
      </c>
      <c r="D7562">
        <v>0</v>
      </c>
      <c r="E7562">
        <v>0</v>
      </c>
      <c r="F7562">
        <v>0</v>
      </c>
      <c r="G7562">
        <v>0</v>
      </c>
      <c r="H7562">
        <v>1</v>
      </c>
      <c r="I7562">
        <v>1</v>
      </c>
      <c r="J7562">
        <v>44963.8339159182</v>
      </c>
      <c r="K7562">
        <v>40896.945067685301</v>
      </c>
      <c r="L7562">
        <v>13.659000000000001</v>
      </c>
      <c r="M7562">
        <v>81.587000000000003</v>
      </c>
      <c r="N7562">
        <v>5.0659999999999998</v>
      </c>
    </row>
    <row r="7563" spans="1:14" x14ac:dyDescent="0.45">
      <c r="A7563">
        <v>2015</v>
      </c>
      <c r="B7563" t="s">
        <v>203</v>
      </c>
      <c r="C7563">
        <v>0</v>
      </c>
      <c r="D7563">
        <v>0</v>
      </c>
      <c r="E7563">
        <v>0</v>
      </c>
      <c r="F7563">
        <v>0</v>
      </c>
      <c r="G7563">
        <v>0</v>
      </c>
      <c r="H7563">
        <v>1</v>
      </c>
      <c r="I7563">
        <v>1</v>
      </c>
      <c r="J7563">
        <v>39813.788705467501</v>
      </c>
      <c r="K7563">
        <v>34595.020626045101</v>
      </c>
      <c r="L7563">
        <v>18.649999999999999</v>
      </c>
      <c r="M7563">
        <v>79.346000000000004</v>
      </c>
      <c r="N7563">
        <v>11.212999999999999</v>
      </c>
    </row>
    <row r="7564" spans="1:14" x14ac:dyDescent="0.45">
      <c r="A7564">
        <v>2015</v>
      </c>
      <c r="B7564" t="s">
        <v>204</v>
      </c>
      <c r="C7564">
        <v>0</v>
      </c>
      <c r="D7564">
        <v>0</v>
      </c>
      <c r="E7564">
        <v>0</v>
      </c>
      <c r="F7564">
        <v>1</v>
      </c>
      <c r="G7564">
        <v>0</v>
      </c>
      <c r="H7564">
        <v>0</v>
      </c>
      <c r="I7564">
        <v>0</v>
      </c>
      <c r="J7564">
        <v>4645.2863107114499</v>
      </c>
      <c r="K7564">
        <v>4421.8423725758403</v>
      </c>
      <c r="L7564">
        <v>63.973999999999997</v>
      </c>
      <c r="M7564">
        <v>65.641000000000005</v>
      </c>
      <c r="N7564">
        <v>76.183999999999997</v>
      </c>
    </row>
    <row r="7565" spans="1:14" x14ac:dyDescent="0.45">
      <c r="A7565">
        <v>2015</v>
      </c>
      <c r="B7565" t="s">
        <v>205</v>
      </c>
      <c r="C7565">
        <v>0</v>
      </c>
      <c r="D7565">
        <v>1</v>
      </c>
      <c r="E7565">
        <v>0</v>
      </c>
      <c r="F7565">
        <v>0</v>
      </c>
      <c r="G7565">
        <v>1</v>
      </c>
      <c r="H7565">
        <v>0</v>
      </c>
      <c r="I7565">
        <v>0</v>
      </c>
      <c r="J7565">
        <v>29933.155572432901</v>
      </c>
      <c r="K7565">
        <v>31387.249350315</v>
      </c>
      <c r="L7565">
        <v>33.304000000000002</v>
      </c>
      <c r="M7565">
        <v>77.582999999999998</v>
      </c>
      <c r="N7565">
        <v>17.145</v>
      </c>
    </row>
    <row r="7566" spans="1:14" x14ac:dyDescent="0.45">
      <c r="A7566">
        <v>2015</v>
      </c>
      <c r="B7566" t="s">
        <v>206</v>
      </c>
      <c r="C7566">
        <v>0</v>
      </c>
      <c r="D7566">
        <v>1</v>
      </c>
      <c r="E7566">
        <v>0</v>
      </c>
      <c r="F7566">
        <v>0</v>
      </c>
      <c r="G7566">
        <v>1</v>
      </c>
      <c r="H7566">
        <v>0</v>
      </c>
      <c r="I7566">
        <v>0</v>
      </c>
      <c r="J7566">
        <v>14542.7930911313</v>
      </c>
      <c r="K7566">
        <v>12151.7284737966</v>
      </c>
      <c r="L7566">
        <v>22.643000000000001</v>
      </c>
      <c r="M7566">
        <v>75.731999999999999</v>
      </c>
      <c r="N7566">
        <v>17.268000000000001</v>
      </c>
    </row>
    <row r="7567" spans="1:14" x14ac:dyDescent="0.45">
      <c r="A7567">
        <v>2015</v>
      </c>
      <c r="B7567" t="s">
        <v>207</v>
      </c>
      <c r="C7567">
        <v>0</v>
      </c>
      <c r="D7567">
        <v>0</v>
      </c>
      <c r="E7567">
        <v>0</v>
      </c>
      <c r="F7567">
        <v>1</v>
      </c>
      <c r="G7567">
        <v>0</v>
      </c>
      <c r="H7567">
        <v>0</v>
      </c>
      <c r="I7567">
        <v>0</v>
      </c>
      <c r="J7567">
        <v>7691.7630868504702</v>
      </c>
      <c r="K7567">
        <v>6965.6650650449501</v>
      </c>
      <c r="L7567">
        <v>53.716000000000001</v>
      </c>
      <c r="M7567">
        <v>69.45</v>
      </c>
      <c r="N7567">
        <v>28.417999999999999</v>
      </c>
    </row>
    <row r="7568" spans="1:14" x14ac:dyDescent="0.45">
      <c r="A7568">
        <v>2015</v>
      </c>
      <c r="B7568" t="s">
        <v>208</v>
      </c>
      <c r="C7568">
        <v>0</v>
      </c>
      <c r="D7568">
        <v>0</v>
      </c>
      <c r="E7568">
        <v>0</v>
      </c>
      <c r="F7568">
        <v>0</v>
      </c>
      <c r="G7568">
        <v>1</v>
      </c>
      <c r="H7568">
        <v>0</v>
      </c>
      <c r="I7568">
        <v>0</v>
      </c>
      <c r="J7568">
        <v>20021.314415566801</v>
      </c>
      <c r="K7568">
        <v>18113.6929761053</v>
      </c>
      <c r="L7568">
        <v>21.841000000000001</v>
      </c>
      <c r="M7568">
        <v>69.069999999999993</v>
      </c>
      <c r="N7568">
        <v>21.33</v>
      </c>
    </row>
    <row r="7569" spans="1:14" x14ac:dyDescent="0.45">
      <c r="A7569">
        <v>2015</v>
      </c>
      <c r="B7569" t="s">
        <v>209</v>
      </c>
      <c r="C7569">
        <v>0</v>
      </c>
      <c r="D7569">
        <v>0</v>
      </c>
      <c r="E7569">
        <v>0</v>
      </c>
      <c r="F7569">
        <v>1</v>
      </c>
      <c r="G7569">
        <v>0</v>
      </c>
      <c r="H7569">
        <v>0</v>
      </c>
      <c r="I7569">
        <v>0</v>
      </c>
      <c r="J7569">
        <v>4154.5233255918401</v>
      </c>
      <c r="K7569">
        <v>3758.1873919537802</v>
      </c>
      <c r="L7569">
        <v>86.988</v>
      </c>
      <c r="M7569">
        <v>64.472999999999999</v>
      </c>
      <c r="N7569">
        <v>51.457999999999998</v>
      </c>
    </row>
    <row r="7570" spans="1:14" x14ac:dyDescent="0.45">
      <c r="A7570">
        <v>2015</v>
      </c>
      <c r="B7570" t="s">
        <v>210</v>
      </c>
      <c r="C7570">
        <v>1</v>
      </c>
      <c r="D7570">
        <v>0</v>
      </c>
      <c r="E7570">
        <v>0</v>
      </c>
      <c r="F7570">
        <v>0</v>
      </c>
      <c r="G7570">
        <v>0</v>
      </c>
      <c r="H7570">
        <v>1</v>
      </c>
      <c r="I7570">
        <v>1</v>
      </c>
      <c r="J7570">
        <v>31700.368236415401</v>
      </c>
      <c r="K7570">
        <v>27362.840564467599</v>
      </c>
      <c r="L7570">
        <v>39.722000000000001</v>
      </c>
      <c r="M7570">
        <v>77.588999999999999</v>
      </c>
      <c r="N7570">
        <v>4.8440000000000003</v>
      </c>
    </row>
    <row r="7571" spans="1:14" x14ac:dyDescent="0.45">
      <c r="A7571">
        <v>2015</v>
      </c>
      <c r="B7571" t="s">
        <v>211</v>
      </c>
      <c r="C7571">
        <v>0</v>
      </c>
      <c r="D7571">
        <v>1</v>
      </c>
      <c r="E7571">
        <v>0</v>
      </c>
      <c r="F7571">
        <v>0</v>
      </c>
      <c r="G7571">
        <v>0</v>
      </c>
      <c r="H7571">
        <v>1</v>
      </c>
      <c r="I7571">
        <v>1</v>
      </c>
      <c r="J7571">
        <v>41737.606857115301</v>
      </c>
      <c r="K7571">
        <v>32064.529630664201</v>
      </c>
      <c r="L7571">
        <v>6.3760000000000003</v>
      </c>
      <c r="M7571">
        <v>80.677000000000007</v>
      </c>
      <c r="N7571">
        <v>7.3780000000000001</v>
      </c>
    </row>
    <row r="7572" spans="1:14" x14ac:dyDescent="0.45">
      <c r="A7572">
        <v>2015</v>
      </c>
      <c r="B7572" t="s">
        <v>212</v>
      </c>
      <c r="C7572">
        <v>0</v>
      </c>
      <c r="D7572">
        <v>0</v>
      </c>
      <c r="E7572">
        <v>0</v>
      </c>
      <c r="F7572">
        <v>0</v>
      </c>
      <c r="G7572">
        <v>0</v>
      </c>
      <c r="H7572">
        <v>0</v>
      </c>
      <c r="I7572">
        <v>0</v>
      </c>
      <c r="L7572">
        <v>38.722999999999999</v>
      </c>
      <c r="M7572">
        <v>72.825000000000003</v>
      </c>
      <c r="N7572">
        <v>21.413</v>
      </c>
    </row>
    <row r="7573" spans="1:14" x14ac:dyDescent="0.45">
      <c r="A7573">
        <v>2015</v>
      </c>
      <c r="B7573" t="s">
        <v>213</v>
      </c>
      <c r="C7573">
        <v>1</v>
      </c>
      <c r="D7573">
        <v>0</v>
      </c>
      <c r="E7573">
        <v>0</v>
      </c>
      <c r="F7573">
        <v>0</v>
      </c>
      <c r="G7573">
        <v>0</v>
      </c>
      <c r="H7573">
        <v>1</v>
      </c>
      <c r="I7573">
        <v>1</v>
      </c>
      <c r="J7573">
        <v>35803.357409774901</v>
      </c>
      <c r="K7573">
        <v>30947.816848405801</v>
      </c>
      <c r="L7573">
        <v>36.485999999999997</v>
      </c>
      <c r="M7573">
        <v>81.320999999999998</v>
      </c>
      <c r="N7573">
        <v>3.6320000000000001</v>
      </c>
    </row>
    <row r="7574" spans="1:14" x14ac:dyDescent="0.45">
      <c r="A7574">
        <v>2015</v>
      </c>
      <c r="B7574" t="s">
        <v>214</v>
      </c>
      <c r="C7574">
        <v>0</v>
      </c>
      <c r="D7574">
        <v>1</v>
      </c>
      <c r="E7574">
        <v>0</v>
      </c>
      <c r="F7574">
        <v>0</v>
      </c>
      <c r="G7574">
        <v>1</v>
      </c>
      <c r="H7574">
        <v>0</v>
      </c>
      <c r="I7574">
        <v>0</v>
      </c>
      <c r="J7574">
        <v>14427.6002349787</v>
      </c>
      <c r="K7574">
        <v>13162.862874217</v>
      </c>
      <c r="L7574">
        <v>39.25</v>
      </c>
      <c r="M7574">
        <v>73.453999999999994</v>
      </c>
      <c r="N7574">
        <v>22.117000000000001</v>
      </c>
    </row>
    <row r="7575" spans="1:14" x14ac:dyDescent="0.45">
      <c r="A7575">
        <v>2015</v>
      </c>
      <c r="B7575" t="s">
        <v>215</v>
      </c>
      <c r="C7575">
        <v>0</v>
      </c>
      <c r="D7575">
        <v>0</v>
      </c>
      <c r="E7575">
        <v>0</v>
      </c>
      <c r="F7575">
        <v>1</v>
      </c>
      <c r="G7575">
        <v>0</v>
      </c>
      <c r="H7575">
        <v>0</v>
      </c>
      <c r="I7575">
        <v>0</v>
      </c>
      <c r="J7575">
        <v>6072.6503176854903</v>
      </c>
      <c r="K7575">
        <v>5178.0570354961801</v>
      </c>
      <c r="L7575">
        <v>24.632000000000001</v>
      </c>
      <c r="M7575">
        <v>74.576999999999998</v>
      </c>
      <c r="N7575">
        <v>18.55</v>
      </c>
    </row>
    <row r="7576" spans="1:14" x14ac:dyDescent="0.45">
      <c r="A7576">
        <v>2015</v>
      </c>
      <c r="B7576" t="s">
        <v>216</v>
      </c>
      <c r="C7576">
        <v>0</v>
      </c>
      <c r="D7576">
        <v>0</v>
      </c>
      <c r="E7576">
        <v>0</v>
      </c>
      <c r="F7576">
        <v>0</v>
      </c>
      <c r="G7576">
        <v>0</v>
      </c>
      <c r="H7576">
        <v>1</v>
      </c>
      <c r="I7576">
        <v>1</v>
      </c>
      <c r="L7576">
        <v>38.317</v>
      </c>
      <c r="M7576">
        <v>82.338999999999999</v>
      </c>
      <c r="N7576">
        <v>7.3810000000000002</v>
      </c>
    </row>
    <row r="7577" spans="1:14" x14ac:dyDescent="0.45">
      <c r="A7577">
        <v>2015</v>
      </c>
      <c r="B7577" t="s">
        <v>217</v>
      </c>
      <c r="C7577">
        <v>0</v>
      </c>
      <c r="D7577">
        <v>0</v>
      </c>
      <c r="E7577">
        <v>0</v>
      </c>
      <c r="F7577">
        <v>0</v>
      </c>
      <c r="G7577">
        <v>0</v>
      </c>
      <c r="H7577">
        <v>1</v>
      </c>
      <c r="I7577">
        <v>1</v>
      </c>
      <c r="J7577">
        <v>123070.887876565</v>
      </c>
      <c r="K7577">
        <v>106271.448549423</v>
      </c>
      <c r="L7577">
        <v>1.0550000000000099</v>
      </c>
      <c r="M7577">
        <v>81.784999999999997</v>
      </c>
      <c r="N7577">
        <v>7.65</v>
      </c>
    </row>
    <row r="7578" spans="1:14" x14ac:dyDescent="0.45">
      <c r="A7578">
        <v>2015</v>
      </c>
      <c r="B7578" t="s">
        <v>218</v>
      </c>
      <c r="C7578">
        <v>1</v>
      </c>
      <c r="D7578">
        <v>0</v>
      </c>
      <c r="E7578">
        <v>0</v>
      </c>
      <c r="F7578">
        <v>0</v>
      </c>
      <c r="G7578">
        <v>1</v>
      </c>
      <c r="H7578">
        <v>0</v>
      </c>
      <c r="I7578">
        <v>0</v>
      </c>
      <c r="J7578">
        <v>29178.744516721101</v>
      </c>
      <c r="K7578">
        <v>23717.535878561201</v>
      </c>
      <c r="L7578">
        <v>46.113</v>
      </c>
      <c r="M7578">
        <v>74.736999999999995</v>
      </c>
      <c r="N7578">
        <v>9.2390000000000008</v>
      </c>
    </row>
    <row r="7579" spans="1:14" x14ac:dyDescent="0.45">
      <c r="A7579">
        <v>2015</v>
      </c>
      <c r="B7579" t="s">
        <v>219</v>
      </c>
      <c r="C7579">
        <v>1</v>
      </c>
      <c r="D7579">
        <v>0</v>
      </c>
      <c r="E7579">
        <v>0</v>
      </c>
      <c r="F7579">
        <v>0</v>
      </c>
      <c r="G7579">
        <v>1</v>
      </c>
      <c r="H7579">
        <v>0</v>
      </c>
      <c r="I7579">
        <v>0</v>
      </c>
      <c r="J7579">
        <v>35037.15234375</v>
      </c>
      <c r="K7579">
        <v>25391.465028921601</v>
      </c>
      <c r="L7579">
        <v>25.95</v>
      </c>
      <c r="M7579">
        <v>71.344999999999999</v>
      </c>
      <c r="N7579">
        <v>8.0779999999999994</v>
      </c>
    </row>
    <row r="7580" spans="1:14" x14ac:dyDescent="0.45">
      <c r="A7580">
        <v>2015</v>
      </c>
      <c r="B7580" t="s">
        <v>220</v>
      </c>
      <c r="C7580">
        <v>0</v>
      </c>
      <c r="D7580">
        <v>0</v>
      </c>
      <c r="E7580">
        <v>1</v>
      </c>
      <c r="F7580">
        <v>0</v>
      </c>
      <c r="G7580">
        <v>0</v>
      </c>
      <c r="H7580">
        <v>0</v>
      </c>
      <c r="I7580">
        <v>0</v>
      </c>
      <c r="J7580">
        <v>2238.53941469642</v>
      </c>
      <c r="K7580">
        <v>1873.3303434141901</v>
      </c>
      <c r="L7580">
        <v>82.995999999999995</v>
      </c>
      <c r="M7580">
        <v>65.418999999999997</v>
      </c>
      <c r="N7580">
        <v>47.524999999999999</v>
      </c>
    </row>
    <row r="7581" spans="1:14" x14ac:dyDescent="0.45">
      <c r="A7581">
        <v>2015</v>
      </c>
      <c r="B7581" t="s">
        <v>221</v>
      </c>
      <c r="C7581">
        <v>0</v>
      </c>
      <c r="D7581">
        <v>0</v>
      </c>
      <c r="E7581">
        <v>0</v>
      </c>
      <c r="F7581">
        <v>0</v>
      </c>
      <c r="G7581">
        <v>0</v>
      </c>
      <c r="H7581">
        <v>1</v>
      </c>
      <c r="I7581">
        <v>1</v>
      </c>
      <c r="J7581">
        <v>58498.539904069898</v>
      </c>
      <c r="K7581">
        <v>53630.176797863503</v>
      </c>
      <c r="L7581">
        <v>16.82</v>
      </c>
      <c r="M7581">
        <v>77.775999999999996</v>
      </c>
      <c r="N7581">
        <v>9.11</v>
      </c>
    </row>
    <row r="7582" spans="1:14" x14ac:dyDescent="0.45">
      <c r="A7582">
        <v>2015</v>
      </c>
      <c r="B7582" t="s">
        <v>222</v>
      </c>
      <c r="C7582">
        <v>0</v>
      </c>
      <c r="D7582">
        <v>0</v>
      </c>
      <c r="E7582">
        <v>1</v>
      </c>
      <c r="F7582">
        <v>1</v>
      </c>
      <c r="G7582">
        <v>0</v>
      </c>
      <c r="H7582">
        <v>0</v>
      </c>
      <c r="I7582">
        <v>0</v>
      </c>
      <c r="J7582">
        <v>4159.1943359375</v>
      </c>
      <c r="K7582">
        <v>4355.2249603765204</v>
      </c>
      <c r="L7582">
        <v>66.105999999999995</v>
      </c>
      <c r="M7582">
        <v>64.375</v>
      </c>
      <c r="N7582">
        <v>64.847999999999999</v>
      </c>
    </row>
    <row r="7583" spans="1:14" x14ac:dyDescent="0.45">
      <c r="A7583">
        <v>2015</v>
      </c>
      <c r="B7583" t="s">
        <v>223</v>
      </c>
      <c r="C7583">
        <v>0</v>
      </c>
      <c r="D7583">
        <v>0</v>
      </c>
      <c r="E7583">
        <v>1</v>
      </c>
      <c r="F7583">
        <v>0</v>
      </c>
      <c r="G7583">
        <v>0</v>
      </c>
      <c r="H7583">
        <v>0</v>
      </c>
      <c r="I7583">
        <v>0</v>
      </c>
      <c r="J7583">
        <v>3593.7947712038899</v>
      </c>
      <c r="K7583">
        <v>3002.39634187088</v>
      </c>
      <c r="L7583">
        <v>54.137999999999998</v>
      </c>
      <c r="M7583">
        <v>66.450999999999993</v>
      </c>
      <c r="N7583">
        <v>51.036999999999999</v>
      </c>
    </row>
    <row r="7584" spans="1:14" x14ac:dyDescent="0.45">
      <c r="A7584">
        <v>2015</v>
      </c>
      <c r="B7584" t="s">
        <v>224</v>
      </c>
      <c r="C7584">
        <v>0</v>
      </c>
      <c r="D7584">
        <v>0</v>
      </c>
      <c r="E7584">
        <v>0</v>
      </c>
      <c r="F7584">
        <v>0</v>
      </c>
      <c r="G7584">
        <v>0</v>
      </c>
      <c r="H7584">
        <v>1</v>
      </c>
      <c r="I7584">
        <v>1</v>
      </c>
      <c r="J7584">
        <v>108953.72429428701</v>
      </c>
      <c r="K7584">
        <v>89564.026778056097</v>
      </c>
      <c r="L7584">
        <v>0</v>
      </c>
      <c r="M7584">
        <v>82.748000000000005</v>
      </c>
      <c r="N7584">
        <v>2.6749999999999998</v>
      </c>
    </row>
    <row r="7585" spans="1:14" x14ac:dyDescent="0.45">
      <c r="A7585">
        <v>2015</v>
      </c>
      <c r="B7585" t="s">
        <v>225</v>
      </c>
      <c r="C7585">
        <v>0</v>
      </c>
      <c r="D7585">
        <v>0</v>
      </c>
      <c r="E7585">
        <v>0</v>
      </c>
      <c r="F7585">
        <v>1</v>
      </c>
      <c r="G7585">
        <v>0</v>
      </c>
      <c r="H7585">
        <v>0</v>
      </c>
      <c r="I7585">
        <v>0</v>
      </c>
      <c r="J7585">
        <v>2664.73035972978</v>
      </c>
      <c r="K7585">
        <v>2410.44302891707</v>
      </c>
      <c r="L7585">
        <v>77.64</v>
      </c>
      <c r="M7585">
        <v>69.322999999999993</v>
      </c>
      <c r="N7585">
        <v>23.004999999999999</v>
      </c>
    </row>
    <row r="7586" spans="1:14" x14ac:dyDescent="0.45">
      <c r="A7586">
        <v>2015</v>
      </c>
      <c r="B7586" t="s">
        <v>226</v>
      </c>
      <c r="C7586">
        <v>0</v>
      </c>
      <c r="D7586">
        <v>0</v>
      </c>
      <c r="E7586">
        <v>1</v>
      </c>
      <c r="F7586">
        <v>0</v>
      </c>
      <c r="G7586">
        <v>0</v>
      </c>
      <c r="H7586">
        <v>0</v>
      </c>
      <c r="I7586">
        <v>0</v>
      </c>
      <c r="J7586">
        <v>2630.5349864713098</v>
      </c>
      <c r="K7586">
        <v>2387.65921839875</v>
      </c>
      <c r="L7586">
        <v>59.170999999999999</v>
      </c>
      <c r="M7586">
        <v>55.454000000000001</v>
      </c>
      <c r="N7586">
        <v>132.92500000000001</v>
      </c>
    </row>
    <row r="7587" spans="1:14" x14ac:dyDescent="0.45">
      <c r="A7587">
        <v>2015</v>
      </c>
      <c r="B7587" t="s">
        <v>227</v>
      </c>
      <c r="C7587">
        <v>0</v>
      </c>
      <c r="D7587">
        <v>1</v>
      </c>
      <c r="E7587">
        <v>0</v>
      </c>
      <c r="F7587">
        <v>1</v>
      </c>
      <c r="G7587">
        <v>0</v>
      </c>
      <c r="H7587">
        <v>0</v>
      </c>
      <c r="I7587">
        <v>0</v>
      </c>
      <c r="J7587">
        <v>9646.1543233985394</v>
      </c>
      <c r="K7587">
        <v>8592.3157774882002</v>
      </c>
      <c r="L7587">
        <v>30.3</v>
      </c>
      <c r="M7587">
        <v>70.951999999999998</v>
      </c>
      <c r="N7587">
        <v>15.444000000000001</v>
      </c>
    </row>
    <row r="7588" spans="1:14" x14ac:dyDescent="0.45">
      <c r="A7588">
        <v>2015</v>
      </c>
      <c r="B7588" t="s">
        <v>228</v>
      </c>
      <c r="C7588">
        <v>1</v>
      </c>
      <c r="D7588">
        <v>0</v>
      </c>
      <c r="E7588">
        <v>0</v>
      </c>
      <c r="F7588">
        <v>0</v>
      </c>
      <c r="G7588">
        <v>0</v>
      </c>
      <c r="H7588">
        <v>1</v>
      </c>
      <c r="I7588">
        <v>1</v>
      </c>
      <c r="J7588">
        <v>59647.659455707202</v>
      </c>
      <c r="K7588">
        <v>52571.915982516803</v>
      </c>
      <c r="L7588">
        <v>3.2610000000000001</v>
      </c>
      <c r="M7588">
        <v>84.596000000000004</v>
      </c>
      <c r="N7588">
        <v>2.0070000000000001</v>
      </c>
    </row>
    <row r="7589" spans="1:14" x14ac:dyDescent="0.45">
      <c r="A7589">
        <v>2015</v>
      </c>
      <c r="B7589" t="s">
        <v>229</v>
      </c>
      <c r="C7589">
        <v>0</v>
      </c>
      <c r="D7589">
        <v>0</v>
      </c>
      <c r="E7589">
        <v>1</v>
      </c>
      <c r="F7589">
        <v>0</v>
      </c>
      <c r="G7589">
        <v>0</v>
      </c>
      <c r="H7589">
        <v>0</v>
      </c>
      <c r="I7589">
        <v>0</v>
      </c>
      <c r="J7589">
        <v>1343.4429666430599</v>
      </c>
      <c r="K7589">
        <v>1246.08940918709</v>
      </c>
      <c r="L7589">
        <v>56.755000000000003</v>
      </c>
      <c r="M7589">
        <v>55.055999999999997</v>
      </c>
      <c r="N7589">
        <v>133.25899999999999</v>
      </c>
    </row>
    <row r="7590" spans="1:14" x14ac:dyDescent="0.45">
      <c r="A7590">
        <v>2015</v>
      </c>
      <c r="B7590" t="s">
        <v>230</v>
      </c>
      <c r="C7590">
        <v>1</v>
      </c>
      <c r="D7590">
        <v>0</v>
      </c>
      <c r="E7590">
        <v>0</v>
      </c>
      <c r="F7590">
        <v>0</v>
      </c>
      <c r="G7590">
        <v>1</v>
      </c>
      <c r="H7590">
        <v>0</v>
      </c>
      <c r="I7590">
        <v>0</v>
      </c>
      <c r="J7590">
        <v>18246.789952480402</v>
      </c>
      <c r="K7590">
        <v>16044.835989880001</v>
      </c>
      <c r="L7590">
        <v>44.304000000000002</v>
      </c>
      <c r="M7590">
        <v>75.653000000000006</v>
      </c>
      <c r="N7590">
        <v>6.2869999999999999</v>
      </c>
    </row>
    <row r="7591" spans="1:14" x14ac:dyDescent="0.45">
      <c r="A7591">
        <v>2015</v>
      </c>
      <c r="B7591" t="s">
        <v>231</v>
      </c>
      <c r="C7591">
        <v>0</v>
      </c>
      <c r="D7591">
        <v>0</v>
      </c>
      <c r="E7591">
        <v>1</v>
      </c>
      <c r="F7591">
        <v>0</v>
      </c>
      <c r="G7591">
        <v>0</v>
      </c>
      <c r="H7591">
        <v>0</v>
      </c>
      <c r="I7591">
        <v>0</v>
      </c>
      <c r="L7591">
        <v>81.147999999999996</v>
      </c>
      <c r="M7591">
        <v>39.756999999999998</v>
      </c>
      <c r="N7591">
        <v>244.667</v>
      </c>
    </row>
    <row r="7592" spans="1:14" x14ac:dyDescent="0.45">
      <c r="A7592">
        <v>2015</v>
      </c>
      <c r="B7592" t="s">
        <v>232</v>
      </c>
      <c r="C7592">
        <v>0</v>
      </c>
      <c r="D7592">
        <v>0</v>
      </c>
      <c r="E7592">
        <v>1</v>
      </c>
      <c r="F7592">
        <v>1</v>
      </c>
      <c r="G7592">
        <v>0</v>
      </c>
      <c r="H7592">
        <v>0</v>
      </c>
      <c r="I7592">
        <v>0</v>
      </c>
      <c r="J7592">
        <v>5210.2037755431002</v>
      </c>
      <c r="K7592">
        <v>3242.7489342331201</v>
      </c>
      <c r="L7592">
        <v>29.826000000000001</v>
      </c>
      <c r="M7592">
        <v>66.022999999999996</v>
      </c>
      <c r="N7592">
        <v>23.260999999999999</v>
      </c>
    </row>
    <row r="7593" spans="1:14" x14ac:dyDescent="0.45">
      <c r="A7593">
        <v>2015</v>
      </c>
      <c r="B7593" t="s">
        <v>233</v>
      </c>
      <c r="C7593">
        <v>0</v>
      </c>
      <c r="D7593">
        <v>1</v>
      </c>
      <c r="E7593">
        <v>0</v>
      </c>
      <c r="F7593">
        <v>0</v>
      </c>
      <c r="G7593">
        <v>1</v>
      </c>
      <c r="H7593">
        <v>0</v>
      </c>
      <c r="I7593">
        <v>0</v>
      </c>
      <c r="J7593">
        <v>23327.5252497447</v>
      </c>
      <c r="K7593">
        <v>18568.2348324788</v>
      </c>
      <c r="L7593">
        <v>33.944000000000003</v>
      </c>
      <c r="M7593">
        <v>70.566999999999993</v>
      </c>
      <c r="N7593">
        <v>20.391999999999999</v>
      </c>
    </row>
    <row r="7594" spans="1:14" x14ac:dyDescent="0.45">
      <c r="A7594">
        <v>2015</v>
      </c>
      <c r="B7594" t="s">
        <v>234</v>
      </c>
      <c r="C7594">
        <v>1</v>
      </c>
      <c r="D7594">
        <v>0</v>
      </c>
      <c r="E7594">
        <v>0</v>
      </c>
      <c r="F7594">
        <v>0</v>
      </c>
      <c r="G7594">
        <v>0</v>
      </c>
      <c r="H7594">
        <v>1</v>
      </c>
      <c r="I7594">
        <v>1</v>
      </c>
      <c r="J7594">
        <v>33507.725719768299</v>
      </c>
      <c r="K7594">
        <v>28859.628982659699</v>
      </c>
      <c r="L7594">
        <v>46.110999999999997</v>
      </c>
      <c r="M7594">
        <v>76.650000000000006</v>
      </c>
      <c r="N7594">
        <v>6.4390000000000001</v>
      </c>
    </row>
    <row r="7595" spans="1:14" x14ac:dyDescent="0.45">
      <c r="A7595">
        <v>2015</v>
      </c>
      <c r="B7595" t="s">
        <v>235</v>
      </c>
      <c r="C7595">
        <v>1</v>
      </c>
      <c r="D7595">
        <v>0</v>
      </c>
      <c r="E7595">
        <v>0</v>
      </c>
      <c r="F7595">
        <v>0</v>
      </c>
      <c r="G7595">
        <v>0</v>
      </c>
      <c r="H7595">
        <v>1</v>
      </c>
      <c r="I7595">
        <v>1</v>
      </c>
      <c r="J7595">
        <v>38537.0951946684</v>
      </c>
      <c r="K7595">
        <v>33172.912337866299</v>
      </c>
      <c r="L7595">
        <v>46.219000000000001</v>
      </c>
      <c r="M7595">
        <v>80.498999999999995</v>
      </c>
      <c r="N7595">
        <v>2.302</v>
      </c>
    </row>
    <row r="7596" spans="1:14" x14ac:dyDescent="0.45">
      <c r="A7596">
        <v>2015</v>
      </c>
      <c r="B7596" t="s">
        <v>236</v>
      </c>
      <c r="C7596">
        <v>1</v>
      </c>
      <c r="D7596">
        <v>0</v>
      </c>
      <c r="E7596">
        <v>0</v>
      </c>
      <c r="F7596">
        <v>0</v>
      </c>
      <c r="G7596">
        <v>0</v>
      </c>
      <c r="H7596">
        <v>1</v>
      </c>
      <c r="I7596">
        <v>1</v>
      </c>
      <c r="J7596">
        <v>58975.977889508998</v>
      </c>
      <c r="K7596">
        <v>50378.368529622501</v>
      </c>
      <c r="L7596">
        <v>13.446999999999999</v>
      </c>
      <c r="M7596">
        <v>82.183999999999997</v>
      </c>
      <c r="N7596">
        <v>2.9369999999999998</v>
      </c>
    </row>
    <row r="7597" spans="1:14" x14ac:dyDescent="0.45">
      <c r="A7597">
        <v>2015</v>
      </c>
      <c r="B7597" t="s">
        <v>237</v>
      </c>
      <c r="C7597">
        <v>0</v>
      </c>
      <c r="D7597">
        <v>0</v>
      </c>
      <c r="E7597">
        <v>1</v>
      </c>
      <c r="F7597">
        <v>1</v>
      </c>
      <c r="G7597">
        <v>0</v>
      </c>
      <c r="H7597">
        <v>0</v>
      </c>
      <c r="I7597">
        <v>0</v>
      </c>
      <c r="J7597">
        <v>9253.2909361808706</v>
      </c>
      <c r="K7597">
        <v>8193.7908191828792</v>
      </c>
      <c r="L7597">
        <v>76.7</v>
      </c>
      <c r="M7597">
        <v>54.941000000000003</v>
      </c>
      <c r="N7597">
        <v>63.97</v>
      </c>
    </row>
    <row r="7598" spans="1:14" x14ac:dyDescent="0.45">
      <c r="A7598">
        <v>2015</v>
      </c>
      <c r="B7598" t="s">
        <v>238</v>
      </c>
      <c r="C7598">
        <v>0</v>
      </c>
      <c r="D7598">
        <v>1</v>
      </c>
      <c r="E7598">
        <v>0</v>
      </c>
      <c r="F7598">
        <v>0</v>
      </c>
      <c r="G7598">
        <v>0</v>
      </c>
      <c r="H7598">
        <v>1</v>
      </c>
      <c r="I7598">
        <v>1</v>
      </c>
      <c r="J7598">
        <v>51375.603250373701</v>
      </c>
      <c r="K7598">
        <v>49581.9518746295</v>
      </c>
      <c r="L7598">
        <v>0</v>
      </c>
      <c r="M7598">
        <v>75.899000000000001</v>
      </c>
      <c r="N7598">
        <v>16.047000000000001</v>
      </c>
    </row>
    <row r="7599" spans="1:14" x14ac:dyDescent="0.45">
      <c r="A7599">
        <v>2015</v>
      </c>
      <c r="B7599" t="s">
        <v>239</v>
      </c>
      <c r="C7599">
        <v>0</v>
      </c>
      <c r="D7599">
        <v>0</v>
      </c>
      <c r="E7599">
        <v>1</v>
      </c>
      <c r="F7599">
        <v>0</v>
      </c>
      <c r="G7599">
        <v>0</v>
      </c>
      <c r="H7599">
        <v>1</v>
      </c>
      <c r="I7599">
        <v>1</v>
      </c>
      <c r="J7599">
        <v>27032.208388000199</v>
      </c>
      <c r="K7599">
        <v>26244.216268709799</v>
      </c>
      <c r="L7599">
        <v>44.6</v>
      </c>
      <c r="M7599">
        <v>72.284999999999997</v>
      </c>
      <c r="N7599">
        <v>14.529</v>
      </c>
    </row>
    <row r="7600" spans="1:14" x14ac:dyDescent="0.45">
      <c r="A7600">
        <v>2015</v>
      </c>
      <c r="B7600" t="s">
        <v>240</v>
      </c>
      <c r="C7600">
        <v>0</v>
      </c>
      <c r="D7600">
        <v>0</v>
      </c>
      <c r="E7600">
        <v>0</v>
      </c>
      <c r="F7600">
        <v>1</v>
      </c>
      <c r="G7600">
        <v>0</v>
      </c>
      <c r="H7600">
        <v>0</v>
      </c>
      <c r="I7600">
        <v>0</v>
      </c>
      <c r="J7600">
        <v>5302.0741372149696</v>
      </c>
      <c r="K7600">
        <v>3477.7758543804798</v>
      </c>
      <c r="L7600">
        <v>47.832000000000001</v>
      </c>
      <c r="M7600">
        <v>63.265000000000001</v>
      </c>
      <c r="N7600">
        <v>38.167000000000002</v>
      </c>
    </row>
    <row r="7601" spans="1:14" x14ac:dyDescent="0.45">
      <c r="A7601">
        <v>2015</v>
      </c>
      <c r="B7601" t="s">
        <v>241</v>
      </c>
      <c r="C7601">
        <v>0</v>
      </c>
      <c r="D7601">
        <v>1</v>
      </c>
      <c r="E7601">
        <v>0</v>
      </c>
      <c r="F7601">
        <v>0</v>
      </c>
      <c r="G7601">
        <v>0</v>
      </c>
      <c r="H7601">
        <v>1</v>
      </c>
      <c r="I7601">
        <v>1</v>
      </c>
      <c r="J7601">
        <v>17201.772034593301</v>
      </c>
      <c r="K7601">
        <v>26780.359235045798</v>
      </c>
      <c r="L7601">
        <v>7.8050000000000104</v>
      </c>
      <c r="M7601">
        <v>77.320999999999998</v>
      </c>
      <c r="N7601">
        <v>6.91</v>
      </c>
    </row>
    <row r="7602" spans="1:14" x14ac:dyDescent="0.45">
      <c r="A7602">
        <v>2015</v>
      </c>
      <c r="B7602" t="s">
        <v>242</v>
      </c>
      <c r="C7602">
        <v>0</v>
      </c>
      <c r="D7602">
        <v>0</v>
      </c>
      <c r="E7602">
        <v>1</v>
      </c>
      <c r="F7602">
        <v>0</v>
      </c>
      <c r="G7602">
        <v>0</v>
      </c>
      <c r="H7602">
        <v>0</v>
      </c>
      <c r="I7602">
        <v>0</v>
      </c>
      <c r="J7602">
        <v>2823.3607152971399</v>
      </c>
      <c r="K7602">
        <v>2371.7251461472201</v>
      </c>
      <c r="L7602">
        <v>77.484999999999999</v>
      </c>
      <c r="M7602">
        <v>51.32</v>
      </c>
      <c r="N7602">
        <v>128.624</v>
      </c>
    </row>
    <row r="7603" spans="1:14" x14ac:dyDescent="0.45">
      <c r="A7603">
        <v>2015</v>
      </c>
      <c r="B7603" t="s">
        <v>243</v>
      </c>
      <c r="C7603">
        <v>0</v>
      </c>
      <c r="D7603">
        <v>0</v>
      </c>
      <c r="E7603">
        <v>1</v>
      </c>
      <c r="F7603">
        <v>0</v>
      </c>
      <c r="G7603">
        <v>0</v>
      </c>
      <c r="H7603">
        <v>0</v>
      </c>
      <c r="I7603">
        <v>0</v>
      </c>
      <c r="J7603">
        <v>2317.54781080269</v>
      </c>
      <c r="K7603">
        <v>1925.96970221938</v>
      </c>
      <c r="L7603">
        <v>59.9</v>
      </c>
      <c r="M7603">
        <v>59.22</v>
      </c>
      <c r="N7603">
        <v>75.864999999999995</v>
      </c>
    </row>
    <row r="7604" spans="1:14" x14ac:dyDescent="0.45">
      <c r="A7604">
        <v>2015</v>
      </c>
      <c r="B7604" t="s">
        <v>244</v>
      </c>
      <c r="C7604">
        <v>0</v>
      </c>
      <c r="D7604">
        <v>0</v>
      </c>
      <c r="E7604">
        <v>0</v>
      </c>
      <c r="F7604">
        <v>0</v>
      </c>
      <c r="G7604">
        <v>1</v>
      </c>
      <c r="H7604">
        <v>0</v>
      </c>
      <c r="I7604">
        <v>0</v>
      </c>
      <c r="J7604">
        <v>18811.9975100064</v>
      </c>
      <c r="K7604">
        <v>16451.601156612702</v>
      </c>
      <c r="L7604">
        <v>52.305999999999997</v>
      </c>
      <c r="M7604">
        <v>76.563000000000002</v>
      </c>
      <c r="N7604">
        <v>10.378</v>
      </c>
    </row>
    <row r="7605" spans="1:14" x14ac:dyDescent="0.45">
      <c r="A7605">
        <v>2015</v>
      </c>
      <c r="B7605" t="s">
        <v>245</v>
      </c>
      <c r="C7605">
        <v>1</v>
      </c>
      <c r="D7605">
        <v>0</v>
      </c>
      <c r="E7605">
        <v>0</v>
      </c>
      <c r="F7605">
        <v>1</v>
      </c>
      <c r="G7605">
        <v>0</v>
      </c>
      <c r="H7605">
        <v>0</v>
      </c>
      <c r="I7605">
        <v>0</v>
      </c>
      <c r="J7605">
        <v>3041.44479553257</v>
      </c>
      <c r="K7605">
        <v>2769.9508418167002</v>
      </c>
      <c r="L7605">
        <v>73.257999999999996</v>
      </c>
      <c r="M7605">
        <v>69.665000000000006</v>
      </c>
      <c r="N7605">
        <v>37.779000000000003</v>
      </c>
    </row>
    <row r="7606" spans="1:14" x14ac:dyDescent="0.45">
      <c r="A7606">
        <v>2015</v>
      </c>
      <c r="B7606" t="s">
        <v>246</v>
      </c>
      <c r="C7606">
        <v>1</v>
      </c>
      <c r="D7606">
        <v>0</v>
      </c>
      <c r="E7606">
        <v>0</v>
      </c>
      <c r="F7606">
        <v>0</v>
      </c>
      <c r="G7606">
        <v>1</v>
      </c>
      <c r="H7606">
        <v>0</v>
      </c>
      <c r="I7606">
        <v>0</v>
      </c>
      <c r="J7606">
        <v>13057.830325355701</v>
      </c>
      <c r="K7606">
        <v>12290.276989799</v>
      </c>
      <c r="L7606">
        <v>49.683</v>
      </c>
      <c r="M7606">
        <v>69.061000000000007</v>
      </c>
      <c r="N7606">
        <v>42.579000000000001</v>
      </c>
    </row>
    <row r="7607" spans="1:14" x14ac:dyDescent="0.45">
      <c r="A7607">
        <v>2015</v>
      </c>
      <c r="B7607" t="s">
        <v>247</v>
      </c>
      <c r="C7607">
        <v>0</v>
      </c>
      <c r="D7607">
        <v>0</v>
      </c>
      <c r="E7607">
        <v>0</v>
      </c>
      <c r="F7607">
        <v>1</v>
      </c>
      <c r="G7607">
        <v>0</v>
      </c>
      <c r="H7607">
        <v>0</v>
      </c>
      <c r="I7607">
        <v>0</v>
      </c>
      <c r="J7607">
        <v>4469.9361133122002</v>
      </c>
      <c r="K7607">
        <v>3606.6244738887199</v>
      </c>
      <c r="L7607">
        <v>70.510000000000005</v>
      </c>
      <c r="M7607">
        <v>65.325999999999993</v>
      </c>
      <c r="N7607">
        <v>60.89</v>
      </c>
    </row>
    <row r="7608" spans="1:14" x14ac:dyDescent="0.45">
      <c r="A7608">
        <v>2015</v>
      </c>
      <c r="B7608" t="s">
        <v>248</v>
      </c>
      <c r="C7608">
        <v>0</v>
      </c>
      <c r="D7608">
        <v>0</v>
      </c>
      <c r="E7608">
        <v>0</v>
      </c>
      <c r="F7608">
        <v>1</v>
      </c>
      <c r="G7608">
        <v>0</v>
      </c>
      <c r="H7608">
        <v>0</v>
      </c>
      <c r="I7608">
        <v>0</v>
      </c>
      <c r="J7608">
        <v>6194.63931572397</v>
      </c>
      <c r="K7608">
        <v>5607.5812178985198</v>
      </c>
      <c r="L7608">
        <v>76.724999999999994</v>
      </c>
      <c r="M7608">
        <v>71.850999999999999</v>
      </c>
      <c r="N7608">
        <v>12.407</v>
      </c>
    </row>
    <row r="7609" spans="1:14" x14ac:dyDescent="0.45">
      <c r="A7609">
        <v>2015</v>
      </c>
      <c r="B7609" t="s">
        <v>249</v>
      </c>
      <c r="C7609">
        <v>0</v>
      </c>
      <c r="D7609">
        <v>1</v>
      </c>
      <c r="E7609">
        <v>0</v>
      </c>
      <c r="F7609">
        <v>0</v>
      </c>
      <c r="G7609">
        <v>0</v>
      </c>
      <c r="H7609">
        <v>1</v>
      </c>
      <c r="I7609">
        <v>1</v>
      </c>
      <c r="J7609">
        <v>38951.924568951203</v>
      </c>
      <c r="K7609">
        <v>32509.004559733399</v>
      </c>
      <c r="L7609">
        <v>46.680999999999997</v>
      </c>
      <c r="M7609">
        <v>72.882000000000005</v>
      </c>
      <c r="N7609">
        <v>19.224</v>
      </c>
    </row>
    <row r="7610" spans="1:14" x14ac:dyDescent="0.45">
      <c r="A7610">
        <v>2015</v>
      </c>
      <c r="B7610" t="s">
        <v>250</v>
      </c>
      <c r="C7610">
        <v>0</v>
      </c>
      <c r="D7610">
        <v>0</v>
      </c>
      <c r="E7610">
        <v>0</v>
      </c>
      <c r="F7610">
        <v>1</v>
      </c>
      <c r="G7610">
        <v>0</v>
      </c>
      <c r="H7610">
        <v>0</v>
      </c>
      <c r="I7610">
        <v>0</v>
      </c>
      <c r="J7610">
        <v>12802.7610370157</v>
      </c>
      <c r="K7610">
        <v>11157.3923819719</v>
      </c>
      <c r="L7610">
        <v>31.943999999999999</v>
      </c>
      <c r="M7610">
        <v>74.875</v>
      </c>
      <c r="N7610">
        <v>17.343</v>
      </c>
    </row>
    <row r="7611" spans="1:14" x14ac:dyDescent="0.45">
      <c r="A7611">
        <v>2015</v>
      </c>
      <c r="B7611" t="s">
        <v>251</v>
      </c>
      <c r="C7611">
        <v>1</v>
      </c>
      <c r="D7611">
        <v>0</v>
      </c>
      <c r="E7611">
        <v>0</v>
      </c>
      <c r="F7611">
        <v>0</v>
      </c>
      <c r="G7611">
        <v>1</v>
      </c>
      <c r="H7611">
        <v>0</v>
      </c>
      <c r="I7611">
        <v>0</v>
      </c>
      <c r="J7611">
        <v>25746.432449474902</v>
      </c>
      <c r="K7611">
        <v>25815.308288566001</v>
      </c>
      <c r="L7611">
        <v>26.388999999999999</v>
      </c>
      <c r="M7611">
        <v>76.539000000000001</v>
      </c>
      <c r="N7611">
        <v>13.416</v>
      </c>
    </row>
    <row r="7612" spans="1:14" x14ac:dyDescent="0.45">
      <c r="A7612">
        <v>2015</v>
      </c>
      <c r="B7612" t="s">
        <v>252</v>
      </c>
      <c r="C7612">
        <v>0</v>
      </c>
      <c r="D7612">
        <v>0</v>
      </c>
      <c r="E7612">
        <v>0</v>
      </c>
      <c r="F7612">
        <v>0</v>
      </c>
      <c r="G7612">
        <v>1</v>
      </c>
      <c r="H7612">
        <v>0</v>
      </c>
      <c r="I7612">
        <v>0</v>
      </c>
      <c r="J7612">
        <v>4088.7657991084702</v>
      </c>
      <c r="K7612">
        <v>3698.9200357185</v>
      </c>
      <c r="L7612">
        <v>40.270000000000003</v>
      </c>
      <c r="M7612">
        <v>65.364999999999995</v>
      </c>
      <c r="N7612">
        <v>25.954000000000001</v>
      </c>
    </row>
    <row r="7613" spans="1:14" x14ac:dyDescent="0.45">
      <c r="A7613">
        <v>2015</v>
      </c>
      <c r="B7613" t="s">
        <v>253</v>
      </c>
      <c r="C7613">
        <v>0</v>
      </c>
      <c r="D7613">
        <v>0</v>
      </c>
      <c r="E7613">
        <v>0</v>
      </c>
      <c r="F7613">
        <v>0</v>
      </c>
      <c r="G7613">
        <v>0</v>
      </c>
      <c r="H7613">
        <v>1</v>
      </c>
      <c r="I7613">
        <v>1</v>
      </c>
      <c r="L7613">
        <v>44.5</v>
      </c>
      <c r="M7613">
        <v>79.879000000000005</v>
      </c>
      <c r="N7613">
        <v>4.9909999999999997</v>
      </c>
    </row>
    <row r="7614" spans="1:14" x14ac:dyDescent="0.45">
      <c r="A7614">
        <v>2015</v>
      </c>
      <c r="B7614" t="s">
        <v>254</v>
      </c>
      <c r="C7614">
        <v>0</v>
      </c>
      <c r="D7614">
        <v>0</v>
      </c>
      <c r="E7614">
        <v>1</v>
      </c>
      <c r="F7614">
        <v>0</v>
      </c>
      <c r="G7614">
        <v>0</v>
      </c>
      <c r="H7614">
        <v>0</v>
      </c>
      <c r="I7614">
        <v>0</v>
      </c>
      <c r="J7614">
        <v>3111.44458007813</v>
      </c>
      <c r="K7614">
        <v>2317.6115712716501</v>
      </c>
      <c r="L7614">
        <v>68.382999999999996</v>
      </c>
      <c r="M7614">
        <v>63.927999999999997</v>
      </c>
      <c r="N7614">
        <v>54.54</v>
      </c>
    </row>
    <row r="7615" spans="1:14" x14ac:dyDescent="0.45">
      <c r="A7615">
        <v>2015</v>
      </c>
      <c r="B7615" t="s">
        <v>255</v>
      </c>
      <c r="C7615">
        <v>0</v>
      </c>
      <c r="D7615">
        <v>0</v>
      </c>
      <c r="E7615">
        <v>1</v>
      </c>
      <c r="F7615">
        <v>0</v>
      </c>
      <c r="G7615">
        <v>0</v>
      </c>
      <c r="H7615">
        <v>0</v>
      </c>
      <c r="I7615">
        <v>0</v>
      </c>
      <c r="J7615">
        <v>2520.0201028842998</v>
      </c>
      <c r="K7615">
        <v>2137.7445203949001</v>
      </c>
      <c r="L7615">
        <v>77.94</v>
      </c>
      <c r="M7615">
        <v>63.831000000000003</v>
      </c>
      <c r="N7615">
        <v>55.783999999999999</v>
      </c>
    </row>
    <row r="7616" spans="1:14" x14ac:dyDescent="0.45">
      <c r="A7616">
        <v>2015</v>
      </c>
      <c r="B7616" t="s">
        <v>256</v>
      </c>
      <c r="C7616">
        <v>1</v>
      </c>
      <c r="D7616">
        <v>0</v>
      </c>
      <c r="E7616">
        <v>0</v>
      </c>
      <c r="F7616">
        <v>1</v>
      </c>
      <c r="G7616">
        <v>0</v>
      </c>
      <c r="H7616">
        <v>0</v>
      </c>
      <c r="I7616">
        <v>0</v>
      </c>
      <c r="J7616">
        <v>15403.7099609375</v>
      </c>
      <c r="K7616">
        <v>10894.8212128123</v>
      </c>
      <c r="L7616">
        <v>30.939</v>
      </c>
      <c r="M7616">
        <v>72.686000000000007</v>
      </c>
      <c r="N7616">
        <v>8.9179999999999993</v>
      </c>
    </row>
    <row r="7617" spans="1:14" x14ac:dyDescent="0.45">
      <c r="A7617">
        <v>2015</v>
      </c>
      <c r="B7617" t="s">
        <v>257</v>
      </c>
      <c r="C7617">
        <v>0</v>
      </c>
      <c r="D7617">
        <v>1</v>
      </c>
      <c r="E7617">
        <v>0</v>
      </c>
      <c r="F7617">
        <v>0</v>
      </c>
      <c r="G7617">
        <v>0</v>
      </c>
      <c r="H7617">
        <v>1</v>
      </c>
      <c r="I7617">
        <v>1</v>
      </c>
      <c r="J7617">
        <v>28941.629410701102</v>
      </c>
      <c r="K7617">
        <v>22955.5910746109</v>
      </c>
      <c r="L7617">
        <v>4.9550000000000001</v>
      </c>
      <c r="M7617">
        <v>77.284999999999997</v>
      </c>
      <c r="N7617">
        <v>9.0410000000000004</v>
      </c>
    </row>
    <row r="7618" spans="1:14" x14ac:dyDescent="0.45">
      <c r="A7618">
        <v>2015</v>
      </c>
      <c r="B7618" t="s">
        <v>258</v>
      </c>
      <c r="C7618">
        <v>0</v>
      </c>
      <c r="D7618">
        <v>0</v>
      </c>
      <c r="E7618">
        <v>0</v>
      </c>
      <c r="F7618">
        <v>0</v>
      </c>
      <c r="G7618">
        <v>0</v>
      </c>
      <c r="H7618">
        <v>1</v>
      </c>
      <c r="I7618">
        <v>1</v>
      </c>
      <c r="J7618">
        <v>64359.472589875797</v>
      </c>
      <c r="K7618">
        <v>58417.459009441802</v>
      </c>
      <c r="L7618">
        <v>18.329000000000001</v>
      </c>
      <c r="M7618">
        <v>78.721999999999994</v>
      </c>
      <c r="N7618">
        <v>6.8639999999999999</v>
      </c>
    </row>
    <row r="7619" spans="1:14" x14ac:dyDescent="0.45">
      <c r="A7619">
        <v>2015</v>
      </c>
      <c r="B7619" t="s">
        <v>259</v>
      </c>
      <c r="C7619">
        <v>1</v>
      </c>
      <c r="D7619">
        <v>0</v>
      </c>
      <c r="E7619">
        <v>0</v>
      </c>
      <c r="F7619">
        <v>1</v>
      </c>
      <c r="G7619">
        <v>0</v>
      </c>
      <c r="H7619">
        <v>0</v>
      </c>
      <c r="I7619">
        <v>0</v>
      </c>
      <c r="J7619">
        <v>7529.7636427417901</v>
      </c>
      <c r="K7619">
        <v>7315.44399446641</v>
      </c>
      <c r="L7619">
        <v>49.25</v>
      </c>
      <c r="M7619">
        <v>71.33</v>
      </c>
      <c r="N7619">
        <v>20.113</v>
      </c>
    </row>
    <row r="7620" spans="1:14" x14ac:dyDescent="0.45">
      <c r="A7620">
        <v>2015</v>
      </c>
      <c r="B7620" t="s">
        <v>260</v>
      </c>
      <c r="C7620">
        <v>0</v>
      </c>
      <c r="D7620">
        <v>1</v>
      </c>
      <c r="E7620">
        <v>0</v>
      </c>
      <c r="F7620">
        <v>0</v>
      </c>
      <c r="G7620">
        <v>1</v>
      </c>
      <c r="H7620">
        <v>0</v>
      </c>
      <c r="I7620">
        <v>0</v>
      </c>
      <c r="J7620">
        <v>14523.581195573001</v>
      </c>
      <c r="K7620">
        <v>12693.046136745799</v>
      </c>
      <c r="L7620">
        <v>49.036000000000001</v>
      </c>
      <c r="M7620">
        <v>70.462999999999994</v>
      </c>
      <c r="N7620">
        <v>18.085999999999999</v>
      </c>
    </row>
    <row r="7621" spans="1:14" x14ac:dyDescent="0.45">
      <c r="A7621">
        <v>2015</v>
      </c>
      <c r="B7621" t="s">
        <v>261</v>
      </c>
      <c r="C7621">
        <v>0</v>
      </c>
      <c r="D7621">
        <v>1</v>
      </c>
      <c r="E7621">
        <v>0</v>
      </c>
      <c r="F7621">
        <v>0</v>
      </c>
      <c r="G7621">
        <v>1</v>
      </c>
      <c r="H7621">
        <v>0</v>
      </c>
      <c r="I7621">
        <v>0</v>
      </c>
      <c r="L7621">
        <v>11.846</v>
      </c>
      <c r="M7621">
        <v>73.004000000000005</v>
      </c>
      <c r="N7621">
        <v>18.273</v>
      </c>
    </row>
    <row r="7622" spans="1:14" x14ac:dyDescent="0.45">
      <c r="A7622">
        <v>2015</v>
      </c>
      <c r="B7622" t="s">
        <v>262</v>
      </c>
      <c r="C7622">
        <v>0</v>
      </c>
      <c r="D7622">
        <v>1</v>
      </c>
      <c r="E7622">
        <v>0</v>
      </c>
      <c r="F7622">
        <v>0</v>
      </c>
      <c r="G7622">
        <v>0</v>
      </c>
      <c r="H7622">
        <v>1</v>
      </c>
      <c r="I7622">
        <v>1</v>
      </c>
      <c r="L7622">
        <v>53.417000000000002</v>
      </c>
      <c r="M7622">
        <v>76.558000000000007</v>
      </c>
      <c r="N7622">
        <v>15.124000000000001</v>
      </c>
    </row>
    <row r="7623" spans="1:14" x14ac:dyDescent="0.45">
      <c r="A7623">
        <v>2015</v>
      </c>
      <c r="B7623" t="s">
        <v>263</v>
      </c>
      <c r="C7623">
        <v>0</v>
      </c>
      <c r="D7623">
        <v>1</v>
      </c>
      <c r="E7623">
        <v>0</v>
      </c>
      <c r="F7623">
        <v>0</v>
      </c>
      <c r="G7623">
        <v>0</v>
      </c>
      <c r="H7623">
        <v>1</v>
      </c>
      <c r="I7623">
        <v>1</v>
      </c>
      <c r="J7623">
        <v>42739.083502299298</v>
      </c>
      <c r="K7623">
        <v>33472.148194433103</v>
      </c>
      <c r="L7623">
        <v>4.6500000000000101</v>
      </c>
      <c r="M7623">
        <v>74.31</v>
      </c>
      <c r="N7623">
        <v>7.8609999999999998</v>
      </c>
    </row>
    <row r="7624" spans="1:14" x14ac:dyDescent="0.45">
      <c r="A7624">
        <v>2015</v>
      </c>
      <c r="B7624" t="s">
        <v>264</v>
      </c>
      <c r="C7624">
        <v>0</v>
      </c>
      <c r="D7624">
        <v>0</v>
      </c>
      <c r="E7624">
        <v>0</v>
      </c>
      <c r="F7624">
        <v>1</v>
      </c>
      <c r="G7624">
        <v>0</v>
      </c>
      <c r="H7624">
        <v>0</v>
      </c>
      <c r="I7624">
        <v>0</v>
      </c>
      <c r="J7624">
        <v>9248.0239606962205</v>
      </c>
      <c r="K7624">
        <v>8240.7559273630995</v>
      </c>
      <c r="L7624">
        <v>66.191000000000003</v>
      </c>
      <c r="M7624">
        <v>73.954999999999998</v>
      </c>
      <c r="N7624">
        <v>22.058</v>
      </c>
    </row>
    <row r="7625" spans="1:14" x14ac:dyDescent="0.45">
      <c r="A7625">
        <v>2015</v>
      </c>
      <c r="B7625" t="s">
        <v>265</v>
      </c>
      <c r="C7625">
        <v>0</v>
      </c>
      <c r="D7625">
        <v>0</v>
      </c>
      <c r="E7625">
        <v>0</v>
      </c>
      <c r="F7625">
        <v>1</v>
      </c>
      <c r="G7625">
        <v>0</v>
      </c>
      <c r="H7625">
        <v>0</v>
      </c>
      <c r="I7625">
        <v>0</v>
      </c>
      <c r="J7625">
        <v>3357.63888534017</v>
      </c>
      <c r="K7625">
        <v>3037.32465476568</v>
      </c>
      <c r="L7625">
        <v>75.039000000000001</v>
      </c>
      <c r="M7625">
        <v>70.162999999999997</v>
      </c>
      <c r="N7625">
        <v>21.523</v>
      </c>
    </row>
    <row r="7626" spans="1:14" x14ac:dyDescent="0.45">
      <c r="A7626">
        <v>2015</v>
      </c>
      <c r="B7626" t="s">
        <v>266</v>
      </c>
      <c r="C7626">
        <v>0</v>
      </c>
      <c r="D7626">
        <v>0</v>
      </c>
      <c r="E7626">
        <v>0</v>
      </c>
      <c r="F7626">
        <v>1</v>
      </c>
      <c r="G7626">
        <v>0</v>
      </c>
      <c r="H7626">
        <v>0</v>
      </c>
      <c r="I7626">
        <v>0</v>
      </c>
      <c r="J7626">
        <v>6432.3597916852495</v>
      </c>
      <c r="K7626">
        <v>5818.7213249496499</v>
      </c>
      <c r="L7626">
        <v>81.085999999999999</v>
      </c>
      <c r="M7626">
        <v>71.06</v>
      </c>
      <c r="N7626">
        <v>18.501000000000001</v>
      </c>
    </row>
    <row r="7627" spans="1:14" x14ac:dyDescent="0.45">
      <c r="A7627">
        <v>2015</v>
      </c>
      <c r="B7627" t="s">
        <v>267</v>
      </c>
      <c r="C7627">
        <v>1</v>
      </c>
      <c r="D7627">
        <v>0</v>
      </c>
      <c r="E7627">
        <v>0</v>
      </c>
      <c r="F7627">
        <v>1</v>
      </c>
      <c r="G7627">
        <v>0</v>
      </c>
      <c r="H7627">
        <v>0</v>
      </c>
      <c r="I7627">
        <v>0</v>
      </c>
      <c r="J7627">
        <v>9824.9910595531892</v>
      </c>
      <c r="K7627">
        <v>8917.8794626697108</v>
      </c>
      <c r="L7627">
        <v>44.304000000000002</v>
      </c>
      <c r="M7627">
        <v>76.024000000000001</v>
      </c>
      <c r="N7627">
        <v>14.285</v>
      </c>
    </row>
    <row r="7628" spans="1:14" x14ac:dyDescent="0.45">
      <c r="A7628">
        <v>2015</v>
      </c>
      <c r="B7628" t="s">
        <v>268</v>
      </c>
      <c r="C7628">
        <v>0</v>
      </c>
      <c r="D7628">
        <v>0</v>
      </c>
      <c r="E7628">
        <v>0</v>
      </c>
      <c r="F7628">
        <v>1</v>
      </c>
      <c r="G7628">
        <v>0</v>
      </c>
      <c r="H7628">
        <v>0</v>
      </c>
      <c r="I7628">
        <v>0</v>
      </c>
      <c r="L7628">
        <v>65.222999999999999</v>
      </c>
      <c r="M7628">
        <v>66.760999999999996</v>
      </c>
      <c r="N7628">
        <v>49.792000000000002</v>
      </c>
    </row>
    <row r="7629" spans="1:14" x14ac:dyDescent="0.45">
      <c r="A7629">
        <v>2015</v>
      </c>
      <c r="B7629" t="s">
        <v>269</v>
      </c>
      <c r="C7629">
        <v>0</v>
      </c>
      <c r="D7629">
        <v>0</v>
      </c>
      <c r="E7629">
        <v>1</v>
      </c>
      <c r="F7629">
        <v>0</v>
      </c>
      <c r="G7629">
        <v>1</v>
      </c>
      <c r="H7629">
        <v>0</v>
      </c>
      <c r="I7629">
        <v>0</v>
      </c>
      <c r="J7629">
        <v>14559.4743780889</v>
      </c>
      <c r="K7629">
        <v>13708.344004837099</v>
      </c>
      <c r="L7629">
        <v>35.171999999999997</v>
      </c>
      <c r="M7629">
        <v>64.052999999999997</v>
      </c>
      <c r="N7629">
        <v>39.08</v>
      </c>
    </row>
    <row r="7630" spans="1:14" x14ac:dyDescent="0.45">
      <c r="A7630">
        <v>2015</v>
      </c>
      <c r="B7630" t="s">
        <v>270</v>
      </c>
      <c r="C7630">
        <v>0</v>
      </c>
      <c r="D7630">
        <v>0</v>
      </c>
      <c r="E7630">
        <v>1</v>
      </c>
      <c r="F7630">
        <v>1</v>
      </c>
      <c r="G7630">
        <v>0</v>
      </c>
      <c r="H7630">
        <v>0</v>
      </c>
      <c r="I7630">
        <v>0</v>
      </c>
      <c r="J7630">
        <v>3576.9254483412501</v>
      </c>
      <c r="K7630">
        <v>3358.2224506672901</v>
      </c>
      <c r="L7630">
        <v>58.093000000000004</v>
      </c>
      <c r="M7630">
        <v>60.728000000000002</v>
      </c>
      <c r="N7630">
        <v>67.822000000000003</v>
      </c>
    </row>
    <row r="7631" spans="1:14" x14ac:dyDescent="0.45">
      <c r="A7631">
        <v>2015</v>
      </c>
      <c r="B7631" t="s">
        <v>271</v>
      </c>
      <c r="C7631">
        <v>0</v>
      </c>
      <c r="D7631">
        <v>0</v>
      </c>
      <c r="E7631">
        <v>1</v>
      </c>
      <c r="F7631">
        <v>0</v>
      </c>
      <c r="G7631">
        <v>0</v>
      </c>
      <c r="H7631">
        <v>0</v>
      </c>
      <c r="I7631">
        <v>0</v>
      </c>
      <c r="J7631">
        <v>3366.6337134672499</v>
      </c>
      <c r="K7631">
        <v>2241.6255458824398</v>
      </c>
      <c r="L7631">
        <v>67.614999999999995</v>
      </c>
      <c r="M7631">
        <v>58.988999999999997</v>
      </c>
      <c r="N7631">
        <v>60.759</v>
      </c>
    </row>
    <row r="7632" spans="1:14" x14ac:dyDescent="0.45">
      <c r="A7632">
        <v>2016</v>
      </c>
      <c r="B7632" t="s">
        <v>54</v>
      </c>
      <c r="C7632">
        <v>0</v>
      </c>
      <c r="D7632">
        <v>1</v>
      </c>
      <c r="E7632">
        <v>0</v>
      </c>
      <c r="F7632">
        <v>0</v>
      </c>
      <c r="G7632">
        <v>0</v>
      </c>
      <c r="H7632">
        <v>1</v>
      </c>
      <c r="I7632">
        <v>1</v>
      </c>
      <c r="J7632">
        <v>36021.830836344503</v>
      </c>
      <c r="K7632">
        <v>35056.708689562103</v>
      </c>
      <c r="L7632">
        <v>56.808</v>
      </c>
      <c r="M7632">
        <v>75.540000000000006</v>
      </c>
      <c r="N7632">
        <v>16.192</v>
      </c>
    </row>
    <row r="7633" spans="1:14" x14ac:dyDescent="0.45">
      <c r="A7633">
        <v>2016</v>
      </c>
      <c r="B7633" t="s">
        <v>55</v>
      </c>
      <c r="C7633">
        <v>0</v>
      </c>
      <c r="D7633">
        <v>0</v>
      </c>
      <c r="E7633">
        <v>0</v>
      </c>
      <c r="F7633">
        <v>0</v>
      </c>
      <c r="G7633">
        <v>0</v>
      </c>
      <c r="H7633">
        <v>0</v>
      </c>
      <c r="I7633">
        <v>0</v>
      </c>
      <c r="J7633">
        <v>2958.7853992308001</v>
      </c>
      <c r="K7633">
        <v>2340.3729901833599</v>
      </c>
      <c r="L7633">
        <v>74.98</v>
      </c>
      <c r="M7633">
        <v>62.646000000000001</v>
      </c>
      <c r="N7633">
        <v>73.912000000000006</v>
      </c>
    </row>
    <row r="7634" spans="1:14" x14ac:dyDescent="0.45">
      <c r="A7634">
        <v>2016</v>
      </c>
      <c r="B7634" t="s">
        <v>56</v>
      </c>
      <c r="C7634">
        <v>0</v>
      </c>
      <c r="D7634">
        <v>0</v>
      </c>
      <c r="E7634">
        <v>1</v>
      </c>
      <c r="F7634">
        <v>1</v>
      </c>
      <c r="G7634">
        <v>0</v>
      </c>
      <c r="H7634">
        <v>0</v>
      </c>
      <c r="I7634">
        <v>0</v>
      </c>
      <c r="J7634">
        <v>9381.8097257304198</v>
      </c>
      <c r="K7634">
        <v>7255.4300142664997</v>
      </c>
      <c r="L7634">
        <v>35.850999999999999</v>
      </c>
      <c r="M7634">
        <v>61.619</v>
      </c>
      <c r="N7634">
        <v>84.412000000000006</v>
      </c>
    </row>
    <row r="7635" spans="1:14" x14ac:dyDescent="0.45">
      <c r="A7635">
        <v>2016</v>
      </c>
      <c r="B7635" t="s">
        <v>57</v>
      </c>
      <c r="C7635">
        <v>1</v>
      </c>
      <c r="D7635">
        <v>0</v>
      </c>
      <c r="E7635">
        <v>0</v>
      </c>
      <c r="F7635">
        <v>0</v>
      </c>
      <c r="G7635">
        <v>1</v>
      </c>
      <c r="H7635">
        <v>0</v>
      </c>
      <c r="I7635">
        <v>0</v>
      </c>
      <c r="J7635">
        <v>13692.4788518201</v>
      </c>
      <c r="K7635">
        <v>12404.757797542899</v>
      </c>
      <c r="L7635">
        <v>41.579000000000001</v>
      </c>
      <c r="M7635">
        <v>78.643000000000001</v>
      </c>
      <c r="N7635">
        <v>9.8030000000000008</v>
      </c>
    </row>
    <row r="7636" spans="1:14" x14ac:dyDescent="0.45">
      <c r="A7636">
        <v>2016</v>
      </c>
      <c r="B7636" t="s">
        <v>58</v>
      </c>
      <c r="C7636">
        <v>1</v>
      </c>
      <c r="D7636">
        <v>0</v>
      </c>
      <c r="E7636">
        <v>0</v>
      </c>
      <c r="F7636">
        <v>0</v>
      </c>
      <c r="G7636">
        <v>0</v>
      </c>
      <c r="H7636">
        <v>1</v>
      </c>
      <c r="I7636">
        <v>1</v>
      </c>
      <c r="J7636">
        <v>64402.8092369468</v>
      </c>
      <c r="K7636">
        <v>54061.2401402666</v>
      </c>
      <c r="L7636">
        <v>11.752000000000001</v>
      </c>
      <c r="M7636">
        <v>84.489000000000004</v>
      </c>
      <c r="N7636">
        <v>5.8369999999999997</v>
      </c>
    </row>
    <row r="7637" spans="1:14" x14ac:dyDescent="0.45">
      <c r="A7637">
        <v>2016</v>
      </c>
      <c r="B7637" t="s">
        <v>59</v>
      </c>
      <c r="C7637">
        <v>0</v>
      </c>
      <c r="D7637">
        <v>0</v>
      </c>
      <c r="E7637">
        <v>0</v>
      </c>
      <c r="F7637">
        <v>0</v>
      </c>
      <c r="G7637">
        <v>0</v>
      </c>
      <c r="H7637">
        <v>1</v>
      </c>
      <c r="I7637">
        <v>1</v>
      </c>
      <c r="J7637">
        <v>70573.992709043305</v>
      </c>
      <c r="K7637">
        <v>69724.895139697401</v>
      </c>
      <c r="L7637">
        <v>14.035</v>
      </c>
      <c r="M7637">
        <v>82.194999999999993</v>
      </c>
      <c r="N7637">
        <v>7.3849999999999998</v>
      </c>
    </row>
    <row r="7638" spans="1:14" x14ac:dyDescent="0.45">
      <c r="A7638">
        <v>2016</v>
      </c>
      <c r="B7638" t="s">
        <v>60</v>
      </c>
      <c r="C7638">
        <v>0</v>
      </c>
      <c r="D7638">
        <v>1</v>
      </c>
      <c r="E7638">
        <v>0</v>
      </c>
      <c r="F7638">
        <v>0</v>
      </c>
      <c r="G7638">
        <v>1</v>
      </c>
      <c r="H7638">
        <v>0</v>
      </c>
      <c r="I7638">
        <v>0</v>
      </c>
      <c r="J7638">
        <v>27802.105720149801</v>
      </c>
      <c r="K7638">
        <v>22945.350059851698</v>
      </c>
      <c r="L7638">
        <v>8.3729999999999993</v>
      </c>
      <c r="M7638">
        <v>76.105000000000004</v>
      </c>
      <c r="N7638">
        <v>12.526999999999999</v>
      </c>
    </row>
    <row r="7639" spans="1:14" x14ac:dyDescent="0.45">
      <c r="A7639">
        <v>2016</v>
      </c>
      <c r="B7639" t="s">
        <v>61</v>
      </c>
      <c r="C7639">
        <v>1</v>
      </c>
      <c r="D7639">
        <v>0</v>
      </c>
      <c r="E7639">
        <v>0</v>
      </c>
      <c r="F7639">
        <v>1</v>
      </c>
      <c r="G7639">
        <v>0</v>
      </c>
      <c r="H7639">
        <v>0</v>
      </c>
      <c r="I7639">
        <v>0</v>
      </c>
      <c r="J7639">
        <v>13192.9940731731</v>
      </c>
      <c r="K7639">
        <v>11175.801524689099</v>
      </c>
      <c r="L7639">
        <v>36.917999999999999</v>
      </c>
      <c r="M7639">
        <v>74.494</v>
      </c>
      <c r="N7639">
        <v>13.832000000000001</v>
      </c>
    </row>
    <row r="7640" spans="1:14" x14ac:dyDescent="0.45">
      <c r="A7640">
        <v>2016</v>
      </c>
      <c r="B7640" t="s">
        <v>62</v>
      </c>
      <c r="C7640">
        <v>0</v>
      </c>
      <c r="D7640">
        <v>0</v>
      </c>
      <c r="E7640">
        <v>0</v>
      </c>
      <c r="F7640">
        <v>0</v>
      </c>
      <c r="G7640">
        <v>1</v>
      </c>
      <c r="H7640">
        <v>0</v>
      </c>
      <c r="I7640">
        <v>0</v>
      </c>
      <c r="L7640">
        <v>12.802</v>
      </c>
      <c r="M7640">
        <v>72.64</v>
      </c>
      <c r="N7640">
        <v>11.042</v>
      </c>
    </row>
    <row r="7641" spans="1:14" x14ac:dyDescent="0.45">
      <c r="A7641">
        <v>2016</v>
      </c>
      <c r="B7641" t="s">
        <v>63</v>
      </c>
      <c r="C7641">
        <v>0</v>
      </c>
      <c r="D7641">
        <v>1</v>
      </c>
      <c r="E7641">
        <v>0</v>
      </c>
      <c r="F7641">
        <v>0</v>
      </c>
      <c r="G7641">
        <v>0</v>
      </c>
      <c r="H7641">
        <v>1</v>
      </c>
      <c r="I7641">
        <v>1</v>
      </c>
      <c r="J7641">
        <v>26627.714538939999</v>
      </c>
      <c r="K7641">
        <v>20971.903590325801</v>
      </c>
      <c r="L7641">
        <v>75.153999999999996</v>
      </c>
      <c r="M7641">
        <v>76.968000000000004</v>
      </c>
      <c r="N7641">
        <v>10.743</v>
      </c>
    </row>
    <row r="7642" spans="1:14" x14ac:dyDescent="0.45">
      <c r="A7642">
        <v>2016</v>
      </c>
      <c r="B7642" t="s">
        <v>64</v>
      </c>
      <c r="C7642">
        <v>0</v>
      </c>
      <c r="D7642">
        <v>0</v>
      </c>
      <c r="E7642">
        <v>0</v>
      </c>
      <c r="F7642">
        <v>0</v>
      </c>
      <c r="G7642">
        <v>0</v>
      </c>
      <c r="H7642">
        <v>1</v>
      </c>
      <c r="I7642">
        <v>1</v>
      </c>
      <c r="J7642">
        <v>56341.518161650303</v>
      </c>
      <c r="K7642">
        <v>48800.295591833601</v>
      </c>
      <c r="L7642">
        <v>14.2</v>
      </c>
      <c r="M7642">
        <v>82.801000000000002</v>
      </c>
      <c r="N7642">
        <v>3.6949999999999998</v>
      </c>
    </row>
    <row r="7643" spans="1:14" x14ac:dyDescent="0.45">
      <c r="A7643">
        <v>2016</v>
      </c>
      <c r="B7643" t="s">
        <v>65</v>
      </c>
      <c r="C7643">
        <v>1</v>
      </c>
      <c r="D7643">
        <v>0</v>
      </c>
      <c r="E7643">
        <v>0</v>
      </c>
      <c r="F7643">
        <v>0</v>
      </c>
      <c r="G7643">
        <v>0</v>
      </c>
      <c r="H7643">
        <v>1</v>
      </c>
      <c r="I7643">
        <v>1</v>
      </c>
      <c r="J7643">
        <v>61647.779467958098</v>
      </c>
      <c r="K7643">
        <v>52533.496440735798</v>
      </c>
      <c r="L7643">
        <v>42.094999999999999</v>
      </c>
      <c r="M7643">
        <v>81.591999999999999</v>
      </c>
      <c r="N7643">
        <v>3.7719999999999998</v>
      </c>
    </row>
    <row r="7644" spans="1:14" x14ac:dyDescent="0.45">
      <c r="A7644">
        <v>2016</v>
      </c>
      <c r="B7644" t="s">
        <v>66</v>
      </c>
      <c r="C7644">
        <v>1</v>
      </c>
      <c r="D7644">
        <v>0</v>
      </c>
      <c r="E7644">
        <v>0</v>
      </c>
      <c r="F7644">
        <v>0</v>
      </c>
      <c r="G7644">
        <v>1</v>
      </c>
      <c r="H7644">
        <v>0</v>
      </c>
      <c r="I7644">
        <v>0</v>
      </c>
      <c r="J7644">
        <v>19822.410592197699</v>
      </c>
      <c r="K7644">
        <v>14434.924303523299</v>
      </c>
      <c r="L7644">
        <v>44.978999999999999</v>
      </c>
      <c r="M7644">
        <v>72.567999999999998</v>
      </c>
      <c r="N7644">
        <v>25.257000000000001</v>
      </c>
    </row>
    <row r="7645" spans="1:14" x14ac:dyDescent="0.45">
      <c r="A7645">
        <v>2016</v>
      </c>
      <c r="B7645" t="s">
        <v>67</v>
      </c>
      <c r="C7645">
        <v>0</v>
      </c>
      <c r="D7645">
        <v>0</v>
      </c>
      <c r="E7645">
        <v>1</v>
      </c>
      <c r="F7645">
        <v>0</v>
      </c>
      <c r="G7645">
        <v>0</v>
      </c>
      <c r="H7645">
        <v>0</v>
      </c>
      <c r="I7645">
        <v>0</v>
      </c>
      <c r="J7645">
        <v>897.45904643360404</v>
      </c>
      <c r="K7645">
        <v>775.497272635954</v>
      </c>
      <c r="L7645">
        <v>87.611999999999995</v>
      </c>
      <c r="M7645">
        <v>60.789000000000001</v>
      </c>
      <c r="N7645">
        <v>65.201999999999998</v>
      </c>
    </row>
    <row r="7646" spans="1:14" x14ac:dyDescent="0.45">
      <c r="A7646">
        <v>2016</v>
      </c>
      <c r="B7646" t="s">
        <v>68</v>
      </c>
      <c r="C7646">
        <v>1</v>
      </c>
      <c r="D7646">
        <v>0</v>
      </c>
      <c r="E7646">
        <v>0</v>
      </c>
      <c r="F7646">
        <v>0</v>
      </c>
      <c r="G7646">
        <v>0</v>
      </c>
      <c r="H7646">
        <v>1</v>
      </c>
      <c r="I7646">
        <v>1</v>
      </c>
      <c r="J7646">
        <v>57927.042881886802</v>
      </c>
      <c r="K7646">
        <v>48746.569707530798</v>
      </c>
      <c r="L7646">
        <v>2.081</v>
      </c>
      <c r="M7646">
        <v>81.265000000000001</v>
      </c>
      <c r="N7646">
        <v>3.7650000000000001</v>
      </c>
    </row>
    <row r="7647" spans="1:14" x14ac:dyDescent="0.45">
      <c r="A7647">
        <v>2016</v>
      </c>
      <c r="B7647" t="s">
        <v>69</v>
      </c>
      <c r="C7647">
        <v>0</v>
      </c>
      <c r="D7647">
        <v>0</v>
      </c>
      <c r="E7647">
        <v>1</v>
      </c>
      <c r="F7647">
        <v>0</v>
      </c>
      <c r="G7647">
        <v>0</v>
      </c>
      <c r="H7647">
        <v>0</v>
      </c>
      <c r="I7647">
        <v>0</v>
      </c>
      <c r="J7647">
        <v>2962.6638157226498</v>
      </c>
      <c r="K7647">
        <v>2810.83287839388</v>
      </c>
      <c r="L7647">
        <v>53.771000000000001</v>
      </c>
      <c r="M7647">
        <v>59.283000000000001</v>
      </c>
      <c r="N7647">
        <v>94.856999999999999</v>
      </c>
    </row>
    <row r="7648" spans="1:14" x14ac:dyDescent="0.45">
      <c r="A7648">
        <v>2016</v>
      </c>
      <c r="B7648" t="s">
        <v>70</v>
      </c>
      <c r="C7648">
        <v>0</v>
      </c>
      <c r="D7648">
        <v>0</v>
      </c>
      <c r="E7648">
        <v>1</v>
      </c>
      <c r="F7648">
        <v>0</v>
      </c>
      <c r="G7648">
        <v>0</v>
      </c>
      <c r="H7648">
        <v>0</v>
      </c>
      <c r="I7648">
        <v>0</v>
      </c>
      <c r="J7648">
        <v>2162.7257897781401</v>
      </c>
      <c r="K7648">
        <v>1978.7580336887099</v>
      </c>
      <c r="L7648">
        <v>71.866</v>
      </c>
      <c r="M7648">
        <v>59.173000000000002</v>
      </c>
      <c r="N7648">
        <v>97.402000000000001</v>
      </c>
    </row>
    <row r="7649" spans="1:14" x14ac:dyDescent="0.45">
      <c r="A7649">
        <v>2016</v>
      </c>
      <c r="B7649" t="s">
        <v>71</v>
      </c>
      <c r="C7649">
        <v>0</v>
      </c>
      <c r="D7649">
        <v>0</v>
      </c>
      <c r="E7649">
        <v>0</v>
      </c>
      <c r="F7649">
        <v>1</v>
      </c>
      <c r="G7649">
        <v>0</v>
      </c>
      <c r="H7649">
        <v>0</v>
      </c>
      <c r="I7649">
        <v>0</v>
      </c>
      <c r="J7649">
        <v>5682.5355349430602</v>
      </c>
      <c r="K7649">
        <v>4619.8705048872698</v>
      </c>
      <c r="L7649">
        <v>64.917000000000002</v>
      </c>
      <c r="M7649">
        <v>71.075000000000003</v>
      </c>
      <c r="N7649">
        <v>36.911999999999999</v>
      </c>
    </row>
    <row r="7650" spans="1:14" x14ac:dyDescent="0.45">
      <c r="A7650">
        <v>2016</v>
      </c>
      <c r="B7650" t="s">
        <v>72</v>
      </c>
      <c r="C7650">
        <v>1</v>
      </c>
      <c r="D7650">
        <v>0</v>
      </c>
      <c r="E7650">
        <v>0</v>
      </c>
      <c r="F7650">
        <v>0</v>
      </c>
      <c r="G7650">
        <v>1</v>
      </c>
      <c r="H7650">
        <v>0</v>
      </c>
      <c r="I7650">
        <v>0</v>
      </c>
      <c r="J7650">
        <v>25626.823722855101</v>
      </c>
      <c r="K7650">
        <v>21265.124813165901</v>
      </c>
      <c r="L7650">
        <v>25.670999999999999</v>
      </c>
      <c r="M7650">
        <v>74.826999999999998</v>
      </c>
      <c r="N7650">
        <v>7.4989999999999997</v>
      </c>
    </row>
    <row r="7651" spans="1:14" x14ac:dyDescent="0.45">
      <c r="A7651">
        <v>2016</v>
      </c>
      <c r="B7651" t="s">
        <v>73</v>
      </c>
      <c r="C7651">
        <v>0</v>
      </c>
      <c r="D7651">
        <v>0</v>
      </c>
      <c r="E7651">
        <v>0</v>
      </c>
      <c r="F7651">
        <v>0</v>
      </c>
      <c r="G7651">
        <v>0</v>
      </c>
      <c r="H7651">
        <v>1</v>
      </c>
      <c r="I7651">
        <v>1</v>
      </c>
      <c r="J7651">
        <v>54107.0752236423</v>
      </c>
      <c r="K7651">
        <v>50414.930049881201</v>
      </c>
      <c r="L7651">
        <v>10.91</v>
      </c>
      <c r="M7651">
        <v>80.406999999999996</v>
      </c>
      <c r="N7651">
        <v>7.452</v>
      </c>
    </row>
    <row r="7652" spans="1:14" x14ac:dyDescent="0.45">
      <c r="A7652">
        <v>2016</v>
      </c>
      <c r="B7652" t="s">
        <v>74</v>
      </c>
      <c r="C7652">
        <v>0</v>
      </c>
      <c r="D7652">
        <v>1</v>
      </c>
      <c r="E7652">
        <v>0</v>
      </c>
      <c r="F7652">
        <v>0</v>
      </c>
      <c r="G7652">
        <v>0</v>
      </c>
      <c r="H7652">
        <v>1</v>
      </c>
      <c r="I7652">
        <v>1</v>
      </c>
      <c r="J7652">
        <v>32172.229145112</v>
      </c>
      <c r="K7652">
        <v>33371.802393600097</v>
      </c>
      <c r="L7652">
        <v>17.167999999999999</v>
      </c>
      <c r="M7652">
        <v>74.042000000000002</v>
      </c>
      <c r="N7652">
        <v>13.843</v>
      </c>
    </row>
    <row r="7653" spans="1:14" x14ac:dyDescent="0.45">
      <c r="A7653">
        <v>2016</v>
      </c>
      <c r="B7653" t="s">
        <v>75</v>
      </c>
      <c r="C7653">
        <v>1</v>
      </c>
      <c r="D7653">
        <v>0</v>
      </c>
      <c r="E7653">
        <v>0</v>
      </c>
      <c r="F7653">
        <v>0</v>
      </c>
      <c r="G7653">
        <v>1</v>
      </c>
      <c r="H7653">
        <v>0</v>
      </c>
      <c r="I7653">
        <v>0</v>
      </c>
      <c r="J7653">
        <v>14873.068298524</v>
      </c>
      <c r="K7653">
        <v>12848.2679861818</v>
      </c>
      <c r="L7653">
        <v>52.481999999999999</v>
      </c>
      <c r="M7653">
        <v>77.123999999999995</v>
      </c>
      <c r="N7653">
        <v>6.3609999999999998</v>
      </c>
    </row>
    <row r="7654" spans="1:14" x14ac:dyDescent="0.45">
      <c r="A7654">
        <v>2016</v>
      </c>
      <c r="B7654" t="s">
        <v>76</v>
      </c>
      <c r="C7654">
        <v>1</v>
      </c>
      <c r="D7654">
        <v>0</v>
      </c>
      <c r="E7654">
        <v>0</v>
      </c>
      <c r="F7654">
        <v>0</v>
      </c>
      <c r="G7654">
        <v>1</v>
      </c>
      <c r="H7654">
        <v>0</v>
      </c>
      <c r="I7654">
        <v>0</v>
      </c>
      <c r="J7654">
        <v>24846.830152977302</v>
      </c>
      <c r="K7654">
        <v>17939.2888326877</v>
      </c>
      <c r="L7654">
        <v>22.338999999999999</v>
      </c>
      <c r="M7654">
        <v>74.153000000000006</v>
      </c>
      <c r="N7654">
        <v>3.8159999999999998</v>
      </c>
    </row>
    <row r="7655" spans="1:14" x14ac:dyDescent="0.45">
      <c r="A7655">
        <v>2016</v>
      </c>
      <c r="B7655" t="s">
        <v>77</v>
      </c>
      <c r="C7655">
        <v>0</v>
      </c>
      <c r="D7655">
        <v>1</v>
      </c>
      <c r="E7655">
        <v>0</v>
      </c>
      <c r="F7655">
        <v>0</v>
      </c>
      <c r="G7655">
        <v>1</v>
      </c>
      <c r="H7655">
        <v>0</v>
      </c>
      <c r="I7655">
        <v>0</v>
      </c>
      <c r="J7655">
        <v>12062.7981699713</v>
      </c>
      <c r="K7655">
        <v>9506.6089366376491</v>
      </c>
      <c r="L7655">
        <v>54.505000000000003</v>
      </c>
      <c r="M7655">
        <v>71.843000000000004</v>
      </c>
      <c r="N7655">
        <v>14.882</v>
      </c>
    </row>
    <row r="7656" spans="1:14" x14ac:dyDescent="0.45">
      <c r="A7656">
        <v>2016</v>
      </c>
      <c r="B7656" t="s">
        <v>78</v>
      </c>
      <c r="C7656">
        <v>0</v>
      </c>
      <c r="D7656">
        <v>0</v>
      </c>
      <c r="E7656">
        <v>0</v>
      </c>
      <c r="F7656">
        <v>0</v>
      </c>
      <c r="G7656">
        <v>0</v>
      </c>
      <c r="H7656">
        <v>1</v>
      </c>
      <c r="I7656">
        <v>1</v>
      </c>
      <c r="J7656">
        <v>93265.067536463801</v>
      </c>
      <c r="K7656">
        <v>82862.647339167204</v>
      </c>
      <c r="L7656">
        <v>0</v>
      </c>
      <c r="M7656">
        <v>80.475999999999999</v>
      </c>
      <c r="N7656">
        <v>3.573</v>
      </c>
    </row>
    <row r="7657" spans="1:14" x14ac:dyDescent="0.45">
      <c r="A7657">
        <v>2016</v>
      </c>
      <c r="B7657" t="s">
        <v>79</v>
      </c>
      <c r="C7657">
        <v>0</v>
      </c>
      <c r="D7657">
        <v>1</v>
      </c>
      <c r="E7657">
        <v>0</v>
      </c>
      <c r="F7657">
        <v>1</v>
      </c>
      <c r="G7657">
        <v>0</v>
      </c>
      <c r="H7657">
        <v>0</v>
      </c>
      <c r="I7657">
        <v>0</v>
      </c>
      <c r="J7657">
        <v>9390.7906384379403</v>
      </c>
      <c r="K7657">
        <v>8287.8442754675998</v>
      </c>
      <c r="L7657">
        <v>31.262</v>
      </c>
      <c r="M7657">
        <v>67.391999999999996</v>
      </c>
      <c r="N7657">
        <v>49.935000000000002</v>
      </c>
    </row>
    <row r="7658" spans="1:14" x14ac:dyDescent="0.45">
      <c r="A7658">
        <v>2016</v>
      </c>
      <c r="B7658" t="s">
        <v>80</v>
      </c>
      <c r="C7658">
        <v>0</v>
      </c>
      <c r="D7658">
        <v>1</v>
      </c>
      <c r="E7658">
        <v>0</v>
      </c>
      <c r="F7658">
        <v>0</v>
      </c>
      <c r="G7658">
        <v>1</v>
      </c>
      <c r="H7658">
        <v>0</v>
      </c>
      <c r="I7658">
        <v>0</v>
      </c>
      <c r="J7658">
        <v>17620.9272434136</v>
      </c>
      <c r="K7658">
        <v>14473.9907173705</v>
      </c>
      <c r="L7658">
        <v>13.958</v>
      </c>
      <c r="M7658">
        <v>75.081000000000003</v>
      </c>
      <c r="N7658">
        <v>15.651999999999999</v>
      </c>
    </row>
    <row r="7659" spans="1:14" x14ac:dyDescent="0.45">
      <c r="A7659">
        <v>2016</v>
      </c>
      <c r="B7659" t="s">
        <v>81</v>
      </c>
      <c r="C7659">
        <v>0</v>
      </c>
      <c r="D7659">
        <v>1</v>
      </c>
      <c r="E7659">
        <v>0</v>
      </c>
      <c r="F7659">
        <v>0</v>
      </c>
      <c r="G7659">
        <v>0</v>
      </c>
      <c r="H7659">
        <v>1</v>
      </c>
      <c r="I7659">
        <v>1</v>
      </c>
      <c r="J7659">
        <v>18754.665141637499</v>
      </c>
      <c r="K7659">
        <v>17912.572601543601</v>
      </c>
      <c r="L7659">
        <v>68.807000000000002</v>
      </c>
      <c r="M7659">
        <v>76.168000000000006</v>
      </c>
      <c r="N7659">
        <v>12.984</v>
      </c>
    </row>
    <row r="7660" spans="1:14" x14ac:dyDescent="0.45">
      <c r="A7660">
        <v>2016</v>
      </c>
      <c r="B7660" t="s">
        <v>82</v>
      </c>
      <c r="C7660">
        <v>0</v>
      </c>
      <c r="D7660">
        <v>0</v>
      </c>
      <c r="E7660">
        <v>0</v>
      </c>
      <c r="F7660">
        <v>0</v>
      </c>
      <c r="G7660">
        <v>0</v>
      </c>
      <c r="H7660">
        <v>1</v>
      </c>
      <c r="I7660">
        <v>1</v>
      </c>
      <c r="J7660">
        <v>78880.622907910205</v>
      </c>
      <c r="K7660">
        <v>61590.3432591643</v>
      </c>
      <c r="L7660">
        <v>23.01</v>
      </c>
      <c r="M7660">
        <v>74.905000000000001</v>
      </c>
      <c r="N7660">
        <v>9.8810000000000002</v>
      </c>
    </row>
    <row r="7661" spans="1:14" x14ac:dyDescent="0.45">
      <c r="A7661">
        <v>2016</v>
      </c>
      <c r="B7661" t="s">
        <v>83</v>
      </c>
      <c r="C7661">
        <v>0</v>
      </c>
      <c r="D7661">
        <v>0</v>
      </c>
      <c r="E7661">
        <v>0</v>
      </c>
      <c r="F7661">
        <v>1</v>
      </c>
      <c r="G7661">
        <v>0</v>
      </c>
      <c r="H7661">
        <v>0</v>
      </c>
      <c r="I7661">
        <v>0</v>
      </c>
      <c r="J7661">
        <v>13320.975903688201</v>
      </c>
      <c r="K7661">
        <v>11537.6497164216</v>
      </c>
      <c r="L7661">
        <v>60.572000000000003</v>
      </c>
      <c r="M7661">
        <v>71.119</v>
      </c>
      <c r="N7661">
        <v>29.327999999999999</v>
      </c>
    </row>
    <row r="7662" spans="1:14" x14ac:dyDescent="0.45">
      <c r="A7662">
        <v>2016</v>
      </c>
      <c r="B7662" t="s">
        <v>84</v>
      </c>
      <c r="C7662">
        <v>0</v>
      </c>
      <c r="D7662">
        <v>0</v>
      </c>
      <c r="E7662">
        <v>1</v>
      </c>
      <c r="F7662">
        <v>0</v>
      </c>
      <c r="G7662">
        <v>1</v>
      </c>
      <c r="H7662">
        <v>0</v>
      </c>
      <c r="I7662">
        <v>0</v>
      </c>
      <c r="J7662">
        <v>16905.588739350002</v>
      </c>
      <c r="K7662">
        <v>15295.947366518199</v>
      </c>
      <c r="L7662">
        <v>32.067</v>
      </c>
      <c r="M7662">
        <v>64.319999999999993</v>
      </c>
      <c r="N7662">
        <v>46.947000000000003</v>
      </c>
    </row>
    <row r="7663" spans="1:14" x14ac:dyDescent="0.45">
      <c r="A7663">
        <v>2016</v>
      </c>
      <c r="B7663" t="s">
        <v>85</v>
      </c>
      <c r="C7663">
        <v>0</v>
      </c>
      <c r="D7663">
        <v>0</v>
      </c>
      <c r="E7663">
        <v>1</v>
      </c>
      <c r="F7663">
        <v>0</v>
      </c>
      <c r="G7663">
        <v>0</v>
      </c>
      <c r="H7663">
        <v>0</v>
      </c>
      <c r="I7663">
        <v>0</v>
      </c>
      <c r="J7663">
        <v>1073.9447770373899</v>
      </c>
      <c r="K7663">
        <v>859.85423342897195</v>
      </c>
      <c r="L7663">
        <v>59.381999999999998</v>
      </c>
      <c r="M7663">
        <v>50.999000000000002</v>
      </c>
      <c r="N7663">
        <v>126.43300000000001</v>
      </c>
    </row>
    <row r="7664" spans="1:14" x14ac:dyDescent="0.45">
      <c r="A7664">
        <v>2016</v>
      </c>
      <c r="B7664" t="s">
        <v>86</v>
      </c>
      <c r="C7664">
        <v>0</v>
      </c>
      <c r="D7664">
        <v>0</v>
      </c>
      <c r="E7664">
        <v>0</v>
      </c>
      <c r="F7664">
        <v>0</v>
      </c>
      <c r="G7664">
        <v>0</v>
      </c>
      <c r="H7664">
        <v>1</v>
      </c>
      <c r="I7664">
        <v>1</v>
      </c>
      <c r="J7664">
        <v>55606.154919194698</v>
      </c>
      <c r="K7664">
        <v>48133.609400194902</v>
      </c>
      <c r="L7664">
        <v>18.7</v>
      </c>
      <c r="M7664">
        <v>82.03</v>
      </c>
      <c r="N7664">
        <v>5.2679999999999998</v>
      </c>
    </row>
    <row r="7665" spans="1:14" x14ac:dyDescent="0.45">
      <c r="A7665">
        <v>2016</v>
      </c>
      <c r="B7665" t="s">
        <v>87</v>
      </c>
      <c r="C7665">
        <v>1</v>
      </c>
      <c r="D7665">
        <v>0</v>
      </c>
      <c r="E7665">
        <v>0</v>
      </c>
      <c r="F7665">
        <v>0</v>
      </c>
      <c r="G7665">
        <v>0</v>
      </c>
      <c r="H7665">
        <v>1</v>
      </c>
      <c r="I7665">
        <v>1</v>
      </c>
      <c r="J7665">
        <v>77301.212430485699</v>
      </c>
      <c r="K7665">
        <v>67249.496264077403</v>
      </c>
      <c r="L7665">
        <v>26.260999999999999</v>
      </c>
      <c r="M7665">
        <v>83.445999999999998</v>
      </c>
      <c r="N7665">
        <v>3.931</v>
      </c>
    </row>
    <row r="7666" spans="1:14" x14ac:dyDescent="0.45">
      <c r="A7666">
        <v>2016</v>
      </c>
      <c r="B7666" t="s">
        <v>88</v>
      </c>
      <c r="C7666">
        <v>1</v>
      </c>
      <c r="D7666">
        <v>0</v>
      </c>
      <c r="E7666">
        <v>0</v>
      </c>
      <c r="F7666">
        <v>0</v>
      </c>
      <c r="G7666">
        <v>0</v>
      </c>
      <c r="H7666">
        <v>1</v>
      </c>
      <c r="I7666">
        <v>1</v>
      </c>
      <c r="L7666">
        <v>69.069999999999993</v>
      </c>
      <c r="M7666">
        <v>81.188695831782397</v>
      </c>
      <c r="N7666">
        <v>8.5520367518290499</v>
      </c>
    </row>
    <row r="7667" spans="1:14" x14ac:dyDescent="0.45">
      <c r="A7667">
        <v>2016</v>
      </c>
      <c r="B7667" t="s">
        <v>89</v>
      </c>
      <c r="C7667">
        <v>0</v>
      </c>
      <c r="D7667">
        <v>1</v>
      </c>
      <c r="E7667">
        <v>0</v>
      </c>
      <c r="F7667">
        <v>0</v>
      </c>
      <c r="G7667">
        <v>0</v>
      </c>
      <c r="H7667">
        <v>1</v>
      </c>
      <c r="I7667">
        <v>1</v>
      </c>
      <c r="J7667">
        <v>27958.728499668199</v>
      </c>
      <c r="K7667">
        <v>24354.343657226502</v>
      </c>
      <c r="L7667">
        <v>12.577999999999999</v>
      </c>
      <c r="M7667">
        <v>80.295000000000002</v>
      </c>
      <c r="N7667">
        <v>8.0559999999999992</v>
      </c>
    </row>
    <row r="7668" spans="1:14" x14ac:dyDescent="0.45">
      <c r="A7668">
        <v>2016</v>
      </c>
      <c r="B7668" t="s">
        <v>90</v>
      </c>
      <c r="C7668">
        <v>0</v>
      </c>
      <c r="D7668">
        <v>0</v>
      </c>
      <c r="E7668">
        <v>0</v>
      </c>
      <c r="F7668">
        <v>0</v>
      </c>
      <c r="G7668">
        <v>1</v>
      </c>
      <c r="H7668">
        <v>0</v>
      </c>
      <c r="I7668">
        <v>0</v>
      </c>
      <c r="J7668">
        <v>15772.7647598696</v>
      </c>
      <c r="K7668">
        <v>14139.262326882401</v>
      </c>
      <c r="L7668">
        <v>43.264000000000003</v>
      </c>
      <c r="M7668">
        <v>77.213999999999999</v>
      </c>
      <c r="N7668">
        <v>10.038</v>
      </c>
    </row>
    <row r="7669" spans="1:14" x14ac:dyDescent="0.45">
      <c r="A7669">
        <v>2016</v>
      </c>
      <c r="B7669" t="s">
        <v>91</v>
      </c>
      <c r="C7669">
        <v>0</v>
      </c>
      <c r="D7669">
        <v>0</v>
      </c>
      <c r="E7669">
        <v>1</v>
      </c>
      <c r="F7669">
        <v>1</v>
      </c>
      <c r="G7669">
        <v>0</v>
      </c>
      <c r="H7669">
        <v>0</v>
      </c>
      <c r="I7669">
        <v>0</v>
      </c>
      <c r="J7669">
        <v>5320.8464623985501</v>
      </c>
      <c r="K7669">
        <v>4491.5780275221796</v>
      </c>
      <c r="L7669">
        <v>50.119</v>
      </c>
      <c r="M7669">
        <v>58.814</v>
      </c>
      <c r="N7669">
        <v>83.926000000000002</v>
      </c>
    </row>
    <row r="7670" spans="1:14" x14ac:dyDescent="0.45">
      <c r="A7670">
        <v>2016</v>
      </c>
      <c r="B7670" t="s">
        <v>92</v>
      </c>
      <c r="C7670">
        <v>0</v>
      </c>
      <c r="D7670">
        <v>0</v>
      </c>
      <c r="E7670">
        <v>1</v>
      </c>
      <c r="F7670">
        <v>1</v>
      </c>
      <c r="G7670">
        <v>0</v>
      </c>
      <c r="H7670">
        <v>0</v>
      </c>
      <c r="I7670">
        <v>0</v>
      </c>
      <c r="J7670">
        <v>4767.1318614895299</v>
      </c>
      <c r="K7670">
        <v>3743.2118361134499</v>
      </c>
      <c r="L7670">
        <v>44.820999999999998</v>
      </c>
      <c r="M7670">
        <v>60.292999999999999</v>
      </c>
      <c r="N7670">
        <v>86.224000000000004</v>
      </c>
    </row>
    <row r="7671" spans="1:14" x14ac:dyDescent="0.45">
      <c r="A7671">
        <v>2016</v>
      </c>
      <c r="B7671" t="s">
        <v>93</v>
      </c>
      <c r="C7671">
        <v>0</v>
      </c>
      <c r="D7671">
        <v>0</v>
      </c>
      <c r="E7671">
        <v>1</v>
      </c>
      <c r="F7671">
        <v>0</v>
      </c>
      <c r="G7671">
        <v>0</v>
      </c>
      <c r="H7671">
        <v>0</v>
      </c>
      <c r="I7671">
        <v>0</v>
      </c>
      <c r="J7671">
        <v>1253.15815656727</v>
      </c>
      <c r="K7671">
        <v>1003.23395245456</v>
      </c>
      <c r="L7671">
        <v>56.692999999999998</v>
      </c>
      <c r="M7671">
        <v>59.081000000000003</v>
      </c>
      <c r="N7671">
        <v>92.626000000000005</v>
      </c>
    </row>
    <row r="7672" spans="1:14" x14ac:dyDescent="0.45">
      <c r="A7672">
        <v>2016</v>
      </c>
      <c r="B7672" t="s">
        <v>94</v>
      </c>
      <c r="C7672">
        <v>0</v>
      </c>
      <c r="D7672">
        <v>0</v>
      </c>
      <c r="E7672">
        <v>1</v>
      </c>
      <c r="F7672">
        <v>1</v>
      </c>
      <c r="G7672">
        <v>0</v>
      </c>
      <c r="H7672">
        <v>0</v>
      </c>
      <c r="I7672">
        <v>0</v>
      </c>
      <c r="J7672">
        <v>8001.8255194505</v>
      </c>
      <c r="K7672">
        <v>4823.8621989885096</v>
      </c>
      <c r="L7672">
        <v>33.999000000000002</v>
      </c>
      <c r="M7672">
        <v>63.911000000000001</v>
      </c>
      <c r="N7672">
        <v>50.04</v>
      </c>
    </row>
    <row r="7673" spans="1:14" x14ac:dyDescent="0.45">
      <c r="A7673">
        <v>2016</v>
      </c>
      <c r="B7673" t="s">
        <v>95</v>
      </c>
      <c r="C7673">
        <v>0</v>
      </c>
      <c r="D7673">
        <v>1</v>
      </c>
      <c r="E7673">
        <v>0</v>
      </c>
      <c r="F7673">
        <v>0</v>
      </c>
      <c r="G7673">
        <v>1</v>
      </c>
      <c r="H7673">
        <v>0</v>
      </c>
      <c r="I7673">
        <v>0</v>
      </c>
      <c r="J7673">
        <v>17003.244366485</v>
      </c>
      <c r="K7673">
        <v>14157.0625306785</v>
      </c>
      <c r="L7673">
        <v>19.891999999999999</v>
      </c>
      <c r="M7673">
        <v>76.227999999999994</v>
      </c>
      <c r="N7673">
        <v>15.098000000000001</v>
      </c>
    </row>
    <row r="7674" spans="1:14" x14ac:dyDescent="0.45">
      <c r="A7674">
        <v>2016</v>
      </c>
      <c r="B7674" t="s">
        <v>96</v>
      </c>
      <c r="C7674">
        <v>0</v>
      </c>
      <c r="D7674">
        <v>0</v>
      </c>
      <c r="E7674">
        <v>1</v>
      </c>
      <c r="F7674">
        <v>0</v>
      </c>
      <c r="G7674">
        <v>0</v>
      </c>
      <c r="H7674">
        <v>0</v>
      </c>
      <c r="I7674">
        <v>0</v>
      </c>
      <c r="J7674">
        <v>3127.1321200531802</v>
      </c>
      <c r="K7674">
        <v>3233.8537008200201</v>
      </c>
      <c r="L7674">
        <v>71.381</v>
      </c>
      <c r="M7674">
        <v>64.792000000000002</v>
      </c>
      <c r="N7674">
        <v>59.094000000000001</v>
      </c>
    </row>
    <row r="7675" spans="1:14" x14ac:dyDescent="0.45">
      <c r="A7675">
        <v>2016</v>
      </c>
      <c r="B7675" t="s">
        <v>97</v>
      </c>
      <c r="C7675">
        <v>0</v>
      </c>
      <c r="D7675">
        <v>0</v>
      </c>
      <c r="E7675">
        <v>1</v>
      </c>
      <c r="F7675">
        <v>1</v>
      </c>
      <c r="G7675">
        <v>0</v>
      </c>
      <c r="H7675">
        <v>0</v>
      </c>
      <c r="I7675">
        <v>0</v>
      </c>
      <c r="J7675">
        <v>7881.3033622778403</v>
      </c>
      <c r="K7675">
        <v>7595.32322754088</v>
      </c>
      <c r="L7675">
        <v>35.216000000000001</v>
      </c>
      <c r="M7675">
        <v>74.349999999999994</v>
      </c>
      <c r="N7675">
        <v>17.155999999999999</v>
      </c>
    </row>
    <row r="7676" spans="1:14" x14ac:dyDescent="0.45">
      <c r="A7676">
        <v>2016</v>
      </c>
      <c r="B7676" t="s">
        <v>98</v>
      </c>
      <c r="C7676">
        <v>0</v>
      </c>
      <c r="D7676">
        <v>1</v>
      </c>
      <c r="E7676">
        <v>0</v>
      </c>
      <c r="F7676">
        <v>0</v>
      </c>
      <c r="G7676">
        <v>1</v>
      </c>
      <c r="H7676">
        <v>0</v>
      </c>
      <c r="I7676">
        <v>0</v>
      </c>
      <c r="J7676">
        <v>21925.6000804133</v>
      </c>
      <c r="K7676">
        <v>19631.183425846099</v>
      </c>
      <c r="L7676">
        <v>22.265000000000001</v>
      </c>
      <c r="M7676">
        <v>79.988</v>
      </c>
      <c r="N7676">
        <v>8.8659999999999997</v>
      </c>
    </row>
    <row r="7677" spans="1:14" x14ac:dyDescent="0.45">
      <c r="A7677">
        <v>2016</v>
      </c>
      <c r="B7677" t="s">
        <v>99</v>
      </c>
      <c r="C7677">
        <v>0</v>
      </c>
      <c r="D7677">
        <v>1</v>
      </c>
      <c r="E7677">
        <v>0</v>
      </c>
      <c r="F7677">
        <v>0</v>
      </c>
      <c r="G7677">
        <v>1</v>
      </c>
      <c r="H7677">
        <v>0</v>
      </c>
      <c r="I7677">
        <v>0</v>
      </c>
      <c r="L7677">
        <v>23.07</v>
      </c>
      <c r="M7677">
        <v>77.570999999999998</v>
      </c>
      <c r="N7677">
        <v>6.4</v>
      </c>
    </row>
    <row r="7678" spans="1:14" x14ac:dyDescent="0.45">
      <c r="A7678">
        <v>2016</v>
      </c>
      <c r="B7678" t="s">
        <v>100</v>
      </c>
      <c r="C7678">
        <v>0</v>
      </c>
      <c r="D7678">
        <v>1</v>
      </c>
      <c r="E7678">
        <v>0</v>
      </c>
      <c r="F7678">
        <v>0</v>
      </c>
      <c r="G7678">
        <v>0</v>
      </c>
      <c r="H7678">
        <v>1</v>
      </c>
      <c r="I7678">
        <v>1</v>
      </c>
      <c r="J7678">
        <v>30209.787863100399</v>
      </c>
      <c r="K7678">
        <v>24715.002228649199</v>
      </c>
      <c r="L7678">
        <v>10.728</v>
      </c>
      <c r="M7678">
        <v>76.322000000000003</v>
      </c>
      <c r="N7678">
        <v>11.297000000000001</v>
      </c>
    </row>
    <row r="7679" spans="1:14" x14ac:dyDescent="0.45">
      <c r="A7679">
        <v>2016</v>
      </c>
      <c r="B7679" t="s">
        <v>101</v>
      </c>
      <c r="C7679">
        <v>0</v>
      </c>
      <c r="D7679">
        <v>1</v>
      </c>
      <c r="E7679">
        <v>0</v>
      </c>
      <c r="F7679">
        <v>0</v>
      </c>
      <c r="G7679">
        <v>0</v>
      </c>
      <c r="H7679">
        <v>1</v>
      </c>
      <c r="I7679">
        <v>1</v>
      </c>
      <c r="J7679">
        <v>73907.226044029201</v>
      </c>
      <c r="K7679">
        <v>67417.896068787697</v>
      </c>
      <c r="L7679">
        <v>0</v>
      </c>
      <c r="M7679">
        <v>78.367000000000004</v>
      </c>
      <c r="N7679">
        <v>2.782</v>
      </c>
    </row>
    <row r="7680" spans="1:14" x14ac:dyDescent="0.45">
      <c r="A7680">
        <v>2016</v>
      </c>
      <c r="B7680" t="s">
        <v>102</v>
      </c>
      <c r="C7680">
        <v>1</v>
      </c>
      <c r="D7680">
        <v>0</v>
      </c>
      <c r="E7680">
        <v>0</v>
      </c>
      <c r="F7680">
        <v>0</v>
      </c>
      <c r="G7680">
        <v>0</v>
      </c>
      <c r="H7680">
        <v>1</v>
      </c>
      <c r="I7680">
        <v>1</v>
      </c>
      <c r="J7680">
        <v>40209.86328125</v>
      </c>
      <c r="K7680">
        <v>35820.641147467701</v>
      </c>
      <c r="L7680">
        <v>33.119</v>
      </c>
      <c r="M7680">
        <v>81.534000000000006</v>
      </c>
      <c r="N7680">
        <v>3.0779999999999998</v>
      </c>
    </row>
    <row r="7681" spans="1:14" x14ac:dyDescent="0.45">
      <c r="A7681">
        <v>2016</v>
      </c>
      <c r="B7681" t="s">
        <v>103</v>
      </c>
      <c r="C7681">
        <v>1</v>
      </c>
      <c r="D7681">
        <v>0</v>
      </c>
      <c r="E7681">
        <v>0</v>
      </c>
      <c r="F7681">
        <v>0</v>
      </c>
      <c r="G7681">
        <v>0</v>
      </c>
      <c r="H7681">
        <v>1</v>
      </c>
      <c r="I7681">
        <v>1</v>
      </c>
      <c r="J7681">
        <v>43069.465974472703</v>
      </c>
      <c r="K7681">
        <v>35859.746895379802</v>
      </c>
      <c r="L7681">
        <v>26.43</v>
      </c>
      <c r="M7681">
        <v>78.974000000000004</v>
      </c>
      <c r="N7681">
        <v>3.4849999999999999</v>
      </c>
    </row>
    <row r="7682" spans="1:14" x14ac:dyDescent="0.45">
      <c r="A7682">
        <v>2016</v>
      </c>
      <c r="B7682" t="s">
        <v>104</v>
      </c>
      <c r="C7682">
        <v>1</v>
      </c>
      <c r="D7682">
        <v>0</v>
      </c>
      <c r="E7682">
        <v>0</v>
      </c>
      <c r="F7682">
        <v>0</v>
      </c>
      <c r="G7682">
        <v>0</v>
      </c>
      <c r="H7682">
        <v>1</v>
      </c>
      <c r="I7682">
        <v>1</v>
      </c>
      <c r="J7682">
        <v>60578.2870698037</v>
      </c>
      <c r="K7682">
        <v>52524.533020638199</v>
      </c>
      <c r="L7682">
        <v>22.776</v>
      </c>
      <c r="M7682">
        <v>80.837000000000003</v>
      </c>
      <c r="N7682">
        <v>4.141</v>
      </c>
    </row>
    <row r="7683" spans="1:14" x14ac:dyDescent="0.45">
      <c r="A7683">
        <v>2016</v>
      </c>
      <c r="B7683" t="s">
        <v>105</v>
      </c>
      <c r="C7683">
        <v>0</v>
      </c>
      <c r="D7683">
        <v>0</v>
      </c>
      <c r="E7683">
        <v>0</v>
      </c>
      <c r="F7683">
        <v>1</v>
      </c>
      <c r="G7683">
        <v>0</v>
      </c>
      <c r="H7683">
        <v>0</v>
      </c>
      <c r="I7683">
        <v>0</v>
      </c>
      <c r="J7683">
        <v>5226.5002610660704</v>
      </c>
      <c r="K7683">
        <v>4508.1222177199897</v>
      </c>
      <c r="L7683">
        <v>22.472000000000001</v>
      </c>
      <c r="M7683">
        <v>63.335000000000001</v>
      </c>
      <c r="N7683">
        <v>63.124000000000002</v>
      </c>
    </row>
    <row r="7684" spans="1:14" x14ac:dyDescent="0.45">
      <c r="A7684">
        <v>2016</v>
      </c>
      <c r="B7684" t="s">
        <v>106</v>
      </c>
      <c r="C7684">
        <v>0</v>
      </c>
      <c r="D7684">
        <v>1</v>
      </c>
      <c r="E7684">
        <v>0</v>
      </c>
      <c r="F7684">
        <v>0</v>
      </c>
      <c r="G7684">
        <v>1</v>
      </c>
      <c r="H7684">
        <v>0</v>
      </c>
      <c r="I7684">
        <v>0</v>
      </c>
      <c r="J7684">
        <v>17364.0773046793</v>
      </c>
      <c r="K7684">
        <v>13513.216889322801</v>
      </c>
      <c r="L7684">
        <v>30.12</v>
      </c>
      <c r="M7684">
        <v>71.188999999999993</v>
      </c>
      <c r="N7684">
        <v>27.779</v>
      </c>
    </row>
    <row r="7685" spans="1:14" x14ac:dyDescent="0.45">
      <c r="A7685">
        <v>2016</v>
      </c>
      <c r="B7685" t="s">
        <v>107</v>
      </c>
      <c r="C7685">
        <v>1</v>
      </c>
      <c r="D7685">
        <v>0</v>
      </c>
      <c r="E7685">
        <v>0</v>
      </c>
      <c r="F7685">
        <v>0</v>
      </c>
      <c r="G7685">
        <v>0</v>
      </c>
      <c r="H7685">
        <v>1</v>
      </c>
      <c r="I7685">
        <v>1</v>
      </c>
      <c r="J7685">
        <v>63299.3377655398</v>
      </c>
      <c r="K7685">
        <v>53497.251020284901</v>
      </c>
      <c r="L7685">
        <v>12.358000000000001</v>
      </c>
      <c r="M7685">
        <v>80.881</v>
      </c>
      <c r="N7685">
        <v>3.7709999999999999</v>
      </c>
    </row>
    <row r="7686" spans="1:14" x14ac:dyDescent="0.45">
      <c r="A7686">
        <v>2016</v>
      </c>
      <c r="B7686" t="s">
        <v>108</v>
      </c>
      <c r="C7686">
        <v>0</v>
      </c>
      <c r="D7686">
        <v>1</v>
      </c>
      <c r="E7686">
        <v>0</v>
      </c>
      <c r="F7686">
        <v>0</v>
      </c>
      <c r="G7686">
        <v>1</v>
      </c>
      <c r="H7686">
        <v>0</v>
      </c>
      <c r="I7686">
        <v>0</v>
      </c>
      <c r="J7686">
        <v>18968.975238617899</v>
      </c>
      <c r="K7686">
        <v>16385.8749763126</v>
      </c>
      <c r="L7686">
        <v>20.564</v>
      </c>
      <c r="M7686">
        <v>72.888999999999996</v>
      </c>
      <c r="N7686">
        <v>34.875</v>
      </c>
    </row>
    <row r="7687" spans="1:14" x14ac:dyDescent="0.45">
      <c r="A7687">
        <v>2016</v>
      </c>
      <c r="B7687" t="s">
        <v>109</v>
      </c>
      <c r="C7687">
        <v>0</v>
      </c>
      <c r="D7687">
        <v>0</v>
      </c>
      <c r="E7687">
        <v>0</v>
      </c>
      <c r="F7687">
        <v>0</v>
      </c>
      <c r="G7687">
        <v>1</v>
      </c>
      <c r="H7687">
        <v>0</v>
      </c>
      <c r="I7687">
        <v>0</v>
      </c>
      <c r="J7687">
        <v>15511.685876809401</v>
      </c>
      <c r="K7687">
        <v>13567.0497699029</v>
      </c>
      <c r="L7687">
        <v>28.541</v>
      </c>
      <c r="M7687">
        <v>75.31</v>
      </c>
      <c r="N7687">
        <v>24.817</v>
      </c>
    </row>
    <row r="7688" spans="1:14" x14ac:dyDescent="0.45">
      <c r="A7688">
        <v>2016</v>
      </c>
      <c r="B7688" t="s">
        <v>110</v>
      </c>
      <c r="C7688">
        <v>0</v>
      </c>
      <c r="D7688">
        <v>1</v>
      </c>
      <c r="E7688">
        <v>0</v>
      </c>
      <c r="F7688">
        <v>0</v>
      </c>
      <c r="G7688">
        <v>1</v>
      </c>
      <c r="H7688">
        <v>0</v>
      </c>
      <c r="I7688">
        <v>0</v>
      </c>
      <c r="J7688">
        <v>13586.5160772568</v>
      </c>
      <c r="K7688">
        <v>11300.5545334658</v>
      </c>
      <c r="L7688">
        <v>36.466000000000001</v>
      </c>
      <c r="M7688">
        <v>76.093999999999994</v>
      </c>
      <c r="N7688">
        <v>15.135</v>
      </c>
    </row>
    <row r="7689" spans="1:14" x14ac:dyDescent="0.45">
      <c r="A7689">
        <v>2016</v>
      </c>
      <c r="B7689" t="s">
        <v>111</v>
      </c>
      <c r="C7689">
        <v>0</v>
      </c>
      <c r="D7689">
        <v>0</v>
      </c>
      <c r="E7689">
        <v>0</v>
      </c>
      <c r="F7689">
        <v>1</v>
      </c>
      <c r="G7689">
        <v>0</v>
      </c>
      <c r="H7689">
        <v>0</v>
      </c>
      <c r="I7689">
        <v>0</v>
      </c>
      <c r="J7689">
        <v>13727.320160049399</v>
      </c>
      <c r="K7689">
        <v>10893.769992522801</v>
      </c>
      <c r="L7689">
        <v>57.268000000000001</v>
      </c>
      <c r="M7689">
        <v>70.436999999999998</v>
      </c>
      <c r="N7689">
        <v>22.468</v>
      </c>
    </row>
    <row r="7690" spans="1:14" x14ac:dyDescent="0.45">
      <c r="A7690">
        <v>2016</v>
      </c>
      <c r="B7690" t="s">
        <v>112</v>
      </c>
      <c r="C7690">
        <v>0</v>
      </c>
      <c r="D7690">
        <v>0</v>
      </c>
      <c r="E7690">
        <v>1</v>
      </c>
      <c r="F7690">
        <v>0</v>
      </c>
      <c r="G7690">
        <v>0</v>
      </c>
      <c r="H7690">
        <v>0</v>
      </c>
      <c r="I7690">
        <v>0</v>
      </c>
      <c r="L7690">
        <v>61.173000000000002</v>
      </c>
      <c r="M7690">
        <v>66.242000000000004</v>
      </c>
      <c r="N7690">
        <v>44.912999999999997</v>
      </c>
    </row>
    <row r="7691" spans="1:14" x14ac:dyDescent="0.45">
      <c r="A7691">
        <v>2016</v>
      </c>
      <c r="B7691" t="s">
        <v>113</v>
      </c>
      <c r="C7691">
        <v>1</v>
      </c>
      <c r="D7691">
        <v>0</v>
      </c>
      <c r="E7691">
        <v>0</v>
      </c>
      <c r="F7691">
        <v>0</v>
      </c>
      <c r="G7691">
        <v>0</v>
      </c>
      <c r="H7691">
        <v>1</v>
      </c>
      <c r="I7691">
        <v>1</v>
      </c>
      <c r="J7691">
        <v>44274.667614992199</v>
      </c>
      <c r="K7691">
        <v>38962.885035131301</v>
      </c>
      <c r="L7691">
        <v>20.16</v>
      </c>
      <c r="M7691">
        <v>83</v>
      </c>
      <c r="N7691">
        <v>3.1930000000000001</v>
      </c>
    </row>
    <row r="7692" spans="1:14" x14ac:dyDescent="0.45">
      <c r="A7692">
        <v>2016</v>
      </c>
      <c r="B7692" t="s">
        <v>114</v>
      </c>
      <c r="C7692">
        <v>1</v>
      </c>
      <c r="D7692">
        <v>0</v>
      </c>
      <c r="E7692">
        <v>0</v>
      </c>
      <c r="F7692">
        <v>0</v>
      </c>
      <c r="G7692">
        <v>0</v>
      </c>
      <c r="H7692">
        <v>1</v>
      </c>
      <c r="I7692">
        <v>1</v>
      </c>
      <c r="J7692">
        <v>37854.845250551298</v>
      </c>
      <c r="K7692">
        <v>32116.273113039199</v>
      </c>
      <c r="L7692">
        <v>31.437000000000001</v>
      </c>
      <c r="M7692">
        <v>77.763000000000005</v>
      </c>
      <c r="N7692">
        <v>2.839</v>
      </c>
    </row>
    <row r="7693" spans="1:14" x14ac:dyDescent="0.45">
      <c r="A7693">
        <v>2016</v>
      </c>
      <c r="B7693" t="s">
        <v>115</v>
      </c>
      <c r="C7693">
        <v>0</v>
      </c>
      <c r="D7693">
        <v>0</v>
      </c>
      <c r="E7693">
        <v>1</v>
      </c>
      <c r="F7693">
        <v>0</v>
      </c>
      <c r="G7693">
        <v>0</v>
      </c>
      <c r="H7693">
        <v>0</v>
      </c>
      <c r="I7693">
        <v>0</v>
      </c>
      <c r="J7693">
        <v>2084.8405561939999</v>
      </c>
      <c r="K7693">
        <v>1880.2976891769299</v>
      </c>
      <c r="L7693">
        <v>80.134</v>
      </c>
      <c r="M7693">
        <v>64.162000000000006</v>
      </c>
      <c r="N7693">
        <v>60.329000000000001</v>
      </c>
    </row>
    <row r="7694" spans="1:14" x14ac:dyDescent="0.45">
      <c r="A7694">
        <v>2016</v>
      </c>
      <c r="B7694" t="s">
        <v>116</v>
      </c>
      <c r="C7694">
        <v>1</v>
      </c>
      <c r="D7694">
        <v>0</v>
      </c>
      <c r="E7694">
        <v>0</v>
      </c>
      <c r="F7694">
        <v>0</v>
      </c>
      <c r="G7694">
        <v>0</v>
      </c>
      <c r="H7694">
        <v>1</v>
      </c>
      <c r="I7694">
        <v>1</v>
      </c>
      <c r="J7694">
        <v>53984.631625471498</v>
      </c>
      <c r="K7694">
        <v>45383.951912027303</v>
      </c>
      <c r="L7694">
        <v>14.725</v>
      </c>
      <c r="M7694">
        <v>81.302999999999997</v>
      </c>
      <c r="N7694">
        <v>2.2250000000000001</v>
      </c>
    </row>
    <row r="7695" spans="1:14" x14ac:dyDescent="0.45">
      <c r="A7695">
        <v>2016</v>
      </c>
      <c r="B7695" t="s">
        <v>117</v>
      </c>
      <c r="C7695">
        <v>0</v>
      </c>
      <c r="D7695">
        <v>0</v>
      </c>
      <c r="E7695">
        <v>0</v>
      </c>
      <c r="F7695">
        <v>0</v>
      </c>
      <c r="G7695">
        <v>1</v>
      </c>
      <c r="H7695">
        <v>0</v>
      </c>
      <c r="I7695">
        <v>0</v>
      </c>
      <c r="J7695">
        <v>12419.825775383</v>
      </c>
      <c r="K7695">
        <v>12162.7688883542</v>
      </c>
      <c r="L7695">
        <v>44.765000000000001</v>
      </c>
      <c r="M7695">
        <v>66.656999999999996</v>
      </c>
      <c r="N7695">
        <v>23.123000000000001</v>
      </c>
    </row>
    <row r="7696" spans="1:14" x14ac:dyDescent="0.45">
      <c r="A7696">
        <v>2016</v>
      </c>
      <c r="B7696" t="s">
        <v>118</v>
      </c>
      <c r="C7696">
        <v>1</v>
      </c>
      <c r="D7696">
        <v>0</v>
      </c>
      <c r="E7696">
        <v>0</v>
      </c>
      <c r="F7696">
        <v>0</v>
      </c>
      <c r="G7696">
        <v>0</v>
      </c>
      <c r="H7696">
        <v>1</v>
      </c>
      <c r="I7696">
        <v>1</v>
      </c>
      <c r="J7696">
        <v>50984.075297832002</v>
      </c>
      <c r="K7696">
        <v>42566.542663390501</v>
      </c>
      <c r="L7696">
        <v>20.082999999999998</v>
      </c>
      <c r="M7696">
        <v>82.400999999999996</v>
      </c>
      <c r="N7696">
        <v>4.2409999999999997</v>
      </c>
    </row>
    <row r="7697" spans="1:14" x14ac:dyDescent="0.45">
      <c r="A7697">
        <v>2016</v>
      </c>
      <c r="B7697" t="s">
        <v>119</v>
      </c>
      <c r="C7697">
        <v>1</v>
      </c>
      <c r="D7697">
        <v>0</v>
      </c>
      <c r="E7697">
        <v>0</v>
      </c>
      <c r="F7697">
        <v>0</v>
      </c>
      <c r="G7697">
        <v>0</v>
      </c>
      <c r="H7697">
        <v>1</v>
      </c>
      <c r="I7697">
        <v>1</v>
      </c>
      <c r="J7697">
        <v>63286.584219922799</v>
      </c>
      <c r="K7697">
        <v>55291.042774842099</v>
      </c>
      <c r="L7697">
        <v>58.222999999999999</v>
      </c>
      <c r="M7697">
        <v>79.575000000000003</v>
      </c>
      <c r="N7697">
        <v>8.1669999999999998</v>
      </c>
    </row>
    <row r="7698" spans="1:14" x14ac:dyDescent="0.45">
      <c r="A7698">
        <v>2016</v>
      </c>
      <c r="B7698" t="s">
        <v>120</v>
      </c>
      <c r="C7698">
        <v>0</v>
      </c>
      <c r="D7698">
        <v>0</v>
      </c>
      <c r="E7698">
        <v>0</v>
      </c>
      <c r="F7698">
        <v>1</v>
      </c>
      <c r="G7698">
        <v>0</v>
      </c>
      <c r="H7698">
        <v>0</v>
      </c>
      <c r="I7698">
        <v>0</v>
      </c>
      <c r="J7698">
        <v>3794.7454587961001</v>
      </c>
      <c r="K7698">
        <v>3434.7682795241399</v>
      </c>
      <c r="L7698">
        <v>77.474000000000004</v>
      </c>
      <c r="M7698">
        <v>65.575999999999993</v>
      </c>
      <c r="N7698">
        <v>28.588999999999999</v>
      </c>
    </row>
    <row r="7699" spans="1:14" x14ac:dyDescent="0.45">
      <c r="A7699">
        <v>2016</v>
      </c>
      <c r="B7699" t="s">
        <v>121</v>
      </c>
      <c r="C7699">
        <v>0</v>
      </c>
      <c r="D7699">
        <v>0</v>
      </c>
      <c r="E7699">
        <v>1</v>
      </c>
      <c r="F7699">
        <v>0</v>
      </c>
      <c r="G7699">
        <v>1</v>
      </c>
      <c r="H7699">
        <v>0</v>
      </c>
      <c r="I7699">
        <v>0</v>
      </c>
      <c r="J7699">
        <v>19988.175596318601</v>
      </c>
      <c r="K7699">
        <v>15123.851544142801</v>
      </c>
      <c r="L7699">
        <v>11.441000000000001</v>
      </c>
      <c r="M7699">
        <v>66.582999999999998</v>
      </c>
      <c r="N7699">
        <v>47.323999999999998</v>
      </c>
    </row>
    <row r="7700" spans="1:14" x14ac:dyDescent="0.45">
      <c r="A7700">
        <v>2016</v>
      </c>
      <c r="B7700" t="s">
        <v>122</v>
      </c>
      <c r="C7700">
        <v>1</v>
      </c>
      <c r="D7700">
        <v>0</v>
      </c>
      <c r="E7700">
        <v>0</v>
      </c>
      <c r="F7700">
        <v>0</v>
      </c>
      <c r="G7700">
        <v>0</v>
      </c>
      <c r="H7700">
        <v>1</v>
      </c>
      <c r="I7700">
        <v>1</v>
      </c>
      <c r="J7700">
        <v>50540.879767082202</v>
      </c>
      <c r="K7700">
        <v>43542.492073807298</v>
      </c>
      <c r="L7700">
        <v>17.114000000000001</v>
      </c>
      <c r="M7700">
        <v>81.066999999999993</v>
      </c>
      <c r="N7700">
        <v>4.468</v>
      </c>
    </row>
    <row r="7701" spans="1:14" x14ac:dyDescent="0.45">
      <c r="A7701">
        <v>2016</v>
      </c>
      <c r="B7701" t="s">
        <v>123</v>
      </c>
      <c r="C7701">
        <v>1</v>
      </c>
      <c r="D7701">
        <v>0</v>
      </c>
      <c r="E7701">
        <v>0</v>
      </c>
      <c r="F7701">
        <v>1</v>
      </c>
      <c r="G7701">
        <v>0</v>
      </c>
      <c r="H7701">
        <v>0</v>
      </c>
      <c r="I7701">
        <v>0</v>
      </c>
      <c r="J7701">
        <v>15442.956435805399</v>
      </c>
      <c r="K7701">
        <v>13047.5327461174</v>
      </c>
      <c r="L7701">
        <v>42.162999999999997</v>
      </c>
      <c r="M7701">
        <v>73.135999999999996</v>
      </c>
      <c r="N7701">
        <v>10.378</v>
      </c>
    </row>
    <row r="7702" spans="1:14" x14ac:dyDescent="0.45">
      <c r="A7702">
        <v>2016</v>
      </c>
      <c r="B7702" t="s">
        <v>124</v>
      </c>
      <c r="C7702">
        <v>0</v>
      </c>
      <c r="D7702">
        <v>0</v>
      </c>
      <c r="E7702">
        <v>1</v>
      </c>
      <c r="F7702">
        <v>1</v>
      </c>
      <c r="G7702">
        <v>0</v>
      </c>
      <c r="H7702">
        <v>0</v>
      </c>
      <c r="I7702">
        <v>0</v>
      </c>
      <c r="J7702">
        <v>5666.0779533459099</v>
      </c>
      <c r="K7702">
        <v>4888.3675420855998</v>
      </c>
      <c r="L7702">
        <v>45.250999999999998</v>
      </c>
      <c r="M7702">
        <v>63.521999999999998</v>
      </c>
      <c r="N7702">
        <v>53.204000000000001</v>
      </c>
    </row>
    <row r="7703" spans="1:14" x14ac:dyDescent="0.45">
      <c r="A7703">
        <v>2016</v>
      </c>
      <c r="B7703" t="s">
        <v>125</v>
      </c>
      <c r="C7703">
        <v>1</v>
      </c>
      <c r="D7703">
        <v>0</v>
      </c>
      <c r="E7703">
        <v>0</v>
      </c>
      <c r="F7703">
        <v>0</v>
      </c>
      <c r="G7703">
        <v>0</v>
      </c>
      <c r="H7703">
        <v>1</v>
      </c>
      <c r="I7703">
        <v>1</v>
      </c>
      <c r="L7703">
        <v>0</v>
      </c>
      <c r="M7703">
        <v>82.741</v>
      </c>
      <c r="N7703">
        <v>11.462</v>
      </c>
    </row>
    <row r="7704" spans="1:14" x14ac:dyDescent="0.45">
      <c r="A7704">
        <v>2016</v>
      </c>
      <c r="B7704" t="s">
        <v>126</v>
      </c>
      <c r="C7704">
        <v>0</v>
      </c>
      <c r="D7704">
        <v>0</v>
      </c>
      <c r="E7704">
        <v>1</v>
      </c>
      <c r="F7704">
        <v>0</v>
      </c>
      <c r="G7704">
        <v>0</v>
      </c>
      <c r="H7704">
        <v>0</v>
      </c>
      <c r="I7704">
        <v>0</v>
      </c>
      <c r="J7704">
        <v>3099.7887418937198</v>
      </c>
      <c r="K7704">
        <v>2499.2536851990499</v>
      </c>
      <c r="L7704">
        <v>64.540000000000006</v>
      </c>
      <c r="M7704">
        <v>58.49</v>
      </c>
      <c r="N7704">
        <v>109.16</v>
      </c>
    </row>
    <row r="7705" spans="1:14" x14ac:dyDescent="0.45">
      <c r="A7705">
        <v>2016</v>
      </c>
      <c r="B7705" t="s">
        <v>127</v>
      </c>
      <c r="C7705">
        <v>0</v>
      </c>
      <c r="D7705">
        <v>0</v>
      </c>
      <c r="E7705">
        <v>1</v>
      </c>
      <c r="F7705">
        <v>0</v>
      </c>
      <c r="G7705">
        <v>0</v>
      </c>
      <c r="H7705">
        <v>0</v>
      </c>
      <c r="I7705">
        <v>0</v>
      </c>
      <c r="J7705">
        <v>2478.4605575699902</v>
      </c>
      <c r="K7705">
        <v>1994.9053811748599</v>
      </c>
      <c r="L7705">
        <v>40.082000000000001</v>
      </c>
      <c r="M7705">
        <v>63.386000000000003</v>
      </c>
      <c r="N7705">
        <v>57.170999999999999</v>
      </c>
    </row>
    <row r="7706" spans="1:14" x14ac:dyDescent="0.45">
      <c r="A7706">
        <v>2016</v>
      </c>
      <c r="B7706" t="s">
        <v>128</v>
      </c>
      <c r="C7706">
        <v>0</v>
      </c>
      <c r="D7706">
        <v>0</v>
      </c>
      <c r="E7706">
        <v>1</v>
      </c>
      <c r="F7706">
        <v>0</v>
      </c>
      <c r="G7706">
        <v>0</v>
      </c>
      <c r="H7706">
        <v>0</v>
      </c>
      <c r="I7706">
        <v>0</v>
      </c>
      <c r="J7706">
        <v>2265.57179690885</v>
      </c>
      <c r="K7706">
        <v>2038.1048739220701</v>
      </c>
      <c r="L7706">
        <v>57.466999999999999</v>
      </c>
      <c r="M7706">
        <v>60.619</v>
      </c>
      <c r="N7706">
        <v>88.744</v>
      </c>
    </row>
    <row r="7707" spans="1:14" x14ac:dyDescent="0.45">
      <c r="A7707">
        <v>2016</v>
      </c>
      <c r="B7707" t="s">
        <v>129</v>
      </c>
      <c r="C7707">
        <v>0</v>
      </c>
      <c r="D7707">
        <v>0</v>
      </c>
      <c r="E7707">
        <v>1</v>
      </c>
      <c r="F7707">
        <v>0</v>
      </c>
      <c r="G7707">
        <v>1</v>
      </c>
      <c r="H7707">
        <v>0</v>
      </c>
      <c r="I7707">
        <v>0</v>
      </c>
      <c r="J7707">
        <v>24435.064556480102</v>
      </c>
      <c r="K7707">
        <v>20244.762739757301</v>
      </c>
      <c r="L7707">
        <v>28.861999999999998</v>
      </c>
      <c r="M7707">
        <v>61.081000000000003</v>
      </c>
      <c r="N7707">
        <v>90.091999999999999</v>
      </c>
    </row>
    <row r="7708" spans="1:14" x14ac:dyDescent="0.45">
      <c r="A7708">
        <v>2016</v>
      </c>
      <c r="B7708" t="s">
        <v>130</v>
      </c>
      <c r="C7708">
        <v>1</v>
      </c>
      <c r="D7708">
        <v>0</v>
      </c>
      <c r="E7708">
        <v>0</v>
      </c>
      <c r="F7708">
        <v>0</v>
      </c>
      <c r="G7708">
        <v>0</v>
      </c>
      <c r="H7708">
        <v>1</v>
      </c>
      <c r="I7708">
        <v>1</v>
      </c>
      <c r="J7708">
        <v>31468.619847109901</v>
      </c>
      <c r="K7708">
        <v>28170.523206494701</v>
      </c>
      <c r="L7708">
        <v>21.613</v>
      </c>
      <c r="M7708">
        <v>81.269000000000005</v>
      </c>
      <c r="N7708">
        <v>4.17</v>
      </c>
    </row>
    <row r="7709" spans="1:14" x14ac:dyDescent="0.45">
      <c r="A7709">
        <v>2016</v>
      </c>
      <c r="B7709" t="s">
        <v>131</v>
      </c>
      <c r="C7709">
        <v>0</v>
      </c>
      <c r="D7709">
        <v>1</v>
      </c>
      <c r="E7709">
        <v>0</v>
      </c>
      <c r="F7709">
        <v>0</v>
      </c>
      <c r="G7709">
        <v>1</v>
      </c>
      <c r="H7709">
        <v>0</v>
      </c>
      <c r="I7709">
        <v>0</v>
      </c>
      <c r="J7709">
        <v>15650.411723040999</v>
      </c>
      <c r="K7709">
        <v>14440.714279387499</v>
      </c>
      <c r="L7709">
        <v>63.927999999999997</v>
      </c>
      <c r="M7709">
        <v>75.010000000000005</v>
      </c>
      <c r="N7709">
        <v>15.211</v>
      </c>
    </row>
    <row r="7710" spans="1:14" x14ac:dyDescent="0.45">
      <c r="A7710">
        <v>2016</v>
      </c>
      <c r="B7710" t="s">
        <v>132</v>
      </c>
      <c r="C7710">
        <v>1</v>
      </c>
      <c r="D7710">
        <v>0</v>
      </c>
      <c r="E7710">
        <v>0</v>
      </c>
      <c r="F7710">
        <v>0</v>
      </c>
      <c r="G7710">
        <v>0</v>
      </c>
      <c r="H7710">
        <v>1</v>
      </c>
      <c r="I7710">
        <v>1</v>
      </c>
      <c r="J7710">
        <v>66245.729473069805</v>
      </c>
      <c r="K7710">
        <v>59963.525728806002</v>
      </c>
      <c r="L7710">
        <v>13.673999999999999</v>
      </c>
      <c r="M7710">
        <v>70.387</v>
      </c>
      <c r="N7710">
        <v>11.076000000000001</v>
      </c>
    </row>
    <row r="7711" spans="1:14" x14ac:dyDescent="0.45">
      <c r="A7711">
        <v>2016</v>
      </c>
      <c r="B7711" t="s">
        <v>133</v>
      </c>
      <c r="C7711">
        <v>0</v>
      </c>
      <c r="D7711">
        <v>1</v>
      </c>
      <c r="E7711">
        <v>0</v>
      </c>
      <c r="F7711">
        <v>1</v>
      </c>
      <c r="G7711">
        <v>0</v>
      </c>
      <c r="H7711">
        <v>0</v>
      </c>
      <c r="I7711">
        <v>0</v>
      </c>
      <c r="J7711">
        <v>10872.5936799844</v>
      </c>
      <c r="K7711">
        <v>9444.7574879184904</v>
      </c>
      <c r="L7711">
        <v>49.680999999999997</v>
      </c>
      <c r="M7711">
        <v>71.215000000000003</v>
      </c>
      <c r="N7711">
        <v>27.337</v>
      </c>
    </row>
    <row r="7712" spans="1:14" x14ac:dyDescent="0.45">
      <c r="A7712">
        <v>2016</v>
      </c>
      <c r="B7712" t="s">
        <v>134</v>
      </c>
      <c r="C7712">
        <v>0</v>
      </c>
      <c r="D7712">
        <v>0</v>
      </c>
      <c r="E7712">
        <v>0</v>
      </c>
      <c r="F7712">
        <v>0</v>
      </c>
      <c r="G7712">
        <v>0</v>
      </c>
      <c r="H7712">
        <v>1</v>
      </c>
      <c r="I7712">
        <v>1</v>
      </c>
      <c r="L7712">
        <v>5.383</v>
      </c>
      <c r="M7712">
        <v>76.448999999999998</v>
      </c>
      <c r="N7712">
        <v>13.289</v>
      </c>
    </row>
    <row r="7713" spans="1:14" x14ac:dyDescent="0.45">
      <c r="A7713">
        <v>2016</v>
      </c>
      <c r="B7713" t="s">
        <v>135</v>
      </c>
      <c r="C7713">
        <v>0</v>
      </c>
      <c r="D7713">
        <v>1</v>
      </c>
      <c r="E7713">
        <v>0</v>
      </c>
      <c r="F7713">
        <v>0</v>
      </c>
      <c r="G7713">
        <v>1</v>
      </c>
      <c r="H7713">
        <v>0</v>
      </c>
      <c r="I7713">
        <v>0</v>
      </c>
      <c r="J7713">
        <v>12420.472472760301</v>
      </c>
      <c r="K7713">
        <v>11878.6807608862</v>
      </c>
      <c r="L7713">
        <v>73.518000000000001</v>
      </c>
      <c r="M7713">
        <v>68.069000000000003</v>
      </c>
      <c r="N7713">
        <v>32.021999999999998</v>
      </c>
    </row>
    <row r="7714" spans="1:14" x14ac:dyDescent="0.45">
      <c r="A7714">
        <v>2016</v>
      </c>
      <c r="B7714" t="s">
        <v>136</v>
      </c>
      <c r="C7714">
        <v>0</v>
      </c>
      <c r="D7714">
        <v>0</v>
      </c>
      <c r="E7714">
        <v>0</v>
      </c>
      <c r="F7714">
        <v>0</v>
      </c>
      <c r="G7714">
        <v>0</v>
      </c>
      <c r="H7714">
        <v>1</v>
      </c>
      <c r="I7714">
        <v>1</v>
      </c>
      <c r="J7714">
        <v>63749.382865335603</v>
      </c>
      <c r="K7714">
        <v>57534.037836685296</v>
      </c>
      <c r="L7714">
        <v>0</v>
      </c>
      <c r="M7714">
        <v>84.38</v>
      </c>
      <c r="N7714">
        <v>2.383</v>
      </c>
    </row>
    <row r="7715" spans="1:14" x14ac:dyDescent="0.45">
      <c r="A7715">
        <v>2016</v>
      </c>
      <c r="B7715" t="s">
        <v>137</v>
      </c>
      <c r="C7715">
        <v>0</v>
      </c>
      <c r="D7715">
        <v>1</v>
      </c>
      <c r="E7715">
        <v>0</v>
      </c>
      <c r="F7715">
        <v>1</v>
      </c>
      <c r="G7715">
        <v>0</v>
      </c>
      <c r="H7715">
        <v>0</v>
      </c>
      <c r="I7715">
        <v>0</v>
      </c>
      <c r="J7715">
        <v>5926.4902553422799</v>
      </c>
      <c r="K7715">
        <v>5461.1305794934497</v>
      </c>
      <c r="L7715">
        <v>44.186999999999998</v>
      </c>
      <c r="M7715">
        <v>71.614999999999995</v>
      </c>
      <c r="N7715">
        <v>19.765000000000001</v>
      </c>
    </row>
    <row r="7716" spans="1:14" x14ac:dyDescent="0.45">
      <c r="A7716">
        <v>2016</v>
      </c>
      <c r="B7716" t="s">
        <v>138</v>
      </c>
      <c r="C7716">
        <v>1</v>
      </c>
      <c r="D7716">
        <v>0</v>
      </c>
      <c r="E7716">
        <v>0</v>
      </c>
      <c r="F7716">
        <v>0</v>
      </c>
      <c r="G7716">
        <v>1</v>
      </c>
      <c r="H7716">
        <v>0</v>
      </c>
      <c r="I7716">
        <v>0</v>
      </c>
      <c r="J7716">
        <v>30824.859887077801</v>
      </c>
      <c r="K7716">
        <v>26583.640915039399</v>
      </c>
      <c r="L7716">
        <v>43.597000000000001</v>
      </c>
      <c r="M7716">
        <v>77.629000000000005</v>
      </c>
      <c r="N7716">
        <v>4.8630000000000004</v>
      </c>
    </row>
    <row r="7717" spans="1:14" x14ac:dyDescent="0.45">
      <c r="A7717">
        <v>2016</v>
      </c>
      <c r="B7717" t="s">
        <v>139</v>
      </c>
      <c r="C7717">
        <v>0</v>
      </c>
      <c r="D7717">
        <v>1</v>
      </c>
      <c r="E7717">
        <v>0</v>
      </c>
      <c r="F7717">
        <v>0</v>
      </c>
      <c r="G7717">
        <v>0</v>
      </c>
      <c r="H7717">
        <v>0</v>
      </c>
      <c r="I7717">
        <v>0</v>
      </c>
      <c r="J7717">
        <v>3435.7312244405498</v>
      </c>
      <c r="K7717">
        <v>3302.2728557790801</v>
      </c>
      <c r="L7717">
        <v>46.603999999999999</v>
      </c>
      <c r="M7717">
        <v>63.325000000000003</v>
      </c>
      <c r="N7717">
        <v>68.781000000000006</v>
      </c>
    </row>
    <row r="7718" spans="1:14" x14ac:dyDescent="0.45">
      <c r="A7718">
        <v>2016</v>
      </c>
      <c r="B7718" t="s">
        <v>140</v>
      </c>
      <c r="C7718">
        <v>1</v>
      </c>
      <c r="D7718">
        <v>0</v>
      </c>
      <c r="E7718">
        <v>0</v>
      </c>
      <c r="F7718">
        <v>0</v>
      </c>
      <c r="G7718">
        <v>0</v>
      </c>
      <c r="H7718">
        <v>1</v>
      </c>
      <c r="I7718">
        <v>1</v>
      </c>
      <c r="J7718">
        <v>32378.967498307498</v>
      </c>
      <c r="K7718">
        <v>28215.598259124101</v>
      </c>
      <c r="L7718">
        <v>29.221</v>
      </c>
      <c r="M7718">
        <v>76.156999999999996</v>
      </c>
      <c r="N7718">
        <v>4.78</v>
      </c>
    </row>
    <row r="7719" spans="1:14" x14ac:dyDescent="0.45">
      <c r="A7719">
        <v>2016</v>
      </c>
      <c r="B7719" t="s">
        <v>141</v>
      </c>
      <c r="C7719">
        <v>0</v>
      </c>
      <c r="D7719">
        <v>0</v>
      </c>
      <c r="E7719">
        <v>0</v>
      </c>
      <c r="F7719">
        <v>1</v>
      </c>
      <c r="G7719">
        <v>0</v>
      </c>
      <c r="H7719">
        <v>0</v>
      </c>
      <c r="I7719">
        <v>0</v>
      </c>
      <c r="J7719">
        <v>11319.6634287738</v>
      </c>
      <c r="K7719">
        <v>10276.470263760501</v>
      </c>
      <c r="L7719">
        <v>46.011000000000003</v>
      </c>
      <c r="M7719">
        <v>69.733000000000004</v>
      </c>
      <c r="N7719">
        <v>26.498999999999999</v>
      </c>
    </row>
    <row r="7720" spans="1:14" x14ac:dyDescent="0.45">
      <c r="A7720">
        <v>2016</v>
      </c>
      <c r="B7720" t="s">
        <v>142</v>
      </c>
      <c r="C7720">
        <v>1</v>
      </c>
      <c r="D7720">
        <v>0</v>
      </c>
      <c r="E7720">
        <v>0</v>
      </c>
      <c r="F7720">
        <v>0</v>
      </c>
      <c r="G7720">
        <v>0</v>
      </c>
      <c r="H7720">
        <v>1</v>
      </c>
      <c r="I7720">
        <v>1</v>
      </c>
      <c r="L7720">
        <v>47.656999999999996</v>
      </c>
      <c r="M7720">
        <v>80.391000000000005</v>
      </c>
      <c r="N7720">
        <v>14.371</v>
      </c>
    </row>
    <row r="7721" spans="1:14" x14ac:dyDescent="0.45">
      <c r="A7721">
        <v>2016</v>
      </c>
      <c r="B7721" t="s">
        <v>143</v>
      </c>
      <c r="C7721">
        <v>0</v>
      </c>
      <c r="D7721">
        <v>0</v>
      </c>
      <c r="E7721">
        <v>0</v>
      </c>
      <c r="F7721">
        <v>1</v>
      </c>
      <c r="G7721">
        <v>0</v>
      </c>
      <c r="H7721">
        <v>0</v>
      </c>
      <c r="I7721">
        <v>0</v>
      </c>
      <c r="J7721">
        <v>6940.6258885752204</v>
      </c>
      <c r="K7721">
        <v>5821.0012319332</v>
      </c>
      <c r="L7721">
        <v>66.817999999999998</v>
      </c>
      <c r="M7721">
        <v>69.709000000000003</v>
      </c>
      <c r="N7721">
        <v>40.978000000000002</v>
      </c>
    </row>
    <row r="7722" spans="1:14" x14ac:dyDescent="0.45">
      <c r="A7722">
        <v>2016</v>
      </c>
      <c r="B7722" t="s">
        <v>144</v>
      </c>
      <c r="C7722">
        <v>1</v>
      </c>
      <c r="D7722">
        <v>0</v>
      </c>
      <c r="E7722">
        <v>0</v>
      </c>
      <c r="F7722">
        <v>0</v>
      </c>
      <c r="G7722">
        <v>0</v>
      </c>
      <c r="H7722">
        <v>1</v>
      </c>
      <c r="I7722">
        <v>1</v>
      </c>
      <c r="J7722">
        <v>80997.582776769006</v>
      </c>
      <c r="K7722">
        <v>74473.051528078504</v>
      </c>
      <c r="L7722">
        <v>37.262999999999998</v>
      </c>
      <c r="M7722">
        <v>81.683999999999997</v>
      </c>
      <c r="N7722">
        <v>3.54</v>
      </c>
    </row>
    <row r="7723" spans="1:14" x14ac:dyDescent="0.45">
      <c r="A7723">
        <v>2016</v>
      </c>
      <c r="B7723" t="s">
        <v>145</v>
      </c>
      <c r="C7723">
        <v>0</v>
      </c>
      <c r="D7723">
        <v>0</v>
      </c>
      <c r="E7723">
        <v>0</v>
      </c>
      <c r="F7723">
        <v>0</v>
      </c>
      <c r="G7723">
        <v>1</v>
      </c>
      <c r="H7723">
        <v>0</v>
      </c>
      <c r="I7723">
        <v>0</v>
      </c>
      <c r="J7723">
        <v>14915.5941209299</v>
      </c>
      <c r="K7723">
        <v>14878.225664027899</v>
      </c>
      <c r="L7723">
        <v>26.12</v>
      </c>
      <c r="M7723">
        <v>76.155000000000001</v>
      </c>
      <c r="N7723">
        <v>14.912000000000001</v>
      </c>
    </row>
    <row r="7724" spans="1:14" x14ac:dyDescent="0.45">
      <c r="A7724">
        <v>2016</v>
      </c>
      <c r="B7724" t="s">
        <v>146</v>
      </c>
      <c r="C7724">
        <v>0</v>
      </c>
      <c r="D7724">
        <v>0</v>
      </c>
      <c r="E7724">
        <v>0</v>
      </c>
      <c r="F7724">
        <v>0</v>
      </c>
      <c r="G7724">
        <v>1</v>
      </c>
      <c r="H7724">
        <v>0</v>
      </c>
      <c r="I7724">
        <v>0</v>
      </c>
      <c r="J7724">
        <v>15016.092064459201</v>
      </c>
      <c r="K7724">
        <v>10614.7068065774</v>
      </c>
      <c r="L7724">
        <v>29.905999999999999</v>
      </c>
      <c r="M7724">
        <v>68.683000000000007</v>
      </c>
      <c r="N7724">
        <v>28.632999999999999</v>
      </c>
    </row>
    <row r="7725" spans="1:14" x14ac:dyDescent="0.45">
      <c r="A7725">
        <v>2016</v>
      </c>
      <c r="B7725" t="s">
        <v>147</v>
      </c>
      <c r="C7725">
        <v>1</v>
      </c>
      <c r="D7725">
        <v>0</v>
      </c>
      <c r="E7725">
        <v>0</v>
      </c>
      <c r="F7725">
        <v>0</v>
      </c>
      <c r="G7725">
        <v>0</v>
      </c>
      <c r="H7725">
        <v>1</v>
      </c>
      <c r="I7725">
        <v>1</v>
      </c>
      <c r="J7725">
        <v>62880.262722051499</v>
      </c>
      <c r="K7725">
        <v>54409.592469221498</v>
      </c>
      <c r="L7725">
        <v>6.2649999999999997</v>
      </c>
      <c r="M7725">
        <v>81.828999999999994</v>
      </c>
      <c r="N7725">
        <v>2.11</v>
      </c>
    </row>
    <row r="7726" spans="1:14" x14ac:dyDescent="0.45">
      <c r="A7726">
        <v>2016</v>
      </c>
      <c r="B7726" t="s">
        <v>148</v>
      </c>
      <c r="C7726">
        <v>0</v>
      </c>
      <c r="D7726">
        <v>0</v>
      </c>
      <c r="E7726">
        <v>0</v>
      </c>
      <c r="F7726">
        <v>0</v>
      </c>
      <c r="G7726">
        <v>0</v>
      </c>
      <c r="H7726">
        <v>1</v>
      </c>
      <c r="I7726">
        <v>1</v>
      </c>
      <c r="J7726">
        <v>41963.675796165</v>
      </c>
      <c r="K7726">
        <v>38492.321968192897</v>
      </c>
      <c r="L7726">
        <v>7.7439999999999998</v>
      </c>
      <c r="M7726">
        <v>82.611999999999995</v>
      </c>
      <c r="N7726">
        <v>3.673</v>
      </c>
    </row>
    <row r="7727" spans="1:14" x14ac:dyDescent="0.45">
      <c r="A7727">
        <v>2016</v>
      </c>
      <c r="B7727" t="s">
        <v>149</v>
      </c>
      <c r="C7727">
        <v>1</v>
      </c>
      <c r="D7727">
        <v>0</v>
      </c>
      <c r="E7727">
        <v>0</v>
      </c>
      <c r="F7727">
        <v>0</v>
      </c>
      <c r="G7727">
        <v>0</v>
      </c>
      <c r="H7727">
        <v>1</v>
      </c>
      <c r="I7727">
        <v>1</v>
      </c>
      <c r="J7727">
        <v>47987.837958101401</v>
      </c>
      <c r="K7727">
        <v>40874.462343009502</v>
      </c>
      <c r="L7727">
        <v>30.145</v>
      </c>
      <c r="M7727">
        <v>83.046000000000006</v>
      </c>
      <c r="N7727">
        <v>3.2069999999999999</v>
      </c>
    </row>
    <row r="7728" spans="1:14" x14ac:dyDescent="0.45">
      <c r="A7728">
        <v>2016</v>
      </c>
      <c r="B7728" t="s">
        <v>150</v>
      </c>
      <c r="C7728">
        <v>0</v>
      </c>
      <c r="D7728">
        <v>1</v>
      </c>
      <c r="E7728">
        <v>0</v>
      </c>
      <c r="F7728">
        <v>0</v>
      </c>
      <c r="G7728">
        <v>1</v>
      </c>
      <c r="H7728">
        <v>0</v>
      </c>
      <c r="I7728">
        <v>0</v>
      </c>
      <c r="J7728">
        <v>9886.5513926465101</v>
      </c>
      <c r="K7728">
        <v>9743.4945514007704</v>
      </c>
      <c r="L7728">
        <v>44.902000000000001</v>
      </c>
      <c r="M7728">
        <v>72.052000000000007</v>
      </c>
      <c r="N7728">
        <v>18.724</v>
      </c>
    </row>
    <row r="7729" spans="1:14" x14ac:dyDescent="0.45">
      <c r="A7729">
        <v>2016</v>
      </c>
      <c r="B7729" t="s">
        <v>151</v>
      </c>
      <c r="C7729">
        <v>0</v>
      </c>
      <c r="D7729">
        <v>0</v>
      </c>
      <c r="E7729">
        <v>0</v>
      </c>
      <c r="F7729">
        <v>1</v>
      </c>
      <c r="G7729">
        <v>0</v>
      </c>
      <c r="H7729">
        <v>0</v>
      </c>
      <c r="I7729">
        <v>0</v>
      </c>
      <c r="J7729">
        <v>9321.9045113153006</v>
      </c>
      <c r="K7729">
        <v>9247.7514748160393</v>
      </c>
      <c r="L7729">
        <v>9.4939999999999998</v>
      </c>
      <c r="M7729">
        <v>75.55</v>
      </c>
      <c r="N7729">
        <v>17.033000000000001</v>
      </c>
    </row>
    <row r="7730" spans="1:14" x14ac:dyDescent="0.45">
      <c r="A7730">
        <v>2016</v>
      </c>
      <c r="B7730" t="s">
        <v>152</v>
      </c>
      <c r="C7730">
        <v>0</v>
      </c>
      <c r="D7730">
        <v>0</v>
      </c>
      <c r="E7730">
        <v>0</v>
      </c>
      <c r="F7730">
        <v>0</v>
      </c>
      <c r="G7730">
        <v>0</v>
      </c>
      <c r="H7730">
        <v>1</v>
      </c>
      <c r="I7730">
        <v>1</v>
      </c>
      <c r="J7730">
        <v>43736.130507661197</v>
      </c>
      <c r="K7730">
        <v>40514.191388120198</v>
      </c>
      <c r="L7730">
        <v>8.5430000000000099</v>
      </c>
      <c r="M7730">
        <v>84.057000000000002</v>
      </c>
      <c r="N7730">
        <v>2.6949999999999998</v>
      </c>
    </row>
    <row r="7731" spans="1:14" x14ac:dyDescent="0.45">
      <c r="A7731">
        <v>2016</v>
      </c>
      <c r="B7731" t="s">
        <v>153</v>
      </c>
      <c r="C7731">
        <v>1</v>
      </c>
      <c r="D7731">
        <v>0</v>
      </c>
      <c r="E7731">
        <v>0</v>
      </c>
      <c r="F7731">
        <v>0</v>
      </c>
      <c r="G7731">
        <v>1</v>
      </c>
      <c r="H7731">
        <v>0</v>
      </c>
      <c r="I7731">
        <v>0</v>
      </c>
      <c r="J7731">
        <v>30758.3227260598</v>
      </c>
      <c r="K7731">
        <v>23390.4560092705</v>
      </c>
      <c r="L7731">
        <v>42.735999999999997</v>
      </c>
      <c r="M7731">
        <v>72.549000000000007</v>
      </c>
      <c r="N7731">
        <v>11.56</v>
      </c>
    </row>
    <row r="7732" spans="1:14" x14ac:dyDescent="0.45">
      <c r="A7732">
        <v>2016</v>
      </c>
      <c r="B7732" t="s">
        <v>154</v>
      </c>
      <c r="C7732">
        <v>0</v>
      </c>
      <c r="D7732">
        <v>0</v>
      </c>
      <c r="E7732">
        <v>1</v>
      </c>
      <c r="F7732">
        <v>1</v>
      </c>
      <c r="G7732">
        <v>0</v>
      </c>
      <c r="H7732">
        <v>0</v>
      </c>
      <c r="I7732">
        <v>0</v>
      </c>
      <c r="J7732">
        <v>4770.31046388086</v>
      </c>
      <c r="K7732">
        <v>4111.2741331095003</v>
      </c>
      <c r="L7732">
        <v>73.894999999999996</v>
      </c>
      <c r="M7732">
        <v>62.526000000000003</v>
      </c>
      <c r="N7732">
        <v>46.017000000000003</v>
      </c>
    </row>
    <row r="7733" spans="1:14" x14ac:dyDescent="0.45">
      <c r="A7733">
        <v>2016</v>
      </c>
      <c r="B7733" t="s">
        <v>155</v>
      </c>
      <c r="C7733">
        <v>1</v>
      </c>
      <c r="D7733">
        <v>0</v>
      </c>
      <c r="E7733">
        <v>0</v>
      </c>
      <c r="F7733">
        <v>1</v>
      </c>
      <c r="G7733">
        <v>0</v>
      </c>
      <c r="H7733">
        <v>0</v>
      </c>
      <c r="I7733">
        <v>0</v>
      </c>
      <c r="J7733">
        <v>5715.01041179003</v>
      </c>
      <c r="K7733">
        <v>4830.1441225861399</v>
      </c>
      <c r="L7733">
        <v>64.055999999999997</v>
      </c>
      <c r="M7733">
        <v>69.909000000000006</v>
      </c>
      <c r="N7733">
        <v>21.145</v>
      </c>
    </row>
    <row r="7734" spans="1:14" x14ac:dyDescent="0.45">
      <c r="A7734">
        <v>2016</v>
      </c>
      <c r="B7734" t="s">
        <v>156</v>
      </c>
      <c r="C7734">
        <v>0</v>
      </c>
      <c r="D7734">
        <v>0</v>
      </c>
      <c r="E7734">
        <v>0</v>
      </c>
      <c r="F7734">
        <v>1</v>
      </c>
      <c r="G7734">
        <v>0</v>
      </c>
      <c r="H7734">
        <v>0</v>
      </c>
      <c r="I7734">
        <v>0</v>
      </c>
      <c r="J7734">
        <v>5283.7296494360799</v>
      </c>
      <c r="K7734">
        <v>4737.7528144553498</v>
      </c>
      <c r="L7734">
        <v>77.418000000000006</v>
      </c>
      <c r="M7734">
        <v>69.635000000000005</v>
      </c>
      <c r="N7734">
        <v>30.298999999999999</v>
      </c>
    </row>
    <row r="7735" spans="1:14" x14ac:dyDescent="0.45">
      <c r="A7735">
        <v>2016</v>
      </c>
      <c r="B7735" t="s">
        <v>157</v>
      </c>
      <c r="C7735">
        <v>0</v>
      </c>
      <c r="D7735">
        <v>0</v>
      </c>
      <c r="E7735">
        <v>0</v>
      </c>
      <c r="F7735">
        <v>1</v>
      </c>
      <c r="G7735">
        <v>0</v>
      </c>
      <c r="H7735">
        <v>0</v>
      </c>
      <c r="I7735">
        <v>0</v>
      </c>
      <c r="J7735">
        <v>2761.9335272092799</v>
      </c>
      <c r="K7735">
        <v>2498.4431281226498</v>
      </c>
      <c r="L7735">
        <v>47.55</v>
      </c>
      <c r="M7735">
        <v>65.799000000000007</v>
      </c>
      <c r="N7735">
        <v>59.000999999999998</v>
      </c>
    </row>
    <row r="7736" spans="1:14" x14ac:dyDescent="0.45">
      <c r="A7736">
        <v>2016</v>
      </c>
      <c r="B7736" t="s">
        <v>158</v>
      </c>
      <c r="C7736">
        <v>0</v>
      </c>
      <c r="D7736">
        <v>1</v>
      </c>
      <c r="E7736">
        <v>0</v>
      </c>
      <c r="F7736">
        <v>0</v>
      </c>
      <c r="G7736">
        <v>0</v>
      </c>
      <c r="H7736">
        <v>1</v>
      </c>
      <c r="I7736">
        <v>1</v>
      </c>
      <c r="J7736">
        <v>29867.026558979102</v>
      </c>
      <c r="K7736">
        <v>29497.7511868451</v>
      </c>
      <c r="L7736">
        <v>69.209999999999994</v>
      </c>
      <c r="M7736">
        <v>71.227000000000004</v>
      </c>
      <c r="N7736">
        <v>17.760999999999999</v>
      </c>
    </row>
    <row r="7737" spans="1:14" x14ac:dyDescent="0.45">
      <c r="A7737">
        <v>2016</v>
      </c>
      <c r="B7737" t="s">
        <v>159</v>
      </c>
      <c r="C7737">
        <v>0</v>
      </c>
      <c r="D7737">
        <v>0</v>
      </c>
      <c r="E7737">
        <v>0</v>
      </c>
      <c r="F7737">
        <v>0</v>
      </c>
      <c r="G7737">
        <v>0</v>
      </c>
      <c r="H7737">
        <v>1</v>
      </c>
      <c r="I7737">
        <v>1</v>
      </c>
      <c r="J7737">
        <v>43538.021271796802</v>
      </c>
      <c r="K7737">
        <v>39690.2396459628</v>
      </c>
      <c r="L7737">
        <v>18.437999999999999</v>
      </c>
      <c r="M7737">
        <v>82.92</v>
      </c>
      <c r="N7737">
        <v>3.415</v>
      </c>
    </row>
    <row r="7738" spans="1:14" x14ac:dyDescent="0.45">
      <c r="A7738">
        <v>2016</v>
      </c>
      <c r="B7738" t="s">
        <v>160</v>
      </c>
      <c r="C7738">
        <v>0</v>
      </c>
      <c r="D7738">
        <v>0</v>
      </c>
      <c r="E7738">
        <v>0</v>
      </c>
      <c r="F7738">
        <v>0</v>
      </c>
      <c r="G7738">
        <v>0</v>
      </c>
      <c r="H7738">
        <v>1</v>
      </c>
      <c r="I7738">
        <v>1</v>
      </c>
      <c r="J7738">
        <v>56936.620843297998</v>
      </c>
      <c r="K7738">
        <v>50707.761652321104</v>
      </c>
      <c r="L7738">
        <v>0</v>
      </c>
      <c r="M7738">
        <v>79.516000000000005</v>
      </c>
      <c r="N7738">
        <v>9.1489999999999991</v>
      </c>
    </row>
    <row r="7739" spans="1:14" x14ac:dyDescent="0.45">
      <c r="A7739">
        <v>2016</v>
      </c>
      <c r="B7739" t="s">
        <v>161</v>
      </c>
      <c r="C7739">
        <v>0</v>
      </c>
      <c r="D7739">
        <v>0</v>
      </c>
      <c r="E7739">
        <v>0</v>
      </c>
      <c r="F7739">
        <v>1</v>
      </c>
      <c r="G7739">
        <v>0</v>
      </c>
      <c r="H7739">
        <v>0</v>
      </c>
      <c r="I7739">
        <v>0</v>
      </c>
      <c r="J7739">
        <v>7063.2554534792598</v>
      </c>
      <c r="K7739">
        <v>6787.13581436397</v>
      </c>
      <c r="L7739">
        <v>66.263999999999996</v>
      </c>
      <c r="M7739">
        <v>67.013999999999996</v>
      </c>
      <c r="N7739">
        <v>51.048000000000002</v>
      </c>
    </row>
    <row r="7740" spans="1:14" x14ac:dyDescent="0.45">
      <c r="A7740">
        <v>2016</v>
      </c>
      <c r="B7740" t="s">
        <v>162</v>
      </c>
      <c r="C7740">
        <v>0</v>
      </c>
      <c r="D7740">
        <v>0</v>
      </c>
      <c r="E7740">
        <v>0</v>
      </c>
      <c r="F7740">
        <v>0</v>
      </c>
      <c r="G7740">
        <v>1</v>
      </c>
      <c r="H7740">
        <v>0</v>
      </c>
      <c r="I7740">
        <v>0</v>
      </c>
      <c r="J7740">
        <v>15572.361173977401</v>
      </c>
      <c r="K7740">
        <v>20240.852409752999</v>
      </c>
      <c r="L7740">
        <v>11.734</v>
      </c>
      <c r="M7740">
        <v>78.305999999999997</v>
      </c>
      <c r="N7740">
        <v>13.199</v>
      </c>
    </row>
    <row r="7741" spans="1:14" x14ac:dyDescent="0.45">
      <c r="A7741">
        <v>2016</v>
      </c>
      <c r="B7741" t="s">
        <v>163</v>
      </c>
      <c r="C7741">
        <v>0</v>
      </c>
      <c r="D7741">
        <v>0</v>
      </c>
      <c r="E7741">
        <v>1</v>
      </c>
      <c r="F7741">
        <v>0</v>
      </c>
      <c r="G7741">
        <v>0</v>
      </c>
      <c r="H7741">
        <v>0</v>
      </c>
      <c r="I7741">
        <v>0</v>
      </c>
      <c r="J7741">
        <v>1653.3105021123299</v>
      </c>
      <c r="K7741">
        <v>2442.6760755995501</v>
      </c>
      <c r="L7741">
        <v>49.746000000000002</v>
      </c>
      <c r="M7741">
        <v>60.482999999999997</v>
      </c>
      <c r="N7741">
        <v>85.960999999999999</v>
      </c>
    </row>
    <row r="7742" spans="1:14" x14ac:dyDescent="0.45">
      <c r="A7742">
        <v>2016</v>
      </c>
      <c r="B7742" t="s">
        <v>164</v>
      </c>
      <c r="C7742">
        <v>0</v>
      </c>
      <c r="D7742">
        <v>0</v>
      </c>
      <c r="E7742">
        <v>0</v>
      </c>
      <c r="F7742">
        <v>0</v>
      </c>
      <c r="G7742">
        <v>1</v>
      </c>
      <c r="H7742">
        <v>0</v>
      </c>
      <c r="I7742">
        <v>0</v>
      </c>
      <c r="J7742">
        <v>11828.711376691301</v>
      </c>
      <c r="K7742">
        <v>13824.1575495576</v>
      </c>
      <c r="L7742">
        <v>20.46</v>
      </c>
      <c r="M7742">
        <v>71.799000000000007</v>
      </c>
      <c r="N7742">
        <v>14.128</v>
      </c>
    </row>
    <row r="7743" spans="1:14" x14ac:dyDescent="0.45">
      <c r="A7743">
        <v>2016</v>
      </c>
      <c r="B7743" t="s">
        <v>165</v>
      </c>
      <c r="C7743">
        <v>0</v>
      </c>
      <c r="D7743">
        <v>1</v>
      </c>
      <c r="E7743">
        <v>0</v>
      </c>
      <c r="F7743">
        <v>0</v>
      </c>
      <c r="G7743">
        <v>1</v>
      </c>
      <c r="H7743">
        <v>0</v>
      </c>
      <c r="I7743">
        <v>0</v>
      </c>
      <c r="J7743">
        <v>21775.473765862898</v>
      </c>
      <c r="K7743">
        <v>15665.428415452599</v>
      </c>
      <c r="L7743">
        <v>81.441999999999993</v>
      </c>
      <c r="M7743">
        <v>72.552000000000007</v>
      </c>
      <c r="N7743">
        <v>17.698</v>
      </c>
    </row>
    <row r="7744" spans="1:14" x14ac:dyDescent="0.45">
      <c r="A7744">
        <v>2016</v>
      </c>
      <c r="B7744" t="s">
        <v>166</v>
      </c>
      <c r="C7744">
        <v>1</v>
      </c>
      <c r="D7744">
        <v>0</v>
      </c>
      <c r="E7744">
        <v>0</v>
      </c>
      <c r="F7744">
        <v>0</v>
      </c>
      <c r="G7744">
        <v>0</v>
      </c>
      <c r="H7744">
        <v>1</v>
      </c>
      <c r="I7744">
        <v>1</v>
      </c>
      <c r="L7744">
        <v>85.697000000000003</v>
      </c>
      <c r="M7744">
        <v>82.894999999999996</v>
      </c>
      <c r="N7744">
        <v>7.0830000000000002</v>
      </c>
    </row>
    <row r="7745" spans="1:14" x14ac:dyDescent="0.45">
      <c r="A7745">
        <v>2016</v>
      </c>
      <c r="B7745" t="s">
        <v>167</v>
      </c>
      <c r="C7745">
        <v>0</v>
      </c>
      <c r="D7745">
        <v>0</v>
      </c>
      <c r="E7745">
        <v>0</v>
      </c>
      <c r="F7745">
        <v>1</v>
      </c>
      <c r="G7745">
        <v>0</v>
      </c>
      <c r="H7745">
        <v>0</v>
      </c>
      <c r="I7745">
        <v>0</v>
      </c>
      <c r="J7745">
        <v>13845.6146782368</v>
      </c>
      <c r="K7745">
        <v>12931.5852781418</v>
      </c>
      <c r="L7745">
        <v>81.688999999999993</v>
      </c>
      <c r="M7745">
        <v>76.135999999999996</v>
      </c>
      <c r="N7745">
        <v>8.5709999999999997</v>
      </c>
    </row>
    <row r="7746" spans="1:14" x14ac:dyDescent="0.45">
      <c r="A7746">
        <v>2016</v>
      </c>
      <c r="B7746" t="s">
        <v>168</v>
      </c>
      <c r="C7746">
        <v>0</v>
      </c>
      <c r="D7746">
        <v>0</v>
      </c>
      <c r="E7746">
        <v>1</v>
      </c>
      <c r="F7746">
        <v>1</v>
      </c>
      <c r="G7746">
        <v>0</v>
      </c>
      <c r="H7746">
        <v>0</v>
      </c>
      <c r="I7746">
        <v>0</v>
      </c>
      <c r="J7746">
        <v>3057.2609156816202</v>
      </c>
      <c r="K7746">
        <v>2737.5331675738498</v>
      </c>
      <c r="L7746">
        <v>72.683000000000007</v>
      </c>
      <c r="M7746">
        <v>52.908000000000001</v>
      </c>
      <c r="N7746">
        <v>79.701999999999998</v>
      </c>
    </row>
    <row r="7747" spans="1:14" x14ac:dyDescent="0.45">
      <c r="A7747">
        <v>2016</v>
      </c>
      <c r="B7747" t="s">
        <v>169</v>
      </c>
      <c r="C7747">
        <v>1</v>
      </c>
      <c r="D7747">
        <v>0</v>
      </c>
      <c r="E7747">
        <v>0</v>
      </c>
      <c r="F7747">
        <v>0</v>
      </c>
      <c r="G7747">
        <v>0</v>
      </c>
      <c r="H7747">
        <v>1</v>
      </c>
      <c r="I7747">
        <v>1</v>
      </c>
      <c r="J7747">
        <v>36618.146841783797</v>
      </c>
      <c r="K7747">
        <v>31329.266341731502</v>
      </c>
      <c r="L7747">
        <v>32.634</v>
      </c>
      <c r="M7747">
        <v>74.819999999999993</v>
      </c>
      <c r="N7747">
        <v>5.3319999999999999</v>
      </c>
    </row>
    <row r="7748" spans="1:14" x14ac:dyDescent="0.45">
      <c r="A7748">
        <v>2016</v>
      </c>
      <c r="B7748" t="s">
        <v>170</v>
      </c>
      <c r="C7748">
        <v>1</v>
      </c>
      <c r="D7748">
        <v>0</v>
      </c>
      <c r="E7748">
        <v>0</v>
      </c>
      <c r="F7748">
        <v>0</v>
      </c>
      <c r="G7748">
        <v>0</v>
      </c>
      <c r="H7748">
        <v>1</v>
      </c>
      <c r="I7748">
        <v>1</v>
      </c>
      <c r="J7748">
        <v>133661.64972913201</v>
      </c>
      <c r="K7748">
        <v>114222.074914677</v>
      </c>
      <c r="L7748">
        <v>9.5400000000000098</v>
      </c>
      <c r="M7748">
        <v>81.62</v>
      </c>
      <c r="N7748">
        <v>5.5449999999999999</v>
      </c>
    </row>
    <row r="7749" spans="1:14" x14ac:dyDescent="0.45">
      <c r="A7749">
        <v>2016</v>
      </c>
      <c r="B7749" t="s">
        <v>171</v>
      </c>
      <c r="C7749">
        <v>1</v>
      </c>
      <c r="D7749">
        <v>0</v>
      </c>
      <c r="E7749">
        <v>0</v>
      </c>
      <c r="F7749">
        <v>0</v>
      </c>
      <c r="G7749">
        <v>0</v>
      </c>
      <c r="H7749">
        <v>1</v>
      </c>
      <c r="I7749">
        <v>1</v>
      </c>
      <c r="J7749">
        <v>31668.514844266199</v>
      </c>
      <c r="K7749">
        <v>27475.264117805898</v>
      </c>
      <c r="L7749">
        <v>31.978999999999999</v>
      </c>
      <c r="M7749">
        <v>74.757000000000005</v>
      </c>
      <c r="N7749">
        <v>4.851</v>
      </c>
    </row>
    <row r="7750" spans="1:14" x14ac:dyDescent="0.45">
      <c r="A7750">
        <v>2016</v>
      </c>
      <c r="B7750" t="s">
        <v>172</v>
      </c>
      <c r="C7750">
        <v>0</v>
      </c>
      <c r="D7750">
        <v>0</v>
      </c>
      <c r="E7750">
        <v>0</v>
      </c>
      <c r="F7750">
        <v>0</v>
      </c>
      <c r="G7750">
        <v>0</v>
      </c>
      <c r="H7750">
        <v>1</v>
      </c>
      <c r="I7750">
        <v>1</v>
      </c>
      <c r="J7750">
        <v>120754.92847802601</v>
      </c>
      <c r="K7750">
        <v>109433.12578906299</v>
      </c>
      <c r="L7750">
        <v>0</v>
      </c>
      <c r="M7750">
        <v>83.02</v>
      </c>
      <c r="N7750">
        <v>3.7120000000000002</v>
      </c>
    </row>
    <row r="7751" spans="1:14" x14ac:dyDescent="0.45">
      <c r="A7751">
        <v>2016</v>
      </c>
      <c r="B7751" t="s">
        <v>173</v>
      </c>
      <c r="C7751">
        <v>0</v>
      </c>
      <c r="D7751">
        <v>1</v>
      </c>
      <c r="E7751">
        <v>0</v>
      </c>
      <c r="F7751">
        <v>0</v>
      </c>
      <c r="G7751">
        <v>0</v>
      </c>
      <c r="H7751">
        <v>1</v>
      </c>
      <c r="I7751">
        <v>1</v>
      </c>
      <c r="L7751">
        <v>0</v>
      </c>
      <c r="M7751">
        <v>79.885000000000005</v>
      </c>
      <c r="N7751">
        <v>10.032999999999999</v>
      </c>
    </row>
    <row r="7752" spans="1:14" x14ac:dyDescent="0.45">
      <c r="A7752">
        <v>2016</v>
      </c>
      <c r="B7752" t="s">
        <v>174</v>
      </c>
      <c r="C7752">
        <v>0</v>
      </c>
      <c r="D7752">
        <v>0</v>
      </c>
      <c r="E7752">
        <v>0</v>
      </c>
      <c r="F7752">
        <v>1</v>
      </c>
      <c r="G7752">
        <v>0</v>
      </c>
      <c r="H7752">
        <v>0</v>
      </c>
      <c r="I7752">
        <v>0</v>
      </c>
      <c r="J7752">
        <v>8141.9404296875</v>
      </c>
      <c r="K7752">
        <v>7819.26262650432</v>
      </c>
      <c r="L7752">
        <v>38.64</v>
      </c>
      <c r="M7752">
        <v>73.227999999999994</v>
      </c>
      <c r="N7752">
        <v>22.158000000000001</v>
      </c>
    </row>
    <row r="7753" spans="1:14" x14ac:dyDescent="0.45">
      <c r="A7753">
        <v>2016</v>
      </c>
      <c r="B7753" t="s">
        <v>175</v>
      </c>
      <c r="C7753">
        <v>1</v>
      </c>
      <c r="D7753">
        <v>0</v>
      </c>
      <c r="E7753">
        <v>0</v>
      </c>
      <c r="F7753">
        <v>0</v>
      </c>
      <c r="G7753">
        <v>0</v>
      </c>
      <c r="H7753">
        <v>1</v>
      </c>
      <c r="I7753">
        <v>1</v>
      </c>
      <c r="L7753">
        <v>0</v>
      </c>
      <c r="M7753">
        <v>85.63</v>
      </c>
      <c r="N7753">
        <v>4.9880000000000004</v>
      </c>
    </row>
    <row r="7754" spans="1:14" x14ac:dyDescent="0.45">
      <c r="A7754">
        <v>2016</v>
      </c>
      <c r="B7754" t="s">
        <v>176</v>
      </c>
      <c r="C7754">
        <v>1</v>
      </c>
      <c r="D7754">
        <v>0</v>
      </c>
      <c r="E7754">
        <v>0</v>
      </c>
      <c r="F7754">
        <v>1</v>
      </c>
      <c r="G7754">
        <v>0</v>
      </c>
      <c r="H7754">
        <v>0</v>
      </c>
      <c r="I7754">
        <v>0</v>
      </c>
      <c r="J7754">
        <v>12377.366678394001</v>
      </c>
      <c r="K7754">
        <v>10616.1619483019</v>
      </c>
      <c r="L7754">
        <v>57.488999999999997</v>
      </c>
      <c r="M7754">
        <v>70.179000000000002</v>
      </c>
      <c r="N7754">
        <v>15.446999999999999</v>
      </c>
    </row>
    <row r="7755" spans="1:14" x14ac:dyDescent="0.45">
      <c r="A7755">
        <v>2016</v>
      </c>
      <c r="B7755" t="s">
        <v>177</v>
      </c>
      <c r="C7755">
        <v>0</v>
      </c>
      <c r="D7755">
        <v>0</v>
      </c>
      <c r="E7755">
        <v>1</v>
      </c>
      <c r="F7755">
        <v>0</v>
      </c>
      <c r="G7755">
        <v>0</v>
      </c>
      <c r="H7755">
        <v>0</v>
      </c>
      <c r="I7755">
        <v>0</v>
      </c>
      <c r="J7755">
        <v>1648.91226979046</v>
      </c>
      <c r="K7755">
        <v>1527.59609600061</v>
      </c>
      <c r="L7755">
        <v>64.144000000000005</v>
      </c>
      <c r="M7755">
        <v>63.430999999999997</v>
      </c>
      <c r="N7755">
        <v>66.057000000000002</v>
      </c>
    </row>
    <row r="7756" spans="1:14" x14ac:dyDescent="0.45">
      <c r="A7756">
        <v>2016</v>
      </c>
      <c r="B7756" t="s">
        <v>178</v>
      </c>
      <c r="C7756">
        <v>0</v>
      </c>
      <c r="D7756">
        <v>0</v>
      </c>
      <c r="E7756">
        <v>0</v>
      </c>
      <c r="F7756">
        <v>0</v>
      </c>
      <c r="G7756">
        <v>1</v>
      </c>
      <c r="H7756">
        <v>0</v>
      </c>
      <c r="I7756">
        <v>0</v>
      </c>
      <c r="J7756">
        <v>19345.179234773201</v>
      </c>
      <c r="K7756">
        <v>19085.630739539502</v>
      </c>
      <c r="L7756">
        <v>61.045999999999999</v>
      </c>
      <c r="M7756">
        <v>78.912999999999997</v>
      </c>
      <c r="N7756">
        <v>8.9730000000000008</v>
      </c>
    </row>
    <row r="7757" spans="1:14" x14ac:dyDescent="0.45">
      <c r="A7757">
        <v>2016</v>
      </c>
      <c r="B7757" t="s">
        <v>179</v>
      </c>
      <c r="C7757">
        <v>0</v>
      </c>
      <c r="D7757">
        <v>1</v>
      </c>
      <c r="E7757">
        <v>0</v>
      </c>
      <c r="F7757">
        <v>0</v>
      </c>
      <c r="G7757">
        <v>1</v>
      </c>
      <c r="H7757">
        <v>0</v>
      </c>
      <c r="I7757">
        <v>0</v>
      </c>
      <c r="J7757">
        <v>21578.263355295599</v>
      </c>
      <c r="K7757">
        <v>20060.776114835498</v>
      </c>
      <c r="L7757">
        <v>20.422999999999998</v>
      </c>
      <c r="M7757">
        <v>74.376000000000005</v>
      </c>
      <c r="N7757">
        <v>15.699</v>
      </c>
    </row>
    <row r="7758" spans="1:14" x14ac:dyDescent="0.45">
      <c r="A7758">
        <v>2016</v>
      </c>
      <c r="B7758" t="s">
        <v>180</v>
      </c>
      <c r="C7758">
        <v>0</v>
      </c>
      <c r="D7758">
        <v>0</v>
      </c>
      <c r="E7758">
        <v>0</v>
      </c>
      <c r="F7758">
        <v>0</v>
      </c>
      <c r="G7758">
        <v>1</v>
      </c>
      <c r="H7758">
        <v>0</v>
      </c>
      <c r="I7758">
        <v>0</v>
      </c>
      <c r="J7758">
        <v>4896.5219546077496</v>
      </c>
      <c r="K7758">
        <v>4428.8301064890402</v>
      </c>
      <c r="L7758">
        <v>23.771999999999998</v>
      </c>
      <c r="M7758">
        <v>65.477000000000004</v>
      </c>
      <c r="N7758">
        <v>34.384999999999998</v>
      </c>
    </row>
    <row r="7759" spans="1:14" x14ac:dyDescent="0.45">
      <c r="A7759">
        <v>2016</v>
      </c>
      <c r="B7759" t="s">
        <v>181</v>
      </c>
      <c r="C7759">
        <v>1</v>
      </c>
      <c r="D7759">
        <v>0</v>
      </c>
      <c r="E7759">
        <v>0</v>
      </c>
      <c r="F7759">
        <v>0</v>
      </c>
      <c r="G7759">
        <v>1</v>
      </c>
      <c r="H7759">
        <v>0</v>
      </c>
      <c r="I7759">
        <v>0</v>
      </c>
      <c r="J7759">
        <v>19824.680598337301</v>
      </c>
      <c r="K7759">
        <v>16735.755061631098</v>
      </c>
      <c r="L7759">
        <v>42.436999999999998</v>
      </c>
      <c r="M7759">
        <v>75.570999999999998</v>
      </c>
      <c r="N7759">
        <v>13.042</v>
      </c>
    </row>
    <row r="7760" spans="1:14" x14ac:dyDescent="0.45">
      <c r="A7760">
        <v>2016</v>
      </c>
      <c r="B7760" t="s">
        <v>182</v>
      </c>
      <c r="C7760">
        <v>0</v>
      </c>
      <c r="D7760">
        <v>0</v>
      </c>
      <c r="E7760">
        <v>1</v>
      </c>
      <c r="F7760">
        <v>0</v>
      </c>
      <c r="G7760">
        <v>0</v>
      </c>
      <c r="H7760">
        <v>0</v>
      </c>
      <c r="I7760">
        <v>0</v>
      </c>
      <c r="J7760">
        <v>2759.1095822031898</v>
      </c>
      <c r="K7760">
        <v>2553.85881834264</v>
      </c>
      <c r="L7760">
        <v>59.216999999999999</v>
      </c>
      <c r="M7760">
        <v>58.286000000000001</v>
      </c>
      <c r="N7760">
        <v>112.31699999999999</v>
      </c>
    </row>
    <row r="7761" spans="1:14" x14ac:dyDescent="0.45">
      <c r="A7761">
        <v>2016</v>
      </c>
      <c r="B7761" t="s">
        <v>183</v>
      </c>
      <c r="C7761">
        <v>0</v>
      </c>
      <c r="D7761">
        <v>0</v>
      </c>
      <c r="E7761">
        <v>0</v>
      </c>
      <c r="F7761">
        <v>0</v>
      </c>
      <c r="G7761">
        <v>0</v>
      </c>
      <c r="H7761">
        <v>1</v>
      </c>
      <c r="I7761">
        <v>1</v>
      </c>
      <c r="J7761">
        <v>46922.189006973102</v>
      </c>
      <c r="K7761">
        <v>40589.990133444502</v>
      </c>
      <c r="L7761">
        <v>5.52</v>
      </c>
      <c r="M7761">
        <v>82.656999999999996</v>
      </c>
      <c r="N7761">
        <v>7.9550000000000001</v>
      </c>
    </row>
    <row r="7762" spans="1:14" x14ac:dyDescent="0.45">
      <c r="A7762">
        <v>2016</v>
      </c>
      <c r="B7762" t="s">
        <v>184</v>
      </c>
      <c r="C7762">
        <v>0</v>
      </c>
      <c r="D7762">
        <v>0</v>
      </c>
      <c r="E7762">
        <v>0</v>
      </c>
      <c r="F7762">
        <v>1</v>
      </c>
      <c r="G7762">
        <v>0</v>
      </c>
      <c r="H7762">
        <v>0</v>
      </c>
      <c r="I7762">
        <v>0</v>
      </c>
      <c r="J7762">
        <v>5580.9897727323196</v>
      </c>
      <c r="K7762">
        <v>4468.7159912403004</v>
      </c>
      <c r="L7762">
        <v>69.918000000000006</v>
      </c>
      <c r="M7762">
        <v>65.64</v>
      </c>
      <c r="N7762">
        <v>49.677</v>
      </c>
    </row>
    <row r="7763" spans="1:14" x14ac:dyDescent="0.45">
      <c r="A7763">
        <v>2016</v>
      </c>
      <c r="B7763" t="s">
        <v>185</v>
      </c>
      <c r="C7763">
        <v>1</v>
      </c>
      <c r="D7763">
        <v>0</v>
      </c>
      <c r="E7763">
        <v>0</v>
      </c>
      <c r="F7763">
        <v>0</v>
      </c>
      <c r="G7763">
        <v>1</v>
      </c>
      <c r="H7763">
        <v>0</v>
      </c>
      <c r="I7763">
        <v>0</v>
      </c>
      <c r="J7763">
        <v>21737.994436411002</v>
      </c>
      <c r="K7763">
        <v>18367.278256187001</v>
      </c>
      <c r="L7763">
        <v>33.859000000000002</v>
      </c>
      <c r="M7763">
        <v>76.564999999999998</v>
      </c>
      <c r="N7763">
        <v>4.83</v>
      </c>
    </row>
    <row r="7764" spans="1:14" x14ac:dyDescent="0.45">
      <c r="A7764">
        <v>2016</v>
      </c>
      <c r="B7764" t="s">
        <v>186</v>
      </c>
      <c r="C7764">
        <v>0</v>
      </c>
      <c r="D7764">
        <v>0</v>
      </c>
      <c r="E7764">
        <v>0</v>
      </c>
      <c r="F7764">
        <v>1</v>
      </c>
      <c r="G7764">
        <v>0</v>
      </c>
      <c r="H7764">
        <v>0</v>
      </c>
      <c r="I7764">
        <v>0</v>
      </c>
      <c r="J7764">
        <v>13898.1456953585</v>
      </c>
      <c r="K7764">
        <v>10708.1863344905</v>
      </c>
      <c r="L7764">
        <v>31.702999999999999</v>
      </c>
      <c r="M7764">
        <v>69.736000000000004</v>
      </c>
      <c r="N7764">
        <v>18.396000000000001</v>
      </c>
    </row>
    <row r="7765" spans="1:14" x14ac:dyDescent="0.45">
      <c r="A7765">
        <v>2016</v>
      </c>
      <c r="B7765" t="s">
        <v>187</v>
      </c>
      <c r="C7765">
        <v>0</v>
      </c>
      <c r="D7765">
        <v>0</v>
      </c>
      <c r="E7765">
        <v>0</v>
      </c>
      <c r="F7765">
        <v>0</v>
      </c>
      <c r="G7765">
        <v>0</v>
      </c>
      <c r="H7765">
        <v>1</v>
      </c>
      <c r="I7765">
        <v>1</v>
      </c>
      <c r="L7765">
        <v>8.5570000000000004</v>
      </c>
      <c r="M7765">
        <v>77.391999999999996</v>
      </c>
      <c r="N7765">
        <v>8.4160000000000004</v>
      </c>
    </row>
    <row r="7766" spans="1:14" x14ac:dyDescent="0.45">
      <c r="A7766">
        <v>2016</v>
      </c>
      <c r="B7766" t="s">
        <v>188</v>
      </c>
      <c r="C7766">
        <v>0</v>
      </c>
      <c r="D7766">
        <v>0</v>
      </c>
      <c r="E7766">
        <v>1</v>
      </c>
      <c r="F7766">
        <v>0</v>
      </c>
      <c r="G7766">
        <v>0</v>
      </c>
      <c r="H7766">
        <v>0</v>
      </c>
      <c r="I7766">
        <v>0</v>
      </c>
      <c r="J7766">
        <v>1537.90853271216</v>
      </c>
      <c r="K7766">
        <v>1287.69066913235</v>
      </c>
      <c r="L7766">
        <v>65.073999999999998</v>
      </c>
      <c r="M7766">
        <v>59.454999999999998</v>
      </c>
      <c r="N7766">
        <v>80.617000000000004</v>
      </c>
    </row>
    <row r="7767" spans="1:14" x14ac:dyDescent="0.45">
      <c r="A7767">
        <v>2016</v>
      </c>
      <c r="B7767" t="s">
        <v>189</v>
      </c>
      <c r="C7767">
        <v>0</v>
      </c>
      <c r="D7767">
        <v>0</v>
      </c>
      <c r="E7767">
        <v>1</v>
      </c>
      <c r="F7767">
        <v>1</v>
      </c>
      <c r="G7767">
        <v>0</v>
      </c>
      <c r="H7767">
        <v>0</v>
      </c>
      <c r="I7767">
        <v>0</v>
      </c>
      <c r="J7767">
        <v>5866.2814529180196</v>
      </c>
      <c r="K7767">
        <v>5189.9776376321097</v>
      </c>
      <c r="L7767">
        <v>48.037999999999997</v>
      </c>
      <c r="M7767">
        <v>66.822999999999993</v>
      </c>
      <c r="N7767">
        <v>47.348999999999997</v>
      </c>
    </row>
    <row r="7768" spans="1:14" x14ac:dyDescent="0.45">
      <c r="A7768">
        <v>2016</v>
      </c>
      <c r="B7768" t="s">
        <v>190</v>
      </c>
      <c r="C7768">
        <v>0</v>
      </c>
      <c r="D7768">
        <v>0</v>
      </c>
      <c r="E7768">
        <v>1</v>
      </c>
      <c r="F7768">
        <v>0</v>
      </c>
      <c r="G7768">
        <v>1</v>
      </c>
      <c r="H7768">
        <v>0</v>
      </c>
      <c r="I7768">
        <v>0</v>
      </c>
      <c r="J7768">
        <v>23182.043412437401</v>
      </c>
      <c r="K7768">
        <v>21759.238156279898</v>
      </c>
      <c r="L7768">
        <v>59.09</v>
      </c>
      <c r="M7768">
        <v>74.849999999999994</v>
      </c>
      <c r="N7768">
        <v>13.819000000000001</v>
      </c>
    </row>
    <row r="7769" spans="1:14" x14ac:dyDescent="0.45">
      <c r="A7769">
        <v>2016</v>
      </c>
      <c r="B7769" t="s">
        <v>191</v>
      </c>
      <c r="C7769">
        <v>0</v>
      </c>
      <c r="D7769">
        <v>0</v>
      </c>
      <c r="E7769">
        <v>1</v>
      </c>
      <c r="F7769">
        <v>0</v>
      </c>
      <c r="G7769">
        <v>0</v>
      </c>
      <c r="H7769">
        <v>0</v>
      </c>
      <c r="I7769">
        <v>0</v>
      </c>
      <c r="J7769">
        <v>1593.5954926480799</v>
      </c>
      <c r="K7769">
        <v>1363.5781004094599</v>
      </c>
      <c r="L7769">
        <v>83.494</v>
      </c>
      <c r="M7769">
        <v>63.162999999999997</v>
      </c>
      <c r="N7769">
        <v>53.389000000000003</v>
      </c>
    </row>
    <row r="7770" spans="1:14" x14ac:dyDescent="0.45">
      <c r="A7770">
        <v>2016</v>
      </c>
      <c r="B7770" t="s">
        <v>192</v>
      </c>
      <c r="C7770">
        <v>0</v>
      </c>
      <c r="D7770">
        <v>0</v>
      </c>
      <c r="E7770">
        <v>0</v>
      </c>
      <c r="F7770">
        <v>0</v>
      </c>
      <c r="G7770">
        <v>1</v>
      </c>
      <c r="H7770">
        <v>0</v>
      </c>
      <c r="I7770">
        <v>0</v>
      </c>
      <c r="J7770">
        <v>28425.370760941201</v>
      </c>
      <c r="K7770">
        <v>25408.927512915001</v>
      </c>
      <c r="L7770">
        <v>25.16</v>
      </c>
      <c r="M7770">
        <v>75.370999999999995</v>
      </c>
      <c r="N7770">
        <v>8.1219999999999999</v>
      </c>
    </row>
    <row r="7771" spans="1:14" x14ac:dyDescent="0.45">
      <c r="A7771">
        <v>2016</v>
      </c>
      <c r="B7771" t="s">
        <v>193</v>
      </c>
      <c r="C7771">
        <v>0</v>
      </c>
      <c r="D7771">
        <v>0</v>
      </c>
      <c r="E7771">
        <v>1</v>
      </c>
      <c r="F7771">
        <v>0</v>
      </c>
      <c r="G7771">
        <v>1</v>
      </c>
      <c r="H7771">
        <v>0</v>
      </c>
      <c r="I7771">
        <v>0</v>
      </c>
      <c r="J7771">
        <v>11846.7880832757</v>
      </c>
      <c r="K7771">
        <v>10267.608914631301</v>
      </c>
      <c r="L7771">
        <v>52.039000000000001</v>
      </c>
      <c r="M7771">
        <v>60.81</v>
      </c>
      <c r="N7771">
        <v>44.26</v>
      </c>
    </row>
    <row r="7772" spans="1:14" x14ac:dyDescent="0.45">
      <c r="A7772">
        <v>2016</v>
      </c>
      <c r="B7772" t="s">
        <v>194</v>
      </c>
      <c r="C7772">
        <v>0</v>
      </c>
      <c r="D7772">
        <v>0</v>
      </c>
      <c r="E7772">
        <v>0</v>
      </c>
      <c r="F7772">
        <v>0</v>
      </c>
      <c r="G7772">
        <v>0</v>
      </c>
      <c r="H7772">
        <v>1</v>
      </c>
      <c r="I7772">
        <v>1</v>
      </c>
      <c r="L7772">
        <v>30.178999999999998</v>
      </c>
      <c r="M7772">
        <v>77.358999999999995</v>
      </c>
      <c r="N7772">
        <v>13.878</v>
      </c>
    </row>
    <row r="7773" spans="1:14" x14ac:dyDescent="0.45">
      <c r="A7773">
        <v>2016</v>
      </c>
      <c r="B7773" t="s">
        <v>195</v>
      </c>
      <c r="C7773">
        <v>0</v>
      </c>
      <c r="D7773">
        <v>0</v>
      </c>
      <c r="E7773">
        <v>1</v>
      </c>
      <c r="F7773">
        <v>0</v>
      </c>
      <c r="G7773">
        <v>0</v>
      </c>
      <c r="H7773">
        <v>0</v>
      </c>
      <c r="I7773">
        <v>0</v>
      </c>
      <c r="J7773">
        <v>1500.0085868128799</v>
      </c>
      <c r="K7773">
        <v>1192.25510097912</v>
      </c>
      <c r="L7773">
        <v>83.71</v>
      </c>
      <c r="M7773">
        <v>59.228000000000002</v>
      </c>
      <c r="N7773">
        <v>126.075</v>
      </c>
    </row>
    <row r="7774" spans="1:14" x14ac:dyDescent="0.45">
      <c r="A7774">
        <v>2016</v>
      </c>
      <c r="B7774" t="s">
        <v>196</v>
      </c>
      <c r="C7774">
        <v>0</v>
      </c>
      <c r="D7774">
        <v>0</v>
      </c>
      <c r="E7774">
        <v>1</v>
      </c>
      <c r="F7774">
        <v>1</v>
      </c>
      <c r="G7774">
        <v>0</v>
      </c>
      <c r="H7774">
        <v>0</v>
      </c>
      <c r="I7774">
        <v>0</v>
      </c>
      <c r="J7774">
        <v>5744.5578787715704</v>
      </c>
      <c r="K7774">
        <v>5078.96340479848</v>
      </c>
      <c r="L7774">
        <v>51.317</v>
      </c>
      <c r="M7774">
        <v>52.189</v>
      </c>
      <c r="N7774">
        <v>124.071</v>
      </c>
    </row>
    <row r="7775" spans="1:14" x14ac:dyDescent="0.45">
      <c r="A7775">
        <v>2016</v>
      </c>
      <c r="B7775" t="s">
        <v>197</v>
      </c>
      <c r="C7775">
        <v>0</v>
      </c>
      <c r="D7775">
        <v>1</v>
      </c>
      <c r="E7775">
        <v>0</v>
      </c>
      <c r="F7775">
        <v>1</v>
      </c>
      <c r="G7775">
        <v>0</v>
      </c>
      <c r="H7775">
        <v>0</v>
      </c>
      <c r="I7775">
        <v>0</v>
      </c>
      <c r="J7775">
        <v>7158.7579976037796</v>
      </c>
      <c r="K7775">
        <v>6029.5723895174997</v>
      </c>
      <c r="L7775">
        <v>41.91</v>
      </c>
      <c r="M7775">
        <v>73.180000000000007</v>
      </c>
      <c r="N7775">
        <v>18.686</v>
      </c>
    </row>
    <row r="7776" spans="1:14" x14ac:dyDescent="0.45">
      <c r="A7776">
        <v>2016</v>
      </c>
      <c r="B7776" t="s">
        <v>198</v>
      </c>
      <c r="C7776">
        <v>1</v>
      </c>
      <c r="D7776">
        <v>0</v>
      </c>
      <c r="E7776">
        <v>0</v>
      </c>
      <c r="F7776">
        <v>0</v>
      </c>
      <c r="G7776">
        <v>0</v>
      </c>
      <c r="H7776">
        <v>1</v>
      </c>
      <c r="I7776">
        <v>1</v>
      </c>
      <c r="J7776">
        <v>64267.736357934999</v>
      </c>
      <c r="K7776">
        <v>54251.1613777276</v>
      </c>
      <c r="L7776">
        <v>9.3649999999999896</v>
      </c>
      <c r="M7776">
        <v>81.555000000000007</v>
      </c>
      <c r="N7776">
        <v>4.0510000000000002</v>
      </c>
    </row>
    <row r="7777" spans="1:14" x14ac:dyDescent="0.45">
      <c r="A7777">
        <v>2016</v>
      </c>
      <c r="B7777" t="s">
        <v>199</v>
      </c>
      <c r="C7777">
        <v>1</v>
      </c>
      <c r="D7777">
        <v>0</v>
      </c>
      <c r="E7777">
        <v>0</v>
      </c>
      <c r="F7777">
        <v>0</v>
      </c>
      <c r="G7777">
        <v>0</v>
      </c>
      <c r="H7777">
        <v>1</v>
      </c>
      <c r="I7777">
        <v>1</v>
      </c>
      <c r="J7777">
        <v>85787.617441042399</v>
      </c>
      <c r="K7777">
        <v>63387.407386285398</v>
      </c>
      <c r="L7777">
        <v>18.515000000000001</v>
      </c>
      <c r="M7777">
        <v>82.415000000000006</v>
      </c>
      <c r="N7777">
        <v>2.5550000000000002</v>
      </c>
    </row>
    <row r="7778" spans="1:14" x14ac:dyDescent="0.45">
      <c r="A7778">
        <v>2016</v>
      </c>
      <c r="B7778" t="s">
        <v>200</v>
      </c>
      <c r="C7778">
        <v>0</v>
      </c>
      <c r="D7778">
        <v>0</v>
      </c>
      <c r="E7778">
        <v>0</v>
      </c>
      <c r="F7778">
        <v>0</v>
      </c>
      <c r="G7778">
        <v>0</v>
      </c>
      <c r="H7778">
        <v>0</v>
      </c>
      <c r="I7778">
        <v>0</v>
      </c>
      <c r="J7778">
        <v>3743.7445783578</v>
      </c>
      <c r="K7778">
        <v>3314.3629919525902</v>
      </c>
      <c r="L7778">
        <v>81.058000000000007</v>
      </c>
      <c r="M7778">
        <v>68.444000000000003</v>
      </c>
      <c r="N7778">
        <v>36.341000000000001</v>
      </c>
    </row>
    <row r="7779" spans="1:14" x14ac:dyDescent="0.45">
      <c r="A7779">
        <v>2016</v>
      </c>
      <c r="B7779" t="s">
        <v>201</v>
      </c>
      <c r="C7779">
        <v>0</v>
      </c>
      <c r="D7779">
        <v>0</v>
      </c>
      <c r="E7779">
        <v>0</v>
      </c>
      <c r="F7779">
        <v>0</v>
      </c>
      <c r="G7779">
        <v>1</v>
      </c>
      <c r="H7779">
        <v>0</v>
      </c>
      <c r="I7779">
        <v>0</v>
      </c>
      <c r="J7779">
        <v>11630.9603870998</v>
      </c>
      <c r="K7779">
        <v>10522.767941018001</v>
      </c>
      <c r="L7779">
        <v>0</v>
      </c>
      <c r="M7779">
        <v>60.996000000000002</v>
      </c>
      <c r="N7779">
        <v>32.049999999999997</v>
      </c>
    </row>
    <row r="7780" spans="1:14" x14ac:dyDescent="0.45">
      <c r="A7780">
        <v>2016</v>
      </c>
      <c r="B7780" t="s">
        <v>202</v>
      </c>
      <c r="C7780">
        <v>0</v>
      </c>
      <c r="D7780">
        <v>0</v>
      </c>
      <c r="E7780">
        <v>0</v>
      </c>
      <c r="F7780">
        <v>0</v>
      </c>
      <c r="G7780">
        <v>0</v>
      </c>
      <c r="H7780">
        <v>1</v>
      </c>
      <c r="I7780">
        <v>1</v>
      </c>
      <c r="J7780">
        <v>45626.681843501799</v>
      </c>
      <c r="K7780">
        <v>41499.839725941303</v>
      </c>
      <c r="L7780">
        <v>13.6</v>
      </c>
      <c r="M7780">
        <v>82.003</v>
      </c>
      <c r="N7780">
        <v>4.1639999999999997</v>
      </c>
    </row>
    <row r="7781" spans="1:14" x14ac:dyDescent="0.45">
      <c r="A7781">
        <v>2016</v>
      </c>
      <c r="B7781" t="s">
        <v>203</v>
      </c>
      <c r="C7781">
        <v>0</v>
      </c>
      <c r="D7781">
        <v>0</v>
      </c>
      <c r="E7781">
        <v>0</v>
      </c>
      <c r="F7781">
        <v>0</v>
      </c>
      <c r="G7781">
        <v>0</v>
      </c>
      <c r="H7781">
        <v>1</v>
      </c>
      <c r="I7781">
        <v>1</v>
      </c>
      <c r="J7781">
        <v>39860.989390968803</v>
      </c>
      <c r="K7781">
        <v>34636.034273366102</v>
      </c>
      <c r="L7781">
        <v>17.5</v>
      </c>
      <c r="M7781">
        <v>79.581000000000003</v>
      </c>
      <c r="N7781">
        <v>11.099</v>
      </c>
    </row>
    <row r="7782" spans="1:14" x14ac:dyDescent="0.45">
      <c r="A7782">
        <v>2016</v>
      </c>
      <c r="B7782" t="s">
        <v>204</v>
      </c>
      <c r="C7782">
        <v>0</v>
      </c>
      <c r="D7782">
        <v>0</v>
      </c>
      <c r="E7782">
        <v>0</v>
      </c>
      <c r="F7782">
        <v>1</v>
      </c>
      <c r="G7782">
        <v>0</v>
      </c>
      <c r="H7782">
        <v>0</v>
      </c>
      <c r="I7782">
        <v>0</v>
      </c>
      <c r="J7782">
        <v>4886.6121211537802</v>
      </c>
      <c r="K7782">
        <v>4651.5601171526296</v>
      </c>
      <c r="L7782">
        <v>63.765999999999998</v>
      </c>
      <c r="M7782">
        <v>65.942999999999998</v>
      </c>
      <c r="N7782">
        <v>73.858999999999995</v>
      </c>
    </row>
    <row r="7783" spans="1:14" x14ac:dyDescent="0.45">
      <c r="A7783">
        <v>2016</v>
      </c>
      <c r="B7783" t="s">
        <v>205</v>
      </c>
      <c r="C7783">
        <v>0</v>
      </c>
      <c r="D7783">
        <v>1</v>
      </c>
      <c r="E7783">
        <v>0</v>
      </c>
      <c r="F7783">
        <v>0</v>
      </c>
      <c r="G7783">
        <v>1</v>
      </c>
      <c r="H7783">
        <v>0</v>
      </c>
      <c r="I7783">
        <v>0</v>
      </c>
      <c r="J7783">
        <v>30765.237162865898</v>
      </c>
      <c r="K7783">
        <v>32259.7518265584</v>
      </c>
      <c r="L7783">
        <v>32.972999999999999</v>
      </c>
      <c r="M7783">
        <v>77.772000000000006</v>
      </c>
      <c r="N7783">
        <v>16.902000000000001</v>
      </c>
    </row>
    <row r="7784" spans="1:14" x14ac:dyDescent="0.45">
      <c r="A7784">
        <v>2016</v>
      </c>
      <c r="B7784" t="s">
        <v>206</v>
      </c>
      <c r="C7784">
        <v>0</v>
      </c>
      <c r="D7784">
        <v>1</v>
      </c>
      <c r="E7784">
        <v>0</v>
      </c>
      <c r="F7784">
        <v>0</v>
      </c>
      <c r="G7784">
        <v>1</v>
      </c>
      <c r="H7784">
        <v>0</v>
      </c>
      <c r="I7784">
        <v>0</v>
      </c>
      <c r="J7784">
        <v>14917.4489473588</v>
      </c>
      <c r="K7784">
        <v>12464.784996533701</v>
      </c>
      <c r="L7784">
        <v>22.460999999999999</v>
      </c>
      <c r="M7784">
        <v>75.950999999999993</v>
      </c>
      <c r="N7784">
        <v>16.87</v>
      </c>
    </row>
    <row r="7785" spans="1:14" x14ac:dyDescent="0.45">
      <c r="A7785">
        <v>2016</v>
      </c>
      <c r="B7785" t="s">
        <v>207</v>
      </c>
      <c r="C7785">
        <v>0</v>
      </c>
      <c r="D7785">
        <v>0</v>
      </c>
      <c r="E7785">
        <v>0</v>
      </c>
      <c r="F7785">
        <v>1</v>
      </c>
      <c r="G7785">
        <v>0</v>
      </c>
      <c r="H7785">
        <v>0</v>
      </c>
      <c r="I7785">
        <v>0</v>
      </c>
      <c r="J7785">
        <v>8131.8253794865304</v>
      </c>
      <c r="K7785">
        <v>7364.1857297673196</v>
      </c>
      <c r="L7785">
        <v>53.524999999999999</v>
      </c>
      <c r="M7785">
        <v>69.489999999999995</v>
      </c>
      <c r="N7785">
        <v>28.297999999999998</v>
      </c>
    </row>
    <row r="7786" spans="1:14" x14ac:dyDescent="0.45">
      <c r="A7786">
        <v>2016</v>
      </c>
      <c r="B7786" t="s">
        <v>208</v>
      </c>
      <c r="C7786">
        <v>0</v>
      </c>
      <c r="D7786">
        <v>0</v>
      </c>
      <c r="E7786">
        <v>0</v>
      </c>
      <c r="F7786">
        <v>0</v>
      </c>
      <c r="G7786">
        <v>0</v>
      </c>
      <c r="H7786">
        <v>1</v>
      </c>
      <c r="I7786">
        <v>1</v>
      </c>
      <c r="J7786">
        <v>19902.981896773101</v>
      </c>
      <c r="K7786">
        <v>18006.635124156699</v>
      </c>
      <c r="L7786">
        <v>21.225000000000001</v>
      </c>
      <c r="M7786">
        <v>69.046000000000006</v>
      </c>
      <c r="N7786">
        <v>21.821999999999999</v>
      </c>
    </row>
    <row r="7787" spans="1:14" x14ac:dyDescent="0.45">
      <c r="A7787">
        <v>2016</v>
      </c>
      <c r="B7787" t="s">
        <v>209</v>
      </c>
      <c r="C7787">
        <v>0</v>
      </c>
      <c r="D7787">
        <v>0</v>
      </c>
      <c r="E7787">
        <v>0</v>
      </c>
      <c r="F7787">
        <v>1</v>
      </c>
      <c r="G7787">
        <v>0</v>
      </c>
      <c r="H7787">
        <v>0</v>
      </c>
      <c r="I7787">
        <v>0</v>
      </c>
      <c r="J7787">
        <v>4275.7485861569803</v>
      </c>
      <c r="K7787">
        <v>3867.8479258195598</v>
      </c>
      <c r="L7787">
        <v>86.95</v>
      </c>
      <c r="M7787">
        <v>64.7</v>
      </c>
      <c r="N7787">
        <v>49.978000000000002</v>
      </c>
    </row>
    <row r="7788" spans="1:14" x14ac:dyDescent="0.45">
      <c r="A7788">
        <v>2016</v>
      </c>
      <c r="B7788" t="s">
        <v>210</v>
      </c>
      <c r="C7788">
        <v>1</v>
      </c>
      <c r="D7788">
        <v>0</v>
      </c>
      <c r="E7788">
        <v>0</v>
      </c>
      <c r="F7788">
        <v>0</v>
      </c>
      <c r="G7788">
        <v>0</v>
      </c>
      <c r="H7788">
        <v>1</v>
      </c>
      <c r="I7788">
        <v>1</v>
      </c>
      <c r="J7788">
        <v>32675.305225995398</v>
      </c>
      <c r="K7788">
        <v>28204.377962624199</v>
      </c>
      <c r="L7788">
        <v>39.822000000000003</v>
      </c>
      <c r="M7788">
        <v>77.638999999999996</v>
      </c>
      <c r="N7788">
        <v>4.7489999999999997</v>
      </c>
    </row>
    <row r="7789" spans="1:14" x14ac:dyDescent="0.45">
      <c r="A7789">
        <v>2016</v>
      </c>
      <c r="B7789" t="s">
        <v>211</v>
      </c>
      <c r="C7789">
        <v>0</v>
      </c>
      <c r="D7789">
        <v>1</v>
      </c>
      <c r="E7789">
        <v>0</v>
      </c>
      <c r="F7789">
        <v>0</v>
      </c>
      <c r="G7789">
        <v>0</v>
      </c>
      <c r="H7789">
        <v>1</v>
      </c>
      <c r="I7789">
        <v>1</v>
      </c>
      <c r="J7789">
        <v>41858.262669846197</v>
      </c>
      <c r="K7789">
        <v>32157.222340518601</v>
      </c>
      <c r="L7789">
        <v>6.3979999999999997</v>
      </c>
      <c r="M7789">
        <v>80.355000000000004</v>
      </c>
      <c r="N7789">
        <v>7.907</v>
      </c>
    </row>
    <row r="7790" spans="1:14" x14ac:dyDescent="0.45">
      <c r="A7790">
        <v>2016</v>
      </c>
      <c r="B7790" t="s">
        <v>212</v>
      </c>
      <c r="C7790">
        <v>0</v>
      </c>
      <c r="D7790">
        <v>0</v>
      </c>
      <c r="E7790">
        <v>0</v>
      </c>
      <c r="F7790">
        <v>0</v>
      </c>
      <c r="G7790">
        <v>0</v>
      </c>
      <c r="H7790">
        <v>0</v>
      </c>
      <c r="I7790">
        <v>0</v>
      </c>
      <c r="L7790">
        <v>38.529000000000003</v>
      </c>
      <c r="M7790">
        <v>72.971000000000004</v>
      </c>
      <c r="N7790">
        <v>20.663</v>
      </c>
    </row>
    <row r="7791" spans="1:14" x14ac:dyDescent="0.45">
      <c r="A7791">
        <v>2016</v>
      </c>
      <c r="B7791" t="s">
        <v>213</v>
      </c>
      <c r="C7791">
        <v>1</v>
      </c>
      <c r="D7791">
        <v>0</v>
      </c>
      <c r="E7791">
        <v>0</v>
      </c>
      <c r="F7791">
        <v>0</v>
      </c>
      <c r="G7791">
        <v>0</v>
      </c>
      <c r="H7791">
        <v>1</v>
      </c>
      <c r="I7791">
        <v>1</v>
      </c>
      <c r="J7791">
        <v>36636.297681686898</v>
      </c>
      <c r="K7791">
        <v>31667.796337641001</v>
      </c>
      <c r="L7791">
        <v>35.914000000000001</v>
      </c>
      <c r="M7791">
        <v>81.364000000000004</v>
      </c>
      <c r="N7791">
        <v>3.851</v>
      </c>
    </row>
    <row r="7792" spans="1:14" x14ac:dyDescent="0.45">
      <c r="A7792">
        <v>2016</v>
      </c>
      <c r="B7792" t="s">
        <v>214</v>
      </c>
      <c r="C7792">
        <v>0</v>
      </c>
      <c r="D7792">
        <v>1</v>
      </c>
      <c r="E7792">
        <v>0</v>
      </c>
      <c r="F7792">
        <v>0</v>
      </c>
      <c r="G7792">
        <v>1</v>
      </c>
      <c r="H7792">
        <v>0</v>
      </c>
      <c r="I7792">
        <v>0</v>
      </c>
      <c r="J7792">
        <v>14826.6636909956</v>
      </c>
      <c r="K7792">
        <v>13526.944042540899</v>
      </c>
      <c r="L7792">
        <v>38.973999999999997</v>
      </c>
      <c r="M7792">
        <v>73.486999999999995</v>
      </c>
      <c r="N7792">
        <v>21.393999999999998</v>
      </c>
    </row>
    <row r="7793" spans="1:14" x14ac:dyDescent="0.45">
      <c r="A7793">
        <v>2016</v>
      </c>
      <c r="B7793" t="s">
        <v>215</v>
      </c>
      <c r="C7793">
        <v>0</v>
      </c>
      <c r="D7793">
        <v>0</v>
      </c>
      <c r="E7793">
        <v>0</v>
      </c>
      <c r="F7793">
        <v>1</v>
      </c>
      <c r="G7793">
        <v>0</v>
      </c>
      <c r="H7793">
        <v>0</v>
      </c>
      <c r="I7793">
        <v>0</v>
      </c>
      <c r="J7793">
        <v>6464.1335253737097</v>
      </c>
      <c r="K7793">
        <v>5511.8688428292999</v>
      </c>
      <c r="L7793">
        <v>24.372</v>
      </c>
      <c r="M7793">
        <v>74.917000000000002</v>
      </c>
      <c r="N7793">
        <v>17.748999999999999</v>
      </c>
    </row>
    <row r="7794" spans="1:14" x14ac:dyDescent="0.45">
      <c r="A7794">
        <v>2016</v>
      </c>
      <c r="B7794" t="s">
        <v>216</v>
      </c>
      <c r="C7794">
        <v>0</v>
      </c>
      <c r="D7794">
        <v>0</v>
      </c>
      <c r="E7794">
        <v>0</v>
      </c>
      <c r="F7794">
        <v>0</v>
      </c>
      <c r="G7794">
        <v>0</v>
      </c>
      <c r="H7794">
        <v>1</v>
      </c>
      <c r="I7794">
        <v>1</v>
      </c>
      <c r="L7794">
        <v>38.265999999999998</v>
      </c>
      <c r="M7794">
        <v>82.555000000000007</v>
      </c>
      <c r="N7794">
        <v>7.2060000000000004</v>
      </c>
    </row>
    <row r="7795" spans="1:14" x14ac:dyDescent="0.45">
      <c r="A7795">
        <v>2016</v>
      </c>
      <c r="B7795" t="s">
        <v>217</v>
      </c>
      <c r="C7795">
        <v>0</v>
      </c>
      <c r="D7795">
        <v>0</v>
      </c>
      <c r="E7795">
        <v>0</v>
      </c>
      <c r="F7795">
        <v>0</v>
      </c>
      <c r="G7795">
        <v>0</v>
      </c>
      <c r="H7795">
        <v>1</v>
      </c>
      <c r="I7795">
        <v>1</v>
      </c>
      <c r="J7795">
        <v>120054.408736518</v>
      </c>
      <c r="K7795">
        <v>103666.72526138301</v>
      </c>
      <c r="L7795">
        <v>0.98499999999999899</v>
      </c>
      <c r="M7795">
        <v>82.147000000000006</v>
      </c>
      <c r="N7795">
        <v>7.2880000000000003</v>
      </c>
    </row>
    <row r="7796" spans="1:14" x14ac:dyDescent="0.45">
      <c r="A7796">
        <v>2016</v>
      </c>
      <c r="B7796" t="s">
        <v>218</v>
      </c>
      <c r="C7796">
        <v>1</v>
      </c>
      <c r="D7796">
        <v>0</v>
      </c>
      <c r="E7796">
        <v>0</v>
      </c>
      <c r="F7796">
        <v>0</v>
      </c>
      <c r="G7796">
        <v>1</v>
      </c>
      <c r="H7796">
        <v>0</v>
      </c>
      <c r="I7796">
        <v>0</v>
      </c>
      <c r="J7796">
        <v>30185.905903257</v>
      </c>
      <c r="K7796">
        <v>24536.1929769493</v>
      </c>
      <c r="L7796">
        <v>46.1</v>
      </c>
      <c r="M7796">
        <v>75.021000000000001</v>
      </c>
      <c r="N7796">
        <v>8.3089999999999993</v>
      </c>
    </row>
    <row r="7797" spans="1:14" x14ac:dyDescent="0.45">
      <c r="A7797">
        <v>2016</v>
      </c>
      <c r="B7797" t="s">
        <v>219</v>
      </c>
      <c r="C7797">
        <v>1</v>
      </c>
      <c r="D7797">
        <v>0</v>
      </c>
      <c r="E7797">
        <v>0</v>
      </c>
      <c r="F7797">
        <v>0</v>
      </c>
      <c r="G7797">
        <v>1</v>
      </c>
      <c r="H7797">
        <v>0</v>
      </c>
      <c r="I7797">
        <v>0</v>
      </c>
      <c r="J7797">
        <v>35005.44921875</v>
      </c>
      <c r="K7797">
        <v>25368.489737383999</v>
      </c>
      <c r="L7797">
        <v>25.835999999999999</v>
      </c>
      <c r="M7797">
        <v>71.91</v>
      </c>
      <c r="N7797">
        <v>7.375</v>
      </c>
    </row>
    <row r="7798" spans="1:14" x14ac:dyDescent="0.45">
      <c r="A7798">
        <v>2016</v>
      </c>
      <c r="B7798" t="s">
        <v>220</v>
      </c>
      <c r="C7798">
        <v>0</v>
      </c>
      <c r="D7798">
        <v>0</v>
      </c>
      <c r="E7798">
        <v>1</v>
      </c>
      <c r="F7798">
        <v>0</v>
      </c>
      <c r="G7798">
        <v>0</v>
      </c>
      <c r="H7798">
        <v>0</v>
      </c>
      <c r="I7798">
        <v>0</v>
      </c>
      <c r="J7798">
        <v>2316.6373157381399</v>
      </c>
      <c r="K7798">
        <v>1938.68687313081</v>
      </c>
      <c r="L7798">
        <v>82.944000000000003</v>
      </c>
      <c r="M7798">
        <v>65.733000000000004</v>
      </c>
      <c r="N7798">
        <v>45.771999999999998</v>
      </c>
    </row>
    <row r="7799" spans="1:14" x14ac:dyDescent="0.45">
      <c r="A7799">
        <v>2016</v>
      </c>
      <c r="B7799" t="s">
        <v>221</v>
      </c>
      <c r="C7799">
        <v>0</v>
      </c>
      <c r="D7799">
        <v>0</v>
      </c>
      <c r="E7799">
        <v>0</v>
      </c>
      <c r="F7799">
        <v>0</v>
      </c>
      <c r="G7799">
        <v>0</v>
      </c>
      <c r="H7799">
        <v>1</v>
      </c>
      <c r="I7799">
        <v>1</v>
      </c>
      <c r="J7799">
        <v>57308.463776454802</v>
      </c>
      <c r="K7799">
        <v>52539.141137288403</v>
      </c>
      <c r="L7799">
        <v>16.599</v>
      </c>
      <c r="M7799">
        <v>78.353999999999999</v>
      </c>
      <c r="N7799">
        <v>8.6170000000000009</v>
      </c>
    </row>
    <row r="7800" spans="1:14" x14ac:dyDescent="0.45">
      <c r="A7800">
        <v>2016</v>
      </c>
      <c r="B7800" t="s">
        <v>222</v>
      </c>
      <c r="C7800">
        <v>0</v>
      </c>
      <c r="D7800">
        <v>0</v>
      </c>
      <c r="E7800">
        <v>1</v>
      </c>
      <c r="F7800">
        <v>1</v>
      </c>
      <c r="G7800">
        <v>0</v>
      </c>
      <c r="H7800">
        <v>0</v>
      </c>
      <c r="I7800">
        <v>0</v>
      </c>
      <c r="J7800">
        <v>4174.56103515625</v>
      </c>
      <c r="K7800">
        <v>4371.3159209305504</v>
      </c>
      <c r="L7800">
        <v>65.879000000000005</v>
      </c>
      <c r="M7800">
        <v>64.677000000000007</v>
      </c>
      <c r="N7800">
        <v>62.988999999999997</v>
      </c>
    </row>
    <row r="7801" spans="1:14" x14ac:dyDescent="0.45">
      <c r="A7801">
        <v>2016</v>
      </c>
      <c r="B7801" t="s">
        <v>223</v>
      </c>
      <c r="C7801">
        <v>0</v>
      </c>
      <c r="D7801">
        <v>0</v>
      </c>
      <c r="E7801">
        <v>1</v>
      </c>
      <c r="F7801">
        <v>0</v>
      </c>
      <c r="G7801">
        <v>0</v>
      </c>
      <c r="H7801">
        <v>0</v>
      </c>
      <c r="I7801">
        <v>0</v>
      </c>
      <c r="J7801">
        <v>3710.0553158972398</v>
      </c>
      <c r="K7801">
        <v>3099.5249361045098</v>
      </c>
      <c r="L7801">
        <v>53.704000000000001</v>
      </c>
      <c r="M7801">
        <v>66.724000000000004</v>
      </c>
      <c r="N7801">
        <v>48.505000000000003</v>
      </c>
    </row>
    <row r="7802" spans="1:14" x14ac:dyDescent="0.45">
      <c r="A7802">
        <v>2016</v>
      </c>
      <c r="B7802" t="s">
        <v>224</v>
      </c>
      <c r="C7802">
        <v>0</v>
      </c>
      <c r="D7802">
        <v>0</v>
      </c>
      <c r="E7802">
        <v>0</v>
      </c>
      <c r="F7802">
        <v>0</v>
      </c>
      <c r="G7802">
        <v>0</v>
      </c>
      <c r="H7802">
        <v>1</v>
      </c>
      <c r="I7802">
        <v>1</v>
      </c>
      <c r="J7802">
        <v>111579.74268433099</v>
      </c>
      <c r="K7802">
        <v>91722.711879726296</v>
      </c>
      <c r="L7802">
        <v>0</v>
      </c>
      <c r="M7802">
        <v>82.897000000000006</v>
      </c>
      <c r="N7802">
        <v>2.6339999999999999</v>
      </c>
    </row>
    <row r="7803" spans="1:14" x14ac:dyDescent="0.45">
      <c r="A7803">
        <v>2016</v>
      </c>
      <c r="B7803" t="s">
        <v>225</v>
      </c>
      <c r="C7803">
        <v>0</v>
      </c>
      <c r="D7803">
        <v>0</v>
      </c>
      <c r="E7803">
        <v>0</v>
      </c>
      <c r="F7803">
        <v>1</v>
      </c>
      <c r="G7803">
        <v>0</v>
      </c>
      <c r="H7803">
        <v>0</v>
      </c>
      <c r="I7803">
        <v>0</v>
      </c>
      <c r="J7803">
        <v>2715.2338575438098</v>
      </c>
      <c r="K7803">
        <v>2456.1271274215501</v>
      </c>
      <c r="L7803">
        <v>77.177000000000007</v>
      </c>
      <c r="M7803">
        <v>69.501000000000005</v>
      </c>
      <c r="N7803">
        <v>22.137</v>
      </c>
    </row>
    <row r="7804" spans="1:14" x14ac:dyDescent="0.45">
      <c r="A7804">
        <v>2016</v>
      </c>
      <c r="B7804" t="s">
        <v>226</v>
      </c>
      <c r="C7804">
        <v>0</v>
      </c>
      <c r="D7804">
        <v>0</v>
      </c>
      <c r="E7804">
        <v>1</v>
      </c>
      <c r="F7804">
        <v>0</v>
      </c>
      <c r="G7804">
        <v>0</v>
      </c>
      <c r="H7804">
        <v>0</v>
      </c>
      <c r="I7804">
        <v>0</v>
      </c>
      <c r="J7804">
        <v>2734.7189887340301</v>
      </c>
      <c r="K7804">
        <v>2482.2239722193899</v>
      </c>
      <c r="L7804">
        <v>58.771999999999998</v>
      </c>
      <c r="M7804">
        <v>56.936999999999998</v>
      </c>
      <c r="N7804">
        <v>125.91500000000001</v>
      </c>
    </row>
    <row r="7805" spans="1:14" x14ac:dyDescent="0.45">
      <c r="A7805">
        <v>2016</v>
      </c>
      <c r="B7805" t="s">
        <v>227</v>
      </c>
      <c r="C7805">
        <v>0</v>
      </c>
      <c r="D7805">
        <v>1</v>
      </c>
      <c r="E7805">
        <v>0</v>
      </c>
      <c r="F7805">
        <v>1</v>
      </c>
      <c r="G7805">
        <v>0</v>
      </c>
      <c r="H7805">
        <v>0</v>
      </c>
      <c r="I7805">
        <v>0</v>
      </c>
      <c r="J7805">
        <v>9863.7612121445309</v>
      </c>
      <c r="K7805">
        <v>8786.1491996766508</v>
      </c>
      <c r="L7805">
        <v>29.498999999999999</v>
      </c>
      <c r="M7805">
        <v>70.908000000000001</v>
      </c>
      <c r="N7805">
        <v>14.805999999999999</v>
      </c>
    </row>
    <row r="7806" spans="1:14" x14ac:dyDescent="0.45">
      <c r="A7806">
        <v>2016</v>
      </c>
      <c r="B7806" t="s">
        <v>228</v>
      </c>
      <c r="C7806">
        <v>1</v>
      </c>
      <c r="D7806">
        <v>0</v>
      </c>
      <c r="E7806">
        <v>0</v>
      </c>
      <c r="F7806">
        <v>0</v>
      </c>
      <c r="G7806">
        <v>0</v>
      </c>
      <c r="H7806">
        <v>1</v>
      </c>
      <c r="I7806">
        <v>1</v>
      </c>
      <c r="J7806">
        <v>60669.818616752098</v>
      </c>
      <c r="K7806">
        <v>53472.820829841403</v>
      </c>
      <c r="L7806">
        <v>3.09</v>
      </c>
      <c r="M7806">
        <v>84.775000000000006</v>
      </c>
      <c r="N7806">
        <v>1.909</v>
      </c>
    </row>
    <row r="7807" spans="1:14" x14ac:dyDescent="0.45">
      <c r="A7807">
        <v>2016</v>
      </c>
      <c r="B7807" t="s">
        <v>229</v>
      </c>
      <c r="C7807">
        <v>0</v>
      </c>
      <c r="D7807">
        <v>0</v>
      </c>
      <c r="E7807">
        <v>1</v>
      </c>
      <c r="F7807">
        <v>0</v>
      </c>
      <c r="G7807">
        <v>0</v>
      </c>
      <c r="H7807">
        <v>0</v>
      </c>
      <c r="I7807">
        <v>0</v>
      </c>
      <c r="J7807">
        <v>1383.65853160293</v>
      </c>
      <c r="K7807">
        <v>1283.3907244086699</v>
      </c>
      <c r="L7807">
        <v>56.183999999999997</v>
      </c>
      <c r="M7807">
        <v>55.283000000000001</v>
      </c>
      <c r="N7807">
        <v>129.78899999999999</v>
      </c>
    </row>
    <row r="7808" spans="1:14" x14ac:dyDescent="0.45">
      <c r="A7808">
        <v>2016</v>
      </c>
      <c r="B7808" t="s">
        <v>230</v>
      </c>
      <c r="C7808">
        <v>1</v>
      </c>
      <c r="D7808">
        <v>0</v>
      </c>
      <c r="E7808">
        <v>0</v>
      </c>
      <c r="F7808">
        <v>0</v>
      </c>
      <c r="G7808">
        <v>1</v>
      </c>
      <c r="H7808">
        <v>0</v>
      </c>
      <c r="I7808">
        <v>0</v>
      </c>
      <c r="J7808">
        <v>18888.3266046834</v>
      </c>
      <c r="K7808">
        <v>16608.954412512201</v>
      </c>
      <c r="L7808">
        <v>44.19</v>
      </c>
      <c r="M7808">
        <v>75.736999999999995</v>
      </c>
      <c r="N7808">
        <v>5.9880000000000004</v>
      </c>
    </row>
    <row r="7809" spans="1:14" x14ac:dyDescent="0.45">
      <c r="A7809">
        <v>2016</v>
      </c>
      <c r="B7809" t="s">
        <v>231</v>
      </c>
      <c r="C7809">
        <v>0</v>
      </c>
      <c r="D7809">
        <v>0</v>
      </c>
      <c r="E7809">
        <v>1</v>
      </c>
      <c r="F7809">
        <v>0</v>
      </c>
      <c r="G7809">
        <v>0</v>
      </c>
      <c r="H7809">
        <v>0</v>
      </c>
      <c r="I7809">
        <v>0</v>
      </c>
      <c r="L7809">
        <v>80.908000000000001</v>
      </c>
      <c r="M7809">
        <v>36.72</v>
      </c>
      <c r="N7809">
        <v>272.654</v>
      </c>
    </row>
    <row r="7810" spans="1:14" x14ac:dyDescent="0.45">
      <c r="A7810">
        <v>2016</v>
      </c>
      <c r="B7810" t="s">
        <v>232</v>
      </c>
      <c r="C7810">
        <v>0</v>
      </c>
      <c r="D7810">
        <v>0</v>
      </c>
      <c r="E7810">
        <v>1</v>
      </c>
      <c r="F7810">
        <v>1</v>
      </c>
      <c r="G7810">
        <v>0</v>
      </c>
      <c r="H7810">
        <v>0</v>
      </c>
      <c r="I7810">
        <v>0</v>
      </c>
      <c r="J7810">
        <v>5388.5091334891003</v>
      </c>
      <c r="K7810">
        <v>3353.7233863575302</v>
      </c>
      <c r="L7810">
        <v>28.908000000000001</v>
      </c>
      <c r="M7810">
        <v>66.563000000000002</v>
      </c>
      <c r="N7810">
        <v>21.445</v>
      </c>
    </row>
    <row r="7811" spans="1:14" x14ac:dyDescent="0.45">
      <c r="A7811">
        <v>2016</v>
      </c>
      <c r="B7811" t="s">
        <v>233</v>
      </c>
      <c r="C7811">
        <v>0</v>
      </c>
      <c r="D7811">
        <v>1</v>
      </c>
      <c r="E7811">
        <v>0</v>
      </c>
      <c r="F7811">
        <v>0</v>
      </c>
      <c r="G7811">
        <v>1</v>
      </c>
      <c r="H7811">
        <v>0</v>
      </c>
      <c r="I7811">
        <v>0</v>
      </c>
      <c r="J7811">
        <v>21950.412214862499</v>
      </c>
      <c r="K7811">
        <v>17472.080913500999</v>
      </c>
      <c r="L7811">
        <v>33.96</v>
      </c>
      <c r="M7811">
        <v>70.978999999999999</v>
      </c>
      <c r="N7811">
        <v>19.852</v>
      </c>
    </row>
    <row r="7812" spans="1:14" x14ac:dyDescent="0.45">
      <c r="A7812">
        <v>2016</v>
      </c>
      <c r="B7812" t="s">
        <v>234</v>
      </c>
      <c r="C7812">
        <v>1</v>
      </c>
      <c r="D7812">
        <v>0</v>
      </c>
      <c r="E7812">
        <v>0</v>
      </c>
      <c r="F7812">
        <v>0</v>
      </c>
      <c r="G7812">
        <v>0</v>
      </c>
      <c r="H7812">
        <v>1</v>
      </c>
      <c r="I7812">
        <v>1</v>
      </c>
      <c r="J7812">
        <v>34116.383370976502</v>
      </c>
      <c r="K7812">
        <v>29383.855369679499</v>
      </c>
      <c r="L7812">
        <v>46.194000000000003</v>
      </c>
      <c r="M7812">
        <v>77.215999999999994</v>
      </c>
      <c r="N7812">
        <v>6.2119999999999997</v>
      </c>
    </row>
    <row r="7813" spans="1:14" x14ac:dyDescent="0.45">
      <c r="A7813">
        <v>2016</v>
      </c>
      <c r="B7813" t="s">
        <v>235</v>
      </c>
      <c r="C7813">
        <v>1</v>
      </c>
      <c r="D7813">
        <v>0</v>
      </c>
      <c r="E7813">
        <v>0</v>
      </c>
      <c r="F7813">
        <v>0</v>
      </c>
      <c r="G7813">
        <v>0</v>
      </c>
      <c r="H7813">
        <v>1</v>
      </c>
      <c r="I7813">
        <v>1</v>
      </c>
      <c r="J7813">
        <v>39677.417147328801</v>
      </c>
      <c r="K7813">
        <v>34154.506824463198</v>
      </c>
      <c r="L7813">
        <v>45.98</v>
      </c>
      <c r="M7813">
        <v>80.512</v>
      </c>
      <c r="N7813">
        <v>2.3839999999999999</v>
      </c>
    </row>
    <row r="7814" spans="1:14" x14ac:dyDescent="0.45">
      <c r="A7814">
        <v>2016</v>
      </c>
      <c r="B7814" t="s">
        <v>236</v>
      </c>
      <c r="C7814">
        <v>1</v>
      </c>
      <c r="D7814">
        <v>0</v>
      </c>
      <c r="E7814">
        <v>0</v>
      </c>
      <c r="F7814">
        <v>0</v>
      </c>
      <c r="G7814">
        <v>0</v>
      </c>
      <c r="H7814">
        <v>1</v>
      </c>
      <c r="I7814">
        <v>1</v>
      </c>
      <c r="J7814">
        <v>59608.087455551104</v>
      </c>
      <c r="K7814">
        <v>50918.328184532002</v>
      </c>
      <c r="L7814">
        <v>13.148</v>
      </c>
      <c r="M7814">
        <v>82.338999999999999</v>
      </c>
      <c r="N7814">
        <v>2.9670000000000001</v>
      </c>
    </row>
    <row r="7815" spans="1:14" x14ac:dyDescent="0.45">
      <c r="A7815">
        <v>2016</v>
      </c>
      <c r="B7815" t="s">
        <v>237</v>
      </c>
      <c r="C7815">
        <v>0</v>
      </c>
      <c r="D7815">
        <v>0</v>
      </c>
      <c r="E7815">
        <v>1</v>
      </c>
      <c r="F7815">
        <v>1</v>
      </c>
      <c r="G7815">
        <v>0</v>
      </c>
      <c r="H7815">
        <v>0</v>
      </c>
      <c r="I7815">
        <v>0</v>
      </c>
      <c r="J7815">
        <v>9629.5556616964695</v>
      </c>
      <c r="K7815">
        <v>8526.97330255831</v>
      </c>
      <c r="L7815">
        <v>76.540999999999997</v>
      </c>
      <c r="M7815">
        <v>56.228000000000002</v>
      </c>
      <c r="N7815">
        <v>62.003</v>
      </c>
    </row>
    <row r="7816" spans="1:14" x14ac:dyDescent="0.45">
      <c r="A7816">
        <v>2016</v>
      </c>
      <c r="B7816" t="s">
        <v>238</v>
      </c>
      <c r="C7816">
        <v>0</v>
      </c>
      <c r="D7816">
        <v>1</v>
      </c>
      <c r="E7816">
        <v>0</v>
      </c>
      <c r="F7816">
        <v>0</v>
      </c>
      <c r="G7816">
        <v>0</v>
      </c>
      <c r="H7816">
        <v>1</v>
      </c>
      <c r="I7816">
        <v>1</v>
      </c>
      <c r="J7816">
        <v>50817.681494268101</v>
      </c>
      <c r="K7816">
        <v>49043.508568645797</v>
      </c>
      <c r="L7816">
        <v>0</v>
      </c>
      <c r="M7816">
        <v>75.951999999999998</v>
      </c>
      <c r="N7816">
        <v>15.894</v>
      </c>
    </row>
    <row r="7817" spans="1:14" x14ac:dyDescent="0.45">
      <c r="A7817">
        <v>2016</v>
      </c>
      <c r="B7817" t="s">
        <v>239</v>
      </c>
      <c r="C7817">
        <v>0</v>
      </c>
      <c r="D7817">
        <v>0</v>
      </c>
      <c r="E7817">
        <v>1</v>
      </c>
      <c r="F7817">
        <v>0</v>
      </c>
      <c r="G7817">
        <v>0</v>
      </c>
      <c r="H7817">
        <v>1</v>
      </c>
      <c r="I7817">
        <v>1</v>
      </c>
      <c r="J7817">
        <v>29905.134738995199</v>
      </c>
      <c r="K7817">
        <v>29033.3964717249</v>
      </c>
      <c r="L7817">
        <v>44.168999999999997</v>
      </c>
      <c r="M7817">
        <v>72.245999999999995</v>
      </c>
      <c r="N7817">
        <v>14.609</v>
      </c>
    </row>
    <row r="7818" spans="1:14" x14ac:dyDescent="0.45">
      <c r="A7818">
        <v>2016</v>
      </c>
      <c r="B7818" t="s">
        <v>240</v>
      </c>
      <c r="C7818">
        <v>0</v>
      </c>
      <c r="D7818">
        <v>0</v>
      </c>
      <c r="E7818">
        <v>0</v>
      </c>
      <c r="F7818">
        <v>1</v>
      </c>
      <c r="G7818">
        <v>0</v>
      </c>
      <c r="H7818">
        <v>0</v>
      </c>
      <c r="I7818">
        <v>0</v>
      </c>
      <c r="J7818">
        <v>5022.1127178437</v>
      </c>
      <c r="K7818">
        <v>3294.1414805014801</v>
      </c>
      <c r="L7818">
        <v>47.164999999999999</v>
      </c>
      <c r="M7818">
        <v>65.19</v>
      </c>
      <c r="N7818">
        <v>32.953000000000003</v>
      </c>
    </row>
    <row r="7819" spans="1:14" x14ac:dyDescent="0.45">
      <c r="A7819">
        <v>2016</v>
      </c>
      <c r="B7819" t="s">
        <v>241</v>
      </c>
      <c r="C7819">
        <v>0</v>
      </c>
      <c r="D7819">
        <v>1</v>
      </c>
      <c r="E7819">
        <v>0</v>
      </c>
      <c r="F7819">
        <v>0</v>
      </c>
      <c r="G7819">
        <v>0</v>
      </c>
      <c r="H7819">
        <v>1</v>
      </c>
      <c r="I7819">
        <v>1</v>
      </c>
      <c r="J7819">
        <v>17625.720284351501</v>
      </c>
      <c r="K7819">
        <v>27440.377656564298</v>
      </c>
      <c r="L7819">
        <v>7.4829999999999997</v>
      </c>
      <c r="M7819">
        <v>77.436999999999998</v>
      </c>
      <c r="N7819">
        <v>6.77</v>
      </c>
    </row>
    <row r="7820" spans="1:14" x14ac:dyDescent="0.45">
      <c r="A7820">
        <v>2016</v>
      </c>
      <c r="B7820" t="s">
        <v>242</v>
      </c>
      <c r="C7820">
        <v>0</v>
      </c>
      <c r="D7820">
        <v>0</v>
      </c>
      <c r="E7820">
        <v>1</v>
      </c>
      <c r="F7820">
        <v>0</v>
      </c>
      <c r="G7820">
        <v>0</v>
      </c>
      <c r="H7820">
        <v>0</v>
      </c>
      <c r="I7820">
        <v>0</v>
      </c>
      <c r="J7820">
        <v>2623.1207027149399</v>
      </c>
      <c r="K7820">
        <v>2203.5162911706202</v>
      </c>
      <c r="L7820">
        <v>77.322999999999993</v>
      </c>
      <c r="M7820">
        <v>51.603000000000002</v>
      </c>
      <c r="N7820">
        <v>124.81</v>
      </c>
    </row>
    <row r="7821" spans="1:14" x14ac:dyDescent="0.45">
      <c r="A7821">
        <v>2016</v>
      </c>
      <c r="B7821" t="s">
        <v>243</v>
      </c>
      <c r="C7821">
        <v>0</v>
      </c>
      <c r="D7821">
        <v>0</v>
      </c>
      <c r="E7821">
        <v>1</v>
      </c>
      <c r="F7821">
        <v>0</v>
      </c>
      <c r="G7821">
        <v>0</v>
      </c>
      <c r="H7821">
        <v>0</v>
      </c>
      <c r="I7821">
        <v>0</v>
      </c>
      <c r="J7821">
        <v>2355.2682655151898</v>
      </c>
      <c r="K7821">
        <v>1957.3168237724201</v>
      </c>
      <c r="L7821">
        <v>59.372</v>
      </c>
      <c r="M7821">
        <v>59.668999999999997</v>
      </c>
      <c r="N7821">
        <v>73.460999999999999</v>
      </c>
    </row>
    <row r="7822" spans="1:14" x14ac:dyDescent="0.45">
      <c r="A7822">
        <v>2016</v>
      </c>
      <c r="B7822" t="s">
        <v>244</v>
      </c>
      <c r="C7822">
        <v>0</v>
      </c>
      <c r="D7822">
        <v>0</v>
      </c>
      <c r="E7822">
        <v>0</v>
      </c>
      <c r="F7822">
        <v>0</v>
      </c>
      <c r="G7822">
        <v>1</v>
      </c>
      <c r="H7822">
        <v>0</v>
      </c>
      <c r="I7822">
        <v>0</v>
      </c>
      <c r="J7822">
        <v>19370.608781011699</v>
      </c>
      <c r="K7822">
        <v>16940.1218374856</v>
      </c>
      <c r="L7822">
        <v>51.552</v>
      </c>
      <c r="M7822">
        <v>76.769000000000005</v>
      </c>
      <c r="N7822">
        <v>10.029</v>
      </c>
    </row>
    <row r="7823" spans="1:14" x14ac:dyDescent="0.45">
      <c r="A7823">
        <v>2016</v>
      </c>
      <c r="B7823" t="s">
        <v>245</v>
      </c>
      <c r="C7823">
        <v>1</v>
      </c>
      <c r="D7823">
        <v>0</v>
      </c>
      <c r="E7823">
        <v>0</v>
      </c>
      <c r="F7823">
        <v>1</v>
      </c>
      <c r="G7823">
        <v>0</v>
      </c>
      <c r="H7823">
        <v>0</v>
      </c>
      <c r="I7823">
        <v>0</v>
      </c>
      <c r="J7823">
        <v>3169.9667820524</v>
      </c>
      <c r="K7823">
        <v>2887.00033923828</v>
      </c>
      <c r="L7823">
        <v>73.149000000000001</v>
      </c>
      <c r="M7823">
        <v>69.981999999999999</v>
      </c>
      <c r="N7823">
        <v>36.753999999999998</v>
      </c>
    </row>
    <row r="7824" spans="1:14" x14ac:dyDescent="0.45">
      <c r="A7824">
        <v>2016</v>
      </c>
      <c r="B7824" t="s">
        <v>246</v>
      </c>
      <c r="C7824">
        <v>1</v>
      </c>
      <c r="D7824">
        <v>0</v>
      </c>
      <c r="E7824">
        <v>0</v>
      </c>
      <c r="F7824">
        <v>0</v>
      </c>
      <c r="G7824">
        <v>1</v>
      </c>
      <c r="H7824">
        <v>0</v>
      </c>
      <c r="I7824">
        <v>0</v>
      </c>
      <c r="J7824">
        <v>13552.8477118745</v>
      </c>
      <c r="K7824">
        <v>12756.1967209865</v>
      </c>
      <c r="L7824">
        <v>49.271999999999998</v>
      </c>
      <c r="M7824">
        <v>69.141999999999996</v>
      </c>
      <c r="N7824">
        <v>42.694000000000003</v>
      </c>
    </row>
    <row r="7825" spans="1:14" x14ac:dyDescent="0.45">
      <c r="A7825">
        <v>2016</v>
      </c>
      <c r="B7825" t="s">
        <v>247</v>
      </c>
      <c r="C7825">
        <v>0</v>
      </c>
      <c r="D7825">
        <v>0</v>
      </c>
      <c r="E7825">
        <v>0</v>
      </c>
      <c r="F7825">
        <v>1</v>
      </c>
      <c r="G7825">
        <v>0</v>
      </c>
      <c r="H7825">
        <v>0</v>
      </c>
      <c r="I7825">
        <v>0</v>
      </c>
      <c r="J7825">
        <v>4517.58126947439</v>
      </c>
      <c r="K7825">
        <v>3645.06757059541</v>
      </c>
      <c r="L7825">
        <v>70.150000000000006</v>
      </c>
      <c r="M7825">
        <v>65.61</v>
      </c>
      <c r="N7825">
        <v>59.08</v>
      </c>
    </row>
    <row r="7826" spans="1:14" x14ac:dyDescent="0.45">
      <c r="A7826">
        <v>2016</v>
      </c>
      <c r="B7826" t="s">
        <v>248</v>
      </c>
      <c r="C7826">
        <v>0</v>
      </c>
      <c r="D7826">
        <v>0</v>
      </c>
      <c r="E7826">
        <v>0</v>
      </c>
      <c r="F7826">
        <v>0</v>
      </c>
      <c r="G7826">
        <v>1</v>
      </c>
      <c r="H7826">
        <v>0</v>
      </c>
      <c r="I7826">
        <v>0</v>
      </c>
      <c r="J7826">
        <v>6639.1365324930503</v>
      </c>
      <c r="K7826">
        <v>6009.9539981563703</v>
      </c>
      <c r="L7826">
        <v>76.778000000000006</v>
      </c>
      <c r="M7826">
        <v>71.950999999999993</v>
      </c>
      <c r="N7826">
        <v>12.239000000000001</v>
      </c>
    </row>
    <row r="7827" spans="1:14" x14ac:dyDescent="0.45">
      <c r="A7827">
        <v>2016</v>
      </c>
      <c r="B7827" t="s">
        <v>249</v>
      </c>
      <c r="C7827">
        <v>0</v>
      </c>
      <c r="D7827">
        <v>1</v>
      </c>
      <c r="E7827">
        <v>0</v>
      </c>
      <c r="F7827">
        <v>0</v>
      </c>
      <c r="G7827">
        <v>0</v>
      </c>
      <c r="H7827">
        <v>1</v>
      </c>
      <c r="I7827">
        <v>1</v>
      </c>
      <c r="J7827">
        <v>35955.5019486085</v>
      </c>
      <c r="K7827">
        <v>30008.211140523101</v>
      </c>
      <c r="L7827">
        <v>46.75</v>
      </c>
      <c r="M7827">
        <v>72.935000000000002</v>
      </c>
      <c r="N7827">
        <v>18.651</v>
      </c>
    </row>
    <row r="7828" spans="1:14" x14ac:dyDescent="0.45">
      <c r="A7828">
        <v>2016</v>
      </c>
      <c r="B7828" t="s">
        <v>250</v>
      </c>
      <c r="C7828">
        <v>0</v>
      </c>
      <c r="D7828">
        <v>0</v>
      </c>
      <c r="E7828">
        <v>0</v>
      </c>
      <c r="F7828">
        <v>1</v>
      </c>
      <c r="G7828">
        <v>0</v>
      </c>
      <c r="H7828">
        <v>0</v>
      </c>
      <c r="I7828">
        <v>0</v>
      </c>
      <c r="J7828">
        <v>12803.8736135284</v>
      </c>
      <c r="K7828">
        <v>11158.3619738178</v>
      </c>
      <c r="L7828">
        <v>31.654</v>
      </c>
      <c r="M7828">
        <v>75.007000000000005</v>
      </c>
      <c r="N7828">
        <v>16.702000000000002</v>
      </c>
    </row>
    <row r="7829" spans="1:14" x14ac:dyDescent="0.45">
      <c r="A7829">
        <v>2016</v>
      </c>
      <c r="B7829" t="s">
        <v>251</v>
      </c>
      <c r="C7829">
        <v>1</v>
      </c>
      <c r="D7829">
        <v>0</v>
      </c>
      <c r="E7829">
        <v>0</v>
      </c>
      <c r="F7829">
        <v>0</v>
      </c>
      <c r="G7829">
        <v>1</v>
      </c>
      <c r="H7829">
        <v>0</v>
      </c>
      <c r="I7829">
        <v>0</v>
      </c>
      <c r="J7829">
        <v>26246.494711835399</v>
      </c>
      <c r="K7829">
        <v>26316.7082977381</v>
      </c>
      <c r="L7829">
        <v>25.866</v>
      </c>
      <c r="M7829">
        <v>76.594999999999999</v>
      </c>
      <c r="N7829">
        <v>12.734</v>
      </c>
    </row>
    <row r="7830" spans="1:14" x14ac:dyDescent="0.45">
      <c r="A7830">
        <v>2016</v>
      </c>
      <c r="B7830" t="s">
        <v>252</v>
      </c>
      <c r="C7830">
        <v>0</v>
      </c>
      <c r="D7830">
        <v>0</v>
      </c>
      <c r="E7830">
        <v>0</v>
      </c>
      <c r="F7830">
        <v>0</v>
      </c>
      <c r="G7830">
        <v>1</v>
      </c>
      <c r="H7830">
        <v>0</v>
      </c>
      <c r="I7830">
        <v>0</v>
      </c>
      <c r="J7830">
        <v>4333.2489936216198</v>
      </c>
      <c r="K7830">
        <v>3920.0928372466201</v>
      </c>
      <c r="L7830">
        <v>39.354999999999997</v>
      </c>
      <c r="M7830">
        <v>65.510000000000005</v>
      </c>
      <c r="N7830">
        <v>25.047999999999998</v>
      </c>
    </row>
    <row r="7831" spans="1:14" x14ac:dyDescent="0.45">
      <c r="A7831">
        <v>2016</v>
      </c>
      <c r="B7831" t="s">
        <v>253</v>
      </c>
      <c r="C7831">
        <v>0</v>
      </c>
      <c r="D7831">
        <v>0</v>
      </c>
      <c r="E7831">
        <v>0</v>
      </c>
      <c r="F7831">
        <v>0</v>
      </c>
      <c r="G7831">
        <v>0</v>
      </c>
      <c r="H7831">
        <v>1</v>
      </c>
      <c r="I7831">
        <v>1</v>
      </c>
      <c r="L7831">
        <v>43.264000000000003</v>
      </c>
      <c r="M7831">
        <v>79.7</v>
      </c>
      <c r="N7831">
        <v>4.867</v>
      </c>
    </row>
    <row r="7832" spans="1:14" x14ac:dyDescent="0.45">
      <c r="A7832">
        <v>2016</v>
      </c>
      <c r="B7832" t="s">
        <v>254</v>
      </c>
      <c r="C7832">
        <v>0</v>
      </c>
      <c r="D7832">
        <v>0</v>
      </c>
      <c r="E7832">
        <v>1</v>
      </c>
      <c r="F7832">
        <v>0</v>
      </c>
      <c r="G7832">
        <v>0</v>
      </c>
      <c r="H7832">
        <v>0</v>
      </c>
      <c r="I7832">
        <v>0</v>
      </c>
      <c r="J7832">
        <v>3214.24682617188</v>
      </c>
      <c r="K7832">
        <v>2394.1855448609899</v>
      </c>
      <c r="L7832">
        <v>67.667000000000002</v>
      </c>
      <c r="M7832">
        <v>64.403999999999996</v>
      </c>
      <c r="N7832">
        <v>52.091000000000001</v>
      </c>
    </row>
    <row r="7833" spans="1:14" x14ac:dyDescent="0.45">
      <c r="A7833">
        <v>2016</v>
      </c>
      <c r="B7833" t="s">
        <v>255</v>
      </c>
      <c r="C7833">
        <v>0</v>
      </c>
      <c r="D7833">
        <v>0</v>
      </c>
      <c r="E7833">
        <v>1</v>
      </c>
      <c r="F7833">
        <v>0</v>
      </c>
      <c r="G7833">
        <v>0</v>
      </c>
      <c r="H7833">
        <v>0</v>
      </c>
      <c r="I7833">
        <v>0</v>
      </c>
      <c r="J7833">
        <v>2554.2276906207298</v>
      </c>
      <c r="K7833">
        <v>2166.7629727301801</v>
      </c>
      <c r="L7833">
        <v>77.376000000000005</v>
      </c>
      <c r="M7833">
        <v>64.494</v>
      </c>
      <c r="N7833">
        <v>52.664000000000001</v>
      </c>
    </row>
    <row r="7834" spans="1:14" x14ac:dyDescent="0.45">
      <c r="A7834">
        <v>2016</v>
      </c>
      <c r="B7834" t="s">
        <v>256</v>
      </c>
      <c r="C7834">
        <v>1</v>
      </c>
      <c r="D7834">
        <v>0</v>
      </c>
      <c r="E7834">
        <v>0</v>
      </c>
      <c r="F7834">
        <v>1</v>
      </c>
      <c r="G7834">
        <v>0</v>
      </c>
      <c r="H7834">
        <v>0</v>
      </c>
      <c r="I7834">
        <v>0</v>
      </c>
      <c r="J7834">
        <v>15856.8125</v>
      </c>
      <c r="K7834">
        <v>11215.294083742499</v>
      </c>
      <c r="L7834">
        <v>30.846</v>
      </c>
      <c r="M7834">
        <v>73.388999999999996</v>
      </c>
      <c r="N7834">
        <v>8.74</v>
      </c>
    </row>
    <row r="7835" spans="1:14" x14ac:dyDescent="0.45">
      <c r="A7835">
        <v>2016</v>
      </c>
      <c r="B7835" t="s">
        <v>257</v>
      </c>
      <c r="C7835">
        <v>0</v>
      </c>
      <c r="D7835">
        <v>1</v>
      </c>
      <c r="E7835">
        <v>0</v>
      </c>
      <c r="F7835">
        <v>0</v>
      </c>
      <c r="G7835">
        <v>0</v>
      </c>
      <c r="H7835">
        <v>1</v>
      </c>
      <c r="I7835">
        <v>1</v>
      </c>
      <c r="J7835">
        <v>29332.5672615246</v>
      </c>
      <c r="K7835">
        <v>23265.670694239201</v>
      </c>
      <c r="L7835">
        <v>4.8559999999999901</v>
      </c>
      <c r="M7835">
        <v>77.350999999999999</v>
      </c>
      <c r="N7835">
        <v>8.5259999999999998</v>
      </c>
    </row>
    <row r="7836" spans="1:14" x14ac:dyDescent="0.45">
      <c r="A7836">
        <v>2016</v>
      </c>
      <c r="B7836" t="s">
        <v>258</v>
      </c>
      <c r="C7836">
        <v>0</v>
      </c>
      <c r="D7836">
        <v>0</v>
      </c>
      <c r="E7836">
        <v>0</v>
      </c>
      <c r="F7836">
        <v>0</v>
      </c>
      <c r="G7836">
        <v>0</v>
      </c>
      <c r="H7836">
        <v>1</v>
      </c>
      <c r="I7836">
        <v>1</v>
      </c>
      <c r="J7836">
        <v>65017.654962724897</v>
      </c>
      <c r="K7836">
        <v>59014.874436253398</v>
      </c>
      <c r="L7836">
        <v>18.138000000000002</v>
      </c>
      <c r="M7836">
        <v>78.686000000000007</v>
      </c>
      <c r="N7836">
        <v>6.843</v>
      </c>
    </row>
    <row r="7837" spans="1:14" x14ac:dyDescent="0.45">
      <c r="A7837">
        <v>2016</v>
      </c>
      <c r="B7837" t="s">
        <v>259</v>
      </c>
      <c r="C7837">
        <v>1</v>
      </c>
      <c r="D7837">
        <v>0</v>
      </c>
      <c r="E7837">
        <v>0</v>
      </c>
      <c r="F7837">
        <v>1</v>
      </c>
      <c r="G7837">
        <v>0</v>
      </c>
      <c r="H7837">
        <v>0</v>
      </c>
      <c r="I7837">
        <v>0</v>
      </c>
      <c r="J7837">
        <v>7839.97820100236</v>
      </c>
      <c r="K7837">
        <v>7616.8289163438503</v>
      </c>
      <c r="L7837">
        <v>49.35</v>
      </c>
      <c r="M7837">
        <v>71.58</v>
      </c>
      <c r="N7837">
        <v>18.745000000000001</v>
      </c>
    </row>
    <row r="7838" spans="1:14" x14ac:dyDescent="0.45">
      <c r="A7838">
        <v>2016</v>
      </c>
      <c r="B7838" t="s">
        <v>260</v>
      </c>
      <c r="C7838">
        <v>0</v>
      </c>
      <c r="D7838">
        <v>1</v>
      </c>
      <c r="E7838">
        <v>0</v>
      </c>
      <c r="F7838">
        <v>0</v>
      </c>
      <c r="G7838">
        <v>1</v>
      </c>
      <c r="H7838">
        <v>0</v>
      </c>
      <c r="I7838">
        <v>0</v>
      </c>
      <c r="J7838">
        <v>15212.619760032499</v>
      </c>
      <c r="K7838">
        <v>13295.239092526401</v>
      </c>
      <c r="L7838">
        <v>48.627000000000002</v>
      </c>
      <c r="M7838">
        <v>70.7</v>
      </c>
      <c r="N7838">
        <v>16.241</v>
      </c>
    </row>
    <row r="7839" spans="1:14" x14ac:dyDescent="0.45">
      <c r="A7839">
        <v>2016</v>
      </c>
      <c r="B7839" t="s">
        <v>261</v>
      </c>
      <c r="C7839">
        <v>0</v>
      </c>
      <c r="D7839">
        <v>1</v>
      </c>
      <c r="E7839">
        <v>0</v>
      </c>
      <c r="F7839">
        <v>0</v>
      </c>
      <c r="G7839">
        <v>1</v>
      </c>
      <c r="H7839">
        <v>0</v>
      </c>
      <c r="I7839">
        <v>0</v>
      </c>
      <c r="L7839">
        <v>11.835000000000001</v>
      </c>
      <c r="M7839">
        <v>72.001999999999995</v>
      </c>
      <c r="N7839">
        <v>18.452000000000002</v>
      </c>
    </row>
    <row r="7840" spans="1:14" x14ac:dyDescent="0.45">
      <c r="A7840">
        <v>2016</v>
      </c>
      <c r="B7840" t="s">
        <v>262</v>
      </c>
      <c r="C7840">
        <v>0</v>
      </c>
      <c r="D7840">
        <v>1</v>
      </c>
      <c r="E7840">
        <v>0</v>
      </c>
      <c r="F7840">
        <v>0</v>
      </c>
      <c r="G7840">
        <v>0</v>
      </c>
      <c r="H7840">
        <v>1</v>
      </c>
      <c r="I7840">
        <v>1</v>
      </c>
      <c r="L7840">
        <v>53.042999999999999</v>
      </c>
      <c r="M7840">
        <v>76.623999999999995</v>
      </c>
      <c r="N7840">
        <v>14.91</v>
      </c>
    </row>
    <row r="7841" spans="1:14" x14ac:dyDescent="0.45">
      <c r="A7841">
        <v>2016</v>
      </c>
      <c r="B7841" t="s">
        <v>263</v>
      </c>
      <c r="C7841">
        <v>0</v>
      </c>
      <c r="D7841">
        <v>1</v>
      </c>
      <c r="E7841">
        <v>0</v>
      </c>
      <c r="F7841">
        <v>0</v>
      </c>
      <c r="G7841">
        <v>0</v>
      </c>
      <c r="H7841">
        <v>1</v>
      </c>
      <c r="I7841">
        <v>1</v>
      </c>
      <c r="J7841">
        <v>43502.433694156403</v>
      </c>
      <c r="K7841">
        <v>34069.984382116301</v>
      </c>
      <c r="L7841">
        <v>4.5199999999999996</v>
      </c>
      <c r="M7841">
        <v>74.424000000000007</v>
      </c>
      <c r="N7841">
        <v>7.5519999999999996</v>
      </c>
    </row>
    <row r="7842" spans="1:14" x14ac:dyDescent="0.45">
      <c r="A7842">
        <v>2016</v>
      </c>
      <c r="B7842" t="s">
        <v>264</v>
      </c>
      <c r="C7842">
        <v>0</v>
      </c>
      <c r="D7842">
        <v>0</v>
      </c>
      <c r="E7842">
        <v>0</v>
      </c>
      <c r="F7842">
        <v>1</v>
      </c>
      <c r="G7842">
        <v>0</v>
      </c>
      <c r="H7842">
        <v>0</v>
      </c>
      <c r="I7842">
        <v>0</v>
      </c>
      <c r="J7842">
        <v>9743.1882231455002</v>
      </c>
      <c r="K7842">
        <v>8681.98832988924</v>
      </c>
      <c r="L7842">
        <v>65.489999999999995</v>
      </c>
      <c r="M7842">
        <v>73.983999999999995</v>
      </c>
      <c r="N7842">
        <v>21.875</v>
      </c>
    </row>
    <row r="7843" spans="1:14" x14ac:dyDescent="0.45">
      <c r="A7843">
        <v>2016</v>
      </c>
      <c r="B7843" t="s">
        <v>265</v>
      </c>
      <c r="C7843">
        <v>0</v>
      </c>
      <c r="D7843">
        <v>0</v>
      </c>
      <c r="E7843">
        <v>0</v>
      </c>
      <c r="F7843">
        <v>1</v>
      </c>
      <c r="G7843">
        <v>0</v>
      </c>
      <c r="H7843">
        <v>0</v>
      </c>
      <c r="I7843">
        <v>0</v>
      </c>
      <c r="J7843">
        <v>3397.76730446486</v>
      </c>
      <c r="K7843">
        <v>3073.6248767152001</v>
      </c>
      <c r="L7843">
        <v>74.938000000000002</v>
      </c>
      <c r="M7843">
        <v>70.397000000000006</v>
      </c>
      <c r="N7843">
        <v>20.689</v>
      </c>
    </row>
    <row r="7844" spans="1:14" x14ac:dyDescent="0.45">
      <c r="A7844">
        <v>2016</v>
      </c>
      <c r="B7844" t="s">
        <v>266</v>
      </c>
      <c r="C7844">
        <v>0</v>
      </c>
      <c r="D7844">
        <v>0</v>
      </c>
      <c r="E7844">
        <v>0</v>
      </c>
      <c r="F7844">
        <v>0</v>
      </c>
      <c r="G7844">
        <v>1</v>
      </c>
      <c r="H7844">
        <v>0</v>
      </c>
      <c r="I7844">
        <v>0</v>
      </c>
      <c r="J7844">
        <v>6887.30523545285</v>
      </c>
      <c r="K7844">
        <v>6230.2655856984202</v>
      </c>
      <c r="L7844">
        <v>81.319000000000003</v>
      </c>
      <c r="M7844">
        <v>71.003</v>
      </c>
      <c r="N7844">
        <v>18.273</v>
      </c>
    </row>
    <row r="7845" spans="1:14" x14ac:dyDescent="0.45">
      <c r="A7845">
        <v>2016</v>
      </c>
      <c r="B7845" t="s">
        <v>267</v>
      </c>
      <c r="C7845">
        <v>1</v>
      </c>
      <c r="D7845">
        <v>0</v>
      </c>
      <c r="E7845">
        <v>0</v>
      </c>
      <c r="F7845">
        <v>1</v>
      </c>
      <c r="G7845">
        <v>0</v>
      </c>
      <c r="H7845">
        <v>0</v>
      </c>
      <c r="I7845">
        <v>0</v>
      </c>
      <c r="J7845">
        <v>10434.888825926801</v>
      </c>
      <c r="K7845">
        <v>9471.4672198598691</v>
      </c>
      <c r="L7845">
        <v>44.19</v>
      </c>
      <c r="M7845">
        <v>76.748000000000005</v>
      </c>
      <c r="N7845">
        <v>13.454000000000001</v>
      </c>
    </row>
    <row r="7846" spans="1:14" x14ac:dyDescent="0.45">
      <c r="A7846">
        <v>2016</v>
      </c>
      <c r="B7846" t="s">
        <v>268</v>
      </c>
      <c r="C7846">
        <v>0</v>
      </c>
      <c r="D7846">
        <v>0</v>
      </c>
      <c r="E7846">
        <v>0</v>
      </c>
      <c r="F7846">
        <v>1</v>
      </c>
      <c r="G7846">
        <v>0</v>
      </c>
      <c r="H7846">
        <v>0</v>
      </c>
      <c r="I7846">
        <v>0</v>
      </c>
      <c r="L7846">
        <v>64.605999999999995</v>
      </c>
      <c r="M7846">
        <v>67.105000000000004</v>
      </c>
      <c r="N7846">
        <v>48.298999999999999</v>
      </c>
    </row>
    <row r="7847" spans="1:14" x14ac:dyDescent="0.45">
      <c r="A7847">
        <v>2016</v>
      </c>
      <c r="B7847" t="s">
        <v>269</v>
      </c>
      <c r="C7847">
        <v>0</v>
      </c>
      <c r="D7847">
        <v>0</v>
      </c>
      <c r="E7847">
        <v>1</v>
      </c>
      <c r="F7847">
        <v>0</v>
      </c>
      <c r="G7847">
        <v>1</v>
      </c>
      <c r="H7847">
        <v>0</v>
      </c>
      <c r="I7847">
        <v>0</v>
      </c>
      <c r="J7847">
        <v>14519.030855302</v>
      </c>
      <c r="K7847">
        <v>13670.2647645614</v>
      </c>
      <c r="L7847">
        <v>34.658999999999999</v>
      </c>
      <c r="M7847">
        <v>64.748999999999995</v>
      </c>
      <c r="N7847">
        <v>36.241999999999997</v>
      </c>
    </row>
    <row r="7848" spans="1:14" x14ac:dyDescent="0.45">
      <c r="A7848">
        <v>2016</v>
      </c>
      <c r="B7848" t="s">
        <v>270</v>
      </c>
      <c r="C7848">
        <v>0</v>
      </c>
      <c r="D7848">
        <v>0</v>
      </c>
      <c r="E7848">
        <v>1</v>
      </c>
      <c r="F7848">
        <v>1</v>
      </c>
      <c r="G7848">
        <v>0</v>
      </c>
      <c r="H7848">
        <v>0</v>
      </c>
      <c r="I7848">
        <v>0</v>
      </c>
      <c r="J7848">
        <v>3598.1716602338902</v>
      </c>
      <c r="K7848">
        <v>3378.16961109876</v>
      </c>
      <c r="L7848">
        <v>57.561999999999998</v>
      </c>
      <c r="M7848">
        <v>61.128999999999998</v>
      </c>
      <c r="N7848">
        <v>65.954999999999998</v>
      </c>
    </row>
    <row r="7849" spans="1:14" x14ac:dyDescent="0.45">
      <c r="A7849">
        <v>2016</v>
      </c>
      <c r="B7849" t="s">
        <v>271</v>
      </c>
      <c r="C7849">
        <v>0</v>
      </c>
      <c r="D7849">
        <v>0</v>
      </c>
      <c r="E7849">
        <v>1</v>
      </c>
      <c r="F7849">
        <v>0</v>
      </c>
      <c r="G7849">
        <v>0</v>
      </c>
      <c r="H7849">
        <v>0</v>
      </c>
      <c r="I7849">
        <v>0</v>
      </c>
      <c r="J7849">
        <v>3345.3150233507399</v>
      </c>
      <c r="K7849">
        <v>2227.4307969322499</v>
      </c>
      <c r="L7849">
        <v>67.703999999999994</v>
      </c>
      <c r="M7849">
        <v>59.76</v>
      </c>
      <c r="N7849">
        <v>57.777000000000001</v>
      </c>
    </row>
    <row r="7850" spans="1:14" x14ac:dyDescent="0.45">
      <c r="A7850">
        <v>2017</v>
      </c>
      <c r="B7850" t="s">
        <v>54</v>
      </c>
      <c r="C7850">
        <v>0</v>
      </c>
      <c r="D7850">
        <v>1</v>
      </c>
      <c r="E7850">
        <v>0</v>
      </c>
      <c r="F7850">
        <v>0</v>
      </c>
      <c r="G7850">
        <v>0</v>
      </c>
      <c r="H7850">
        <v>1</v>
      </c>
      <c r="I7850">
        <v>1</v>
      </c>
      <c r="J7850">
        <v>38558.0045581753</v>
      </c>
      <c r="K7850">
        <v>37524.931466918497</v>
      </c>
      <c r="L7850">
        <v>56.707000000000001</v>
      </c>
      <c r="M7850">
        <v>75.62</v>
      </c>
      <c r="N7850">
        <v>15.912000000000001</v>
      </c>
    </row>
    <row r="7851" spans="1:14" x14ac:dyDescent="0.45">
      <c r="A7851">
        <v>2017</v>
      </c>
      <c r="B7851" t="s">
        <v>55</v>
      </c>
      <c r="C7851">
        <v>0</v>
      </c>
      <c r="D7851">
        <v>0</v>
      </c>
      <c r="E7851">
        <v>0</v>
      </c>
      <c r="F7851">
        <v>0</v>
      </c>
      <c r="G7851">
        <v>0</v>
      </c>
      <c r="H7851">
        <v>0</v>
      </c>
      <c r="I7851">
        <v>0</v>
      </c>
      <c r="J7851">
        <v>2952.9989159890902</v>
      </c>
      <c r="K7851">
        <v>2335.7959332969199</v>
      </c>
      <c r="L7851">
        <v>74.75</v>
      </c>
      <c r="M7851">
        <v>62.405999999999999</v>
      </c>
      <c r="N7851">
        <v>67.694999999999993</v>
      </c>
    </row>
    <row r="7852" spans="1:14" x14ac:dyDescent="0.45">
      <c r="A7852">
        <v>2017</v>
      </c>
      <c r="B7852" t="s">
        <v>56</v>
      </c>
      <c r="C7852">
        <v>0</v>
      </c>
      <c r="D7852">
        <v>0</v>
      </c>
      <c r="E7852">
        <v>1</v>
      </c>
      <c r="F7852">
        <v>1</v>
      </c>
      <c r="G7852">
        <v>0</v>
      </c>
      <c r="H7852">
        <v>0</v>
      </c>
      <c r="I7852">
        <v>0</v>
      </c>
      <c r="J7852">
        <v>9042.1171294023206</v>
      </c>
      <c r="K7852">
        <v>6992.7284746836203</v>
      </c>
      <c r="L7852">
        <v>35.161000000000001</v>
      </c>
      <c r="M7852">
        <v>62.122</v>
      </c>
      <c r="N7852">
        <v>80.611000000000004</v>
      </c>
    </row>
    <row r="7853" spans="1:14" x14ac:dyDescent="0.45">
      <c r="A7853">
        <v>2017</v>
      </c>
      <c r="B7853" t="s">
        <v>57</v>
      </c>
      <c r="C7853">
        <v>1</v>
      </c>
      <c r="D7853">
        <v>0</v>
      </c>
      <c r="E7853">
        <v>0</v>
      </c>
      <c r="F7853">
        <v>0</v>
      </c>
      <c r="G7853">
        <v>1</v>
      </c>
      <c r="H7853">
        <v>0</v>
      </c>
      <c r="I7853">
        <v>0</v>
      </c>
      <c r="J7853">
        <v>14155.0397519253</v>
      </c>
      <c r="K7853">
        <v>12823.816756443901</v>
      </c>
      <c r="L7853">
        <v>40.616999999999997</v>
      </c>
      <c r="M7853">
        <v>78.900000000000006</v>
      </c>
      <c r="N7853">
        <v>9.6180000000000003</v>
      </c>
    </row>
    <row r="7854" spans="1:14" x14ac:dyDescent="0.45">
      <c r="A7854">
        <v>2017</v>
      </c>
      <c r="B7854" t="s">
        <v>58</v>
      </c>
      <c r="C7854">
        <v>1</v>
      </c>
      <c r="D7854">
        <v>0</v>
      </c>
      <c r="E7854">
        <v>0</v>
      </c>
      <c r="F7854">
        <v>0</v>
      </c>
      <c r="G7854">
        <v>0</v>
      </c>
      <c r="H7854">
        <v>1</v>
      </c>
      <c r="I7854">
        <v>1</v>
      </c>
      <c r="J7854">
        <v>63239.657771191101</v>
      </c>
      <c r="K7854">
        <v>53084.863310517299</v>
      </c>
      <c r="L7854">
        <v>11.85</v>
      </c>
      <c r="M7854">
        <v>84.358999999999995</v>
      </c>
      <c r="N7854">
        <v>5.9240000000000004</v>
      </c>
    </row>
    <row r="7855" spans="1:14" x14ac:dyDescent="0.45">
      <c r="A7855">
        <v>2017</v>
      </c>
      <c r="B7855" t="s">
        <v>59</v>
      </c>
      <c r="C7855">
        <v>0</v>
      </c>
      <c r="D7855">
        <v>0</v>
      </c>
      <c r="E7855">
        <v>0</v>
      </c>
      <c r="F7855">
        <v>0</v>
      </c>
      <c r="G7855">
        <v>0</v>
      </c>
      <c r="H7855">
        <v>1</v>
      </c>
      <c r="I7855">
        <v>1</v>
      </c>
      <c r="J7855">
        <v>68871.849581422895</v>
      </c>
      <c r="K7855">
        <v>68043.231023351007</v>
      </c>
      <c r="L7855">
        <v>13.752000000000001</v>
      </c>
      <c r="M7855">
        <v>82.388000000000005</v>
      </c>
      <c r="N7855">
        <v>7.1840000000000002</v>
      </c>
    </row>
    <row r="7856" spans="1:14" x14ac:dyDescent="0.45">
      <c r="A7856">
        <v>2017</v>
      </c>
      <c r="B7856" t="s">
        <v>60</v>
      </c>
      <c r="C7856">
        <v>0</v>
      </c>
      <c r="D7856">
        <v>1</v>
      </c>
      <c r="E7856">
        <v>0</v>
      </c>
      <c r="F7856">
        <v>0</v>
      </c>
      <c r="G7856">
        <v>0</v>
      </c>
      <c r="H7856">
        <v>1</v>
      </c>
      <c r="I7856">
        <v>1</v>
      </c>
      <c r="J7856">
        <v>28334.904184742001</v>
      </c>
      <c r="K7856">
        <v>23385.0738492825</v>
      </c>
      <c r="L7856">
        <v>8.2509999999999994</v>
      </c>
      <c r="M7856">
        <v>76.543000000000006</v>
      </c>
      <c r="N7856">
        <v>12.192</v>
      </c>
    </row>
    <row r="7857" spans="1:14" x14ac:dyDescent="0.45">
      <c r="A7857">
        <v>2017</v>
      </c>
      <c r="B7857" t="s">
        <v>61</v>
      </c>
      <c r="C7857">
        <v>1</v>
      </c>
      <c r="D7857">
        <v>0</v>
      </c>
      <c r="E7857">
        <v>0</v>
      </c>
      <c r="F7857">
        <v>0</v>
      </c>
      <c r="G7857">
        <v>1</v>
      </c>
      <c r="H7857">
        <v>0</v>
      </c>
      <c r="I7857">
        <v>0</v>
      </c>
      <c r="J7857">
        <v>14243.8749003795</v>
      </c>
      <c r="K7857">
        <v>12066.003967426601</v>
      </c>
      <c r="L7857">
        <v>36.896999999999998</v>
      </c>
      <c r="M7857">
        <v>74.744</v>
      </c>
      <c r="N7857">
        <v>13.159000000000001</v>
      </c>
    </row>
    <row r="7858" spans="1:14" x14ac:dyDescent="0.45">
      <c r="A7858">
        <v>2017</v>
      </c>
      <c r="B7858" t="s">
        <v>62</v>
      </c>
      <c r="C7858">
        <v>0</v>
      </c>
      <c r="D7858">
        <v>0</v>
      </c>
      <c r="E7858">
        <v>0</v>
      </c>
      <c r="F7858">
        <v>0</v>
      </c>
      <c r="G7858">
        <v>1</v>
      </c>
      <c r="H7858">
        <v>0</v>
      </c>
      <c r="I7858">
        <v>0</v>
      </c>
      <c r="L7858">
        <v>12.83</v>
      </c>
      <c r="M7858">
        <v>72.801000000000002</v>
      </c>
      <c r="N7858">
        <v>11.025</v>
      </c>
    </row>
    <row r="7859" spans="1:14" x14ac:dyDescent="0.45">
      <c r="A7859">
        <v>2017</v>
      </c>
      <c r="B7859" t="s">
        <v>63</v>
      </c>
      <c r="C7859">
        <v>0</v>
      </c>
      <c r="D7859">
        <v>1</v>
      </c>
      <c r="E7859">
        <v>0</v>
      </c>
      <c r="F7859">
        <v>0</v>
      </c>
      <c r="G7859">
        <v>0</v>
      </c>
      <c r="H7859">
        <v>1</v>
      </c>
      <c r="I7859">
        <v>1</v>
      </c>
      <c r="J7859">
        <v>27199.1952402262</v>
      </c>
      <c r="K7859">
        <v>21421.999979693999</v>
      </c>
      <c r="L7859">
        <v>75.287000000000006</v>
      </c>
      <c r="M7859">
        <v>77.03</v>
      </c>
      <c r="N7859">
        <v>10.694000000000001</v>
      </c>
    </row>
    <row r="7860" spans="1:14" x14ac:dyDescent="0.45">
      <c r="A7860">
        <v>2017</v>
      </c>
      <c r="B7860" t="s">
        <v>64</v>
      </c>
      <c r="C7860">
        <v>0</v>
      </c>
      <c r="D7860">
        <v>0</v>
      </c>
      <c r="E7860">
        <v>0</v>
      </c>
      <c r="F7860">
        <v>0</v>
      </c>
      <c r="G7860">
        <v>0</v>
      </c>
      <c r="H7860">
        <v>1</v>
      </c>
      <c r="I7860">
        <v>1</v>
      </c>
      <c r="J7860">
        <v>56684.647333814297</v>
      </c>
      <c r="K7860">
        <v>49097.497470202201</v>
      </c>
      <c r="L7860">
        <v>14.096</v>
      </c>
      <c r="M7860">
        <v>82.718000000000004</v>
      </c>
      <c r="N7860">
        <v>3.9409999999999998</v>
      </c>
    </row>
    <row r="7861" spans="1:14" x14ac:dyDescent="0.45">
      <c r="A7861">
        <v>2017</v>
      </c>
      <c r="B7861" t="s">
        <v>65</v>
      </c>
      <c r="C7861">
        <v>1</v>
      </c>
      <c r="D7861">
        <v>0</v>
      </c>
      <c r="E7861">
        <v>0</v>
      </c>
      <c r="F7861">
        <v>0</v>
      </c>
      <c r="G7861">
        <v>0</v>
      </c>
      <c r="H7861">
        <v>1</v>
      </c>
      <c r="I7861">
        <v>1</v>
      </c>
      <c r="J7861">
        <v>62612.139933797902</v>
      </c>
      <c r="K7861">
        <v>53355.281548601903</v>
      </c>
      <c r="L7861">
        <v>41.905999999999999</v>
      </c>
      <c r="M7861">
        <v>81.638999999999996</v>
      </c>
      <c r="N7861">
        <v>3.609</v>
      </c>
    </row>
    <row r="7862" spans="1:14" x14ac:dyDescent="0.45">
      <c r="A7862">
        <v>2017</v>
      </c>
      <c r="B7862" t="s">
        <v>66</v>
      </c>
      <c r="C7862">
        <v>1</v>
      </c>
      <c r="D7862">
        <v>0</v>
      </c>
      <c r="E7862">
        <v>0</v>
      </c>
      <c r="F7862">
        <v>0</v>
      </c>
      <c r="G7862">
        <v>1</v>
      </c>
      <c r="H7862">
        <v>0</v>
      </c>
      <c r="I7862">
        <v>0</v>
      </c>
      <c r="J7862">
        <v>19659.004851142399</v>
      </c>
      <c r="K7862">
        <v>14315.9302239726</v>
      </c>
      <c r="L7862">
        <v>44.656999999999996</v>
      </c>
      <c r="M7862">
        <v>72.694000000000003</v>
      </c>
      <c r="N7862">
        <v>23.678999999999998</v>
      </c>
    </row>
    <row r="7863" spans="1:14" x14ac:dyDescent="0.45">
      <c r="A7863">
        <v>2017</v>
      </c>
      <c r="B7863" t="s">
        <v>67</v>
      </c>
      <c r="C7863">
        <v>0</v>
      </c>
      <c r="D7863">
        <v>0</v>
      </c>
      <c r="E7863">
        <v>1</v>
      </c>
      <c r="F7863">
        <v>0</v>
      </c>
      <c r="G7863">
        <v>0</v>
      </c>
      <c r="H7863">
        <v>0</v>
      </c>
      <c r="I7863">
        <v>0</v>
      </c>
      <c r="J7863">
        <v>880.99344012870597</v>
      </c>
      <c r="K7863">
        <v>761.26928882712298</v>
      </c>
      <c r="L7863">
        <v>87.293999999999997</v>
      </c>
      <c r="M7863">
        <v>61.344999999999999</v>
      </c>
      <c r="N7863">
        <v>62.06</v>
      </c>
    </row>
    <row r="7864" spans="1:14" x14ac:dyDescent="0.45">
      <c r="A7864">
        <v>2017</v>
      </c>
      <c r="B7864" t="s">
        <v>68</v>
      </c>
      <c r="C7864">
        <v>1</v>
      </c>
      <c r="D7864">
        <v>0</v>
      </c>
      <c r="E7864">
        <v>0</v>
      </c>
      <c r="F7864">
        <v>0</v>
      </c>
      <c r="G7864">
        <v>0</v>
      </c>
      <c r="H7864">
        <v>1</v>
      </c>
      <c r="I7864">
        <v>1</v>
      </c>
      <c r="J7864">
        <v>58555.152476778501</v>
      </c>
      <c r="K7864">
        <v>49275.134374879497</v>
      </c>
      <c r="L7864">
        <v>2.0390000000000001</v>
      </c>
      <c r="M7864">
        <v>81.361999999999995</v>
      </c>
      <c r="N7864">
        <v>4.218</v>
      </c>
    </row>
    <row r="7865" spans="1:14" x14ac:dyDescent="0.45">
      <c r="A7865">
        <v>2017</v>
      </c>
      <c r="B7865" t="s">
        <v>69</v>
      </c>
      <c r="C7865">
        <v>0</v>
      </c>
      <c r="D7865">
        <v>0</v>
      </c>
      <c r="E7865">
        <v>1</v>
      </c>
      <c r="F7865">
        <v>0</v>
      </c>
      <c r="G7865">
        <v>0</v>
      </c>
      <c r="H7865">
        <v>0</v>
      </c>
      <c r="I7865">
        <v>0</v>
      </c>
      <c r="J7865">
        <v>3041.7792998498899</v>
      </c>
      <c r="K7865">
        <v>2885.8938430550602</v>
      </c>
      <c r="L7865">
        <v>53.231999999999999</v>
      </c>
      <c r="M7865">
        <v>59.527999999999999</v>
      </c>
      <c r="N7865">
        <v>92.680999999999997</v>
      </c>
    </row>
    <row r="7866" spans="1:14" x14ac:dyDescent="0.45">
      <c r="A7866">
        <v>2017</v>
      </c>
      <c r="B7866" t="s">
        <v>70</v>
      </c>
      <c r="C7866">
        <v>0</v>
      </c>
      <c r="D7866">
        <v>0</v>
      </c>
      <c r="E7866">
        <v>1</v>
      </c>
      <c r="F7866">
        <v>0</v>
      </c>
      <c r="G7866">
        <v>0</v>
      </c>
      <c r="H7866">
        <v>0</v>
      </c>
      <c r="I7866">
        <v>0</v>
      </c>
      <c r="J7866">
        <v>2232.2878149094399</v>
      </c>
      <c r="K7866">
        <v>2042.4029103155999</v>
      </c>
      <c r="L7866">
        <v>71.257000000000005</v>
      </c>
      <c r="M7866">
        <v>59.578000000000003</v>
      </c>
      <c r="N7866">
        <v>93.960999999999999</v>
      </c>
    </row>
    <row r="7867" spans="1:14" x14ac:dyDescent="0.45">
      <c r="A7867">
        <v>2017</v>
      </c>
      <c r="B7867" t="s">
        <v>71</v>
      </c>
      <c r="C7867">
        <v>0</v>
      </c>
      <c r="D7867">
        <v>0</v>
      </c>
      <c r="E7867">
        <v>0</v>
      </c>
      <c r="F7867">
        <v>1</v>
      </c>
      <c r="G7867">
        <v>0</v>
      </c>
      <c r="H7867">
        <v>0</v>
      </c>
      <c r="I7867">
        <v>0</v>
      </c>
      <c r="J7867">
        <v>6005.7071878104798</v>
      </c>
      <c r="K7867">
        <v>4882.6073022054798</v>
      </c>
      <c r="L7867">
        <v>64.141999999999996</v>
      </c>
      <c r="M7867">
        <v>71.605999999999995</v>
      </c>
      <c r="N7867">
        <v>35.267000000000003</v>
      </c>
    </row>
    <row r="7868" spans="1:14" x14ac:dyDescent="0.45">
      <c r="A7868">
        <v>2017</v>
      </c>
      <c r="B7868" t="s">
        <v>72</v>
      </c>
      <c r="C7868">
        <v>1</v>
      </c>
      <c r="D7868">
        <v>0</v>
      </c>
      <c r="E7868">
        <v>0</v>
      </c>
      <c r="F7868">
        <v>0</v>
      </c>
      <c r="G7868">
        <v>1</v>
      </c>
      <c r="H7868">
        <v>0</v>
      </c>
      <c r="I7868">
        <v>0</v>
      </c>
      <c r="J7868">
        <v>26681.428833494301</v>
      </c>
      <c r="K7868">
        <v>22140.235577920801</v>
      </c>
      <c r="L7868">
        <v>25.331</v>
      </c>
      <c r="M7868">
        <v>74.798000000000002</v>
      </c>
      <c r="N7868">
        <v>7.6619999999999999</v>
      </c>
    </row>
    <row r="7869" spans="1:14" x14ac:dyDescent="0.45">
      <c r="A7869">
        <v>2017</v>
      </c>
      <c r="B7869" t="s">
        <v>73</v>
      </c>
      <c r="C7869">
        <v>0</v>
      </c>
      <c r="D7869">
        <v>0</v>
      </c>
      <c r="E7869">
        <v>0</v>
      </c>
      <c r="F7869">
        <v>0</v>
      </c>
      <c r="G7869">
        <v>0</v>
      </c>
      <c r="H7869">
        <v>1</v>
      </c>
      <c r="I7869">
        <v>1</v>
      </c>
      <c r="J7869">
        <v>53859.774958960101</v>
      </c>
      <c r="K7869">
        <v>50184.504999298799</v>
      </c>
      <c r="L7869">
        <v>10.814</v>
      </c>
      <c r="M7869">
        <v>80.406999999999996</v>
      </c>
      <c r="N7869">
        <v>7.2949999999999999</v>
      </c>
    </row>
    <row r="7870" spans="1:14" x14ac:dyDescent="0.45">
      <c r="A7870">
        <v>2017</v>
      </c>
      <c r="B7870" t="s">
        <v>74</v>
      </c>
      <c r="C7870">
        <v>0</v>
      </c>
      <c r="D7870">
        <v>1</v>
      </c>
      <c r="E7870">
        <v>0</v>
      </c>
      <c r="F7870">
        <v>0</v>
      </c>
      <c r="G7870">
        <v>0</v>
      </c>
      <c r="H7870">
        <v>1</v>
      </c>
      <c r="I7870">
        <v>1</v>
      </c>
      <c r="J7870">
        <v>33049.872803868901</v>
      </c>
      <c r="K7870">
        <v>34282.169860520902</v>
      </c>
      <c r="L7870">
        <v>17.074999999999999</v>
      </c>
      <c r="M7870">
        <v>74.031000000000006</v>
      </c>
      <c r="N7870">
        <v>13.68</v>
      </c>
    </row>
    <row r="7871" spans="1:14" x14ac:dyDescent="0.45">
      <c r="A7871">
        <v>2017</v>
      </c>
      <c r="B7871" t="s">
        <v>75</v>
      </c>
      <c r="C7871">
        <v>1</v>
      </c>
      <c r="D7871">
        <v>0</v>
      </c>
      <c r="E7871">
        <v>0</v>
      </c>
      <c r="F7871">
        <v>0</v>
      </c>
      <c r="G7871">
        <v>1</v>
      </c>
      <c r="H7871">
        <v>0</v>
      </c>
      <c r="I7871">
        <v>0</v>
      </c>
      <c r="J7871">
        <v>15554.0600057104</v>
      </c>
      <c r="K7871">
        <v>13436.5503617267</v>
      </c>
      <c r="L7871">
        <v>52.124000000000002</v>
      </c>
      <c r="M7871">
        <v>77.385000000000005</v>
      </c>
      <c r="N7871">
        <v>6.3230000000000004</v>
      </c>
    </row>
    <row r="7872" spans="1:14" x14ac:dyDescent="0.45">
      <c r="A7872">
        <v>2017</v>
      </c>
      <c r="B7872" t="s">
        <v>76</v>
      </c>
      <c r="C7872">
        <v>1</v>
      </c>
      <c r="D7872">
        <v>0</v>
      </c>
      <c r="E7872">
        <v>0</v>
      </c>
      <c r="F7872">
        <v>0</v>
      </c>
      <c r="G7872">
        <v>1</v>
      </c>
      <c r="H7872">
        <v>0</v>
      </c>
      <c r="I7872">
        <v>0</v>
      </c>
      <c r="J7872">
        <v>25503.9809859341</v>
      </c>
      <c r="K7872">
        <v>18413.7484931945</v>
      </c>
      <c r="L7872">
        <v>21.866</v>
      </c>
      <c r="M7872">
        <v>74.361999999999995</v>
      </c>
      <c r="N7872">
        <v>3.577</v>
      </c>
    </row>
    <row r="7873" spans="1:14" x14ac:dyDescent="0.45">
      <c r="A7873">
        <v>2017</v>
      </c>
      <c r="B7873" t="s">
        <v>77</v>
      </c>
      <c r="C7873">
        <v>0</v>
      </c>
      <c r="D7873">
        <v>1</v>
      </c>
      <c r="E7873">
        <v>0</v>
      </c>
      <c r="F7873">
        <v>0</v>
      </c>
      <c r="G7873">
        <v>1</v>
      </c>
      <c r="H7873">
        <v>0</v>
      </c>
      <c r="I7873">
        <v>0</v>
      </c>
      <c r="J7873">
        <v>11574.452447146999</v>
      </c>
      <c r="K7873">
        <v>9121.7470043268604</v>
      </c>
      <c r="L7873">
        <v>54.399000000000001</v>
      </c>
      <c r="M7873">
        <v>72.061999999999998</v>
      </c>
      <c r="N7873">
        <v>14.201000000000001</v>
      </c>
    </row>
    <row r="7874" spans="1:14" x14ac:dyDescent="0.45">
      <c r="A7874">
        <v>2017</v>
      </c>
      <c r="B7874" t="s">
        <v>78</v>
      </c>
      <c r="C7874">
        <v>0</v>
      </c>
      <c r="D7874">
        <v>0</v>
      </c>
      <c r="E7874">
        <v>0</v>
      </c>
      <c r="F7874">
        <v>0</v>
      </c>
      <c r="G7874">
        <v>0</v>
      </c>
      <c r="H7874">
        <v>1</v>
      </c>
      <c r="I7874">
        <v>1</v>
      </c>
      <c r="J7874">
        <v>96437.191438851005</v>
      </c>
      <c r="K7874">
        <v>85680.964970652203</v>
      </c>
      <c r="L7874">
        <v>0</v>
      </c>
      <c r="M7874">
        <v>80.686000000000007</v>
      </c>
      <c r="N7874">
        <v>3.375</v>
      </c>
    </row>
    <row r="7875" spans="1:14" x14ac:dyDescent="0.45">
      <c r="A7875">
        <v>2017</v>
      </c>
      <c r="B7875" t="s">
        <v>79</v>
      </c>
      <c r="C7875">
        <v>0</v>
      </c>
      <c r="D7875">
        <v>1</v>
      </c>
      <c r="E7875">
        <v>0</v>
      </c>
      <c r="F7875">
        <v>1</v>
      </c>
      <c r="G7875">
        <v>0</v>
      </c>
      <c r="H7875">
        <v>0</v>
      </c>
      <c r="I7875">
        <v>0</v>
      </c>
      <c r="J7875">
        <v>9642.8139570613203</v>
      </c>
      <c r="K7875">
        <v>8510.2675089265194</v>
      </c>
      <c r="L7875">
        <v>30.92</v>
      </c>
      <c r="M7875">
        <v>67.536000000000001</v>
      </c>
      <c r="N7875">
        <v>48.695</v>
      </c>
    </row>
    <row r="7876" spans="1:14" x14ac:dyDescent="0.45">
      <c r="A7876">
        <v>2017</v>
      </c>
      <c r="B7876" t="s">
        <v>80</v>
      </c>
      <c r="C7876">
        <v>0</v>
      </c>
      <c r="D7876">
        <v>1</v>
      </c>
      <c r="E7876">
        <v>0</v>
      </c>
      <c r="F7876">
        <v>0</v>
      </c>
      <c r="G7876">
        <v>1</v>
      </c>
      <c r="H7876">
        <v>0</v>
      </c>
      <c r="I7876">
        <v>0</v>
      </c>
      <c r="J7876">
        <v>17724.4799577784</v>
      </c>
      <c r="K7876">
        <v>14559.0498635647</v>
      </c>
      <c r="L7876">
        <v>13.691000000000001</v>
      </c>
      <c r="M7876">
        <v>75.382999999999996</v>
      </c>
      <c r="N7876">
        <v>15.423</v>
      </c>
    </row>
    <row r="7877" spans="1:14" x14ac:dyDescent="0.45">
      <c r="A7877">
        <v>2017</v>
      </c>
      <c r="B7877" t="s">
        <v>81</v>
      </c>
      <c r="C7877">
        <v>0</v>
      </c>
      <c r="D7877">
        <v>1</v>
      </c>
      <c r="E7877">
        <v>0</v>
      </c>
      <c r="F7877">
        <v>0</v>
      </c>
      <c r="G7877">
        <v>0</v>
      </c>
      <c r="H7877">
        <v>1</v>
      </c>
      <c r="I7877">
        <v>1</v>
      </c>
      <c r="J7877">
        <v>18740.348833892102</v>
      </c>
      <c r="K7877">
        <v>17898.899102180199</v>
      </c>
      <c r="L7877">
        <v>68.840999999999994</v>
      </c>
      <c r="M7877">
        <v>76.236999999999995</v>
      </c>
      <c r="N7877">
        <v>12.699</v>
      </c>
    </row>
    <row r="7878" spans="1:14" x14ac:dyDescent="0.45">
      <c r="A7878">
        <v>2017</v>
      </c>
      <c r="B7878" t="s">
        <v>82</v>
      </c>
      <c r="C7878">
        <v>0</v>
      </c>
      <c r="D7878">
        <v>0</v>
      </c>
      <c r="E7878">
        <v>0</v>
      </c>
      <c r="F7878">
        <v>0</v>
      </c>
      <c r="G7878">
        <v>0</v>
      </c>
      <c r="H7878">
        <v>1</v>
      </c>
      <c r="I7878">
        <v>1</v>
      </c>
      <c r="J7878">
        <v>78966.864296128799</v>
      </c>
      <c r="K7878">
        <v>61657.680920908402</v>
      </c>
      <c r="L7878">
        <v>22.687999999999999</v>
      </c>
      <c r="M7878">
        <v>74.942999999999998</v>
      </c>
      <c r="N7878">
        <v>9.8780000000000001</v>
      </c>
    </row>
    <row r="7879" spans="1:14" x14ac:dyDescent="0.45">
      <c r="A7879">
        <v>2017</v>
      </c>
      <c r="B7879" t="s">
        <v>83</v>
      </c>
      <c r="C7879">
        <v>0</v>
      </c>
      <c r="D7879">
        <v>0</v>
      </c>
      <c r="E7879">
        <v>0</v>
      </c>
      <c r="F7879">
        <v>1</v>
      </c>
      <c r="G7879">
        <v>0</v>
      </c>
      <c r="H7879">
        <v>0</v>
      </c>
      <c r="I7879">
        <v>0</v>
      </c>
      <c r="J7879">
        <v>13482.342528035801</v>
      </c>
      <c r="K7879">
        <v>11677.41361969</v>
      </c>
      <c r="L7879">
        <v>59.832999999999998</v>
      </c>
      <c r="M7879">
        <v>71.412999999999997</v>
      </c>
      <c r="N7879">
        <v>28.199000000000002</v>
      </c>
    </row>
    <row r="7880" spans="1:14" x14ac:dyDescent="0.45">
      <c r="A7880">
        <v>2017</v>
      </c>
      <c r="B7880" t="s">
        <v>84</v>
      </c>
      <c r="C7880">
        <v>0</v>
      </c>
      <c r="D7880">
        <v>0</v>
      </c>
      <c r="E7880">
        <v>1</v>
      </c>
      <c r="F7880">
        <v>0</v>
      </c>
      <c r="G7880">
        <v>1</v>
      </c>
      <c r="H7880">
        <v>0</v>
      </c>
      <c r="I7880">
        <v>0</v>
      </c>
      <c r="J7880">
        <v>17352.895842884602</v>
      </c>
      <c r="K7880">
        <v>15700.6647660613</v>
      </c>
      <c r="L7880">
        <v>31.3</v>
      </c>
      <c r="M7880">
        <v>65.42</v>
      </c>
      <c r="N7880">
        <v>45.27</v>
      </c>
    </row>
    <row r="7881" spans="1:14" x14ac:dyDescent="0.45">
      <c r="A7881">
        <v>2017</v>
      </c>
      <c r="B7881" t="s">
        <v>85</v>
      </c>
      <c r="C7881">
        <v>0</v>
      </c>
      <c r="D7881">
        <v>0</v>
      </c>
      <c r="E7881">
        <v>1</v>
      </c>
      <c r="F7881">
        <v>0</v>
      </c>
      <c r="G7881">
        <v>0</v>
      </c>
      <c r="H7881">
        <v>0</v>
      </c>
      <c r="I7881">
        <v>0</v>
      </c>
      <c r="J7881">
        <v>1103.86609318724</v>
      </c>
      <c r="K7881">
        <v>883.81074489149705</v>
      </c>
      <c r="L7881">
        <v>59.02</v>
      </c>
      <c r="M7881">
        <v>45.231000000000002</v>
      </c>
      <c r="N7881">
        <v>150.959</v>
      </c>
    </row>
    <row r="7882" spans="1:14" x14ac:dyDescent="0.45">
      <c r="A7882">
        <v>2017</v>
      </c>
      <c r="B7882" t="s">
        <v>86</v>
      </c>
      <c r="C7882">
        <v>0</v>
      </c>
      <c r="D7882">
        <v>0</v>
      </c>
      <c r="E7882">
        <v>0</v>
      </c>
      <c r="F7882">
        <v>0</v>
      </c>
      <c r="G7882">
        <v>0</v>
      </c>
      <c r="H7882">
        <v>1</v>
      </c>
      <c r="I7882">
        <v>1</v>
      </c>
      <c r="J7882">
        <v>56612.328536744797</v>
      </c>
      <c r="K7882">
        <v>49004.569961419103</v>
      </c>
      <c r="L7882">
        <v>18.649999999999999</v>
      </c>
      <c r="M7882">
        <v>81.918999999999997</v>
      </c>
      <c r="N7882">
        <v>5.1849999999999996</v>
      </c>
    </row>
    <row r="7883" spans="1:14" x14ac:dyDescent="0.45">
      <c r="A7883">
        <v>2017</v>
      </c>
      <c r="B7883" t="s">
        <v>87</v>
      </c>
      <c r="C7883">
        <v>1</v>
      </c>
      <c r="D7883">
        <v>0</v>
      </c>
      <c r="E7883">
        <v>0</v>
      </c>
      <c r="F7883">
        <v>0</v>
      </c>
      <c r="G7883">
        <v>0</v>
      </c>
      <c r="H7883">
        <v>1</v>
      </c>
      <c r="I7883">
        <v>1</v>
      </c>
      <c r="J7883">
        <v>77626.902737694094</v>
      </c>
      <c r="K7883">
        <v>67532.836051503793</v>
      </c>
      <c r="L7883">
        <v>26.239000000000001</v>
      </c>
      <c r="M7883">
        <v>83.414000000000001</v>
      </c>
      <c r="N7883">
        <v>4.1509999999999998</v>
      </c>
    </row>
    <row r="7884" spans="1:14" x14ac:dyDescent="0.45">
      <c r="A7884">
        <v>2017</v>
      </c>
      <c r="B7884" t="s">
        <v>88</v>
      </c>
      <c r="C7884">
        <v>1</v>
      </c>
      <c r="D7884">
        <v>0</v>
      </c>
      <c r="E7884">
        <v>0</v>
      </c>
      <c r="F7884">
        <v>0</v>
      </c>
      <c r="G7884">
        <v>0</v>
      </c>
      <c r="H7884">
        <v>1</v>
      </c>
      <c r="I7884">
        <v>1</v>
      </c>
      <c r="L7884">
        <v>69.085999999999999</v>
      </c>
      <c r="M7884">
        <v>80.992223352138197</v>
      </c>
      <c r="N7884">
        <v>8.7201488446253901</v>
      </c>
    </row>
    <row r="7885" spans="1:14" x14ac:dyDescent="0.45">
      <c r="A7885">
        <v>2017</v>
      </c>
      <c r="B7885" t="s">
        <v>89</v>
      </c>
      <c r="C7885">
        <v>0</v>
      </c>
      <c r="D7885">
        <v>1</v>
      </c>
      <c r="E7885">
        <v>0</v>
      </c>
      <c r="F7885">
        <v>0</v>
      </c>
      <c r="G7885">
        <v>0</v>
      </c>
      <c r="H7885">
        <v>1</v>
      </c>
      <c r="I7885">
        <v>1</v>
      </c>
      <c r="J7885">
        <v>27892.994686282698</v>
      </c>
      <c r="K7885">
        <v>24297.084119078801</v>
      </c>
      <c r="L7885">
        <v>12.51</v>
      </c>
      <c r="M7885">
        <v>80.61</v>
      </c>
      <c r="N7885">
        <v>7.7249999999999996</v>
      </c>
    </row>
    <row r="7886" spans="1:14" x14ac:dyDescent="0.45">
      <c r="A7886">
        <v>2017</v>
      </c>
      <c r="B7886" t="s">
        <v>90</v>
      </c>
      <c r="C7886">
        <v>0</v>
      </c>
      <c r="D7886">
        <v>0</v>
      </c>
      <c r="E7886">
        <v>0</v>
      </c>
      <c r="F7886">
        <v>0</v>
      </c>
      <c r="G7886">
        <v>1</v>
      </c>
      <c r="H7886">
        <v>0</v>
      </c>
      <c r="I7886">
        <v>0</v>
      </c>
      <c r="J7886">
        <v>16757.9736318662</v>
      </c>
      <c r="K7886">
        <v>15022.4382887387</v>
      </c>
      <c r="L7886">
        <v>42.04</v>
      </c>
      <c r="M7886">
        <v>77.234999999999999</v>
      </c>
      <c r="N7886">
        <v>9.327</v>
      </c>
    </row>
    <row r="7887" spans="1:14" x14ac:dyDescent="0.45">
      <c r="A7887">
        <v>2017</v>
      </c>
      <c r="B7887" t="s">
        <v>91</v>
      </c>
      <c r="C7887">
        <v>0</v>
      </c>
      <c r="D7887">
        <v>0</v>
      </c>
      <c r="E7887">
        <v>1</v>
      </c>
      <c r="F7887">
        <v>1</v>
      </c>
      <c r="G7887">
        <v>0</v>
      </c>
      <c r="H7887">
        <v>0</v>
      </c>
      <c r="I7887">
        <v>0</v>
      </c>
      <c r="J7887">
        <v>5556.1136632289799</v>
      </c>
      <c r="K7887">
        <v>4690.17819336313</v>
      </c>
      <c r="L7887">
        <v>49.673999999999999</v>
      </c>
      <c r="M7887">
        <v>59.314999999999998</v>
      </c>
      <c r="N7887">
        <v>81.260000000000005</v>
      </c>
    </row>
    <row r="7888" spans="1:14" x14ac:dyDescent="0.45">
      <c r="A7888">
        <v>2017</v>
      </c>
      <c r="B7888" t="s">
        <v>92</v>
      </c>
      <c r="C7888">
        <v>0</v>
      </c>
      <c r="D7888">
        <v>0</v>
      </c>
      <c r="E7888">
        <v>1</v>
      </c>
      <c r="F7888">
        <v>1</v>
      </c>
      <c r="G7888">
        <v>0</v>
      </c>
      <c r="H7888">
        <v>0</v>
      </c>
      <c r="I7888">
        <v>0</v>
      </c>
      <c r="J7888">
        <v>4797.9754418554403</v>
      </c>
      <c r="K7888">
        <v>3767.4306029628601</v>
      </c>
      <c r="L7888">
        <v>44.222999999999999</v>
      </c>
      <c r="M7888">
        <v>60.817</v>
      </c>
      <c r="N7888">
        <v>83.027000000000001</v>
      </c>
    </row>
    <row r="7889" spans="1:14" x14ac:dyDescent="0.45">
      <c r="A7889">
        <v>2017</v>
      </c>
      <c r="B7889" t="s">
        <v>93</v>
      </c>
      <c r="C7889">
        <v>0</v>
      </c>
      <c r="D7889">
        <v>0</v>
      </c>
      <c r="E7889">
        <v>1</v>
      </c>
      <c r="F7889">
        <v>0</v>
      </c>
      <c r="G7889">
        <v>0</v>
      </c>
      <c r="H7889">
        <v>0</v>
      </c>
      <c r="I7889">
        <v>0</v>
      </c>
      <c r="J7889">
        <v>1253.18734939772</v>
      </c>
      <c r="K7889">
        <v>1003.25732319872</v>
      </c>
      <c r="L7889">
        <v>56.12</v>
      </c>
      <c r="M7889">
        <v>59.494999999999997</v>
      </c>
      <c r="N7889">
        <v>89.551000000000002</v>
      </c>
    </row>
    <row r="7890" spans="1:14" x14ac:dyDescent="0.45">
      <c r="A7890">
        <v>2017</v>
      </c>
      <c r="B7890" t="s">
        <v>94</v>
      </c>
      <c r="C7890">
        <v>0</v>
      </c>
      <c r="D7890">
        <v>0</v>
      </c>
      <c r="E7890">
        <v>1</v>
      </c>
      <c r="F7890">
        <v>1</v>
      </c>
      <c r="G7890">
        <v>0</v>
      </c>
      <c r="H7890">
        <v>0</v>
      </c>
      <c r="I7890">
        <v>0</v>
      </c>
      <c r="J7890">
        <v>7372.7704673759899</v>
      </c>
      <c r="K7890">
        <v>4444.6393729709998</v>
      </c>
      <c r="L7890">
        <v>33.540999999999997</v>
      </c>
      <c r="M7890">
        <v>64.203000000000003</v>
      </c>
      <c r="N7890">
        <v>48.191000000000003</v>
      </c>
    </row>
    <row r="7891" spans="1:14" x14ac:dyDescent="0.45">
      <c r="A7891">
        <v>2017</v>
      </c>
      <c r="B7891" t="s">
        <v>95</v>
      </c>
      <c r="C7891">
        <v>0</v>
      </c>
      <c r="D7891">
        <v>1</v>
      </c>
      <c r="E7891">
        <v>0</v>
      </c>
      <c r="F7891">
        <v>0</v>
      </c>
      <c r="G7891">
        <v>1</v>
      </c>
      <c r="H7891">
        <v>0</v>
      </c>
      <c r="I7891">
        <v>0</v>
      </c>
      <c r="J7891">
        <v>16986.033418284202</v>
      </c>
      <c r="K7891">
        <v>14142.732531965399</v>
      </c>
      <c r="L7891">
        <v>19.553999999999998</v>
      </c>
      <c r="M7891">
        <v>76.418000000000006</v>
      </c>
      <c r="N7891">
        <v>14.682</v>
      </c>
    </row>
    <row r="7892" spans="1:14" x14ac:dyDescent="0.45">
      <c r="A7892">
        <v>2017</v>
      </c>
      <c r="B7892" t="s">
        <v>96</v>
      </c>
      <c r="C7892">
        <v>0</v>
      </c>
      <c r="D7892">
        <v>0</v>
      </c>
      <c r="E7892">
        <v>1</v>
      </c>
      <c r="F7892">
        <v>0</v>
      </c>
      <c r="G7892">
        <v>0</v>
      </c>
      <c r="H7892">
        <v>0</v>
      </c>
      <c r="I7892">
        <v>0</v>
      </c>
      <c r="J7892">
        <v>3236.9859990029199</v>
      </c>
      <c r="K7892">
        <v>3347.4566313495502</v>
      </c>
      <c r="L7892">
        <v>71.215999999999994</v>
      </c>
      <c r="M7892">
        <v>65.126999999999995</v>
      </c>
      <c r="N7892">
        <v>57.018999999999998</v>
      </c>
    </row>
    <row r="7893" spans="1:14" x14ac:dyDescent="0.45">
      <c r="A7893">
        <v>2017</v>
      </c>
      <c r="B7893" t="s">
        <v>97</v>
      </c>
      <c r="C7893">
        <v>0</v>
      </c>
      <c r="D7893">
        <v>0</v>
      </c>
      <c r="E7893">
        <v>1</v>
      </c>
      <c r="F7893">
        <v>1</v>
      </c>
      <c r="G7893">
        <v>0</v>
      </c>
      <c r="H7893">
        <v>0</v>
      </c>
      <c r="I7893">
        <v>0</v>
      </c>
      <c r="J7893">
        <v>8234.5600031245904</v>
      </c>
      <c r="K7893">
        <v>7935.7616355266</v>
      </c>
      <c r="L7893">
        <v>34.738999999999997</v>
      </c>
      <c r="M7893">
        <v>74.709999999999994</v>
      </c>
      <c r="N7893">
        <v>16.052</v>
      </c>
    </row>
    <row r="7894" spans="1:14" x14ac:dyDescent="0.45">
      <c r="A7894">
        <v>2017</v>
      </c>
      <c r="B7894" t="s">
        <v>98</v>
      </c>
      <c r="C7894">
        <v>0</v>
      </c>
      <c r="D7894">
        <v>1</v>
      </c>
      <c r="E7894">
        <v>0</v>
      </c>
      <c r="F7894">
        <v>0</v>
      </c>
      <c r="G7894">
        <v>1</v>
      </c>
      <c r="H7894">
        <v>0</v>
      </c>
      <c r="I7894">
        <v>0</v>
      </c>
      <c r="J7894">
        <v>22622.553450265601</v>
      </c>
      <c r="K7894">
        <v>20255.203721420799</v>
      </c>
      <c r="L7894">
        <v>21.44</v>
      </c>
      <c r="M7894">
        <v>79.994</v>
      </c>
      <c r="N7894">
        <v>8.6530000000000005</v>
      </c>
    </row>
    <row r="7895" spans="1:14" x14ac:dyDescent="0.45">
      <c r="A7895">
        <v>2017</v>
      </c>
      <c r="B7895" t="s">
        <v>99</v>
      </c>
      <c r="C7895">
        <v>0</v>
      </c>
      <c r="D7895">
        <v>1</v>
      </c>
      <c r="E7895">
        <v>0</v>
      </c>
      <c r="F7895">
        <v>0</v>
      </c>
      <c r="G7895">
        <v>1</v>
      </c>
      <c r="H7895">
        <v>0</v>
      </c>
      <c r="I7895">
        <v>0</v>
      </c>
      <c r="L7895">
        <v>23.023</v>
      </c>
      <c r="M7895">
        <v>77.3</v>
      </c>
      <c r="N7895">
        <v>6.5609999999999999</v>
      </c>
    </row>
    <row r="7896" spans="1:14" x14ac:dyDescent="0.45">
      <c r="A7896">
        <v>2017</v>
      </c>
      <c r="B7896" t="s">
        <v>100</v>
      </c>
      <c r="C7896">
        <v>0</v>
      </c>
      <c r="D7896">
        <v>1</v>
      </c>
      <c r="E7896">
        <v>0</v>
      </c>
      <c r="F7896">
        <v>0</v>
      </c>
      <c r="G7896">
        <v>0</v>
      </c>
      <c r="H7896">
        <v>1</v>
      </c>
      <c r="I7896">
        <v>1</v>
      </c>
      <c r="J7896">
        <v>29729.100977930899</v>
      </c>
      <c r="K7896">
        <v>24321.746324566699</v>
      </c>
      <c r="L7896">
        <v>10.797000000000001</v>
      </c>
      <c r="M7896">
        <v>76.423000000000002</v>
      </c>
      <c r="N7896">
        <v>11.016</v>
      </c>
    </row>
    <row r="7897" spans="1:14" x14ac:dyDescent="0.45">
      <c r="A7897">
        <v>2017</v>
      </c>
      <c r="B7897" t="s">
        <v>101</v>
      </c>
      <c r="C7897">
        <v>0</v>
      </c>
      <c r="D7897">
        <v>1</v>
      </c>
      <c r="E7897">
        <v>0</v>
      </c>
      <c r="F7897">
        <v>0</v>
      </c>
      <c r="G7897">
        <v>0</v>
      </c>
      <c r="H7897">
        <v>1</v>
      </c>
      <c r="I7897">
        <v>1</v>
      </c>
      <c r="J7897">
        <v>74564.738645828096</v>
      </c>
      <c r="K7897">
        <v>68017.676612919997</v>
      </c>
      <c r="L7897">
        <v>0</v>
      </c>
      <c r="M7897">
        <v>78.614999999999995</v>
      </c>
      <c r="N7897">
        <v>2.6219999999999999</v>
      </c>
    </row>
    <row r="7898" spans="1:14" x14ac:dyDescent="0.45">
      <c r="A7898">
        <v>2017</v>
      </c>
      <c r="B7898" t="s">
        <v>102</v>
      </c>
      <c r="C7898">
        <v>1</v>
      </c>
      <c r="D7898">
        <v>0</v>
      </c>
      <c r="E7898">
        <v>0</v>
      </c>
      <c r="F7898">
        <v>0</v>
      </c>
      <c r="G7898">
        <v>0</v>
      </c>
      <c r="H7898">
        <v>1</v>
      </c>
      <c r="I7898">
        <v>1</v>
      </c>
      <c r="J7898">
        <v>42128.56640625</v>
      </c>
      <c r="K7898">
        <v>37529.902768886801</v>
      </c>
      <c r="L7898">
        <v>33.164000000000001</v>
      </c>
      <c r="M7898">
        <v>81.543000000000006</v>
      </c>
      <c r="N7898">
        <v>3.1120000000000001</v>
      </c>
    </row>
    <row r="7899" spans="1:14" x14ac:dyDescent="0.45">
      <c r="A7899">
        <v>2017</v>
      </c>
      <c r="B7899" t="s">
        <v>103</v>
      </c>
      <c r="C7899">
        <v>1</v>
      </c>
      <c r="D7899">
        <v>0</v>
      </c>
      <c r="E7899">
        <v>0</v>
      </c>
      <c r="F7899">
        <v>0</v>
      </c>
      <c r="G7899">
        <v>0</v>
      </c>
      <c r="H7899">
        <v>1</v>
      </c>
      <c r="I7899">
        <v>1</v>
      </c>
      <c r="J7899">
        <v>45177.522605363403</v>
      </c>
      <c r="K7899">
        <v>37614.920207017203</v>
      </c>
      <c r="L7899">
        <v>26.324999999999999</v>
      </c>
      <c r="M7899">
        <v>78.926000000000002</v>
      </c>
      <c r="N7899">
        <v>3.2810000000000001</v>
      </c>
    </row>
    <row r="7900" spans="1:14" x14ac:dyDescent="0.45">
      <c r="A7900">
        <v>2017</v>
      </c>
      <c r="B7900" t="s">
        <v>104</v>
      </c>
      <c r="C7900">
        <v>1</v>
      </c>
      <c r="D7900">
        <v>0</v>
      </c>
      <c r="E7900">
        <v>0</v>
      </c>
      <c r="F7900">
        <v>0</v>
      </c>
      <c r="G7900">
        <v>0</v>
      </c>
      <c r="H7900">
        <v>1</v>
      </c>
      <c r="I7900">
        <v>1</v>
      </c>
      <c r="J7900">
        <v>61991.497308341801</v>
      </c>
      <c r="K7900">
        <v>53749.859972416598</v>
      </c>
      <c r="L7900">
        <v>22.739000000000001</v>
      </c>
      <c r="M7900">
        <v>80.936999999999998</v>
      </c>
      <c r="N7900">
        <v>3.8109999999999999</v>
      </c>
    </row>
    <row r="7901" spans="1:14" x14ac:dyDescent="0.45">
      <c r="A7901">
        <v>2017</v>
      </c>
      <c r="B7901" t="s">
        <v>105</v>
      </c>
      <c r="C7901">
        <v>0</v>
      </c>
      <c r="D7901">
        <v>0</v>
      </c>
      <c r="E7901">
        <v>0</v>
      </c>
      <c r="F7901">
        <v>1</v>
      </c>
      <c r="G7901">
        <v>0</v>
      </c>
      <c r="H7901">
        <v>0</v>
      </c>
      <c r="I7901">
        <v>0</v>
      </c>
      <c r="J7901">
        <v>5421.9564914961302</v>
      </c>
      <c r="K7901">
        <v>4676.7131544807698</v>
      </c>
      <c r="L7901">
        <v>22.352</v>
      </c>
      <c r="M7901">
        <v>63.71</v>
      </c>
      <c r="N7901">
        <v>61.136000000000003</v>
      </c>
    </row>
    <row r="7902" spans="1:14" x14ac:dyDescent="0.45">
      <c r="A7902">
        <v>2017</v>
      </c>
      <c r="B7902" t="s">
        <v>106</v>
      </c>
      <c r="C7902">
        <v>0</v>
      </c>
      <c r="D7902">
        <v>1</v>
      </c>
      <c r="E7902">
        <v>0</v>
      </c>
      <c r="F7902">
        <v>0</v>
      </c>
      <c r="G7902">
        <v>1</v>
      </c>
      <c r="H7902">
        <v>0</v>
      </c>
      <c r="I7902">
        <v>0</v>
      </c>
      <c r="J7902">
        <v>16314.2295558891</v>
      </c>
      <c r="K7902">
        <v>12696.195628633801</v>
      </c>
      <c r="L7902">
        <v>29.818999999999999</v>
      </c>
      <c r="M7902">
        <v>68.62</v>
      </c>
      <c r="N7902">
        <v>39.6</v>
      </c>
    </row>
    <row r="7903" spans="1:14" x14ac:dyDescent="0.45">
      <c r="A7903">
        <v>2017</v>
      </c>
      <c r="B7903" t="s">
        <v>107</v>
      </c>
      <c r="C7903">
        <v>1</v>
      </c>
      <c r="D7903">
        <v>0</v>
      </c>
      <c r="E7903">
        <v>0</v>
      </c>
      <c r="F7903">
        <v>0</v>
      </c>
      <c r="G7903">
        <v>0</v>
      </c>
      <c r="H7903">
        <v>1</v>
      </c>
      <c r="I7903">
        <v>1</v>
      </c>
      <c r="J7903">
        <v>64815.730783181003</v>
      </c>
      <c r="K7903">
        <v>54778.826164256199</v>
      </c>
      <c r="L7903">
        <v>12.243</v>
      </c>
      <c r="M7903">
        <v>81.111999999999995</v>
      </c>
      <c r="N7903">
        <v>4.3179999999999996</v>
      </c>
    </row>
    <row r="7904" spans="1:14" x14ac:dyDescent="0.45">
      <c r="A7904">
        <v>2017</v>
      </c>
      <c r="B7904" t="s">
        <v>108</v>
      </c>
      <c r="C7904">
        <v>0</v>
      </c>
      <c r="D7904">
        <v>1</v>
      </c>
      <c r="E7904">
        <v>0</v>
      </c>
      <c r="F7904">
        <v>0</v>
      </c>
      <c r="G7904">
        <v>1</v>
      </c>
      <c r="H7904">
        <v>0</v>
      </c>
      <c r="I7904">
        <v>0</v>
      </c>
      <c r="J7904">
        <v>19501.8743054078</v>
      </c>
      <c r="K7904">
        <v>16846.2065110197</v>
      </c>
      <c r="L7904">
        <v>19.722999999999999</v>
      </c>
      <c r="M7904">
        <v>73.37</v>
      </c>
      <c r="N7904">
        <v>34.652999999999999</v>
      </c>
    </row>
    <row r="7905" spans="1:14" x14ac:dyDescent="0.45">
      <c r="A7905">
        <v>2017</v>
      </c>
      <c r="B7905" t="s">
        <v>109</v>
      </c>
      <c r="C7905">
        <v>0</v>
      </c>
      <c r="D7905">
        <v>0</v>
      </c>
      <c r="E7905">
        <v>0</v>
      </c>
      <c r="F7905">
        <v>0</v>
      </c>
      <c r="G7905">
        <v>1</v>
      </c>
      <c r="H7905">
        <v>0</v>
      </c>
      <c r="I7905">
        <v>0</v>
      </c>
      <c r="J7905">
        <v>15427.664189471299</v>
      </c>
      <c r="K7905">
        <v>13493.561535102301</v>
      </c>
      <c r="L7905">
        <v>27.948</v>
      </c>
      <c r="M7905">
        <v>75.430999999999997</v>
      </c>
      <c r="N7905">
        <v>24.37</v>
      </c>
    </row>
    <row r="7906" spans="1:14" x14ac:dyDescent="0.45">
      <c r="A7906">
        <v>2017</v>
      </c>
      <c r="B7906" t="s">
        <v>110</v>
      </c>
      <c r="C7906">
        <v>0</v>
      </c>
      <c r="D7906">
        <v>1</v>
      </c>
      <c r="E7906">
        <v>0</v>
      </c>
      <c r="F7906">
        <v>0</v>
      </c>
      <c r="G7906">
        <v>1</v>
      </c>
      <c r="H7906">
        <v>0</v>
      </c>
      <c r="I7906">
        <v>0</v>
      </c>
      <c r="J7906">
        <v>14179.153750330501</v>
      </c>
      <c r="K7906">
        <v>11793.4796001329</v>
      </c>
      <c r="L7906">
        <v>36.33</v>
      </c>
      <c r="M7906">
        <v>76.22</v>
      </c>
      <c r="N7906">
        <v>14.340999999999999</v>
      </c>
    </row>
    <row r="7907" spans="1:14" x14ac:dyDescent="0.45">
      <c r="A7907">
        <v>2017</v>
      </c>
      <c r="B7907" t="s">
        <v>111</v>
      </c>
      <c r="C7907">
        <v>0</v>
      </c>
      <c r="D7907">
        <v>0</v>
      </c>
      <c r="E7907">
        <v>0</v>
      </c>
      <c r="F7907">
        <v>1</v>
      </c>
      <c r="G7907">
        <v>0</v>
      </c>
      <c r="H7907">
        <v>0</v>
      </c>
      <c r="I7907">
        <v>0</v>
      </c>
      <c r="J7907">
        <v>14018.360593453001</v>
      </c>
      <c r="K7907">
        <v>11124.7347768403</v>
      </c>
      <c r="L7907">
        <v>57.295000000000002</v>
      </c>
      <c r="M7907">
        <v>70.709000000000003</v>
      </c>
      <c r="N7907">
        <v>21.651</v>
      </c>
    </row>
    <row r="7908" spans="1:14" x14ac:dyDescent="0.45">
      <c r="A7908">
        <v>2017</v>
      </c>
      <c r="B7908" t="s">
        <v>112</v>
      </c>
      <c r="C7908">
        <v>0</v>
      </c>
      <c r="D7908">
        <v>0</v>
      </c>
      <c r="E7908">
        <v>1</v>
      </c>
      <c r="F7908">
        <v>0</v>
      </c>
      <c r="G7908">
        <v>0</v>
      </c>
      <c r="H7908">
        <v>0</v>
      </c>
      <c r="I7908">
        <v>0</v>
      </c>
      <c r="L7908">
        <v>60.548999999999999</v>
      </c>
      <c r="M7908">
        <v>66.611999999999995</v>
      </c>
      <c r="N7908">
        <v>43.412999999999997</v>
      </c>
    </row>
    <row r="7909" spans="1:14" x14ac:dyDescent="0.45">
      <c r="A7909">
        <v>2017</v>
      </c>
      <c r="B7909" t="s">
        <v>113</v>
      </c>
      <c r="C7909">
        <v>1</v>
      </c>
      <c r="D7909">
        <v>0</v>
      </c>
      <c r="E7909">
        <v>0</v>
      </c>
      <c r="F7909">
        <v>0</v>
      </c>
      <c r="G7909">
        <v>0</v>
      </c>
      <c r="H7909">
        <v>1</v>
      </c>
      <c r="I7909">
        <v>1</v>
      </c>
      <c r="J7909">
        <v>45446.250857569503</v>
      </c>
      <c r="K7909">
        <v>39993.909448156403</v>
      </c>
      <c r="L7909">
        <v>19.920000000000002</v>
      </c>
      <c r="M7909">
        <v>82.986000000000004</v>
      </c>
      <c r="N7909">
        <v>3.1579999999999999</v>
      </c>
    </row>
    <row r="7910" spans="1:14" x14ac:dyDescent="0.45">
      <c r="A7910">
        <v>2017</v>
      </c>
      <c r="B7910" t="s">
        <v>114</v>
      </c>
      <c r="C7910">
        <v>1</v>
      </c>
      <c r="D7910">
        <v>0</v>
      </c>
      <c r="E7910">
        <v>0</v>
      </c>
      <c r="F7910">
        <v>0</v>
      </c>
      <c r="G7910">
        <v>0</v>
      </c>
      <c r="H7910">
        <v>1</v>
      </c>
      <c r="I7910">
        <v>1</v>
      </c>
      <c r="J7910">
        <v>39939.457564761302</v>
      </c>
      <c r="K7910">
        <v>33884.870447801797</v>
      </c>
      <c r="L7910">
        <v>31.283000000000001</v>
      </c>
      <c r="M7910">
        <v>78.180999999999997</v>
      </c>
      <c r="N7910">
        <v>3.0720000000000001</v>
      </c>
    </row>
    <row r="7911" spans="1:14" x14ac:dyDescent="0.45">
      <c r="A7911">
        <v>2017</v>
      </c>
      <c r="B7911" t="s">
        <v>115</v>
      </c>
      <c r="C7911">
        <v>0</v>
      </c>
      <c r="D7911">
        <v>0</v>
      </c>
      <c r="E7911">
        <v>1</v>
      </c>
      <c r="F7911">
        <v>0</v>
      </c>
      <c r="G7911">
        <v>0</v>
      </c>
      <c r="H7911">
        <v>0</v>
      </c>
      <c r="I7911">
        <v>0</v>
      </c>
      <c r="J7911">
        <v>2222.8282448138202</v>
      </c>
      <c r="K7911">
        <v>2004.7474612594399</v>
      </c>
      <c r="L7911">
        <v>79.69</v>
      </c>
      <c r="M7911">
        <v>64.766000000000005</v>
      </c>
      <c r="N7911">
        <v>57.356999999999999</v>
      </c>
    </row>
    <row r="7912" spans="1:14" x14ac:dyDescent="0.45">
      <c r="A7912">
        <v>2017</v>
      </c>
      <c r="B7912" t="s">
        <v>116</v>
      </c>
      <c r="C7912">
        <v>1</v>
      </c>
      <c r="D7912">
        <v>0</v>
      </c>
      <c r="E7912">
        <v>0</v>
      </c>
      <c r="F7912">
        <v>0</v>
      </c>
      <c r="G7912">
        <v>0</v>
      </c>
      <c r="H7912">
        <v>1</v>
      </c>
      <c r="I7912">
        <v>1</v>
      </c>
      <c r="J7912">
        <v>55637.226278122303</v>
      </c>
      <c r="K7912">
        <v>46773.259831479503</v>
      </c>
      <c r="L7912">
        <v>14.675000000000001</v>
      </c>
      <c r="M7912">
        <v>81.497</v>
      </c>
      <c r="N7912">
        <v>2.5499999999999998</v>
      </c>
    </row>
    <row r="7913" spans="1:14" x14ac:dyDescent="0.45">
      <c r="A7913">
        <v>2017</v>
      </c>
      <c r="B7913" t="s">
        <v>117</v>
      </c>
      <c r="C7913">
        <v>0</v>
      </c>
      <c r="D7913">
        <v>0</v>
      </c>
      <c r="E7913">
        <v>0</v>
      </c>
      <c r="F7913">
        <v>0</v>
      </c>
      <c r="G7913">
        <v>1</v>
      </c>
      <c r="H7913">
        <v>0</v>
      </c>
      <c r="I7913">
        <v>0</v>
      </c>
      <c r="J7913">
        <v>13090.5007050371</v>
      </c>
      <c r="K7913">
        <v>12819.5626563283</v>
      </c>
      <c r="L7913">
        <v>44.258000000000003</v>
      </c>
      <c r="M7913">
        <v>67.06</v>
      </c>
      <c r="N7913">
        <v>23.308</v>
      </c>
    </row>
    <row r="7914" spans="1:14" x14ac:dyDescent="0.45">
      <c r="A7914">
        <v>2017</v>
      </c>
      <c r="B7914" t="s">
        <v>118</v>
      </c>
      <c r="C7914">
        <v>1</v>
      </c>
      <c r="D7914">
        <v>0</v>
      </c>
      <c r="E7914">
        <v>0</v>
      </c>
      <c r="F7914">
        <v>0</v>
      </c>
      <c r="G7914">
        <v>0</v>
      </c>
      <c r="H7914">
        <v>1</v>
      </c>
      <c r="I7914">
        <v>1</v>
      </c>
      <c r="J7914">
        <v>51895.566298583799</v>
      </c>
      <c r="K7914">
        <v>43327.545395011002</v>
      </c>
      <c r="L7914">
        <v>19.82</v>
      </c>
      <c r="M7914">
        <v>82.438999999999993</v>
      </c>
      <c r="N7914">
        <v>4.3730000000000002</v>
      </c>
    </row>
    <row r="7915" spans="1:14" x14ac:dyDescent="0.45">
      <c r="A7915">
        <v>2017</v>
      </c>
      <c r="B7915" t="s">
        <v>119</v>
      </c>
      <c r="C7915">
        <v>1</v>
      </c>
      <c r="D7915">
        <v>0</v>
      </c>
      <c r="E7915">
        <v>0</v>
      </c>
      <c r="F7915">
        <v>0</v>
      </c>
      <c r="G7915">
        <v>0</v>
      </c>
      <c r="H7915">
        <v>1</v>
      </c>
      <c r="I7915">
        <v>1</v>
      </c>
      <c r="J7915">
        <v>64574.490731586397</v>
      </c>
      <c r="K7915">
        <v>56416.236919922398</v>
      </c>
      <c r="L7915">
        <v>58.085999999999999</v>
      </c>
      <c r="M7915">
        <v>79.694000000000003</v>
      </c>
      <c r="N7915">
        <v>8.09</v>
      </c>
    </row>
    <row r="7916" spans="1:14" x14ac:dyDescent="0.45">
      <c r="A7916">
        <v>2017</v>
      </c>
      <c r="B7916" t="s">
        <v>120</v>
      </c>
      <c r="C7916">
        <v>0</v>
      </c>
      <c r="D7916">
        <v>0</v>
      </c>
      <c r="E7916">
        <v>0</v>
      </c>
      <c r="F7916">
        <v>1</v>
      </c>
      <c r="G7916">
        <v>0</v>
      </c>
      <c r="H7916">
        <v>0</v>
      </c>
      <c r="I7916">
        <v>0</v>
      </c>
      <c r="J7916">
        <v>3811.78965209534</v>
      </c>
      <c r="K7916">
        <v>3450.19562639891</v>
      </c>
      <c r="L7916">
        <v>77.391999999999996</v>
      </c>
      <c r="M7916">
        <v>65.760999999999996</v>
      </c>
      <c r="N7916">
        <v>27.7</v>
      </c>
    </row>
    <row r="7917" spans="1:14" x14ac:dyDescent="0.45">
      <c r="A7917">
        <v>2017</v>
      </c>
      <c r="B7917" t="s">
        <v>121</v>
      </c>
      <c r="C7917">
        <v>0</v>
      </c>
      <c r="D7917">
        <v>0</v>
      </c>
      <c r="E7917">
        <v>1</v>
      </c>
      <c r="F7917">
        <v>0</v>
      </c>
      <c r="G7917">
        <v>1</v>
      </c>
      <c r="H7917">
        <v>0</v>
      </c>
      <c r="I7917">
        <v>0</v>
      </c>
      <c r="J7917">
        <v>19555.707882915998</v>
      </c>
      <c r="K7917">
        <v>14796.6292089367</v>
      </c>
      <c r="L7917">
        <v>11.023999999999999</v>
      </c>
      <c r="M7917">
        <v>66.816000000000003</v>
      </c>
      <c r="N7917">
        <v>45.354999999999997</v>
      </c>
    </row>
    <row r="7918" spans="1:14" x14ac:dyDescent="0.45">
      <c r="A7918">
        <v>2017</v>
      </c>
      <c r="B7918" t="s">
        <v>122</v>
      </c>
      <c r="C7918">
        <v>1</v>
      </c>
      <c r="D7918">
        <v>0</v>
      </c>
      <c r="E7918">
        <v>0</v>
      </c>
      <c r="F7918">
        <v>0</v>
      </c>
      <c r="G7918">
        <v>0</v>
      </c>
      <c r="H7918">
        <v>1</v>
      </c>
      <c r="I7918">
        <v>1</v>
      </c>
      <c r="J7918">
        <v>51601.140444707999</v>
      </c>
      <c r="K7918">
        <v>44455.938621719499</v>
      </c>
      <c r="L7918">
        <v>16.856999999999999</v>
      </c>
      <c r="M7918">
        <v>81.164000000000001</v>
      </c>
      <c r="N7918">
        <v>4.4260000000000002</v>
      </c>
    </row>
    <row r="7919" spans="1:14" x14ac:dyDescent="0.45">
      <c r="A7919">
        <v>2017</v>
      </c>
      <c r="B7919" t="s">
        <v>123</v>
      </c>
      <c r="C7919">
        <v>1</v>
      </c>
      <c r="D7919">
        <v>0</v>
      </c>
      <c r="E7919">
        <v>0</v>
      </c>
      <c r="F7919">
        <v>1</v>
      </c>
      <c r="G7919">
        <v>0</v>
      </c>
      <c r="H7919">
        <v>0</v>
      </c>
      <c r="I7919">
        <v>0</v>
      </c>
      <c r="J7919">
        <v>16237.6242230275</v>
      </c>
      <c r="K7919">
        <v>13718.936179725901</v>
      </c>
      <c r="L7919">
        <v>41.768999999999998</v>
      </c>
      <c r="M7919">
        <v>73.435000000000002</v>
      </c>
      <c r="N7919">
        <v>10.129</v>
      </c>
    </row>
    <row r="7920" spans="1:14" x14ac:dyDescent="0.45">
      <c r="A7920">
        <v>2017</v>
      </c>
      <c r="B7920" t="s">
        <v>124</v>
      </c>
      <c r="C7920">
        <v>0</v>
      </c>
      <c r="D7920">
        <v>0</v>
      </c>
      <c r="E7920">
        <v>1</v>
      </c>
      <c r="F7920">
        <v>1</v>
      </c>
      <c r="G7920">
        <v>0</v>
      </c>
      <c r="H7920">
        <v>0</v>
      </c>
      <c r="I7920">
        <v>0</v>
      </c>
      <c r="J7920">
        <v>5993.6308521107703</v>
      </c>
      <c r="K7920">
        <v>5170.9614230421203</v>
      </c>
      <c r="L7920">
        <v>44.593000000000004</v>
      </c>
      <c r="M7920">
        <v>63.829000000000001</v>
      </c>
      <c r="N7920">
        <v>51.073</v>
      </c>
    </row>
    <row r="7921" spans="1:14" x14ac:dyDescent="0.45">
      <c r="A7921">
        <v>2017</v>
      </c>
      <c r="B7921" t="s">
        <v>125</v>
      </c>
      <c r="C7921">
        <v>1</v>
      </c>
      <c r="D7921">
        <v>0</v>
      </c>
      <c r="E7921">
        <v>0</v>
      </c>
      <c r="F7921">
        <v>0</v>
      </c>
      <c r="G7921">
        <v>0</v>
      </c>
      <c r="H7921">
        <v>1</v>
      </c>
      <c r="I7921">
        <v>1</v>
      </c>
      <c r="L7921">
        <v>0</v>
      </c>
      <c r="M7921">
        <v>82.858000000000004</v>
      </c>
      <c r="N7921">
        <v>11.318</v>
      </c>
    </row>
    <row r="7922" spans="1:14" x14ac:dyDescent="0.45">
      <c r="A7922">
        <v>2017</v>
      </c>
      <c r="B7922" t="s">
        <v>126</v>
      </c>
      <c r="C7922">
        <v>0</v>
      </c>
      <c r="D7922">
        <v>0</v>
      </c>
      <c r="E7922">
        <v>1</v>
      </c>
      <c r="F7922">
        <v>0</v>
      </c>
      <c r="G7922">
        <v>0</v>
      </c>
      <c r="H7922">
        <v>0</v>
      </c>
      <c r="I7922">
        <v>0</v>
      </c>
      <c r="J7922">
        <v>3332.7657615053099</v>
      </c>
      <c r="K7922">
        <v>2687.0950909573098</v>
      </c>
      <c r="L7922">
        <v>64.206999999999994</v>
      </c>
      <c r="M7922">
        <v>58.715000000000003</v>
      </c>
      <c r="N7922">
        <v>107.214</v>
      </c>
    </row>
    <row r="7923" spans="1:14" x14ac:dyDescent="0.45">
      <c r="A7923">
        <v>2017</v>
      </c>
      <c r="B7923" t="s">
        <v>127</v>
      </c>
      <c r="C7923">
        <v>0</v>
      </c>
      <c r="D7923">
        <v>0</v>
      </c>
      <c r="E7923">
        <v>1</v>
      </c>
      <c r="F7923">
        <v>0</v>
      </c>
      <c r="G7923">
        <v>0</v>
      </c>
      <c r="H7923">
        <v>0</v>
      </c>
      <c r="I7923">
        <v>0</v>
      </c>
      <c r="J7923">
        <v>2533.1868371027599</v>
      </c>
      <c r="K7923">
        <v>2038.95439748789</v>
      </c>
      <c r="L7923">
        <v>39.401000000000003</v>
      </c>
      <c r="M7923">
        <v>63.707999999999998</v>
      </c>
      <c r="N7923">
        <v>55.040999999999997</v>
      </c>
    </row>
    <row r="7924" spans="1:14" x14ac:dyDescent="0.45">
      <c r="A7924">
        <v>2017</v>
      </c>
      <c r="B7924" t="s">
        <v>128</v>
      </c>
      <c r="C7924">
        <v>0</v>
      </c>
      <c r="D7924">
        <v>0</v>
      </c>
      <c r="E7924">
        <v>1</v>
      </c>
      <c r="F7924">
        <v>0</v>
      </c>
      <c r="G7924">
        <v>0</v>
      </c>
      <c r="H7924">
        <v>0</v>
      </c>
      <c r="I7924">
        <v>0</v>
      </c>
      <c r="J7924">
        <v>2314.1579595047901</v>
      </c>
      <c r="K7924">
        <v>2081.8129104217601</v>
      </c>
      <c r="L7924">
        <v>57.055</v>
      </c>
      <c r="M7924">
        <v>61.148000000000003</v>
      </c>
      <c r="N7924">
        <v>85.58</v>
      </c>
    </row>
    <row r="7925" spans="1:14" x14ac:dyDescent="0.45">
      <c r="A7925">
        <v>2017</v>
      </c>
      <c r="B7925" t="s">
        <v>129</v>
      </c>
      <c r="C7925">
        <v>0</v>
      </c>
      <c r="D7925">
        <v>0</v>
      </c>
      <c r="E7925">
        <v>1</v>
      </c>
      <c r="F7925">
        <v>0</v>
      </c>
      <c r="G7925">
        <v>1</v>
      </c>
      <c r="H7925">
        <v>0</v>
      </c>
      <c r="I7925">
        <v>0</v>
      </c>
      <c r="J7925">
        <v>22250.4389230263</v>
      </c>
      <c r="K7925">
        <v>18434.772529899801</v>
      </c>
      <c r="L7925">
        <v>28.353999999999999</v>
      </c>
      <c r="M7925">
        <v>61.481000000000002</v>
      </c>
      <c r="N7925">
        <v>87.004999999999995</v>
      </c>
    </row>
    <row r="7926" spans="1:14" x14ac:dyDescent="0.45">
      <c r="A7926">
        <v>2017</v>
      </c>
      <c r="B7926" t="s">
        <v>130</v>
      </c>
      <c r="C7926">
        <v>1</v>
      </c>
      <c r="D7926">
        <v>0</v>
      </c>
      <c r="E7926">
        <v>0</v>
      </c>
      <c r="F7926">
        <v>0</v>
      </c>
      <c r="G7926">
        <v>0</v>
      </c>
      <c r="H7926">
        <v>1</v>
      </c>
      <c r="I7926">
        <v>1</v>
      </c>
      <c r="J7926">
        <v>31995.410883838598</v>
      </c>
      <c r="K7926">
        <v>28642.103440939001</v>
      </c>
      <c r="L7926">
        <v>21.276</v>
      </c>
      <c r="M7926">
        <v>80.960999999999999</v>
      </c>
      <c r="N7926">
        <v>4.1879999999999997</v>
      </c>
    </row>
    <row r="7927" spans="1:14" x14ac:dyDescent="0.45">
      <c r="A7927">
        <v>2017</v>
      </c>
      <c r="B7927" t="s">
        <v>131</v>
      </c>
      <c r="C7927">
        <v>0</v>
      </c>
      <c r="D7927">
        <v>1</v>
      </c>
      <c r="E7927">
        <v>0</v>
      </c>
      <c r="F7927">
        <v>0</v>
      </c>
      <c r="G7927">
        <v>1</v>
      </c>
      <c r="H7927">
        <v>0</v>
      </c>
      <c r="I7927">
        <v>0</v>
      </c>
      <c r="J7927">
        <v>16301.472443201201</v>
      </c>
      <c r="K7927">
        <v>15041.451308211101</v>
      </c>
      <c r="L7927">
        <v>63.835999999999999</v>
      </c>
      <c r="M7927">
        <v>74.977000000000004</v>
      </c>
      <c r="N7927">
        <v>15.377000000000001</v>
      </c>
    </row>
    <row r="7928" spans="1:14" x14ac:dyDescent="0.45">
      <c r="A7928">
        <v>2017</v>
      </c>
      <c r="B7928" t="s">
        <v>132</v>
      </c>
      <c r="C7928">
        <v>1</v>
      </c>
      <c r="D7928">
        <v>0</v>
      </c>
      <c r="E7928">
        <v>0</v>
      </c>
      <c r="F7928">
        <v>0</v>
      </c>
      <c r="G7928">
        <v>0</v>
      </c>
      <c r="H7928">
        <v>1</v>
      </c>
      <c r="I7928">
        <v>1</v>
      </c>
      <c r="J7928">
        <v>66297.179069128106</v>
      </c>
      <c r="K7928">
        <v>60010.096265526197</v>
      </c>
      <c r="L7928">
        <v>13.426</v>
      </c>
      <c r="M7928">
        <v>70.385999999999996</v>
      </c>
      <c r="N7928">
        <v>11.113</v>
      </c>
    </row>
    <row r="7929" spans="1:14" x14ac:dyDescent="0.45">
      <c r="A7929">
        <v>2017</v>
      </c>
      <c r="B7929" t="s">
        <v>133</v>
      </c>
      <c r="C7929">
        <v>0</v>
      </c>
      <c r="D7929">
        <v>1</v>
      </c>
      <c r="E7929">
        <v>0</v>
      </c>
      <c r="F7929">
        <v>0</v>
      </c>
      <c r="G7929">
        <v>1</v>
      </c>
      <c r="H7929">
        <v>0</v>
      </c>
      <c r="I7929">
        <v>0</v>
      </c>
      <c r="J7929">
        <v>11005.459077705</v>
      </c>
      <c r="K7929">
        <v>9560.1744249384992</v>
      </c>
      <c r="L7929">
        <v>49.32</v>
      </c>
      <c r="M7929">
        <v>71.582999999999998</v>
      </c>
      <c r="N7929">
        <v>26.355</v>
      </c>
    </row>
    <row r="7930" spans="1:14" x14ac:dyDescent="0.45">
      <c r="A7930">
        <v>2017</v>
      </c>
      <c r="B7930" t="s">
        <v>134</v>
      </c>
      <c r="C7930">
        <v>0</v>
      </c>
      <c r="D7930">
        <v>0</v>
      </c>
      <c r="E7930">
        <v>0</v>
      </c>
      <c r="F7930">
        <v>0</v>
      </c>
      <c r="G7930">
        <v>0</v>
      </c>
      <c r="H7930">
        <v>1</v>
      </c>
      <c r="I7930">
        <v>1</v>
      </c>
      <c r="L7930">
        <v>5.3010000000000002</v>
      </c>
      <c r="M7930">
        <v>76.462999999999994</v>
      </c>
      <c r="N7930">
        <v>13.428000000000001</v>
      </c>
    </row>
    <row r="7931" spans="1:14" x14ac:dyDescent="0.45">
      <c r="A7931">
        <v>2017</v>
      </c>
      <c r="B7931" t="s">
        <v>135</v>
      </c>
      <c r="C7931">
        <v>0</v>
      </c>
      <c r="D7931">
        <v>1</v>
      </c>
      <c r="E7931">
        <v>0</v>
      </c>
      <c r="F7931">
        <v>0</v>
      </c>
      <c r="G7931">
        <v>1</v>
      </c>
      <c r="H7931">
        <v>0</v>
      </c>
      <c r="I7931">
        <v>0</v>
      </c>
      <c r="J7931">
        <v>12801.640852934601</v>
      </c>
      <c r="K7931">
        <v>12243.2222478678</v>
      </c>
      <c r="L7931">
        <v>73.462000000000003</v>
      </c>
      <c r="M7931">
        <v>68.543000000000006</v>
      </c>
      <c r="N7931">
        <v>31.07</v>
      </c>
    </row>
    <row r="7932" spans="1:14" x14ac:dyDescent="0.45">
      <c r="A7932">
        <v>2017</v>
      </c>
      <c r="B7932" t="s">
        <v>136</v>
      </c>
      <c r="C7932">
        <v>0</v>
      </c>
      <c r="D7932">
        <v>0</v>
      </c>
      <c r="E7932">
        <v>0</v>
      </c>
      <c r="F7932">
        <v>0</v>
      </c>
      <c r="G7932">
        <v>0</v>
      </c>
      <c r="H7932">
        <v>1</v>
      </c>
      <c r="I7932">
        <v>1</v>
      </c>
      <c r="J7932">
        <v>65662.809994717405</v>
      </c>
      <c r="K7932">
        <v>59260.912418234497</v>
      </c>
      <c r="L7932">
        <v>0</v>
      </c>
      <c r="M7932">
        <v>84.662000000000006</v>
      </c>
      <c r="N7932">
        <v>2.2770000000000001</v>
      </c>
    </row>
    <row r="7933" spans="1:14" x14ac:dyDescent="0.45">
      <c r="A7933">
        <v>2017</v>
      </c>
      <c r="B7933" t="s">
        <v>137</v>
      </c>
      <c r="C7933">
        <v>0</v>
      </c>
      <c r="D7933">
        <v>1</v>
      </c>
      <c r="E7933">
        <v>0</v>
      </c>
      <c r="F7933">
        <v>1</v>
      </c>
      <c r="G7933">
        <v>0</v>
      </c>
      <c r="H7933">
        <v>0</v>
      </c>
      <c r="I7933">
        <v>0</v>
      </c>
      <c r="J7933">
        <v>6099.6073491941397</v>
      </c>
      <c r="K7933">
        <v>5620.6541785097797</v>
      </c>
      <c r="L7933">
        <v>43.542999999999999</v>
      </c>
      <c r="M7933">
        <v>71.805000000000007</v>
      </c>
      <c r="N7933">
        <v>19.091000000000001</v>
      </c>
    </row>
    <row r="7934" spans="1:14" x14ac:dyDescent="0.45">
      <c r="A7934">
        <v>2017</v>
      </c>
      <c r="B7934" t="s">
        <v>138</v>
      </c>
      <c r="C7934">
        <v>1</v>
      </c>
      <c r="D7934">
        <v>0</v>
      </c>
      <c r="E7934">
        <v>0</v>
      </c>
      <c r="F7934">
        <v>0</v>
      </c>
      <c r="G7934">
        <v>0</v>
      </c>
      <c r="H7934">
        <v>1</v>
      </c>
      <c r="I7934">
        <v>1</v>
      </c>
      <c r="J7934">
        <v>32351.872218095999</v>
      </c>
      <c r="K7934">
        <v>27900.550306658199</v>
      </c>
      <c r="L7934">
        <v>43.332999999999998</v>
      </c>
      <c r="M7934">
        <v>77.725999999999999</v>
      </c>
      <c r="N7934">
        <v>4.9020000000000001</v>
      </c>
    </row>
    <row r="7935" spans="1:14" x14ac:dyDescent="0.45">
      <c r="A7935">
        <v>2017</v>
      </c>
      <c r="B7935" t="s">
        <v>139</v>
      </c>
      <c r="C7935">
        <v>0</v>
      </c>
      <c r="D7935">
        <v>1</v>
      </c>
      <c r="E7935">
        <v>0</v>
      </c>
      <c r="F7935">
        <v>0</v>
      </c>
      <c r="G7935">
        <v>0</v>
      </c>
      <c r="H7935">
        <v>0</v>
      </c>
      <c r="I7935">
        <v>0</v>
      </c>
      <c r="J7935">
        <v>3474.3469289837199</v>
      </c>
      <c r="K7935">
        <v>3339.3885626226702</v>
      </c>
      <c r="L7935">
        <v>45.654000000000003</v>
      </c>
      <c r="M7935">
        <v>63.832000000000001</v>
      </c>
      <c r="N7935">
        <v>65.858000000000004</v>
      </c>
    </row>
    <row r="7936" spans="1:14" x14ac:dyDescent="0.45">
      <c r="A7936">
        <v>2017</v>
      </c>
      <c r="B7936" t="s">
        <v>140</v>
      </c>
      <c r="C7936">
        <v>1</v>
      </c>
      <c r="D7936">
        <v>0</v>
      </c>
      <c r="E7936">
        <v>0</v>
      </c>
      <c r="F7936">
        <v>0</v>
      </c>
      <c r="G7936">
        <v>0</v>
      </c>
      <c r="H7936">
        <v>1</v>
      </c>
      <c r="I7936">
        <v>1</v>
      </c>
      <c r="J7936">
        <v>33828.714942571001</v>
      </c>
      <c r="K7936">
        <v>29478.933523495001</v>
      </c>
      <c r="L7936">
        <v>28.937999999999999</v>
      </c>
      <c r="M7936">
        <v>76.007000000000005</v>
      </c>
      <c r="N7936">
        <v>4.2649999999999997</v>
      </c>
    </row>
    <row r="7937" spans="1:14" x14ac:dyDescent="0.45">
      <c r="A7937">
        <v>2017</v>
      </c>
      <c r="B7937" t="s">
        <v>141</v>
      </c>
      <c r="C7937">
        <v>0</v>
      </c>
      <c r="D7937">
        <v>0</v>
      </c>
      <c r="E7937">
        <v>0</v>
      </c>
      <c r="F7937">
        <v>1</v>
      </c>
      <c r="G7937">
        <v>0</v>
      </c>
      <c r="H7937">
        <v>0</v>
      </c>
      <c r="I7937">
        <v>0</v>
      </c>
      <c r="J7937">
        <v>11772.574329610699</v>
      </c>
      <c r="K7937">
        <v>10687.6419769364</v>
      </c>
      <c r="L7937">
        <v>45.341000000000001</v>
      </c>
      <c r="M7937">
        <v>69.953000000000003</v>
      </c>
      <c r="N7937">
        <v>25.494</v>
      </c>
    </row>
    <row r="7938" spans="1:14" x14ac:dyDescent="0.45">
      <c r="A7938">
        <v>2017</v>
      </c>
      <c r="B7938" t="s">
        <v>142</v>
      </c>
      <c r="C7938">
        <v>1</v>
      </c>
      <c r="D7938">
        <v>0</v>
      </c>
      <c r="E7938">
        <v>0</v>
      </c>
      <c r="F7938">
        <v>0</v>
      </c>
      <c r="G7938">
        <v>0</v>
      </c>
      <c r="H7938">
        <v>1</v>
      </c>
      <c r="I7938">
        <v>1</v>
      </c>
      <c r="L7938">
        <v>47.542000000000002</v>
      </c>
      <c r="M7938">
        <v>80.506</v>
      </c>
      <c r="N7938">
        <v>14.202999999999999</v>
      </c>
    </row>
    <row r="7939" spans="1:14" x14ac:dyDescent="0.45">
      <c r="A7939">
        <v>2017</v>
      </c>
      <c r="B7939" t="s">
        <v>143</v>
      </c>
      <c r="C7939">
        <v>0</v>
      </c>
      <c r="D7939">
        <v>0</v>
      </c>
      <c r="E7939">
        <v>0</v>
      </c>
      <c r="F7939">
        <v>1</v>
      </c>
      <c r="G7939">
        <v>0</v>
      </c>
      <c r="H7939">
        <v>0</v>
      </c>
      <c r="I7939">
        <v>0</v>
      </c>
      <c r="J7939">
        <v>7326.6069367985901</v>
      </c>
      <c r="K7939">
        <v>6144.7178813076498</v>
      </c>
      <c r="L7939">
        <v>66.400000000000006</v>
      </c>
      <c r="M7939">
        <v>70.067999999999998</v>
      </c>
      <c r="N7939">
        <v>38.665999999999997</v>
      </c>
    </row>
    <row r="7940" spans="1:14" x14ac:dyDescent="0.45">
      <c r="A7940">
        <v>2017</v>
      </c>
      <c r="B7940" t="s">
        <v>144</v>
      </c>
      <c r="C7940">
        <v>1</v>
      </c>
      <c r="D7940">
        <v>0</v>
      </c>
      <c r="E7940">
        <v>0</v>
      </c>
      <c r="F7940">
        <v>0</v>
      </c>
      <c r="G7940">
        <v>0</v>
      </c>
      <c r="H7940">
        <v>1</v>
      </c>
      <c r="I7940">
        <v>1</v>
      </c>
      <c r="J7940">
        <v>87942.445261564397</v>
      </c>
      <c r="K7940">
        <v>80858.490252972406</v>
      </c>
      <c r="L7940">
        <v>37.052999999999997</v>
      </c>
      <c r="M7940">
        <v>82.102999999999994</v>
      </c>
      <c r="N7940">
        <v>3.46</v>
      </c>
    </row>
    <row r="7941" spans="1:14" x14ac:dyDescent="0.45">
      <c r="A7941">
        <v>2017</v>
      </c>
      <c r="B7941" t="s">
        <v>145</v>
      </c>
      <c r="C7941">
        <v>0</v>
      </c>
      <c r="D7941">
        <v>0</v>
      </c>
      <c r="E7941">
        <v>0</v>
      </c>
      <c r="F7941">
        <v>0</v>
      </c>
      <c r="G7941">
        <v>1</v>
      </c>
      <c r="H7941">
        <v>0</v>
      </c>
      <c r="I7941">
        <v>0</v>
      </c>
      <c r="J7941">
        <v>15108.1094121896</v>
      </c>
      <c r="K7941">
        <v>15070.258641321099</v>
      </c>
      <c r="L7941">
        <v>25.606000000000002</v>
      </c>
      <c r="M7941">
        <v>76.396000000000001</v>
      </c>
      <c r="N7941">
        <v>14.417</v>
      </c>
    </row>
    <row r="7942" spans="1:14" x14ac:dyDescent="0.45">
      <c r="A7942">
        <v>2017</v>
      </c>
      <c r="B7942" t="s">
        <v>146</v>
      </c>
      <c r="C7942">
        <v>0</v>
      </c>
      <c r="D7942">
        <v>0</v>
      </c>
      <c r="E7942">
        <v>0</v>
      </c>
      <c r="F7942">
        <v>0</v>
      </c>
      <c r="G7942">
        <v>1</v>
      </c>
      <c r="H7942">
        <v>0</v>
      </c>
      <c r="I7942">
        <v>0</v>
      </c>
      <c r="J7942">
        <v>14417.6306896487</v>
      </c>
      <c r="K7942">
        <v>10191.661183161799</v>
      </c>
      <c r="L7942">
        <v>29.722000000000001</v>
      </c>
      <c r="M7942">
        <v>69.787999999999997</v>
      </c>
      <c r="N7942">
        <v>27.664000000000001</v>
      </c>
    </row>
    <row r="7943" spans="1:14" x14ac:dyDescent="0.45">
      <c r="A7943">
        <v>2017</v>
      </c>
      <c r="B7943" t="s">
        <v>147</v>
      </c>
      <c r="C7943">
        <v>1</v>
      </c>
      <c r="D7943">
        <v>0</v>
      </c>
      <c r="E7943">
        <v>0</v>
      </c>
      <c r="F7943">
        <v>0</v>
      </c>
      <c r="G7943">
        <v>0</v>
      </c>
      <c r="H7943">
        <v>1</v>
      </c>
      <c r="I7943">
        <v>1</v>
      </c>
      <c r="J7943">
        <v>63999.160465288398</v>
      </c>
      <c r="K7943">
        <v>55377.762250784799</v>
      </c>
      <c r="L7943">
        <v>6.2270000000000003</v>
      </c>
      <c r="M7943">
        <v>82.241</v>
      </c>
      <c r="N7943">
        <v>3.7429999999999999</v>
      </c>
    </row>
    <row r="7944" spans="1:14" x14ac:dyDescent="0.45">
      <c r="A7944">
        <v>2017</v>
      </c>
      <c r="B7944" t="s">
        <v>148</v>
      </c>
      <c r="C7944">
        <v>0</v>
      </c>
      <c r="D7944">
        <v>0</v>
      </c>
      <c r="E7944">
        <v>0</v>
      </c>
      <c r="F7944">
        <v>0</v>
      </c>
      <c r="G7944">
        <v>0</v>
      </c>
      <c r="H7944">
        <v>1</v>
      </c>
      <c r="I7944">
        <v>1</v>
      </c>
      <c r="J7944">
        <v>42947.058668698402</v>
      </c>
      <c r="K7944">
        <v>39394.356631014802</v>
      </c>
      <c r="L7944">
        <v>7.6639999999999997</v>
      </c>
      <c r="M7944">
        <v>82.698999999999998</v>
      </c>
      <c r="N7944">
        <v>3.7919999999999998</v>
      </c>
    </row>
    <row r="7945" spans="1:14" x14ac:dyDescent="0.45">
      <c r="A7945">
        <v>2017</v>
      </c>
      <c r="B7945" t="s">
        <v>149</v>
      </c>
      <c r="C7945">
        <v>1</v>
      </c>
      <c r="D7945">
        <v>0</v>
      </c>
      <c r="E7945">
        <v>0</v>
      </c>
      <c r="F7945">
        <v>0</v>
      </c>
      <c r="G7945">
        <v>0</v>
      </c>
      <c r="H7945">
        <v>1</v>
      </c>
      <c r="I7945">
        <v>1</v>
      </c>
      <c r="J7945">
        <v>48849.218353475597</v>
      </c>
      <c r="K7945">
        <v>41608.157838198698</v>
      </c>
      <c r="L7945">
        <v>29.856000000000002</v>
      </c>
      <c r="M7945">
        <v>82.725999999999999</v>
      </c>
      <c r="N7945">
        <v>3.3780000000000001</v>
      </c>
    </row>
    <row r="7946" spans="1:14" x14ac:dyDescent="0.45">
      <c r="A7946">
        <v>2017</v>
      </c>
      <c r="B7946" t="s">
        <v>150</v>
      </c>
      <c r="C7946">
        <v>0</v>
      </c>
      <c r="D7946">
        <v>1</v>
      </c>
      <c r="E7946">
        <v>0</v>
      </c>
      <c r="F7946">
        <v>0</v>
      </c>
      <c r="G7946">
        <v>1</v>
      </c>
      <c r="H7946">
        <v>0</v>
      </c>
      <c r="I7946">
        <v>0</v>
      </c>
      <c r="J7946">
        <v>9964.3910225189993</v>
      </c>
      <c r="K7946">
        <v>9820.2078540909097</v>
      </c>
      <c r="L7946">
        <v>44.622</v>
      </c>
      <c r="M7946">
        <v>71.879000000000005</v>
      </c>
      <c r="N7946">
        <v>18.757999999999999</v>
      </c>
    </row>
    <row r="7947" spans="1:14" x14ac:dyDescent="0.45">
      <c r="A7947">
        <v>2017</v>
      </c>
      <c r="B7947" t="s">
        <v>151</v>
      </c>
      <c r="C7947">
        <v>0</v>
      </c>
      <c r="D7947">
        <v>0</v>
      </c>
      <c r="E7947">
        <v>0</v>
      </c>
      <c r="F7947">
        <v>0</v>
      </c>
      <c r="G7947">
        <v>1</v>
      </c>
      <c r="H7947">
        <v>0</v>
      </c>
      <c r="I7947">
        <v>0</v>
      </c>
      <c r="J7947">
        <v>9339.8103972598292</v>
      </c>
      <c r="K7947">
        <v>9265.5149246508208</v>
      </c>
      <c r="L7947">
        <v>9.2530000000000001</v>
      </c>
      <c r="M7947">
        <v>76.070999999999998</v>
      </c>
      <c r="N7947">
        <v>16.550999999999998</v>
      </c>
    </row>
    <row r="7948" spans="1:14" x14ac:dyDescent="0.45">
      <c r="A7948">
        <v>2017</v>
      </c>
      <c r="B7948" t="s">
        <v>152</v>
      </c>
      <c r="C7948">
        <v>0</v>
      </c>
      <c r="D7948">
        <v>0</v>
      </c>
      <c r="E7948">
        <v>0</v>
      </c>
      <c r="F7948">
        <v>0</v>
      </c>
      <c r="G7948">
        <v>0</v>
      </c>
      <c r="H7948">
        <v>1</v>
      </c>
      <c r="I7948">
        <v>1</v>
      </c>
      <c r="J7948">
        <v>44505.279260368399</v>
      </c>
      <c r="K7948">
        <v>41226.678739228097</v>
      </c>
      <c r="L7948">
        <v>8.4649999999999999</v>
      </c>
      <c r="M7948">
        <v>84.188999999999993</v>
      </c>
      <c r="N7948">
        <v>2.552</v>
      </c>
    </row>
    <row r="7949" spans="1:14" x14ac:dyDescent="0.45">
      <c r="A7949">
        <v>2017</v>
      </c>
      <c r="B7949" t="s">
        <v>153</v>
      </c>
      <c r="C7949">
        <v>1</v>
      </c>
      <c r="D7949">
        <v>0</v>
      </c>
      <c r="E7949">
        <v>0</v>
      </c>
      <c r="F7949">
        <v>0</v>
      </c>
      <c r="G7949">
        <v>1</v>
      </c>
      <c r="H7949">
        <v>0</v>
      </c>
      <c r="I7949">
        <v>0</v>
      </c>
      <c r="J7949">
        <v>31524.441633979401</v>
      </c>
      <c r="K7949">
        <v>23973.058343382301</v>
      </c>
      <c r="L7949">
        <v>42.664000000000001</v>
      </c>
      <c r="M7949">
        <v>72.995999999999995</v>
      </c>
      <c r="N7949">
        <v>10.974</v>
      </c>
    </row>
    <row r="7950" spans="1:14" x14ac:dyDescent="0.45">
      <c r="A7950">
        <v>2017</v>
      </c>
      <c r="B7950" t="s">
        <v>154</v>
      </c>
      <c r="C7950">
        <v>0</v>
      </c>
      <c r="D7950">
        <v>0</v>
      </c>
      <c r="E7950">
        <v>1</v>
      </c>
      <c r="F7950">
        <v>1</v>
      </c>
      <c r="G7950">
        <v>0</v>
      </c>
      <c r="H7950">
        <v>0</v>
      </c>
      <c r="I7950">
        <v>0</v>
      </c>
      <c r="J7950">
        <v>4846.8621085193199</v>
      </c>
      <c r="K7950">
        <v>4177.2498801456904</v>
      </c>
      <c r="L7950">
        <v>73.438000000000002</v>
      </c>
      <c r="M7950">
        <v>62.725000000000001</v>
      </c>
      <c r="N7950">
        <v>45.09</v>
      </c>
    </row>
    <row r="7951" spans="1:14" x14ac:dyDescent="0.45">
      <c r="A7951">
        <v>2017</v>
      </c>
      <c r="B7951" t="s">
        <v>155</v>
      </c>
      <c r="C7951">
        <v>1</v>
      </c>
      <c r="D7951">
        <v>0</v>
      </c>
      <c r="E7951">
        <v>0</v>
      </c>
      <c r="F7951">
        <v>1</v>
      </c>
      <c r="G7951">
        <v>0</v>
      </c>
      <c r="H7951">
        <v>0</v>
      </c>
      <c r="I7951">
        <v>0</v>
      </c>
      <c r="J7951">
        <v>5861.2220004050296</v>
      </c>
      <c r="K7951">
        <v>4953.7174837029897</v>
      </c>
      <c r="L7951">
        <v>63.865000000000002</v>
      </c>
      <c r="M7951">
        <v>70.503</v>
      </c>
      <c r="N7951">
        <v>20.158000000000001</v>
      </c>
    </row>
    <row r="7952" spans="1:14" x14ac:dyDescent="0.45">
      <c r="A7952">
        <v>2017</v>
      </c>
      <c r="B7952" t="s">
        <v>156</v>
      </c>
      <c r="C7952">
        <v>0</v>
      </c>
      <c r="D7952">
        <v>0</v>
      </c>
      <c r="E7952">
        <v>0</v>
      </c>
      <c r="F7952">
        <v>1</v>
      </c>
      <c r="G7952">
        <v>0</v>
      </c>
      <c r="H7952">
        <v>0</v>
      </c>
      <c r="I7952">
        <v>0</v>
      </c>
      <c r="J7952">
        <v>5632.0312562915997</v>
      </c>
      <c r="K7952">
        <v>5050.0638196815898</v>
      </c>
      <c r="L7952">
        <v>77.02</v>
      </c>
      <c r="M7952">
        <v>69.841999999999999</v>
      </c>
      <c r="N7952">
        <v>28.931999999999999</v>
      </c>
    </row>
    <row r="7953" spans="1:14" x14ac:dyDescent="0.45">
      <c r="A7953">
        <v>2017</v>
      </c>
      <c r="B7953" t="s">
        <v>157</v>
      </c>
      <c r="C7953">
        <v>0</v>
      </c>
      <c r="D7953">
        <v>0</v>
      </c>
      <c r="E7953">
        <v>0</v>
      </c>
      <c r="F7953">
        <v>1</v>
      </c>
      <c r="G7953">
        <v>0</v>
      </c>
      <c r="H7953">
        <v>0</v>
      </c>
      <c r="I7953">
        <v>0</v>
      </c>
      <c r="J7953">
        <v>2822.6691933564498</v>
      </c>
      <c r="K7953">
        <v>2553.3845690452599</v>
      </c>
      <c r="L7953">
        <v>46.738</v>
      </c>
      <c r="M7953">
        <v>65.787000000000006</v>
      </c>
      <c r="N7953">
        <v>59.088999999999999</v>
      </c>
    </row>
    <row r="7954" spans="1:14" x14ac:dyDescent="0.45">
      <c r="A7954">
        <v>2017</v>
      </c>
      <c r="B7954" t="s">
        <v>158</v>
      </c>
      <c r="C7954">
        <v>0</v>
      </c>
      <c r="D7954">
        <v>1</v>
      </c>
      <c r="E7954">
        <v>0</v>
      </c>
      <c r="F7954">
        <v>0</v>
      </c>
      <c r="G7954">
        <v>0</v>
      </c>
      <c r="H7954">
        <v>1</v>
      </c>
      <c r="I7954">
        <v>1</v>
      </c>
      <c r="J7954">
        <v>29948.920006568202</v>
      </c>
      <c r="K7954">
        <v>29578.632105340399</v>
      </c>
      <c r="L7954">
        <v>69.227000000000004</v>
      </c>
      <c r="M7954">
        <v>71.284000000000006</v>
      </c>
      <c r="N7954">
        <v>17.451000000000001</v>
      </c>
    </row>
    <row r="7955" spans="1:14" x14ac:dyDescent="0.45">
      <c r="A7955">
        <v>2017</v>
      </c>
      <c r="B7955" t="s">
        <v>159</v>
      </c>
      <c r="C7955">
        <v>0</v>
      </c>
      <c r="D7955">
        <v>0</v>
      </c>
      <c r="E7955">
        <v>0</v>
      </c>
      <c r="F7955">
        <v>0</v>
      </c>
      <c r="G7955">
        <v>0</v>
      </c>
      <c r="H7955">
        <v>1</v>
      </c>
      <c r="I7955">
        <v>1</v>
      </c>
      <c r="J7955">
        <v>44787.648235442102</v>
      </c>
      <c r="K7955">
        <v>40829.427698297797</v>
      </c>
      <c r="L7955">
        <v>18.497</v>
      </c>
      <c r="M7955">
        <v>83.278000000000006</v>
      </c>
      <c r="N7955">
        <v>3.3119999999999998</v>
      </c>
    </row>
    <row r="7956" spans="1:14" x14ac:dyDescent="0.45">
      <c r="A7956">
        <v>2017</v>
      </c>
      <c r="B7956" t="s">
        <v>160</v>
      </c>
      <c r="C7956">
        <v>0</v>
      </c>
      <c r="D7956">
        <v>0</v>
      </c>
      <c r="E7956">
        <v>0</v>
      </c>
      <c r="F7956">
        <v>0</v>
      </c>
      <c r="G7956">
        <v>0</v>
      </c>
      <c r="H7956">
        <v>1</v>
      </c>
      <c r="I7956">
        <v>1</v>
      </c>
      <c r="J7956">
        <v>52285.587120172298</v>
      </c>
      <c r="K7956">
        <v>46565.550436129299</v>
      </c>
      <c r="L7956">
        <v>0</v>
      </c>
      <c r="M7956">
        <v>79.730999999999995</v>
      </c>
      <c r="N7956">
        <v>9.0190000000000001</v>
      </c>
    </row>
    <row r="7957" spans="1:14" x14ac:dyDescent="0.45">
      <c r="A7957">
        <v>2017</v>
      </c>
      <c r="B7957" t="s">
        <v>161</v>
      </c>
      <c r="C7957">
        <v>0</v>
      </c>
      <c r="D7957">
        <v>0</v>
      </c>
      <c r="E7957">
        <v>0</v>
      </c>
      <c r="F7957">
        <v>1</v>
      </c>
      <c r="G7957">
        <v>0</v>
      </c>
      <c r="H7957">
        <v>0</v>
      </c>
      <c r="I7957">
        <v>0</v>
      </c>
      <c r="J7957">
        <v>7432.4596330485001</v>
      </c>
      <c r="K7957">
        <v>7141.9069148107101</v>
      </c>
      <c r="L7957">
        <v>65.632000000000005</v>
      </c>
      <c r="M7957">
        <v>67.344999999999999</v>
      </c>
      <c r="N7957">
        <v>48.901000000000003</v>
      </c>
    </row>
    <row r="7958" spans="1:14" x14ac:dyDescent="0.45">
      <c r="A7958">
        <v>2017</v>
      </c>
      <c r="B7958" t="s">
        <v>162</v>
      </c>
      <c r="C7958">
        <v>0</v>
      </c>
      <c r="D7958">
        <v>0</v>
      </c>
      <c r="E7958">
        <v>0</v>
      </c>
      <c r="F7958">
        <v>0</v>
      </c>
      <c r="G7958">
        <v>1</v>
      </c>
      <c r="H7958">
        <v>0</v>
      </c>
      <c r="I7958">
        <v>0</v>
      </c>
      <c r="J7958">
        <v>16128.583819605101</v>
      </c>
      <c r="K7958">
        <v>20963.826938235299</v>
      </c>
      <c r="L7958">
        <v>11.571</v>
      </c>
      <c r="M7958">
        <v>78.191999999999993</v>
      </c>
      <c r="N7958">
        <v>13.644</v>
      </c>
    </row>
    <row r="7959" spans="1:14" x14ac:dyDescent="0.45">
      <c r="A7959">
        <v>2017</v>
      </c>
      <c r="B7959" t="s">
        <v>163</v>
      </c>
      <c r="C7959">
        <v>0</v>
      </c>
      <c r="D7959">
        <v>0</v>
      </c>
      <c r="E7959">
        <v>1</v>
      </c>
      <c r="F7959">
        <v>0</v>
      </c>
      <c r="G7959">
        <v>0</v>
      </c>
      <c r="H7959">
        <v>0</v>
      </c>
      <c r="I7959">
        <v>0</v>
      </c>
      <c r="J7959">
        <v>1661.3029078217101</v>
      </c>
      <c r="K7959">
        <v>2454.48441903404</v>
      </c>
      <c r="L7959">
        <v>49.302999999999997</v>
      </c>
      <c r="M7959">
        <v>60.777000000000001</v>
      </c>
      <c r="N7959">
        <v>83.472999999999999</v>
      </c>
    </row>
    <row r="7960" spans="1:14" x14ac:dyDescent="0.45">
      <c r="A7960">
        <v>2017</v>
      </c>
      <c r="B7960" t="s">
        <v>164</v>
      </c>
      <c r="C7960">
        <v>0</v>
      </c>
      <c r="D7960">
        <v>0</v>
      </c>
      <c r="E7960">
        <v>0</v>
      </c>
      <c r="F7960">
        <v>0</v>
      </c>
      <c r="G7960">
        <v>1</v>
      </c>
      <c r="H7960">
        <v>0</v>
      </c>
      <c r="I7960">
        <v>0</v>
      </c>
      <c r="J7960">
        <v>15424.055430095999</v>
      </c>
      <c r="K7960">
        <v>18026.018686948399</v>
      </c>
      <c r="L7960">
        <v>20.183</v>
      </c>
      <c r="M7960">
        <v>72.721000000000004</v>
      </c>
      <c r="N7960">
        <v>13.191000000000001</v>
      </c>
    </row>
    <row r="7961" spans="1:14" x14ac:dyDescent="0.45">
      <c r="A7961">
        <v>2017</v>
      </c>
      <c r="B7961" t="s">
        <v>165</v>
      </c>
      <c r="C7961">
        <v>0</v>
      </c>
      <c r="D7961">
        <v>1</v>
      </c>
      <c r="E7961">
        <v>0</v>
      </c>
      <c r="F7961">
        <v>0</v>
      </c>
      <c r="G7961">
        <v>1</v>
      </c>
      <c r="H7961">
        <v>0</v>
      </c>
      <c r="I7961">
        <v>0</v>
      </c>
      <c r="J7961">
        <v>22422.597038801799</v>
      </c>
      <c r="K7961">
        <v>16130.9734326219</v>
      </c>
      <c r="L7961">
        <v>81.388000000000005</v>
      </c>
      <c r="M7961">
        <v>72.522000000000006</v>
      </c>
      <c r="N7961">
        <v>17.581</v>
      </c>
    </row>
    <row r="7962" spans="1:14" x14ac:dyDescent="0.45">
      <c r="A7962">
        <v>2017</v>
      </c>
      <c r="B7962" t="s">
        <v>166</v>
      </c>
      <c r="C7962">
        <v>1</v>
      </c>
      <c r="D7962">
        <v>0</v>
      </c>
      <c r="E7962">
        <v>0</v>
      </c>
      <c r="F7962">
        <v>0</v>
      </c>
      <c r="G7962">
        <v>0</v>
      </c>
      <c r="H7962">
        <v>1</v>
      </c>
      <c r="I7962">
        <v>1</v>
      </c>
      <c r="L7962">
        <v>85.685000000000002</v>
      </c>
      <c r="M7962">
        <v>83.111000000000004</v>
      </c>
      <c r="N7962">
        <v>6.9189999999999996</v>
      </c>
    </row>
    <row r="7963" spans="1:14" x14ac:dyDescent="0.45">
      <c r="A7963">
        <v>2017</v>
      </c>
      <c r="B7963" t="s">
        <v>167</v>
      </c>
      <c r="C7963">
        <v>0</v>
      </c>
      <c r="D7963">
        <v>0</v>
      </c>
      <c r="E7963">
        <v>0</v>
      </c>
      <c r="F7963">
        <v>1</v>
      </c>
      <c r="G7963">
        <v>0</v>
      </c>
      <c r="H7963">
        <v>0</v>
      </c>
      <c r="I7963">
        <v>0</v>
      </c>
      <c r="J7963">
        <v>14572.485821456499</v>
      </c>
      <c r="K7963">
        <v>13610.4714376376</v>
      </c>
      <c r="L7963">
        <v>81.616</v>
      </c>
      <c r="M7963">
        <v>76.239000000000004</v>
      </c>
      <c r="N7963">
        <v>8.4</v>
      </c>
    </row>
    <row r="7964" spans="1:14" x14ac:dyDescent="0.45">
      <c r="A7964">
        <v>2017</v>
      </c>
      <c r="B7964" t="s">
        <v>168</v>
      </c>
      <c r="C7964">
        <v>0</v>
      </c>
      <c r="D7964">
        <v>0</v>
      </c>
      <c r="E7964">
        <v>1</v>
      </c>
      <c r="F7964">
        <v>1</v>
      </c>
      <c r="G7964">
        <v>0</v>
      </c>
      <c r="H7964">
        <v>0</v>
      </c>
      <c r="I7964">
        <v>0</v>
      </c>
      <c r="J7964">
        <v>2924.68096193272</v>
      </c>
      <c r="K7964">
        <v>2618.81839943569</v>
      </c>
      <c r="L7964">
        <v>72.27</v>
      </c>
      <c r="M7964">
        <v>53.874000000000002</v>
      </c>
      <c r="N7964">
        <v>78.480999999999995</v>
      </c>
    </row>
    <row r="7965" spans="1:14" x14ac:dyDescent="0.45">
      <c r="A7965">
        <v>2017</v>
      </c>
      <c r="B7965" t="s">
        <v>169</v>
      </c>
      <c r="C7965">
        <v>1</v>
      </c>
      <c r="D7965">
        <v>0</v>
      </c>
      <c r="E7965">
        <v>0</v>
      </c>
      <c r="F7965">
        <v>0</v>
      </c>
      <c r="G7965">
        <v>0</v>
      </c>
      <c r="H7965">
        <v>1</v>
      </c>
      <c r="I7965">
        <v>1</v>
      </c>
      <c r="J7965">
        <v>38774.489201182201</v>
      </c>
      <c r="K7965">
        <v>33174.161016315702</v>
      </c>
      <c r="L7965">
        <v>32.484000000000002</v>
      </c>
      <c r="M7965">
        <v>75.700999999999993</v>
      </c>
      <c r="N7965">
        <v>3.621</v>
      </c>
    </row>
    <row r="7966" spans="1:14" x14ac:dyDescent="0.45">
      <c r="A7966">
        <v>2017</v>
      </c>
      <c r="B7966" t="s">
        <v>170</v>
      </c>
      <c r="C7966">
        <v>1</v>
      </c>
      <c r="D7966">
        <v>0</v>
      </c>
      <c r="E7966">
        <v>0</v>
      </c>
      <c r="F7966">
        <v>0</v>
      </c>
      <c r="G7966">
        <v>0</v>
      </c>
      <c r="H7966">
        <v>1</v>
      </c>
      <c r="I7966">
        <v>1</v>
      </c>
      <c r="J7966">
        <v>132169.83404536801</v>
      </c>
      <c r="K7966">
        <v>112947.22694493301</v>
      </c>
      <c r="L7966">
        <v>9.2729999999999997</v>
      </c>
      <c r="M7966">
        <v>81.088999999999999</v>
      </c>
      <c r="N7966">
        <v>5.5270000000000001</v>
      </c>
    </row>
    <row r="7967" spans="1:14" x14ac:dyDescent="0.45">
      <c r="A7967">
        <v>2017</v>
      </c>
      <c r="B7967" t="s">
        <v>171</v>
      </c>
      <c r="C7967">
        <v>1</v>
      </c>
      <c r="D7967">
        <v>0</v>
      </c>
      <c r="E7967">
        <v>0</v>
      </c>
      <c r="F7967">
        <v>0</v>
      </c>
      <c r="G7967">
        <v>0</v>
      </c>
      <c r="H7967">
        <v>1</v>
      </c>
      <c r="I7967">
        <v>1</v>
      </c>
      <c r="J7967">
        <v>33036.391594343702</v>
      </c>
      <c r="K7967">
        <v>28662.0193279509</v>
      </c>
      <c r="L7967">
        <v>31.925000000000001</v>
      </c>
      <c r="M7967">
        <v>74.8</v>
      </c>
      <c r="N7967">
        <v>4.9349999999999996</v>
      </c>
    </row>
    <row r="7968" spans="1:14" x14ac:dyDescent="0.45">
      <c r="A7968">
        <v>2017</v>
      </c>
      <c r="B7968" t="s">
        <v>172</v>
      </c>
      <c r="C7968">
        <v>0</v>
      </c>
      <c r="D7968">
        <v>0</v>
      </c>
      <c r="E7968">
        <v>0</v>
      </c>
      <c r="F7968">
        <v>0</v>
      </c>
      <c r="G7968">
        <v>0</v>
      </c>
      <c r="H7968">
        <v>1</v>
      </c>
      <c r="I7968">
        <v>1</v>
      </c>
      <c r="J7968">
        <v>133500.278958701</v>
      </c>
      <c r="K7968">
        <v>120983.491144388</v>
      </c>
      <c r="L7968">
        <v>0</v>
      </c>
      <c r="M7968">
        <v>83.078000000000003</v>
      </c>
      <c r="N7968">
        <v>3.79</v>
      </c>
    </row>
    <row r="7969" spans="1:14" x14ac:dyDescent="0.45">
      <c r="A7969">
        <v>2017</v>
      </c>
      <c r="B7969" t="s">
        <v>173</v>
      </c>
      <c r="C7969">
        <v>0</v>
      </c>
      <c r="D7969">
        <v>1</v>
      </c>
      <c r="E7969">
        <v>0</v>
      </c>
      <c r="F7969">
        <v>0</v>
      </c>
      <c r="G7969">
        <v>0</v>
      </c>
      <c r="H7969">
        <v>1</v>
      </c>
      <c r="I7969">
        <v>1</v>
      </c>
      <c r="L7969">
        <v>0</v>
      </c>
      <c r="M7969">
        <v>78.762</v>
      </c>
      <c r="N7969">
        <v>14.061</v>
      </c>
    </row>
    <row r="7970" spans="1:14" x14ac:dyDescent="0.45">
      <c r="A7970">
        <v>2017</v>
      </c>
      <c r="B7970" t="s">
        <v>174</v>
      </c>
      <c r="C7970">
        <v>0</v>
      </c>
      <c r="D7970">
        <v>0</v>
      </c>
      <c r="E7970">
        <v>0</v>
      </c>
      <c r="F7970">
        <v>1</v>
      </c>
      <c r="G7970">
        <v>0</v>
      </c>
      <c r="H7970">
        <v>0</v>
      </c>
      <c r="I7970">
        <v>0</v>
      </c>
      <c r="J7970">
        <v>8450.0087890625</v>
      </c>
      <c r="K7970">
        <v>8115.1217561150097</v>
      </c>
      <c r="L7970">
        <v>38.091999999999999</v>
      </c>
      <c r="M7970">
        <v>73.608000000000004</v>
      </c>
      <c r="N7970">
        <v>21.076000000000001</v>
      </c>
    </row>
    <row r="7971" spans="1:14" x14ac:dyDescent="0.45">
      <c r="A7971">
        <v>2017</v>
      </c>
      <c r="B7971" t="s">
        <v>175</v>
      </c>
      <c r="C7971">
        <v>1</v>
      </c>
      <c r="D7971">
        <v>0</v>
      </c>
      <c r="E7971">
        <v>0</v>
      </c>
      <c r="F7971">
        <v>0</v>
      </c>
      <c r="G7971">
        <v>0</v>
      </c>
      <c r="H7971">
        <v>1</v>
      </c>
      <c r="I7971">
        <v>1</v>
      </c>
      <c r="L7971">
        <v>0</v>
      </c>
      <c r="M7971">
        <v>85.878</v>
      </c>
      <c r="N7971">
        <v>4.8470000000000004</v>
      </c>
    </row>
    <row r="7972" spans="1:14" x14ac:dyDescent="0.45">
      <c r="A7972">
        <v>2017</v>
      </c>
      <c r="B7972" t="s">
        <v>176</v>
      </c>
      <c r="C7972">
        <v>1</v>
      </c>
      <c r="D7972">
        <v>0</v>
      </c>
      <c r="E7972">
        <v>0</v>
      </c>
      <c r="F7972">
        <v>1</v>
      </c>
      <c r="G7972">
        <v>0</v>
      </c>
      <c r="H7972">
        <v>0</v>
      </c>
      <c r="I7972">
        <v>0</v>
      </c>
      <c r="J7972">
        <v>13118.821936960499</v>
      </c>
      <c r="K7972">
        <v>11252.1137874038</v>
      </c>
      <c r="L7972">
        <v>57.442999999999998</v>
      </c>
      <c r="M7972">
        <v>70.375</v>
      </c>
      <c r="N7972">
        <v>15.21</v>
      </c>
    </row>
    <row r="7973" spans="1:14" x14ac:dyDescent="0.45">
      <c r="A7973">
        <v>2017</v>
      </c>
      <c r="B7973" t="s">
        <v>177</v>
      </c>
      <c r="C7973">
        <v>0</v>
      </c>
      <c r="D7973">
        <v>0</v>
      </c>
      <c r="E7973">
        <v>1</v>
      </c>
      <c r="F7973">
        <v>0</v>
      </c>
      <c r="G7973">
        <v>0</v>
      </c>
      <c r="H7973">
        <v>0</v>
      </c>
      <c r="I7973">
        <v>0</v>
      </c>
      <c r="J7973">
        <v>1669.7276426702399</v>
      </c>
      <c r="K7973">
        <v>1546.8800099665</v>
      </c>
      <c r="L7973">
        <v>63.478000000000002</v>
      </c>
      <c r="M7973">
        <v>63.433</v>
      </c>
      <c r="N7973">
        <v>66.102999999999994</v>
      </c>
    </row>
    <row r="7974" spans="1:14" x14ac:dyDescent="0.45">
      <c r="A7974">
        <v>2017</v>
      </c>
      <c r="B7974" t="s">
        <v>178</v>
      </c>
      <c r="C7974">
        <v>0</v>
      </c>
      <c r="D7974">
        <v>0</v>
      </c>
      <c r="E7974">
        <v>0</v>
      </c>
      <c r="F7974">
        <v>0</v>
      </c>
      <c r="G7974">
        <v>1</v>
      </c>
      <c r="H7974">
        <v>0</v>
      </c>
      <c r="I7974">
        <v>0</v>
      </c>
      <c r="J7974">
        <v>20036.716551818099</v>
      </c>
      <c r="K7974">
        <v>19767.8899068264</v>
      </c>
      <c r="L7974">
        <v>60.62</v>
      </c>
      <c r="M7974">
        <v>79.227999999999994</v>
      </c>
      <c r="N7974">
        <v>8.2789999999999999</v>
      </c>
    </row>
    <row r="7975" spans="1:14" x14ac:dyDescent="0.45">
      <c r="A7975">
        <v>2017</v>
      </c>
      <c r="B7975" t="s">
        <v>179</v>
      </c>
      <c r="C7975">
        <v>0</v>
      </c>
      <c r="D7975">
        <v>1</v>
      </c>
      <c r="E7975">
        <v>0</v>
      </c>
      <c r="F7975">
        <v>0</v>
      </c>
      <c r="G7975">
        <v>1</v>
      </c>
      <c r="H7975">
        <v>0</v>
      </c>
      <c r="I7975">
        <v>0</v>
      </c>
      <c r="J7975">
        <v>21777.522512920699</v>
      </c>
      <c r="K7975">
        <v>20246.022410338101</v>
      </c>
      <c r="L7975">
        <v>20.132999999999999</v>
      </c>
      <c r="M7975">
        <v>74.260999999999996</v>
      </c>
      <c r="N7975">
        <v>15.183999999999999</v>
      </c>
    </row>
    <row r="7976" spans="1:14" x14ac:dyDescent="0.45">
      <c r="A7976">
        <v>2017</v>
      </c>
      <c r="B7976" t="s">
        <v>180</v>
      </c>
      <c r="C7976">
        <v>0</v>
      </c>
      <c r="D7976">
        <v>0</v>
      </c>
      <c r="E7976">
        <v>0</v>
      </c>
      <c r="F7976">
        <v>0</v>
      </c>
      <c r="G7976">
        <v>1</v>
      </c>
      <c r="H7976">
        <v>0</v>
      </c>
      <c r="I7976">
        <v>0</v>
      </c>
      <c r="J7976">
        <v>5199.3444796297799</v>
      </c>
      <c r="K7976">
        <v>4702.7285037950196</v>
      </c>
      <c r="L7976">
        <v>23.366</v>
      </c>
      <c r="M7976">
        <v>65.673000000000002</v>
      </c>
      <c r="N7976">
        <v>33.457999999999998</v>
      </c>
    </row>
    <row r="7977" spans="1:14" x14ac:dyDescent="0.45">
      <c r="A7977">
        <v>2017</v>
      </c>
      <c r="B7977" t="s">
        <v>181</v>
      </c>
      <c r="C7977">
        <v>1</v>
      </c>
      <c r="D7977">
        <v>0</v>
      </c>
      <c r="E7977">
        <v>0</v>
      </c>
      <c r="F7977">
        <v>0</v>
      </c>
      <c r="G7977">
        <v>1</v>
      </c>
      <c r="H7977">
        <v>0</v>
      </c>
      <c r="I7977">
        <v>0</v>
      </c>
      <c r="J7977">
        <v>20119.9428859482</v>
      </c>
      <c r="K7977">
        <v>16985.011905890598</v>
      </c>
      <c r="L7977">
        <v>42.252000000000002</v>
      </c>
      <c r="M7977">
        <v>76.152000000000001</v>
      </c>
      <c r="N7977">
        <v>10.066000000000001</v>
      </c>
    </row>
    <row r="7978" spans="1:14" x14ac:dyDescent="0.45">
      <c r="A7978">
        <v>2017</v>
      </c>
      <c r="B7978" t="s">
        <v>182</v>
      </c>
      <c r="C7978">
        <v>0</v>
      </c>
      <c r="D7978">
        <v>0</v>
      </c>
      <c r="E7978">
        <v>1</v>
      </c>
      <c r="F7978">
        <v>0</v>
      </c>
      <c r="G7978">
        <v>0</v>
      </c>
      <c r="H7978">
        <v>0</v>
      </c>
      <c r="I7978">
        <v>0</v>
      </c>
      <c r="J7978">
        <v>2816.1932890296098</v>
      </c>
      <c r="K7978">
        <v>2606.6960557625198</v>
      </c>
      <c r="L7978">
        <v>58.427999999999997</v>
      </c>
      <c r="M7978">
        <v>58.561999999999998</v>
      </c>
      <c r="N7978">
        <v>109.18600000000001</v>
      </c>
    </row>
    <row r="7979" spans="1:14" x14ac:dyDescent="0.45">
      <c r="A7979">
        <v>2017</v>
      </c>
      <c r="B7979" t="s">
        <v>183</v>
      </c>
      <c r="C7979">
        <v>0</v>
      </c>
      <c r="D7979">
        <v>0</v>
      </c>
      <c r="E7979">
        <v>0</v>
      </c>
      <c r="F7979">
        <v>0</v>
      </c>
      <c r="G7979">
        <v>0</v>
      </c>
      <c r="H7979">
        <v>1</v>
      </c>
      <c r="I7979">
        <v>1</v>
      </c>
      <c r="J7979">
        <v>51578.981258398402</v>
      </c>
      <c r="K7979">
        <v>44618.343361184197</v>
      </c>
      <c r="L7979">
        <v>5.45399999999999</v>
      </c>
      <c r="M7979">
        <v>83.088999999999999</v>
      </c>
      <c r="N7979">
        <v>7.6289999999999996</v>
      </c>
    </row>
    <row r="7980" spans="1:14" x14ac:dyDescent="0.45">
      <c r="A7980">
        <v>2017</v>
      </c>
      <c r="B7980" t="s">
        <v>184</v>
      </c>
      <c r="C7980">
        <v>0</v>
      </c>
      <c r="D7980">
        <v>0</v>
      </c>
      <c r="E7980">
        <v>0</v>
      </c>
      <c r="F7980">
        <v>1</v>
      </c>
      <c r="G7980">
        <v>0</v>
      </c>
      <c r="H7980">
        <v>0</v>
      </c>
      <c r="I7980">
        <v>0</v>
      </c>
      <c r="J7980">
        <v>5877.8746555817497</v>
      </c>
      <c r="K7980">
        <v>4706.4326468107402</v>
      </c>
      <c r="L7980">
        <v>69.677999999999997</v>
      </c>
      <c r="M7980">
        <v>65.909000000000006</v>
      </c>
      <c r="N7980">
        <v>47.945999999999998</v>
      </c>
    </row>
    <row r="7981" spans="1:14" x14ac:dyDescent="0.45">
      <c r="A7981">
        <v>2017</v>
      </c>
      <c r="B7981" t="s">
        <v>185</v>
      </c>
      <c r="C7981">
        <v>1</v>
      </c>
      <c r="D7981">
        <v>0</v>
      </c>
      <c r="E7981">
        <v>0</v>
      </c>
      <c r="F7981">
        <v>0</v>
      </c>
      <c r="G7981">
        <v>1</v>
      </c>
      <c r="H7981">
        <v>0</v>
      </c>
      <c r="I7981">
        <v>0</v>
      </c>
      <c r="J7981">
        <v>22740.386389453899</v>
      </c>
      <c r="K7981">
        <v>19214.2382633376</v>
      </c>
      <c r="L7981">
        <v>33.523000000000003</v>
      </c>
      <c r="M7981">
        <v>76.593000000000004</v>
      </c>
      <c r="N7981">
        <v>3.3220000000000001</v>
      </c>
    </row>
    <row r="7982" spans="1:14" x14ac:dyDescent="0.45">
      <c r="A7982">
        <v>2017</v>
      </c>
      <c r="B7982" t="s">
        <v>186</v>
      </c>
      <c r="C7982">
        <v>0</v>
      </c>
      <c r="D7982">
        <v>0</v>
      </c>
      <c r="E7982">
        <v>0</v>
      </c>
      <c r="F7982">
        <v>1</v>
      </c>
      <c r="G7982">
        <v>0</v>
      </c>
      <c r="H7982">
        <v>0</v>
      </c>
      <c r="I7982">
        <v>0</v>
      </c>
      <c r="J7982">
        <v>14401.5375067562</v>
      </c>
      <c r="K7982">
        <v>11096.0375942095</v>
      </c>
      <c r="L7982">
        <v>31.637</v>
      </c>
      <c r="M7982">
        <v>70.171000000000006</v>
      </c>
      <c r="N7982">
        <v>17.463999999999999</v>
      </c>
    </row>
    <row r="7983" spans="1:14" x14ac:dyDescent="0.45">
      <c r="A7983">
        <v>2017</v>
      </c>
      <c r="B7983" t="s">
        <v>187</v>
      </c>
      <c r="C7983">
        <v>0</v>
      </c>
      <c r="D7983">
        <v>0</v>
      </c>
      <c r="E7983">
        <v>0</v>
      </c>
      <c r="F7983">
        <v>0</v>
      </c>
      <c r="G7983">
        <v>0</v>
      </c>
      <c r="H7983">
        <v>1</v>
      </c>
      <c r="I7983">
        <v>1</v>
      </c>
      <c r="L7983">
        <v>8.4700000000000006</v>
      </c>
      <c r="M7983">
        <v>77.47</v>
      </c>
      <c r="N7983">
        <v>8.266</v>
      </c>
    </row>
    <row r="7984" spans="1:14" x14ac:dyDescent="0.45">
      <c r="A7984">
        <v>2017</v>
      </c>
      <c r="B7984" t="s">
        <v>188</v>
      </c>
      <c r="C7984">
        <v>0</v>
      </c>
      <c r="D7984">
        <v>0</v>
      </c>
      <c r="E7984">
        <v>1</v>
      </c>
      <c r="F7984">
        <v>0</v>
      </c>
      <c r="G7984">
        <v>0</v>
      </c>
      <c r="H7984">
        <v>0</v>
      </c>
      <c r="I7984">
        <v>0</v>
      </c>
      <c r="J7984">
        <v>1532.0073576114</v>
      </c>
      <c r="K7984">
        <v>1282.7496157780499</v>
      </c>
      <c r="L7984">
        <v>64.545000000000002</v>
      </c>
      <c r="M7984">
        <v>60.148000000000003</v>
      </c>
      <c r="N7984">
        <v>77.614999999999995</v>
      </c>
    </row>
    <row r="7985" spans="1:14" x14ac:dyDescent="0.45">
      <c r="A7985">
        <v>2017</v>
      </c>
      <c r="B7985" t="s">
        <v>189</v>
      </c>
      <c r="C7985">
        <v>0</v>
      </c>
      <c r="D7985">
        <v>0</v>
      </c>
      <c r="E7985">
        <v>1</v>
      </c>
      <c r="F7985">
        <v>1</v>
      </c>
      <c r="G7985">
        <v>0</v>
      </c>
      <c r="H7985">
        <v>0</v>
      </c>
      <c r="I7985">
        <v>0</v>
      </c>
      <c r="J7985">
        <v>6050.62180822951</v>
      </c>
      <c r="K7985">
        <v>5353.0660147340895</v>
      </c>
      <c r="L7985">
        <v>47.176000000000002</v>
      </c>
      <c r="M7985">
        <v>67.087999999999994</v>
      </c>
      <c r="N7985">
        <v>45.957999999999998</v>
      </c>
    </row>
    <row r="7986" spans="1:14" x14ac:dyDescent="0.45">
      <c r="A7986">
        <v>2017</v>
      </c>
      <c r="B7986" t="s">
        <v>190</v>
      </c>
      <c r="C7986">
        <v>0</v>
      </c>
      <c r="D7986">
        <v>0</v>
      </c>
      <c r="E7986">
        <v>1</v>
      </c>
      <c r="F7986">
        <v>0</v>
      </c>
      <c r="G7986">
        <v>1</v>
      </c>
      <c r="H7986">
        <v>0</v>
      </c>
      <c r="I7986">
        <v>0</v>
      </c>
      <c r="J7986">
        <v>24073.232563388599</v>
      </c>
      <c r="K7986">
        <v>22595.7302908532</v>
      </c>
      <c r="L7986">
        <v>59.158999999999999</v>
      </c>
      <c r="M7986">
        <v>75.024000000000001</v>
      </c>
      <c r="N7986">
        <v>14.144</v>
      </c>
    </row>
    <row r="7987" spans="1:14" x14ac:dyDescent="0.45">
      <c r="A7987">
        <v>2017</v>
      </c>
      <c r="B7987" t="s">
        <v>191</v>
      </c>
      <c r="C7987">
        <v>0</v>
      </c>
      <c r="D7987">
        <v>0</v>
      </c>
      <c r="E7987">
        <v>1</v>
      </c>
      <c r="F7987">
        <v>0</v>
      </c>
      <c r="G7987">
        <v>0</v>
      </c>
      <c r="H7987">
        <v>0</v>
      </c>
      <c r="I7987">
        <v>0</v>
      </c>
      <c r="J7987">
        <v>1613.0593571462</v>
      </c>
      <c r="K7987">
        <v>1380.2325773463101</v>
      </c>
      <c r="L7987">
        <v>83.286000000000001</v>
      </c>
      <c r="M7987">
        <v>63.914000000000001</v>
      </c>
      <c r="N7987">
        <v>50.533000000000001</v>
      </c>
    </row>
    <row r="7988" spans="1:14" x14ac:dyDescent="0.45">
      <c r="A7988">
        <v>2017</v>
      </c>
      <c r="B7988" t="s">
        <v>192</v>
      </c>
      <c r="C7988">
        <v>0</v>
      </c>
      <c r="D7988">
        <v>0</v>
      </c>
      <c r="E7988">
        <v>0</v>
      </c>
      <c r="F7988">
        <v>0</v>
      </c>
      <c r="G7988">
        <v>1</v>
      </c>
      <c r="H7988">
        <v>0</v>
      </c>
      <c r="I7988">
        <v>0</v>
      </c>
      <c r="J7988">
        <v>29551.545759719698</v>
      </c>
      <c r="K7988">
        <v>26415.5950829344</v>
      </c>
      <c r="L7988">
        <v>24.553000000000001</v>
      </c>
      <c r="M7988">
        <v>75.542000000000002</v>
      </c>
      <c r="N7988">
        <v>8.1120000000000001</v>
      </c>
    </row>
    <row r="7989" spans="1:14" x14ac:dyDescent="0.45">
      <c r="A7989">
        <v>2017</v>
      </c>
      <c r="B7989" t="s">
        <v>193</v>
      </c>
      <c r="C7989">
        <v>0</v>
      </c>
      <c r="D7989">
        <v>0</v>
      </c>
      <c r="E7989">
        <v>1</v>
      </c>
      <c r="F7989">
        <v>0</v>
      </c>
      <c r="G7989">
        <v>1</v>
      </c>
      <c r="H7989">
        <v>0</v>
      </c>
      <c r="I7989">
        <v>0</v>
      </c>
      <c r="J7989">
        <v>11408.7253099967</v>
      </c>
      <c r="K7989">
        <v>9887.9399947122292</v>
      </c>
      <c r="L7989">
        <v>50.994999999999997</v>
      </c>
      <c r="M7989">
        <v>61.661000000000001</v>
      </c>
      <c r="N7989">
        <v>43.323999999999998</v>
      </c>
    </row>
    <row r="7990" spans="1:14" x14ac:dyDescent="0.45">
      <c r="A7990">
        <v>2017</v>
      </c>
      <c r="B7990" t="s">
        <v>194</v>
      </c>
      <c r="C7990">
        <v>0</v>
      </c>
      <c r="D7990">
        <v>0</v>
      </c>
      <c r="E7990">
        <v>0</v>
      </c>
      <c r="F7990">
        <v>0</v>
      </c>
      <c r="G7990">
        <v>0</v>
      </c>
      <c r="H7990">
        <v>1</v>
      </c>
      <c r="I7990">
        <v>1</v>
      </c>
      <c r="L7990">
        <v>29.744</v>
      </c>
      <c r="M7990">
        <v>77.504000000000005</v>
      </c>
      <c r="N7990">
        <v>13.542999999999999</v>
      </c>
    </row>
    <row r="7991" spans="1:14" x14ac:dyDescent="0.45">
      <c r="A7991">
        <v>2017</v>
      </c>
      <c r="B7991" t="s">
        <v>195</v>
      </c>
      <c r="C7991">
        <v>0</v>
      </c>
      <c r="D7991">
        <v>0</v>
      </c>
      <c r="E7991">
        <v>1</v>
      </c>
      <c r="F7991">
        <v>0</v>
      </c>
      <c r="G7991">
        <v>0</v>
      </c>
      <c r="H7991">
        <v>0</v>
      </c>
      <c r="I7991">
        <v>0</v>
      </c>
      <c r="J7991">
        <v>1520.0015371232</v>
      </c>
      <c r="K7991">
        <v>1208.1461413376001</v>
      </c>
      <c r="L7991">
        <v>83.65</v>
      </c>
      <c r="M7991">
        <v>59.524000000000001</v>
      </c>
      <c r="N7991">
        <v>124.84099999999999</v>
      </c>
    </row>
    <row r="7992" spans="1:14" x14ac:dyDescent="0.45">
      <c r="A7992">
        <v>2017</v>
      </c>
      <c r="B7992" t="s">
        <v>196</v>
      </c>
      <c r="C7992">
        <v>0</v>
      </c>
      <c r="D7992">
        <v>0</v>
      </c>
      <c r="E7992">
        <v>1</v>
      </c>
      <c r="F7992">
        <v>1</v>
      </c>
      <c r="G7992">
        <v>0</v>
      </c>
      <c r="H7992">
        <v>0</v>
      </c>
      <c r="I7992">
        <v>0</v>
      </c>
      <c r="J7992">
        <v>5651.7341316503698</v>
      </c>
      <c r="K7992">
        <v>4996.8947017452701</v>
      </c>
      <c r="L7992">
        <v>50.481000000000002</v>
      </c>
      <c r="M7992">
        <v>52.396999999999998</v>
      </c>
      <c r="N7992">
        <v>121.99</v>
      </c>
    </row>
    <row r="7993" spans="1:14" x14ac:dyDescent="0.45">
      <c r="A7993">
        <v>2017</v>
      </c>
      <c r="B7993" t="s">
        <v>197</v>
      </c>
      <c r="C7993">
        <v>0</v>
      </c>
      <c r="D7993">
        <v>1</v>
      </c>
      <c r="E7993">
        <v>0</v>
      </c>
      <c r="F7993">
        <v>1</v>
      </c>
      <c r="G7993">
        <v>0</v>
      </c>
      <c r="H7993">
        <v>0</v>
      </c>
      <c r="I7993">
        <v>0</v>
      </c>
      <c r="J7993">
        <v>7391.1968394629403</v>
      </c>
      <c r="K7993">
        <v>6225.3475258741801</v>
      </c>
      <c r="L7993">
        <v>41.701000000000001</v>
      </c>
      <c r="M7993">
        <v>73.388999999999996</v>
      </c>
      <c r="N7993">
        <v>18.085999999999999</v>
      </c>
    </row>
    <row r="7994" spans="1:14" x14ac:dyDescent="0.45">
      <c r="A7994">
        <v>2017</v>
      </c>
      <c r="B7994" t="s">
        <v>198</v>
      </c>
      <c r="C7994">
        <v>1</v>
      </c>
      <c r="D7994">
        <v>0</v>
      </c>
      <c r="E7994">
        <v>0</v>
      </c>
      <c r="F7994">
        <v>0</v>
      </c>
      <c r="G7994">
        <v>0</v>
      </c>
      <c r="H7994">
        <v>1</v>
      </c>
      <c r="I7994">
        <v>1</v>
      </c>
      <c r="J7994">
        <v>65666.003659323702</v>
      </c>
      <c r="K7994">
        <v>55431.498967250802</v>
      </c>
      <c r="L7994">
        <v>8.923</v>
      </c>
      <c r="M7994">
        <v>81.736999999999995</v>
      </c>
      <c r="N7994">
        <v>4.0380000000000003</v>
      </c>
    </row>
    <row r="7995" spans="1:14" x14ac:dyDescent="0.45">
      <c r="A7995">
        <v>2017</v>
      </c>
      <c r="B7995" t="s">
        <v>199</v>
      </c>
      <c r="C7995">
        <v>1</v>
      </c>
      <c r="D7995">
        <v>0</v>
      </c>
      <c r="E7995">
        <v>0</v>
      </c>
      <c r="F7995">
        <v>0</v>
      </c>
      <c r="G7995">
        <v>0</v>
      </c>
      <c r="H7995">
        <v>1</v>
      </c>
      <c r="I7995">
        <v>1</v>
      </c>
      <c r="J7995">
        <v>87194.111542137398</v>
      </c>
      <c r="K7995">
        <v>64426.648447313601</v>
      </c>
      <c r="L7995">
        <v>18.129000000000001</v>
      </c>
      <c r="M7995">
        <v>82.623999999999995</v>
      </c>
      <c r="N7995">
        <v>2.778</v>
      </c>
    </row>
    <row r="7996" spans="1:14" x14ac:dyDescent="0.45">
      <c r="A7996">
        <v>2017</v>
      </c>
      <c r="B7996" t="s">
        <v>200</v>
      </c>
      <c r="C7996">
        <v>0</v>
      </c>
      <c r="D7996">
        <v>0</v>
      </c>
      <c r="E7996">
        <v>0</v>
      </c>
      <c r="F7996">
        <v>0</v>
      </c>
      <c r="G7996">
        <v>0</v>
      </c>
      <c r="H7996">
        <v>0</v>
      </c>
      <c r="I7996">
        <v>0</v>
      </c>
      <c r="J7996">
        <v>4071.7043175579802</v>
      </c>
      <c r="K7996">
        <v>3604.70801942568</v>
      </c>
      <c r="L7996">
        <v>80.664000000000001</v>
      </c>
      <c r="M7996">
        <v>68.739999999999995</v>
      </c>
      <c r="N7996">
        <v>34.652999999999999</v>
      </c>
    </row>
    <row r="7997" spans="1:14" x14ac:dyDescent="0.45">
      <c r="A7997">
        <v>2017</v>
      </c>
      <c r="B7997" t="s">
        <v>201</v>
      </c>
      <c r="C7997">
        <v>0</v>
      </c>
      <c r="D7997">
        <v>0</v>
      </c>
      <c r="E7997">
        <v>0</v>
      </c>
      <c r="F7997">
        <v>0</v>
      </c>
      <c r="G7997">
        <v>1</v>
      </c>
      <c r="H7997">
        <v>0</v>
      </c>
      <c r="I7997">
        <v>0</v>
      </c>
      <c r="J7997">
        <v>10763.8230471354</v>
      </c>
      <c r="K7997">
        <v>9738.2510397690494</v>
      </c>
      <c r="L7997">
        <v>0</v>
      </c>
      <c r="M7997">
        <v>61.100999999999999</v>
      </c>
      <c r="N7997">
        <v>31.108000000000001</v>
      </c>
    </row>
    <row r="7998" spans="1:14" x14ac:dyDescent="0.45">
      <c r="A7998">
        <v>2017</v>
      </c>
      <c r="B7998" t="s">
        <v>202</v>
      </c>
      <c r="C7998">
        <v>0</v>
      </c>
      <c r="D7998">
        <v>0</v>
      </c>
      <c r="E7998">
        <v>0</v>
      </c>
      <c r="F7998">
        <v>0</v>
      </c>
      <c r="G7998">
        <v>0</v>
      </c>
      <c r="H7998">
        <v>1</v>
      </c>
      <c r="I7998">
        <v>1</v>
      </c>
      <c r="J7998">
        <v>46193.288477169597</v>
      </c>
      <c r="K7998">
        <v>42015.197922829699</v>
      </c>
      <c r="L7998">
        <v>13.534000000000001</v>
      </c>
      <c r="M7998">
        <v>81.605000000000004</v>
      </c>
      <c r="N7998">
        <v>4.6349999999999998</v>
      </c>
    </row>
    <row r="7999" spans="1:14" x14ac:dyDescent="0.45">
      <c r="A7999">
        <v>2017</v>
      </c>
      <c r="B7999" t="s">
        <v>203</v>
      </c>
      <c r="C7999">
        <v>0</v>
      </c>
      <c r="D7999">
        <v>0</v>
      </c>
      <c r="E7999">
        <v>0</v>
      </c>
      <c r="F7999">
        <v>0</v>
      </c>
      <c r="G7999">
        <v>0</v>
      </c>
      <c r="H7999">
        <v>1</v>
      </c>
      <c r="I7999">
        <v>1</v>
      </c>
      <c r="J7999">
        <v>38691.107710509699</v>
      </c>
      <c r="K7999">
        <v>33619.499997642801</v>
      </c>
      <c r="L7999">
        <v>16.440000000000001</v>
      </c>
      <c r="M7999">
        <v>79.748000000000005</v>
      </c>
      <c r="N7999">
        <v>10.989000000000001</v>
      </c>
    </row>
    <row r="8000" spans="1:14" x14ac:dyDescent="0.45">
      <c r="A8000">
        <v>2017</v>
      </c>
      <c r="B8000" t="s">
        <v>204</v>
      </c>
      <c r="C8000">
        <v>0</v>
      </c>
      <c r="D8000">
        <v>0</v>
      </c>
      <c r="E8000">
        <v>0</v>
      </c>
      <c r="F8000">
        <v>1</v>
      </c>
      <c r="G8000">
        <v>0</v>
      </c>
      <c r="H8000">
        <v>0</v>
      </c>
      <c r="I8000">
        <v>0</v>
      </c>
      <c r="J8000">
        <v>5031.5606073843301</v>
      </c>
      <c r="K8000">
        <v>4789.5364043789004</v>
      </c>
      <c r="L8000">
        <v>63.558</v>
      </c>
      <c r="M8000">
        <v>66.222999999999999</v>
      </c>
      <c r="N8000">
        <v>71.613</v>
      </c>
    </row>
    <row r="8001" spans="1:14" x14ac:dyDescent="0.45">
      <c r="A8001">
        <v>2017</v>
      </c>
      <c r="B8001" t="s">
        <v>205</v>
      </c>
      <c r="C8001">
        <v>0</v>
      </c>
      <c r="D8001">
        <v>1</v>
      </c>
      <c r="E8001">
        <v>0</v>
      </c>
      <c r="F8001">
        <v>0</v>
      </c>
      <c r="G8001">
        <v>0</v>
      </c>
      <c r="H8001">
        <v>1</v>
      </c>
      <c r="I8001">
        <v>1</v>
      </c>
      <c r="J8001">
        <v>31979.812271394101</v>
      </c>
      <c r="K8001">
        <v>33533.328603113499</v>
      </c>
      <c r="L8001">
        <v>32.634999999999998</v>
      </c>
      <c r="M8001">
        <v>77.900999999999996</v>
      </c>
      <c r="N8001">
        <v>16.771000000000001</v>
      </c>
    </row>
    <row r="8002" spans="1:14" x14ac:dyDescent="0.45">
      <c r="A8002">
        <v>2017</v>
      </c>
      <c r="B8002" t="s">
        <v>206</v>
      </c>
      <c r="C8002">
        <v>0</v>
      </c>
      <c r="D8002">
        <v>1</v>
      </c>
      <c r="E8002">
        <v>0</v>
      </c>
      <c r="F8002">
        <v>0</v>
      </c>
      <c r="G8002">
        <v>1</v>
      </c>
      <c r="H8002">
        <v>0</v>
      </c>
      <c r="I8002">
        <v>0</v>
      </c>
      <c r="J8002">
        <v>15069.522108465901</v>
      </c>
      <c r="K8002">
        <v>12591.854930785301</v>
      </c>
      <c r="L8002">
        <v>22.28</v>
      </c>
      <c r="M8002">
        <v>75.957999999999998</v>
      </c>
      <c r="N8002">
        <v>16.648</v>
      </c>
    </row>
    <row r="8003" spans="1:14" x14ac:dyDescent="0.45">
      <c r="A8003">
        <v>2017</v>
      </c>
      <c r="B8003" t="s">
        <v>207</v>
      </c>
      <c r="C8003">
        <v>0</v>
      </c>
      <c r="D8003">
        <v>0</v>
      </c>
      <c r="E8003">
        <v>0</v>
      </c>
      <c r="F8003">
        <v>1</v>
      </c>
      <c r="G8003">
        <v>0</v>
      </c>
      <c r="H8003">
        <v>0</v>
      </c>
      <c r="I8003">
        <v>0</v>
      </c>
      <c r="J8003">
        <v>8584.1362270969894</v>
      </c>
      <c r="K8003">
        <v>7773.7986929028102</v>
      </c>
      <c r="L8003">
        <v>53.317999999999998</v>
      </c>
      <c r="M8003">
        <v>69.965999999999994</v>
      </c>
      <c r="N8003">
        <v>28.053999999999998</v>
      </c>
    </row>
    <row r="8004" spans="1:14" x14ac:dyDescent="0.45">
      <c r="A8004">
        <v>2017</v>
      </c>
      <c r="B8004" t="s">
        <v>208</v>
      </c>
      <c r="C8004">
        <v>0</v>
      </c>
      <c r="D8004">
        <v>0</v>
      </c>
      <c r="E8004">
        <v>0</v>
      </c>
      <c r="F8004">
        <v>0</v>
      </c>
      <c r="G8004">
        <v>0</v>
      </c>
      <c r="H8004">
        <v>1</v>
      </c>
      <c r="I8004">
        <v>1</v>
      </c>
      <c r="J8004">
        <v>19237.926545173399</v>
      </c>
      <c r="K8004">
        <v>17404.9459342788</v>
      </c>
      <c r="L8004">
        <v>20.635000000000002</v>
      </c>
      <c r="M8004">
        <v>69.019000000000005</v>
      </c>
      <c r="N8004">
        <v>22.251999999999999</v>
      </c>
    </row>
    <row r="8005" spans="1:14" x14ac:dyDescent="0.45">
      <c r="A8005">
        <v>2017</v>
      </c>
      <c r="B8005" t="s">
        <v>209</v>
      </c>
      <c r="C8005">
        <v>0</v>
      </c>
      <c r="D8005">
        <v>0</v>
      </c>
      <c r="E8005">
        <v>0</v>
      </c>
      <c r="F8005">
        <v>1</v>
      </c>
      <c r="G8005">
        <v>0</v>
      </c>
      <c r="H8005">
        <v>0</v>
      </c>
      <c r="I8005">
        <v>0</v>
      </c>
      <c r="J8005">
        <v>4322.2228208480601</v>
      </c>
      <c r="K8005">
        <v>3909.88858107135</v>
      </c>
      <c r="L8005">
        <v>86.897999999999996</v>
      </c>
      <c r="M8005">
        <v>64.923000000000002</v>
      </c>
      <c r="N8005">
        <v>48.523000000000003</v>
      </c>
    </row>
    <row r="8006" spans="1:14" x14ac:dyDescent="0.45">
      <c r="A8006">
        <v>2017</v>
      </c>
      <c r="B8006" t="s">
        <v>210</v>
      </c>
      <c r="C8006">
        <v>1</v>
      </c>
      <c r="D8006">
        <v>0</v>
      </c>
      <c r="E8006">
        <v>0</v>
      </c>
      <c r="F8006">
        <v>0</v>
      </c>
      <c r="G8006">
        <v>0</v>
      </c>
      <c r="H8006">
        <v>1</v>
      </c>
      <c r="I8006">
        <v>1</v>
      </c>
      <c r="J8006">
        <v>34354.598761631903</v>
      </c>
      <c r="K8006">
        <v>29653.895549734701</v>
      </c>
      <c r="L8006">
        <v>39.895000000000003</v>
      </c>
      <c r="M8006">
        <v>77.715999999999994</v>
      </c>
      <c r="N8006">
        <v>4.7539999999999996</v>
      </c>
    </row>
    <row r="8007" spans="1:14" x14ac:dyDescent="0.45">
      <c r="A8007">
        <v>2017</v>
      </c>
      <c r="B8007" t="s">
        <v>211</v>
      </c>
      <c r="C8007">
        <v>0</v>
      </c>
      <c r="D8007">
        <v>1</v>
      </c>
      <c r="E8007">
        <v>0</v>
      </c>
      <c r="F8007">
        <v>0</v>
      </c>
      <c r="G8007">
        <v>0</v>
      </c>
      <c r="H8007">
        <v>1</v>
      </c>
      <c r="I8007">
        <v>1</v>
      </c>
      <c r="J8007">
        <v>41479.997773203402</v>
      </c>
      <c r="K8007">
        <v>31866.623839551201</v>
      </c>
      <c r="L8007">
        <v>6.4130000000000003</v>
      </c>
      <c r="M8007">
        <v>79.069999999999993</v>
      </c>
      <c r="N8007">
        <v>11.417999999999999</v>
      </c>
    </row>
    <row r="8008" spans="1:14" x14ac:dyDescent="0.45">
      <c r="A8008">
        <v>2017</v>
      </c>
      <c r="B8008" t="s">
        <v>212</v>
      </c>
      <c r="C8008">
        <v>0</v>
      </c>
      <c r="D8008">
        <v>0</v>
      </c>
      <c r="E8008">
        <v>0</v>
      </c>
      <c r="F8008">
        <v>0</v>
      </c>
      <c r="G8008">
        <v>0</v>
      </c>
      <c r="H8008">
        <v>0</v>
      </c>
      <c r="I8008">
        <v>0</v>
      </c>
      <c r="L8008">
        <v>38.322000000000003</v>
      </c>
      <c r="M8008">
        <v>73.034000000000006</v>
      </c>
      <c r="N8008">
        <v>19.172999999999998</v>
      </c>
    </row>
    <row r="8009" spans="1:14" x14ac:dyDescent="0.45">
      <c r="A8009">
        <v>2017</v>
      </c>
      <c r="B8009" t="s">
        <v>213</v>
      </c>
      <c r="C8009">
        <v>1</v>
      </c>
      <c r="D8009">
        <v>0</v>
      </c>
      <c r="E8009">
        <v>0</v>
      </c>
      <c r="F8009">
        <v>0</v>
      </c>
      <c r="G8009">
        <v>0</v>
      </c>
      <c r="H8009">
        <v>1</v>
      </c>
      <c r="I8009">
        <v>1</v>
      </c>
      <c r="J8009">
        <v>37943.115059478303</v>
      </c>
      <c r="K8009">
        <v>32797.387185765198</v>
      </c>
      <c r="L8009">
        <v>35.347999999999999</v>
      </c>
      <c r="M8009">
        <v>81.66</v>
      </c>
      <c r="N8009">
        <v>3.222</v>
      </c>
    </row>
    <row r="8010" spans="1:14" x14ac:dyDescent="0.45">
      <c r="A8010">
        <v>2017</v>
      </c>
      <c r="B8010" t="s">
        <v>214</v>
      </c>
      <c r="C8010">
        <v>0</v>
      </c>
      <c r="D8010">
        <v>1</v>
      </c>
      <c r="E8010">
        <v>0</v>
      </c>
      <c r="F8010">
        <v>0</v>
      </c>
      <c r="G8010">
        <v>1</v>
      </c>
      <c r="H8010">
        <v>0</v>
      </c>
      <c r="I8010">
        <v>0</v>
      </c>
      <c r="J8010">
        <v>15320.3366476959</v>
      </c>
      <c r="K8010">
        <v>13977.341151410101</v>
      </c>
      <c r="L8010">
        <v>38.700000000000003</v>
      </c>
      <c r="M8010">
        <v>73.45</v>
      </c>
      <c r="N8010">
        <v>20.687000000000001</v>
      </c>
    </row>
    <row r="8011" spans="1:14" x14ac:dyDescent="0.45">
      <c r="A8011">
        <v>2017</v>
      </c>
      <c r="B8011" t="s">
        <v>215</v>
      </c>
      <c r="C8011">
        <v>0</v>
      </c>
      <c r="D8011">
        <v>0</v>
      </c>
      <c r="E8011">
        <v>0</v>
      </c>
      <c r="F8011">
        <v>1</v>
      </c>
      <c r="G8011">
        <v>0</v>
      </c>
      <c r="H8011">
        <v>0</v>
      </c>
      <c r="I8011">
        <v>0</v>
      </c>
      <c r="J8011">
        <v>6426.7952161533503</v>
      </c>
      <c r="K8011">
        <v>5480.0310315545503</v>
      </c>
      <c r="L8011">
        <v>24.106000000000002</v>
      </c>
      <c r="M8011">
        <v>75.215999999999994</v>
      </c>
      <c r="N8011">
        <v>17.044</v>
      </c>
    </row>
    <row r="8012" spans="1:14" x14ac:dyDescent="0.45">
      <c r="A8012">
        <v>2017</v>
      </c>
      <c r="B8012" t="s">
        <v>216</v>
      </c>
      <c r="C8012">
        <v>0</v>
      </c>
      <c r="D8012">
        <v>0</v>
      </c>
      <c r="E8012">
        <v>0</v>
      </c>
      <c r="F8012">
        <v>0</v>
      </c>
      <c r="G8012">
        <v>0</v>
      </c>
      <c r="H8012">
        <v>1</v>
      </c>
      <c r="I8012">
        <v>1</v>
      </c>
      <c r="L8012">
        <v>38.216000000000001</v>
      </c>
      <c r="M8012">
        <v>82.774000000000001</v>
      </c>
      <c r="N8012">
        <v>7.0330000000000004</v>
      </c>
    </row>
    <row r="8013" spans="1:14" x14ac:dyDescent="0.45">
      <c r="A8013">
        <v>2017</v>
      </c>
      <c r="B8013" t="s">
        <v>217</v>
      </c>
      <c r="C8013">
        <v>0</v>
      </c>
      <c r="D8013">
        <v>0</v>
      </c>
      <c r="E8013">
        <v>0</v>
      </c>
      <c r="F8013">
        <v>0</v>
      </c>
      <c r="G8013">
        <v>0</v>
      </c>
      <c r="H8013">
        <v>1</v>
      </c>
      <c r="I8013">
        <v>1</v>
      </c>
      <c r="J8013">
        <v>115064.94366285299</v>
      </c>
      <c r="K8013">
        <v>99358.332838009999</v>
      </c>
      <c r="L8013">
        <v>0.92199999999999704</v>
      </c>
      <c r="M8013">
        <v>82.457999999999998</v>
      </c>
      <c r="N8013">
        <v>6.9180000000000001</v>
      </c>
    </row>
    <row r="8014" spans="1:14" x14ac:dyDescent="0.45">
      <c r="A8014">
        <v>2017</v>
      </c>
      <c r="B8014" t="s">
        <v>218</v>
      </c>
      <c r="C8014">
        <v>1</v>
      </c>
      <c r="D8014">
        <v>0</v>
      </c>
      <c r="E8014">
        <v>0</v>
      </c>
      <c r="F8014">
        <v>0</v>
      </c>
      <c r="G8014">
        <v>1</v>
      </c>
      <c r="H8014">
        <v>0</v>
      </c>
      <c r="I8014">
        <v>0</v>
      </c>
      <c r="J8014">
        <v>32849.107732509598</v>
      </c>
      <c r="K8014">
        <v>26700.9394725003</v>
      </c>
      <c r="L8014">
        <v>46.064</v>
      </c>
      <c r="M8014">
        <v>75.024000000000001</v>
      </c>
      <c r="N8014">
        <v>8.0329999999999995</v>
      </c>
    </row>
    <row r="8015" spans="1:14" x14ac:dyDescent="0.45">
      <c r="A8015">
        <v>2017</v>
      </c>
      <c r="B8015" t="s">
        <v>219</v>
      </c>
      <c r="C8015">
        <v>1</v>
      </c>
      <c r="D8015">
        <v>0</v>
      </c>
      <c r="E8015">
        <v>0</v>
      </c>
      <c r="F8015">
        <v>0</v>
      </c>
      <c r="G8015">
        <v>1</v>
      </c>
      <c r="H8015">
        <v>0</v>
      </c>
      <c r="I8015">
        <v>0</v>
      </c>
      <c r="J8015">
        <v>35570.390625</v>
      </c>
      <c r="K8015">
        <v>25777.903431152499</v>
      </c>
      <c r="L8015">
        <v>25.707999999999998</v>
      </c>
      <c r="M8015">
        <v>72.844999999999999</v>
      </c>
      <c r="N8015">
        <v>6.65</v>
      </c>
    </row>
    <row r="8016" spans="1:14" x14ac:dyDescent="0.45">
      <c r="A8016">
        <v>2017</v>
      </c>
      <c r="B8016" t="s">
        <v>220</v>
      </c>
      <c r="C8016">
        <v>0</v>
      </c>
      <c r="D8016">
        <v>0</v>
      </c>
      <c r="E8016">
        <v>1</v>
      </c>
      <c r="F8016">
        <v>0</v>
      </c>
      <c r="G8016">
        <v>0</v>
      </c>
      <c r="H8016">
        <v>0</v>
      </c>
      <c r="I8016">
        <v>0</v>
      </c>
      <c r="J8016">
        <v>2351.59686866227</v>
      </c>
      <c r="K8016">
        <v>1967.94290983716</v>
      </c>
      <c r="L8016">
        <v>82.875</v>
      </c>
      <c r="M8016">
        <v>66.14</v>
      </c>
      <c r="N8016">
        <v>44.231000000000002</v>
      </c>
    </row>
    <row r="8017" spans="1:14" x14ac:dyDescent="0.45">
      <c r="A8017">
        <v>2017</v>
      </c>
      <c r="B8017" t="s">
        <v>221</v>
      </c>
      <c r="C8017">
        <v>0</v>
      </c>
      <c r="D8017">
        <v>0</v>
      </c>
      <c r="E8017">
        <v>0</v>
      </c>
      <c r="F8017">
        <v>0</v>
      </c>
      <c r="G8017">
        <v>0</v>
      </c>
      <c r="H8017">
        <v>1</v>
      </c>
      <c r="I8017">
        <v>1</v>
      </c>
      <c r="J8017">
        <v>57942.548498304401</v>
      </c>
      <c r="K8017">
        <v>53120.456086232101</v>
      </c>
      <c r="L8017">
        <v>16.378</v>
      </c>
      <c r="M8017">
        <v>78.721000000000004</v>
      </c>
      <c r="N8017">
        <v>8.1660000000000004</v>
      </c>
    </row>
    <row r="8018" spans="1:14" x14ac:dyDescent="0.45">
      <c r="A8018">
        <v>2017</v>
      </c>
      <c r="B8018" t="s">
        <v>222</v>
      </c>
      <c r="C8018">
        <v>0</v>
      </c>
      <c r="D8018">
        <v>0</v>
      </c>
      <c r="E8018">
        <v>1</v>
      </c>
      <c r="F8018">
        <v>1</v>
      </c>
      <c r="G8018">
        <v>0</v>
      </c>
      <c r="H8018">
        <v>0</v>
      </c>
      <c r="I8018">
        <v>0</v>
      </c>
      <c r="J8018">
        <v>4061.01831054688</v>
      </c>
      <c r="K8018">
        <v>4252.4217149024398</v>
      </c>
      <c r="L8018">
        <v>65.63</v>
      </c>
      <c r="M8018">
        <v>65.146000000000001</v>
      </c>
      <c r="N8018">
        <v>61.026000000000003</v>
      </c>
    </row>
    <row r="8019" spans="1:14" x14ac:dyDescent="0.45">
      <c r="A8019">
        <v>2017</v>
      </c>
      <c r="B8019" t="s">
        <v>223</v>
      </c>
      <c r="C8019">
        <v>0</v>
      </c>
      <c r="D8019">
        <v>0</v>
      </c>
      <c r="E8019">
        <v>1</v>
      </c>
      <c r="F8019">
        <v>0</v>
      </c>
      <c r="G8019">
        <v>0</v>
      </c>
      <c r="H8019">
        <v>0</v>
      </c>
      <c r="I8019">
        <v>0</v>
      </c>
      <c r="J8019">
        <v>3871.4514678592</v>
      </c>
      <c r="K8019">
        <v>3234.3615773410702</v>
      </c>
      <c r="L8019">
        <v>53.26</v>
      </c>
      <c r="M8019">
        <v>67.058999999999997</v>
      </c>
      <c r="N8019">
        <v>46.161000000000001</v>
      </c>
    </row>
    <row r="8020" spans="1:14" x14ac:dyDescent="0.45">
      <c r="A8020">
        <v>2017</v>
      </c>
      <c r="B8020" t="s">
        <v>224</v>
      </c>
      <c r="C8020">
        <v>0</v>
      </c>
      <c r="D8020">
        <v>0</v>
      </c>
      <c r="E8020">
        <v>0</v>
      </c>
      <c r="F8020">
        <v>0</v>
      </c>
      <c r="G8020">
        <v>0</v>
      </c>
      <c r="H8020">
        <v>1</v>
      </c>
      <c r="I8020">
        <v>1</v>
      </c>
      <c r="J8020">
        <v>116471.820764776</v>
      </c>
      <c r="K8020">
        <v>95744.182600762404</v>
      </c>
      <c r="L8020">
        <v>0</v>
      </c>
      <c r="M8020">
        <v>83.094999999999999</v>
      </c>
      <c r="N8020">
        <v>2.5790000000000002</v>
      </c>
    </row>
    <row r="8021" spans="1:14" x14ac:dyDescent="0.45">
      <c r="A8021">
        <v>2017</v>
      </c>
      <c r="B8021" t="s">
        <v>225</v>
      </c>
      <c r="C8021">
        <v>0</v>
      </c>
      <c r="D8021">
        <v>0</v>
      </c>
      <c r="E8021">
        <v>0</v>
      </c>
      <c r="F8021">
        <v>1</v>
      </c>
      <c r="G8021">
        <v>0</v>
      </c>
      <c r="H8021">
        <v>0</v>
      </c>
      <c r="I8021">
        <v>0</v>
      </c>
      <c r="J8021">
        <v>2703.6607135854101</v>
      </c>
      <c r="K8021">
        <v>2445.6583743353999</v>
      </c>
      <c r="L8021">
        <v>76.713999999999999</v>
      </c>
      <c r="M8021">
        <v>69.652000000000001</v>
      </c>
      <c r="N8021">
        <v>21.454000000000001</v>
      </c>
    </row>
    <row r="8022" spans="1:14" x14ac:dyDescent="0.45">
      <c r="A8022">
        <v>2017</v>
      </c>
      <c r="B8022" t="s">
        <v>226</v>
      </c>
      <c r="C8022">
        <v>0</v>
      </c>
      <c r="D8022">
        <v>0</v>
      </c>
      <c r="E8022">
        <v>1</v>
      </c>
      <c r="F8022">
        <v>0</v>
      </c>
      <c r="G8022">
        <v>0</v>
      </c>
      <c r="H8022">
        <v>0</v>
      </c>
      <c r="I8022">
        <v>0</v>
      </c>
      <c r="J8022">
        <v>2755.9042892242601</v>
      </c>
      <c r="K8022">
        <v>2501.4532462150601</v>
      </c>
      <c r="L8022">
        <v>58.363999999999997</v>
      </c>
      <c r="M8022">
        <v>57.761000000000003</v>
      </c>
      <c r="N8022">
        <v>122.071</v>
      </c>
    </row>
    <row r="8023" spans="1:14" x14ac:dyDescent="0.45">
      <c r="A8023">
        <v>2017</v>
      </c>
      <c r="B8023" t="s">
        <v>227</v>
      </c>
      <c r="C8023">
        <v>0</v>
      </c>
      <c r="D8023">
        <v>1</v>
      </c>
      <c r="E8023">
        <v>0</v>
      </c>
      <c r="F8023">
        <v>1</v>
      </c>
      <c r="G8023">
        <v>0</v>
      </c>
      <c r="H8023">
        <v>0</v>
      </c>
      <c r="I8023">
        <v>0</v>
      </c>
      <c r="J8023">
        <v>10064.7934942601</v>
      </c>
      <c r="K8023">
        <v>8965.2187844557502</v>
      </c>
      <c r="L8023">
        <v>28.725000000000001</v>
      </c>
      <c r="M8023">
        <v>71.007000000000005</v>
      </c>
      <c r="N8023">
        <v>14.257</v>
      </c>
    </row>
    <row r="8024" spans="1:14" x14ac:dyDescent="0.45">
      <c r="A8024">
        <v>2017</v>
      </c>
      <c r="B8024" t="s">
        <v>228</v>
      </c>
      <c r="C8024">
        <v>1</v>
      </c>
      <c r="D8024">
        <v>0</v>
      </c>
      <c r="E8024">
        <v>0</v>
      </c>
      <c r="F8024">
        <v>0</v>
      </c>
      <c r="G8024">
        <v>0</v>
      </c>
      <c r="H8024">
        <v>1</v>
      </c>
      <c r="I8024">
        <v>1</v>
      </c>
      <c r="J8024">
        <v>59524.5597904018</v>
      </c>
      <c r="K8024">
        <v>52463.419097291699</v>
      </c>
      <c r="L8024">
        <v>2.9279999999999999</v>
      </c>
      <c r="M8024">
        <v>84.933000000000007</v>
      </c>
      <c r="N8024">
        <v>1.8180000000000001</v>
      </c>
    </row>
    <row r="8025" spans="1:14" x14ac:dyDescent="0.45">
      <c r="A8025">
        <v>2017</v>
      </c>
      <c r="B8025" t="s">
        <v>229</v>
      </c>
      <c r="C8025">
        <v>0</v>
      </c>
      <c r="D8025">
        <v>0</v>
      </c>
      <c r="E8025">
        <v>1</v>
      </c>
      <c r="F8025">
        <v>0</v>
      </c>
      <c r="G8025">
        <v>0</v>
      </c>
      <c r="H8025">
        <v>0</v>
      </c>
      <c r="I8025">
        <v>0</v>
      </c>
      <c r="J8025">
        <v>1527.1121577922299</v>
      </c>
      <c r="K8025">
        <v>1416.4488807594701</v>
      </c>
      <c r="L8025">
        <v>55.609000000000002</v>
      </c>
      <c r="M8025">
        <v>52.19</v>
      </c>
      <c r="N8025">
        <v>157.43799999999999</v>
      </c>
    </row>
    <row r="8026" spans="1:14" x14ac:dyDescent="0.45">
      <c r="A8026">
        <v>2017</v>
      </c>
      <c r="B8026" t="s">
        <v>230</v>
      </c>
      <c r="C8026">
        <v>1</v>
      </c>
      <c r="D8026">
        <v>0</v>
      </c>
      <c r="E8026">
        <v>0</v>
      </c>
      <c r="F8026">
        <v>0</v>
      </c>
      <c r="G8026">
        <v>1</v>
      </c>
      <c r="H8026">
        <v>0</v>
      </c>
      <c r="I8026">
        <v>0</v>
      </c>
      <c r="J8026">
        <v>19437.904205263701</v>
      </c>
      <c r="K8026">
        <v>17092.211055899101</v>
      </c>
      <c r="L8026">
        <v>44.058</v>
      </c>
      <c r="M8026">
        <v>75.792000000000002</v>
      </c>
      <c r="N8026">
        <v>5.7839999999999998</v>
      </c>
    </row>
    <row r="8027" spans="1:14" x14ac:dyDescent="0.45">
      <c r="A8027">
        <v>2017</v>
      </c>
      <c r="B8027" t="s">
        <v>231</v>
      </c>
      <c r="C8027">
        <v>0</v>
      </c>
      <c r="D8027">
        <v>0</v>
      </c>
      <c r="E8027">
        <v>1</v>
      </c>
      <c r="F8027">
        <v>0</v>
      </c>
      <c r="G8027">
        <v>0</v>
      </c>
      <c r="H8027">
        <v>0</v>
      </c>
      <c r="I8027">
        <v>0</v>
      </c>
      <c r="L8027">
        <v>80.653999999999996</v>
      </c>
      <c r="M8027">
        <v>35.350999999999999</v>
      </c>
      <c r="N8027">
        <v>287.399</v>
      </c>
    </row>
    <row r="8028" spans="1:14" x14ac:dyDescent="0.45">
      <c r="A8028">
        <v>2017</v>
      </c>
      <c r="B8028" t="s">
        <v>232</v>
      </c>
      <c r="C8028">
        <v>0</v>
      </c>
      <c r="D8028">
        <v>0</v>
      </c>
      <c r="E8028">
        <v>1</v>
      </c>
      <c r="F8028">
        <v>1</v>
      </c>
      <c r="G8028">
        <v>0</v>
      </c>
      <c r="H8028">
        <v>0</v>
      </c>
      <c r="I8028">
        <v>0</v>
      </c>
      <c r="J8028">
        <v>5521.2024959741302</v>
      </c>
      <c r="K8028">
        <v>3436.3096494511101</v>
      </c>
      <c r="L8028">
        <v>28.032</v>
      </c>
      <c r="M8028">
        <v>67.073999999999998</v>
      </c>
      <c r="N8028">
        <v>19.853999999999999</v>
      </c>
    </row>
    <row r="8029" spans="1:14" x14ac:dyDescent="0.45">
      <c r="A8029">
        <v>2017</v>
      </c>
      <c r="B8029" t="s">
        <v>233</v>
      </c>
      <c r="C8029">
        <v>0</v>
      </c>
      <c r="D8029">
        <v>1</v>
      </c>
      <c r="E8029">
        <v>0</v>
      </c>
      <c r="F8029">
        <v>0</v>
      </c>
      <c r="G8029">
        <v>1</v>
      </c>
      <c r="H8029">
        <v>0</v>
      </c>
      <c r="I8029">
        <v>0</v>
      </c>
      <c r="J8029">
        <v>22070.5137570835</v>
      </c>
      <c r="K8029">
        <v>17567.679294204801</v>
      </c>
      <c r="L8029">
        <v>33.959000000000003</v>
      </c>
      <c r="M8029">
        <v>71.247</v>
      </c>
      <c r="N8029">
        <v>19.318000000000001</v>
      </c>
    </row>
    <row r="8030" spans="1:14" x14ac:dyDescent="0.45">
      <c r="A8030">
        <v>2017</v>
      </c>
      <c r="B8030" t="s">
        <v>234</v>
      </c>
      <c r="C8030">
        <v>1</v>
      </c>
      <c r="D8030">
        <v>0</v>
      </c>
      <c r="E8030">
        <v>0</v>
      </c>
      <c r="F8030">
        <v>0</v>
      </c>
      <c r="G8030">
        <v>0</v>
      </c>
      <c r="H8030">
        <v>1</v>
      </c>
      <c r="I8030">
        <v>1</v>
      </c>
      <c r="J8030">
        <v>35042.717244951396</v>
      </c>
      <c r="K8030">
        <v>30181.690834269499</v>
      </c>
      <c r="L8030">
        <v>46.249000000000002</v>
      </c>
      <c r="M8030">
        <v>77.22</v>
      </c>
      <c r="N8030">
        <v>5.48</v>
      </c>
    </row>
    <row r="8031" spans="1:14" x14ac:dyDescent="0.45">
      <c r="A8031">
        <v>2017</v>
      </c>
      <c r="B8031" t="s">
        <v>235</v>
      </c>
      <c r="C8031">
        <v>1</v>
      </c>
      <c r="D8031">
        <v>0</v>
      </c>
      <c r="E8031">
        <v>0</v>
      </c>
      <c r="F8031">
        <v>0</v>
      </c>
      <c r="G8031">
        <v>0</v>
      </c>
      <c r="H8031">
        <v>1</v>
      </c>
      <c r="I8031">
        <v>1</v>
      </c>
      <c r="J8031">
        <v>41703.303948467998</v>
      </c>
      <c r="K8031">
        <v>35898.399687201098</v>
      </c>
      <c r="L8031">
        <v>45.726999999999997</v>
      </c>
      <c r="M8031">
        <v>80.616</v>
      </c>
      <c r="N8031">
        <v>2.4119999999999999</v>
      </c>
    </row>
    <row r="8032" spans="1:14" x14ac:dyDescent="0.45">
      <c r="A8032">
        <v>2017</v>
      </c>
      <c r="B8032" t="s">
        <v>236</v>
      </c>
      <c r="C8032">
        <v>1</v>
      </c>
      <c r="D8032">
        <v>0</v>
      </c>
      <c r="E8032">
        <v>0</v>
      </c>
      <c r="F8032">
        <v>0</v>
      </c>
      <c r="G8032">
        <v>0</v>
      </c>
      <c r="H8032">
        <v>1</v>
      </c>
      <c r="I8032">
        <v>1</v>
      </c>
      <c r="J8032">
        <v>59883.667764927799</v>
      </c>
      <c r="K8032">
        <v>51153.733969770503</v>
      </c>
      <c r="L8032">
        <v>12.853999999999999</v>
      </c>
      <c r="M8032">
        <v>82.438000000000002</v>
      </c>
      <c r="N8032">
        <v>2.7549999999999999</v>
      </c>
    </row>
    <row r="8033" spans="1:14" x14ac:dyDescent="0.45">
      <c r="A8033">
        <v>2017</v>
      </c>
      <c r="B8033" t="s">
        <v>237</v>
      </c>
      <c r="C8033">
        <v>0</v>
      </c>
      <c r="D8033">
        <v>0</v>
      </c>
      <c r="E8033">
        <v>1</v>
      </c>
      <c r="F8033">
        <v>1</v>
      </c>
      <c r="G8033">
        <v>0</v>
      </c>
      <c r="H8033">
        <v>0</v>
      </c>
      <c r="I8033">
        <v>0</v>
      </c>
      <c r="J8033">
        <v>9696.5515950971603</v>
      </c>
      <c r="K8033">
        <v>8586.2982138582101</v>
      </c>
      <c r="L8033">
        <v>76.375</v>
      </c>
      <c r="M8033">
        <v>57.573999999999998</v>
      </c>
      <c r="N8033">
        <v>60.131</v>
      </c>
    </row>
    <row r="8034" spans="1:14" x14ac:dyDescent="0.45">
      <c r="A8034">
        <v>2017</v>
      </c>
      <c r="B8034" t="s">
        <v>238</v>
      </c>
      <c r="C8034">
        <v>0</v>
      </c>
      <c r="D8034">
        <v>1</v>
      </c>
      <c r="E8034">
        <v>0</v>
      </c>
      <c r="F8034">
        <v>0</v>
      </c>
      <c r="G8034">
        <v>0</v>
      </c>
      <c r="H8034">
        <v>1</v>
      </c>
      <c r="I8034">
        <v>1</v>
      </c>
      <c r="J8034">
        <v>46088.358383915198</v>
      </c>
      <c r="K8034">
        <v>44479.298009125298</v>
      </c>
      <c r="L8034">
        <v>0</v>
      </c>
      <c r="M8034">
        <v>75.454999999999998</v>
      </c>
      <c r="N8034">
        <v>17.385000000000002</v>
      </c>
    </row>
    <row r="8035" spans="1:14" x14ac:dyDescent="0.45">
      <c r="A8035">
        <v>2017</v>
      </c>
      <c r="B8035" t="s">
        <v>239</v>
      </c>
      <c r="C8035">
        <v>0</v>
      </c>
      <c r="D8035">
        <v>0</v>
      </c>
      <c r="E8035">
        <v>1</v>
      </c>
      <c r="F8035">
        <v>0</v>
      </c>
      <c r="G8035">
        <v>0</v>
      </c>
      <c r="H8035">
        <v>1</v>
      </c>
      <c r="I8035">
        <v>1</v>
      </c>
      <c r="J8035">
        <v>31595.668057050501</v>
      </c>
      <c r="K8035">
        <v>30674.6505406377</v>
      </c>
      <c r="L8035">
        <v>43.738999999999997</v>
      </c>
      <c r="M8035">
        <v>72.231999999999999</v>
      </c>
      <c r="N8035">
        <v>14.676</v>
      </c>
    </row>
    <row r="8036" spans="1:14" x14ac:dyDescent="0.45">
      <c r="A8036">
        <v>2017</v>
      </c>
      <c r="B8036" t="s">
        <v>240</v>
      </c>
      <c r="C8036">
        <v>0</v>
      </c>
      <c r="D8036">
        <v>0</v>
      </c>
      <c r="E8036">
        <v>0</v>
      </c>
      <c r="F8036">
        <v>0</v>
      </c>
      <c r="G8036">
        <v>0</v>
      </c>
      <c r="H8036">
        <v>0</v>
      </c>
      <c r="I8036">
        <v>0</v>
      </c>
      <c r="J8036">
        <v>4977.7921006379802</v>
      </c>
      <c r="K8036">
        <v>3265.0703720295401</v>
      </c>
      <c r="L8036">
        <v>46.5</v>
      </c>
      <c r="M8036">
        <v>65.650999999999996</v>
      </c>
      <c r="N8036">
        <v>33.54</v>
      </c>
    </row>
    <row r="8037" spans="1:14" x14ac:dyDescent="0.45">
      <c r="A8037">
        <v>2017</v>
      </c>
      <c r="B8037" t="s">
        <v>241</v>
      </c>
      <c r="C8037">
        <v>0</v>
      </c>
      <c r="D8037">
        <v>1</v>
      </c>
      <c r="E8037">
        <v>0</v>
      </c>
      <c r="F8037">
        <v>0</v>
      </c>
      <c r="G8037">
        <v>0</v>
      </c>
      <c r="H8037">
        <v>1</v>
      </c>
      <c r="I8037">
        <v>1</v>
      </c>
      <c r="J8037">
        <v>16498.691291393901</v>
      </c>
      <c r="K8037">
        <v>25685.776953856599</v>
      </c>
      <c r="L8037">
        <v>7.1830000000000096</v>
      </c>
      <c r="M8037">
        <v>77.504999999999995</v>
      </c>
      <c r="N8037">
        <v>6.6349999999999998</v>
      </c>
    </row>
    <row r="8038" spans="1:14" x14ac:dyDescent="0.45">
      <c r="A8038">
        <v>2017</v>
      </c>
      <c r="B8038" t="s">
        <v>242</v>
      </c>
      <c r="C8038">
        <v>0</v>
      </c>
      <c r="D8038">
        <v>0</v>
      </c>
      <c r="E8038">
        <v>1</v>
      </c>
      <c r="F8038">
        <v>0</v>
      </c>
      <c r="G8038">
        <v>0</v>
      </c>
      <c r="H8038">
        <v>0</v>
      </c>
      <c r="I8038">
        <v>0</v>
      </c>
      <c r="J8038">
        <v>2496.4927517022402</v>
      </c>
      <c r="K8038">
        <v>2097.1442310952898</v>
      </c>
      <c r="L8038">
        <v>77.141999999999996</v>
      </c>
      <c r="M8038">
        <v>51.875</v>
      </c>
      <c r="N8038">
        <v>121.113</v>
      </c>
    </row>
    <row r="8039" spans="1:14" x14ac:dyDescent="0.45">
      <c r="A8039">
        <v>2017</v>
      </c>
      <c r="B8039" t="s">
        <v>243</v>
      </c>
      <c r="C8039">
        <v>0</v>
      </c>
      <c r="D8039">
        <v>0</v>
      </c>
      <c r="E8039">
        <v>1</v>
      </c>
      <c r="F8039">
        <v>0</v>
      </c>
      <c r="G8039">
        <v>0</v>
      </c>
      <c r="H8039">
        <v>0</v>
      </c>
      <c r="I8039">
        <v>0</v>
      </c>
      <c r="J8039">
        <v>2389.2124483286898</v>
      </c>
      <c r="K8039">
        <v>1985.5257208491801</v>
      </c>
      <c r="L8039">
        <v>58.838000000000001</v>
      </c>
      <c r="M8039">
        <v>60.134999999999998</v>
      </c>
      <c r="N8039">
        <v>71.052000000000007</v>
      </c>
    </row>
    <row r="8040" spans="1:14" x14ac:dyDescent="0.45">
      <c r="A8040">
        <v>2017</v>
      </c>
      <c r="B8040" t="s">
        <v>244</v>
      </c>
      <c r="C8040">
        <v>0</v>
      </c>
      <c r="D8040">
        <v>0</v>
      </c>
      <c r="E8040">
        <v>0</v>
      </c>
      <c r="F8040">
        <v>0</v>
      </c>
      <c r="G8040">
        <v>1</v>
      </c>
      <c r="H8040">
        <v>0</v>
      </c>
      <c r="I8040">
        <v>0</v>
      </c>
      <c r="J8040">
        <v>20094.677876260299</v>
      </c>
      <c r="K8040">
        <v>17573.339865423499</v>
      </c>
      <c r="L8040">
        <v>50.8</v>
      </c>
      <c r="M8040">
        <v>76.989000000000004</v>
      </c>
      <c r="N8040">
        <v>9.7159999999999993</v>
      </c>
    </row>
    <row r="8041" spans="1:14" x14ac:dyDescent="0.45">
      <c r="A8041">
        <v>2017</v>
      </c>
      <c r="B8041" t="s">
        <v>245</v>
      </c>
      <c r="C8041">
        <v>1</v>
      </c>
      <c r="D8041">
        <v>0</v>
      </c>
      <c r="E8041">
        <v>0</v>
      </c>
      <c r="F8041">
        <v>0</v>
      </c>
      <c r="G8041">
        <v>0</v>
      </c>
      <c r="H8041">
        <v>0</v>
      </c>
      <c r="I8041">
        <v>0</v>
      </c>
      <c r="J8041">
        <v>3312.7120224350601</v>
      </c>
      <c r="K8041">
        <v>3017.0034546471402</v>
      </c>
      <c r="L8041">
        <v>73.018000000000001</v>
      </c>
      <c r="M8041">
        <v>70.524000000000001</v>
      </c>
      <c r="N8041">
        <v>35.755000000000003</v>
      </c>
    </row>
    <row r="8042" spans="1:14" x14ac:dyDescent="0.45">
      <c r="A8042">
        <v>2017</v>
      </c>
      <c r="B8042" t="s">
        <v>246</v>
      </c>
      <c r="C8042">
        <v>1</v>
      </c>
      <c r="D8042">
        <v>0</v>
      </c>
      <c r="E8042">
        <v>0</v>
      </c>
      <c r="F8042">
        <v>0</v>
      </c>
      <c r="G8042">
        <v>1</v>
      </c>
      <c r="H8042">
        <v>0</v>
      </c>
      <c r="I8042">
        <v>0</v>
      </c>
      <c r="J8042">
        <v>14107.667119928899</v>
      </c>
      <c r="K8042">
        <v>13278.4032464507</v>
      </c>
      <c r="L8042">
        <v>48.847000000000001</v>
      </c>
      <c r="M8042">
        <v>69.19</v>
      </c>
      <c r="N8042">
        <v>42.731000000000002</v>
      </c>
    </row>
    <row r="8043" spans="1:14" x14ac:dyDescent="0.45">
      <c r="A8043">
        <v>2017</v>
      </c>
      <c r="B8043" t="s">
        <v>247</v>
      </c>
      <c r="C8043">
        <v>0</v>
      </c>
      <c r="D8043">
        <v>0</v>
      </c>
      <c r="E8043">
        <v>0</v>
      </c>
      <c r="F8043">
        <v>1</v>
      </c>
      <c r="G8043">
        <v>0</v>
      </c>
      <c r="H8043">
        <v>0</v>
      </c>
      <c r="I8043">
        <v>0</v>
      </c>
      <c r="J8043">
        <v>4292.07814171481</v>
      </c>
      <c r="K8043">
        <v>3463.11752055018</v>
      </c>
      <c r="L8043">
        <v>69.787999999999997</v>
      </c>
      <c r="M8043">
        <v>65.897999999999996</v>
      </c>
      <c r="N8043">
        <v>57.268999999999998</v>
      </c>
    </row>
    <row r="8044" spans="1:14" x14ac:dyDescent="0.45">
      <c r="A8044">
        <v>2017</v>
      </c>
      <c r="B8044" t="s">
        <v>248</v>
      </c>
      <c r="C8044">
        <v>0</v>
      </c>
      <c r="D8044">
        <v>0</v>
      </c>
      <c r="E8044">
        <v>0</v>
      </c>
      <c r="F8044">
        <v>0</v>
      </c>
      <c r="G8044">
        <v>1</v>
      </c>
      <c r="H8044">
        <v>0</v>
      </c>
      <c r="I8044">
        <v>0</v>
      </c>
      <c r="J8044">
        <v>6862.6686588983703</v>
      </c>
      <c r="K8044">
        <v>6212.3022689339296</v>
      </c>
      <c r="L8044">
        <v>76.831000000000003</v>
      </c>
      <c r="M8044">
        <v>72.066000000000003</v>
      </c>
      <c r="N8044">
        <v>12.06</v>
      </c>
    </row>
    <row r="8045" spans="1:14" x14ac:dyDescent="0.45">
      <c r="A8045">
        <v>2017</v>
      </c>
      <c r="B8045" t="s">
        <v>249</v>
      </c>
      <c r="C8045">
        <v>0</v>
      </c>
      <c r="D8045">
        <v>1</v>
      </c>
      <c r="E8045">
        <v>0</v>
      </c>
      <c r="F8045">
        <v>0</v>
      </c>
      <c r="G8045">
        <v>0</v>
      </c>
      <c r="H8045">
        <v>1</v>
      </c>
      <c r="I8045">
        <v>1</v>
      </c>
      <c r="J8045">
        <v>34153.884262552398</v>
      </c>
      <c r="K8045">
        <v>28504.593585831601</v>
      </c>
      <c r="L8045">
        <v>46.795000000000002</v>
      </c>
      <c r="M8045">
        <v>72.983999999999995</v>
      </c>
      <c r="N8045">
        <v>18.084</v>
      </c>
    </row>
    <row r="8046" spans="1:14" x14ac:dyDescent="0.45">
      <c r="A8046">
        <v>2017</v>
      </c>
      <c r="B8046" t="s">
        <v>250</v>
      </c>
      <c r="C8046">
        <v>0</v>
      </c>
      <c r="D8046">
        <v>0</v>
      </c>
      <c r="E8046">
        <v>0</v>
      </c>
      <c r="F8046">
        <v>1</v>
      </c>
      <c r="G8046">
        <v>0</v>
      </c>
      <c r="H8046">
        <v>0</v>
      </c>
      <c r="I8046">
        <v>0</v>
      </c>
      <c r="J8046">
        <v>12953.523206161501</v>
      </c>
      <c r="K8046">
        <v>11288.779093998601</v>
      </c>
      <c r="L8046">
        <v>31.358000000000001</v>
      </c>
      <c r="M8046">
        <v>75.177000000000007</v>
      </c>
      <c r="N8046">
        <v>15.971</v>
      </c>
    </row>
    <row r="8047" spans="1:14" x14ac:dyDescent="0.45">
      <c r="A8047">
        <v>2017</v>
      </c>
      <c r="B8047" t="s">
        <v>251</v>
      </c>
      <c r="C8047">
        <v>1</v>
      </c>
      <c r="D8047">
        <v>0</v>
      </c>
      <c r="E8047">
        <v>0</v>
      </c>
      <c r="F8047">
        <v>0</v>
      </c>
      <c r="G8047">
        <v>1</v>
      </c>
      <c r="H8047">
        <v>0</v>
      </c>
      <c r="I8047">
        <v>0</v>
      </c>
      <c r="J8047">
        <v>27851.982002966601</v>
      </c>
      <c r="K8047">
        <v>27926.490525052901</v>
      </c>
      <c r="L8047">
        <v>25.356000000000002</v>
      </c>
      <c r="M8047">
        <v>77.037000000000006</v>
      </c>
      <c r="N8047">
        <v>12.121</v>
      </c>
    </row>
    <row r="8048" spans="1:14" x14ac:dyDescent="0.45">
      <c r="A8048">
        <v>2017</v>
      </c>
      <c r="B8048" t="s">
        <v>252</v>
      </c>
      <c r="C8048">
        <v>0</v>
      </c>
      <c r="D8048">
        <v>0</v>
      </c>
      <c r="E8048">
        <v>0</v>
      </c>
      <c r="F8048">
        <v>0</v>
      </c>
      <c r="G8048">
        <v>1</v>
      </c>
      <c r="H8048">
        <v>0</v>
      </c>
      <c r="I8048">
        <v>0</v>
      </c>
      <c r="J8048">
        <v>4464.2588462993699</v>
      </c>
      <c r="K8048">
        <v>4038.6114789971198</v>
      </c>
      <c r="L8048">
        <v>38.47</v>
      </c>
      <c r="M8048">
        <v>65.683000000000007</v>
      </c>
      <c r="N8048">
        <v>24.183</v>
      </c>
    </row>
    <row r="8049" spans="1:14" x14ac:dyDescent="0.45">
      <c r="A8049">
        <v>2017</v>
      </c>
      <c r="B8049" t="s">
        <v>253</v>
      </c>
      <c r="C8049">
        <v>0</v>
      </c>
      <c r="D8049">
        <v>0</v>
      </c>
      <c r="E8049">
        <v>0</v>
      </c>
      <c r="F8049">
        <v>0</v>
      </c>
      <c r="G8049">
        <v>0</v>
      </c>
      <c r="H8049">
        <v>1</v>
      </c>
      <c r="I8049">
        <v>1</v>
      </c>
      <c r="L8049">
        <v>42.04</v>
      </c>
      <c r="M8049">
        <v>80.061000000000007</v>
      </c>
      <c r="N8049">
        <v>4.7590000000000003</v>
      </c>
    </row>
    <row r="8050" spans="1:14" x14ac:dyDescent="0.45">
      <c r="A8050">
        <v>2017</v>
      </c>
      <c r="B8050" t="s">
        <v>254</v>
      </c>
      <c r="C8050">
        <v>0</v>
      </c>
      <c r="D8050">
        <v>0</v>
      </c>
      <c r="E8050">
        <v>1</v>
      </c>
      <c r="F8050">
        <v>0</v>
      </c>
      <c r="G8050">
        <v>0</v>
      </c>
      <c r="H8050">
        <v>0</v>
      </c>
      <c r="I8050">
        <v>0</v>
      </c>
      <c r="J8050">
        <v>3319.37670898438</v>
      </c>
      <c r="K8050">
        <v>2472.4932976176101</v>
      </c>
      <c r="L8050">
        <v>66.947000000000003</v>
      </c>
      <c r="M8050">
        <v>64.962999999999994</v>
      </c>
      <c r="N8050">
        <v>49.719000000000001</v>
      </c>
    </row>
    <row r="8051" spans="1:14" x14ac:dyDescent="0.45">
      <c r="A8051">
        <v>2017</v>
      </c>
      <c r="B8051" t="s">
        <v>255</v>
      </c>
      <c r="C8051">
        <v>0</v>
      </c>
      <c r="D8051">
        <v>0</v>
      </c>
      <c r="E8051">
        <v>1</v>
      </c>
      <c r="F8051">
        <v>0</v>
      </c>
      <c r="G8051">
        <v>0</v>
      </c>
      <c r="H8051">
        <v>0</v>
      </c>
      <c r="I8051">
        <v>0</v>
      </c>
      <c r="J8051">
        <v>2543.8475439495601</v>
      </c>
      <c r="K8051">
        <v>2157.9574470751299</v>
      </c>
      <c r="L8051">
        <v>76.804000000000002</v>
      </c>
      <c r="M8051">
        <v>65.174000000000007</v>
      </c>
      <c r="N8051">
        <v>49.709000000000003</v>
      </c>
    </row>
    <row r="8052" spans="1:14" x14ac:dyDescent="0.45">
      <c r="A8052">
        <v>2017</v>
      </c>
      <c r="B8052" t="s">
        <v>256</v>
      </c>
      <c r="C8052">
        <v>1</v>
      </c>
      <c r="D8052">
        <v>0</v>
      </c>
      <c r="E8052">
        <v>0</v>
      </c>
      <c r="F8052">
        <v>1</v>
      </c>
      <c r="G8052">
        <v>0</v>
      </c>
      <c r="H8052">
        <v>0</v>
      </c>
      <c r="I8052">
        <v>0</v>
      </c>
      <c r="J8052">
        <v>16310.3603515625</v>
      </c>
      <c r="K8052">
        <v>11536.0819177617</v>
      </c>
      <c r="L8052">
        <v>30.754000000000001</v>
      </c>
      <c r="M8052">
        <v>73.992999999999995</v>
      </c>
      <c r="N8052">
        <v>8.6170000000000009</v>
      </c>
    </row>
    <row r="8053" spans="1:14" x14ac:dyDescent="0.45">
      <c r="A8053">
        <v>2017</v>
      </c>
      <c r="B8053" t="s">
        <v>257</v>
      </c>
      <c r="C8053">
        <v>0</v>
      </c>
      <c r="D8053">
        <v>1</v>
      </c>
      <c r="E8053">
        <v>0</v>
      </c>
      <c r="F8053">
        <v>0</v>
      </c>
      <c r="G8053">
        <v>0</v>
      </c>
      <c r="H8053">
        <v>1</v>
      </c>
      <c r="I8053">
        <v>1</v>
      </c>
      <c r="J8053">
        <v>29762.433317168499</v>
      </c>
      <c r="K8053">
        <v>23606.6269427691</v>
      </c>
      <c r="L8053">
        <v>4.7600000000000096</v>
      </c>
      <c r="M8053">
        <v>77.617999999999995</v>
      </c>
      <c r="N8053">
        <v>7.4749999999999996</v>
      </c>
    </row>
    <row r="8054" spans="1:14" x14ac:dyDescent="0.45">
      <c r="A8054">
        <v>2017</v>
      </c>
      <c r="B8054" t="s">
        <v>258</v>
      </c>
      <c r="C8054">
        <v>0</v>
      </c>
      <c r="D8054">
        <v>0</v>
      </c>
      <c r="E8054">
        <v>0</v>
      </c>
      <c r="F8054">
        <v>0</v>
      </c>
      <c r="G8054">
        <v>0</v>
      </c>
      <c r="H8054">
        <v>1</v>
      </c>
      <c r="I8054">
        <v>1</v>
      </c>
      <c r="J8054">
        <v>66155.555568545693</v>
      </c>
      <c r="K8054">
        <v>60047.717921795098</v>
      </c>
      <c r="L8054">
        <v>17.942</v>
      </c>
      <c r="M8054">
        <v>78.647999999999996</v>
      </c>
      <c r="N8054">
        <v>6.681</v>
      </c>
    </row>
    <row r="8055" spans="1:14" x14ac:dyDescent="0.45">
      <c r="A8055">
        <v>2017</v>
      </c>
      <c r="B8055" t="s">
        <v>259</v>
      </c>
      <c r="C8055">
        <v>1</v>
      </c>
      <c r="D8055">
        <v>0</v>
      </c>
      <c r="E8055">
        <v>0</v>
      </c>
      <c r="F8055">
        <v>1</v>
      </c>
      <c r="G8055">
        <v>0</v>
      </c>
      <c r="H8055">
        <v>0</v>
      </c>
      <c r="I8055">
        <v>0</v>
      </c>
      <c r="J8055">
        <v>8047.0537546946598</v>
      </c>
      <c r="K8055">
        <v>7818.0104789443403</v>
      </c>
      <c r="L8055">
        <v>49.45</v>
      </c>
      <c r="M8055">
        <v>71.736999999999995</v>
      </c>
      <c r="N8055">
        <v>17.556999999999999</v>
      </c>
    </row>
    <row r="8056" spans="1:14" x14ac:dyDescent="0.45">
      <c r="A8056">
        <v>2017</v>
      </c>
      <c r="B8056" t="s">
        <v>260</v>
      </c>
      <c r="C8056">
        <v>0</v>
      </c>
      <c r="D8056">
        <v>1</v>
      </c>
      <c r="E8056">
        <v>0</v>
      </c>
      <c r="F8056">
        <v>0</v>
      </c>
      <c r="G8056">
        <v>1</v>
      </c>
      <c r="H8056">
        <v>0</v>
      </c>
      <c r="I8056">
        <v>0</v>
      </c>
      <c r="J8056">
        <v>15533.2212821544</v>
      </c>
      <c r="K8056">
        <v>13575.432376607299</v>
      </c>
      <c r="L8056">
        <v>48.216000000000001</v>
      </c>
      <c r="M8056">
        <v>71.013000000000005</v>
      </c>
      <c r="N8056">
        <v>15.247</v>
      </c>
    </row>
    <row r="8057" spans="1:14" x14ac:dyDescent="0.45">
      <c r="A8057">
        <v>2017</v>
      </c>
      <c r="B8057" t="s">
        <v>261</v>
      </c>
      <c r="C8057">
        <v>0</v>
      </c>
      <c r="D8057">
        <v>1</v>
      </c>
      <c r="E8057">
        <v>0</v>
      </c>
      <c r="F8057">
        <v>0</v>
      </c>
      <c r="G8057">
        <v>1</v>
      </c>
      <c r="H8057">
        <v>0</v>
      </c>
      <c r="I8057">
        <v>0</v>
      </c>
      <c r="L8057">
        <v>11.817</v>
      </c>
      <c r="M8057">
        <v>71.903000000000006</v>
      </c>
      <c r="N8057">
        <v>18.809000000000001</v>
      </c>
    </row>
    <row r="8058" spans="1:14" x14ac:dyDescent="0.45">
      <c r="A8058">
        <v>2017</v>
      </c>
      <c r="B8058" t="s">
        <v>262</v>
      </c>
      <c r="C8058">
        <v>0</v>
      </c>
      <c r="D8058">
        <v>1</v>
      </c>
      <c r="E8058">
        <v>0</v>
      </c>
      <c r="F8058">
        <v>0</v>
      </c>
      <c r="G8058">
        <v>0</v>
      </c>
      <c r="H8058">
        <v>1</v>
      </c>
      <c r="I8058">
        <v>1</v>
      </c>
      <c r="L8058">
        <v>52.662999999999997</v>
      </c>
      <c r="M8058">
        <v>75.67</v>
      </c>
      <c r="N8058">
        <v>18.48</v>
      </c>
    </row>
    <row r="8059" spans="1:14" x14ac:dyDescent="0.45">
      <c r="A8059">
        <v>2017</v>
      </c>
      <c r="B8059" t="s">
        <v>263</v>
      </c>
      <c r="C8059">
        <v>0</v>
      </c>
      <c r="D8059">
        <v>1</v>
      </c>
      <c r="E8059">
        <v>0</v>
      </c>
      <c r="F8059">
        <v>0</v>
      </c>
      <c r="G8059">
        <v>0</v>
      </c>
      <c r="H8059">
        <v>1</v>
      </c>
      <c r="I8059">
        <v>1</v>
      </c>
      <c r="J8059">
        <v>43277.154652352197</v>
      </c>
      <c r="K8059">
        <v>33893.5516452757</v>
      </c>
      <c r="L8059">
        <v>4.39700000000001</v>
      </c>
      <c r="M8059">
        <v>74.372</v>
      </c>
      <c r="N8059">
        <v>7.968</v>
      </c>
    </row>
    <row r="8060" spans="1:14" x14ac:dyDescent="0.45">
      <c r="A8060">
        <v>2017</v>
      </c>
      <c r="B8060" t="s">
        <v>264</v>
      </c>
      <c r="C8060">
        <v>0</v>
      </c>
      <c r="D8060">
        <v>0</v>
      </c>
      <c r="E8060">
        <v>0</v>
      </c>
      <c r="F8060">
        <v>1</v>
      </c>
      <c r="G8060">
        <v>0</v>
      </c>
      <c r="H8060">
        <v>0</v>
      </c>
      <c r="I8060">
        <v>0</v>
      </c>
      <c r="J8060">
        <v>10290.5487142244</v>
      </c>
      <c r="K8060">
        <v>9169.7318987243707</v>
      </c>
      <c r="L8060">
        <v>64.787000000000006</v>
      </c>
      <c r="M8060">
        <v>74.025999999999996</v>
      </c>
      <c r="N8060">
        <v>21.672000000000001</v>
      </c>
    </row>
    <row r="8061" spans="1:14" x14ac:dyDescent="0.45">
      <c r="A8061">
        <v>2017</v>
      </c>
      <c r="B8061" t="s">
        <v>265</v>
      </c>
      <c r="C8061">
        <v>0</v>
      </c>
      <c r="D8061">
        <v>0</v>
      </c>
      <c r="E8061">
        <v>0</v>
      </c>
      <c r="F8061">
        <v>1</v>
      </c>
      <c r="G8061">
        <v>0</v>
      </c>
      <c r="H8061">
        <v>0</v>
      </c>
      <c r="I8061">
        <v>0</v>
      </c>
      <c r="J8061">
        <v>3465.9196856110302</v>
      </c>
      <c r="K8061">
        <v>3135.27561242714</v>
      </c>
      <c r="L8061">
        <v>74.837000000000003</v>
      </c>
      <c r="M8061">
        <v>70.5</v>
      </c>
      <c r="N8061">
        <v>20.315999999999999</v>
      </c>
    </row>
    <row r="8062" spans="1:14" x14ac:dyDescent="0.45">
      <c r="A8062">
        <v>2017</v>
      </c>
      <c r="B8062" t="s">
        <v>266</v>
      </c>
      <c r="C8062">
        <v>0</v>
      </c>
      <c r="D8062">
        <v>0</v>
      </c>
      <c r="E8062">
        <v>0</v>
      </c>
      <c r="F8062">
        <v>0</v>
      </c>
      <c r="G8062">
        <v>1</v>
      </c>
      <c r="H8062">
        <v>0</v>
      </c>
      <c r="I8062">
        <v>0</v>
      </c>
      <c r="J8062">
        <v>6919.015728585</v>
      </c>
      <c r="K8062">
        <v>6258.9509404652999</v>
      </c>
      <c r="L8062">
        <v>81.548000000000002</v>
      </c>
      <c r="M8062">
        <v>70.991</v>
      </c>
      <c r="N8062">
        <v>18.010000000000002</v>
      </c>
    </row>
    <row r="8063" spans="1:14" x14ac:dyDescent="0.45">
      <c r="A8063">
        <v>2017</v>
      </c>
      <c r="B8063" t="s">
        <v>267</v>
      </c>
      <c r="C8063">
        <v>1</v>
      </c>
      <c r="D8063">
        <v>0</v>
      </c>
      <c r="E8063">
        <v>0</v>
      </c>
      <c r="F8063">
        <v>1</v>
      </c>
      <c r="G8063">
        <v>0</v>
      </c>
      <c r="H8063">
        <v>0</v>
      </c>
      <c r="I8063">
        <v>0</v>
      </c>
      <c r="J8063">
        <v>10856.290207423899</v>
      </c>
      <c r="K8063">
        <v>9853.9618911338493</v>
      </c>
      <c r="L8063">
        <v>44.058</v>
      </c>
      <c r="M8063">
        <v>77.105000000000004</v>
      </c>
      <c r="N8063">
        <v>12.648999999999999</v>
      </c>
    </row>
    <row r="8064" spans="1:14" x14ac:dyDescent="0.45">
      <c r="A8064">
        <v>2017</v>
      </c>
      <c r="B8064" t="s">
        <v>268</v>
      </c>
      <c r="C8064">
        <v>0</v>
      </c>
      <c r="D8064">
        <v>0</v>
      </c>
      <c r="E8064">
        <v>0</v>
      </c>
      <c r="F8064">
        <v>0</v>
      </c>
      <c r="G8064">
        <v>0</v>
      </c>
      <c r="H8064">
        <v>0</v>
      </c>
      <c r="I8064">
        <v>0</v>
      </c>
      <c r="L8064">
        <v>63.984000000000002</v>
      </c>
      <c r="M8064">
        <v>67.12</v>
      </c>
      <c r="N8064">
        <v>47.014000000000003</v>
      </c>
    </row>
    <row r="8065" spans="1:14" x14ac:dyDescent="0.45">
      <c r="A8065">
        <v>2017</v>
      </c>
      <c r="B8065" t="s">
        <v>269</v>
      </c>
      <c r="C8065">
        <v>0</v>
      </c>
      <c r="D8065">
        <v>0</v>
      </c>
      <c r="E8065">
        <v>1</v>
      </c>
      <c r="F8065">
        <v>0</v>
      </c>
      <c r="G8065">
        <v>1</v>
      </c>
      <c r="H8065">
        <v>0</v>
      </c>
      <c r="I8065">
        <v>0</v>
      </c>
      <c r="J8065">
        <v>14591.436675859301</v>
      </c>
      <c r="K8065">
        <v>13738.437822899699</v>
      </c>
      <c r="L8065">
        <v>34.15</v>
      </c>
      <c r="M8065">
        <v>65.421999999999997</v>
      </c>
      <c r="N8065">
        <v>32.874000000000002</v>
      </c>
    </row>
    <row r="8066" spans="1:14" x14ac:dyDescent="0.45">
      <c r="A8066">
        <v>2017</v>
      </c>
      <c r="B8066" t="s">
        <v>270</v>
      </c>
      <c r="C8066">
        <v>0</v>
      </c>
      <c r="D8066">
        <v>0</v>
      </c>
      <c r="E8066">
        <v>1</v>
      </c>
      <c r="F8066">
        <v>1</v>
      </c>
      <c r="G8066">
        <v>0</v>
      </c>
      <c r="H8066">
        <v>0</v>
      </c>
      <c r="I8066">
        <v>0</v>
      </c>
      <c r="J8066">
        <v>3612.5059766459299</v>
      </c>
      <c r="K8066">
        <v>3391.6274882295802</v>
      </c>
      <c r="L8066">
        <v>57.024000000000001</v>
      </c>
      <c r="M8066">
        <v>61.564</v>
      </c>
      <c r="N8066">
        <v>64.272999999999996</v>
      </c>
    </row>
    <row r="8067" spans="1:14" x14ac:dyDescent="0.45">
      <c r="A8067">
        <v>2017</v>
      </c>
      <c r="B8067" t="s">
        <v>271</v>
      </c>
      <c r="C8067">
        <v>0</v>
      </c>
      <c r="D8067">
        <v>0</v>
      </c>
      <c r="E8067">
        <v>1</v>
      </c>
      <c r="F8067">
        <v>0</v>
      </c>
      <c r="G8067">
        <v>0</v>
      </c>
      <c r="H8067">
        <v>0</v>
      </c>
      <c r="I8067">
        <v>0</v>
      </c>
      <c r="J8067">
        <v>3453.50573857064</v>
      </c>
      <c r="K8067">
        <v>2299.4680578002999</v>
      </c>
      <c r="L8067">
        <v>67.763000000000005</v>
      </c>
      <c r="M8067">
        <v>60.262999999999998</v>
      </c>
      <c r="N8067">
        <v>55.563000000000002</v>
      </c>
    </row>
    <row r="8068" spans="1:14" x14ac:dyDescent="0.45">
      <c r="A8068">
        <v>2018</v>
      </c>
      <c r="B8068" t="s">
        <v>54</v>
      </c>
      <c r="C8068">
        <v>0</v>
      </c>
      <c r="D8068">
        <v>1</v>
      </c>
      <c r="E8068">
        <v>0</v>
      </c>
      <c r="F8068">
        <v>0</v>
      </c>
      <c r="G8068">
        <v>0</v>
      </c>
      <c r="H8068">
        <v>1</v>
      </c>
      <c r="I8068">
        <v>1</v>
      </c>
      <c r="J8068">
        <v>39419.555703226302</v>
      </c>
      <c r="K8068">
        <v>38363.3993296552</v>
      </c>
      <c r="L8068">
        <v>56.588999999999999</v>
      </c>
      <c r="M8068">
        <v>75.88</v>
      </c>
      <c r="N8068">
        <v>15.635</v>
      </c>
    </row>
    <row r="8069" spans="1:14" x14ac:dyDescent="0.45">
      <c r="A8069">
        <v>2018</v>
      </c>
      <c r="B8069" t="s">
        <v>55</v>
      </c>
      <c r="C8069">
        <v>0</v>
      </c>
      <c r="D8069">
        <v>0</v>
      </c>
      <c r="E8069">
        <v>0</v>
      </c>
      <c r="F8069">
        <v>0</v>
      </c>
      <c r="G8069">
        <v>0</v>
      </c>
      <c r="H8069">
        <v>0</v>
      </c>
      <c r="I8069">
        <v>0</v>
      </c>
      <c r="J8069">
        <v>2902.3921128554598</v>
      </c>
      <c r="K8069">
        <v>2295.76640117733</v>
      </c>
      <c r="L8069">
        <v>74.504999999999995</v>
      </c>
      <c r="M8069">
        <v>62.442999999999998</v>
      </c>
      <c r="N8069">
        <v>65.337999999999994</v>
      </c>
    </row>
    <row r="8070" spans="1:14" x14ac:dyDescent="0.45">
      <c r="A8070">
        <v>2018</v>
      </c>
      <c r="B8070" t="s">
        <v>56</v>
      </c>
      <c r="C8070">
        <v>0</v>
      </c>
      <c r="D8070">
        <v>0</v>
      </c>
      <c r="E8070">
        <v>1</v>
      </c>
      <c r="F8070">
        <v>1</v>
      </c>
      <c r="G8070">
        <v>0</v>
      </c>
      <c r="H8070">
        <v>0</v>
      </c>
      <c r="I8070">
        <v>0</v>
      </c>
      <c r="J8070">
        <v>8620.2146642438893</v>
      </c>
      <c r="K8070">
        <v>6666.4498676459798</v>
      </c>
      <c r="L8070">
        <v>34.485999999999997</v>
      </c>
      <c r="M8070">
        <v>62.622</v>
      </c>
      <c r="N8070">
        <v>77.349999999999994</v>
      </c>
    </row>
    <row r="8071" spans="1:14" x14ac:dyDescent="0.45">
      <c r="A8071">
        <v>2018</v>
      </c>
      <c r="B8071" t="s">
        <v>57</v>
      </c>
      <c r="C8071">
        <v>1</v>
      </c>
      <c r="D8071">
        <v>0</v>
      </c>
      <c r="E8071">
        <v>0</v>
      </c>
      <c r="F8071">
        <v>0</v>
      </c>
      <c r="G8071">
        <v>1</v>
      </c>
      <c r="H8071">
        <v>0</v>
      </c>
      <c r="I8071">
        <v>0</v>
      </c>
      <c r="J8071">
        <v>14710.9825773622</v>
      </c>
      <c r="K8071">
        <v>13327.4754564835</v>
      </c>
      <c r="L8071">
        <v>39.680999999999997</v>
      </c>
      <c r="M8071">
        <v>79.238</v>
      </c>
      <c r="N8071">
        <v>9.5090000000000003</v>
      </c>
    </row>
    <row r="8072" spans="1:14" x14ac:dyDescent="0.45">
      <c r="A8072">
        <v>2018</v>
      </c>
      <c r="B8072" t="s">
        <v>58</v>
      </c>
      <c r="C8072">
        <v>1</v>
      </c>
      <c r="D8072">
        <v>0</v>
      </c>
      <c r="E8072">
        <v>0</v>
      </c>
      <c r="F8072">
        <v>0</v>
      </c>
      <c r="G8072">
        <v>0</v>
      </c>
      <c r="H8072">
        <v>1</v>
      </c>
      <c r="I8072">
        <v>1</v>
      </c>
      <c r="J8072">
        <v>63048.598557283403</v>
      </c>
      <c r="K8072">
        <v>52924.483690956396</v>
      </c>
      <c r="L8072">
        <v>11.938000000000001</v>
      </c>
      <c r="M8072">
        <v>84.242000000000004</v>
      </c>
      <c r="N8072">
        <v>6.0030000000000001</v>
      </c>
    </row>
    <row r="8073" spans="1:14" x14ac:dyDescent="0.45">
      <c r="A8073">
        <v>2018</v>
      </c>
      <c r="B8073" t="s">
        <v>59</v>
      </c>
      <c r="C8073">
        <v>0</v>
      </c>
      <c r="D8073">
        <v>0</v>
      </c>
      <c r="E8073">
        <v>0</v>
      </c>
      <c r="F8073">
        <v>0</v>
      </c>
      <c r="G8073">
        <v>0</v>
      </c>
      <c r="H8073">
        <v>1</v>
      </c>
      <c r="I8073">
        <v>1</v>
      </c>
      <c r="J8073">
        <v>68854.969901746794</v>
      </c>
      <c r="K8073">
        <v>68026.554428330201</v>
      </c>
      <c r="L8073">
        <v>13.478</v>
      </c>
      <c r="M8073">
        <v>82.448999999999998</v>
      </c>
      <c r="N8073">
        <v>6.9790000000000001</v>
      </c>
    </row>
    <row r="8074" spans="1:14" x14ac:dyDescent="0.45">
      <c r="A8074">
        <v>2018</v>
      </c>
      <c r="B8074" t="s">
        <v>60</v>
      </c>
      <c r="C8074">
        <v>0</v>
      </c>
      <c r="D8074">
        <v>1</v>
      </c>
      <c r="E8074">
        <v>0</v>
      </c>
      <c r="F8074">
        <v>0</v>
      </c>
      <c r="G8074">
        <v>1</v>
      </c>
      <c r="H8074">
        <v>0</v>
      </c>
      <c r="I8074">
        <v>0</v>
      </c>
      <c r="J8074">
        <v>27367.115094108001</v>
      </c>
      <c r="K8074">
        <v>22586.348037208201</v>
      </c>
      <c r="L8074">
        <v>8.1300000000000008</v>
      </c>
      <c r="M8074">
        <v>76.77</v>
      </c>
      <c r="N8074">
        <v>11.843</v>
      </c>
    </row>
    <row r="8075" spans="1:14" x14ac:dyDescent="0.45">
      <c r="A8075">
        <v>2018</v>
      </c>
      <c r="B8075" t="s">
        <v>61</v>
      </c>
      <c r="C8075">
        <v>1</v>
      </c>
      <c r="D8075">
        <v>0</v>
      </c>
      <c r="E8075">
        <v>0</v>
      </c>
      <c r="F8075">
        <v>0</v>
      </c>
      <c r="G8075">
        <v>1</v>
      </c>
      <c r="H8075">
        <v>0</v>
      </c>
      <c r="I8075">
        <v>0</v>
      </c>
      <c r="J8075">
        <v>15037.045242071201</v>
      </c>
      <c r="K8075">
        <v>12737.899540550599</v>
      </c>
      <c r="L8075">
        <v>36.850999999999999</v>
      </c>
      <c r="M8075">
        <v>74.977999999999994</v>
      </c>
      <c r="N8075">
        <v>12.53</v>
      </c>
    </row>
    <row r="8076" spans="1:14" x14ac:dyDescent="0.45">
      <c r="A8076">
        <v>2018</v>
      </c>
      <c r="B8076" t="s">
        <v>62</v>
      </c>
      <c r="C8076">
        <v>0</v>
      </c>
      <c r="D8076">
        <v>0</v>
      </c>
      <c r="E8076">
        <v>0</v>
      </c>
      <c r="F8076">
        <v>0</v>
      </c>
      <c r="G8076">
        <v>1</v>
      </c>
      <c r="H8076">
        <v>0</v>
      </c>
      <c r="I8076">
        <v>0</v>
      </c>
      <c r="L8076">
        <v>12.847</v>
      </c>
      <c r="M8076">
        <v>72.793999999999997</v>
      </c>
      <c r="N8076">
        <v>10.988</v>
      </c>
    </row>
    <row r="8077" spans="1:14" x14ac:dyDescent="0.45">
      <c r="A8077">
        <v>2018</v>
      </c>
      <c r="B8077" t="s">
        <v>63</v>
      </c>
      <c r="C8077">
        <v>0</v>
      </c>
      <c r="D8077">
        <v>1</v>
      </c>
      <c r="E8077">
        <v>0</v>
      </c>
      <c r="F8077">
        <v>0</v>
      </c>
      <c r="G8077">
        <v>0</v>
      </c>
      <c r="H8077">
        <v>1</v>
      </c>
      <c r="I8077">
        <v>1</v>
      </c>
      <c r="J8077">
        <v>28878.606767547099</v>
      </c>
      <c r="K8077">
        <v>22744.699176726099</v>
      </c>
      <c r="L8077">
        <v>75.400999999999996</v>
      </c>
      <c r="M8077">
        <v>77.132000000000005</v>
      </c>
      <c r="N8077">
        <v>10.368</v>
      </c>
    </row>
    <row r="8078" spans="1:14" x14ac:dyDescent="0.45">
      <c r="A8078">
        <v>2018</v>
      </c>
      <c r="B8078" t="s">
        <v>64</v>
      </c>
      <c r="C8078">
        <v>0</v>
      </c>
      <c r="D8078">
        <v>0</v>
      </c>
      <c r="E8078">
        <v>0</v>
      </c>
      <c r="F8078">
        <v>0</v>
      </c>
      <c r="G8078">
        <v>0</v>
      </c>
      <c r="H8078">
        <v>1</v>
      </c>
      <c r="I8078">
        <v>1</v>
      </c>
      <c r="J8078">
        <v>57450.3810363952</v>
      </c>
      <c r="K8078">
        <v>49760.738934931003</v>
      </c>
      <c r="L8078">
        <v>13.988</v>
      </c>
      <c r="M8078">
        <v>83.257999999999996</v>
      </c>
      <c r="N8078">
        <v>3.6720000000000002</v>
      </c>
    </row>
    <row r="8079" spans="1:14" x14ac:dyDescent="0.45">
      <c r="A8079">
        <v>2018</v>
      </c>
      <c r="B8079" t="s">
        <v>65</v>
      </c>
      <c r="C8079">
        <v>1</v>
      </c>
      <c r="D8079">
        <v>0</v>
      </c>
      <c r="E8079">
        <v>0</v>
      </c>
      <c r="F8079">
        <v>0</v>
      </c>
      <c r="G8079">
        <v>0</v>
      </c>
      <c r="H8079">
        <v>1</v>
      </c>
      <c r="I8079">
        <v>1</v>
      </c>
      <c r="J8079">
        <v>63855.781680272303</v>
      </c>
      <c r="K8079">
        <v>54415.057745341001</v>
      </c>
      <c r="L8079">
        <v>41.703000000000003</v>
      </c>
      <c r="M8079">
        <v>81.686000000000007</v>
      </c>
      <c r="N8079">
        <v>3.1819999999999999</v>
      </c>
    </row>
    <row r="8080" spans="1:14" x14ac:dyDescent="0.45">
      <c r="A8080">
        <v>2018</v>
      </c>
      <c r="B8080" t="s">
        <v>66</v>
      </c>
      <c r="C8080">
        <v>1</v>
      </c>
      <c r="D8080">
        <v>0</v>
      </c>
      <c r="E8080">
        <v>0</v>
      </c>
      <c r="F8080">
        <v>0</v>
      </c>
      <c r="G8080">
        <v>1</v>
      </c>
      <c r="H8080">
        <v>0</v>
      </c>
      <c r="I8080">
        <v>0</v>
      </c>
      <c r="J8080">
        <v>19781.8509075611</v>
      </c>
      <c r="K8080">
        <v>14405.388240046999</v>
      </c>
      <c r="L8080">
        <v>44.32</v>
      </c>
      <c r="M8080">
        <v>73.016000000000005</v>
      </c>
      <c r="N8080">
        <v>22.367999999999999</v>
      </c>
    </row>
    <row r="8081" spans="1:14" x14ac:dyDescent="0.45">
      <c r="A8081">
        <v>2018</v>
      </c>
      <c r="B8081" t="s">
        <v>67</v>
      </c>
      <c r="C8081">
        <v>0</v>
      </c>
      <c r="D8081">
        <v>0</v>
      </c>
      <c r="E8081">
        <v>1</v>
      </c>
      <c r="F8081">
        <v>0</v>
      </c>
      <c r="G8081">
        <v>0</v>
      </c>
      <c r="H8081">
        <v>0</v>
      </c>
      <c r="I8081">
        <v>0</v>
      </c>
      <c r="J8081">
        <v>868.55550757939397</v>
      </c>
      <c r="K8081">
        <v>750.52163097292703</v>
      </c>
      <c r="L8081">
        <v>86.968000000000004</v>
      </c>
      <c r="M8081">
        <v>61.805999999999997</v>
      </c>
      <c r="N8081">
        <v>59.353999999999999</v>
      </c>
    </row>
    <row r="8082" spans="1:14" x14ac:dyDescent="0.45">
      <c r="A8082">
        <v>2018</v>
      </c>
      <c r="B8082" t="s">
        <v>68</v>
      </c>
      <c r="C8082">
        <v>1</v>
      </c>
      <c r="D8082">
        <v>0</v>
      </c>
      <c r="E8082">
        <v>0</v>
      </c>
      <c r="F8082">
        <v>0</v>
      </c>
      <c r="G8082">
        <v>0</v>
      </c>
      <c r="H8082">
        <v>1</v>
      </c>
      <c r="I8082">
        <v>1</v>
      </c>
      <c r="J8082">
        <v>59383.877328048802</v>
      </c>
      <c r="K8082">
        <v>49972.520115995001</v>
      </c>
      <c r="L8082">
        <v>1.9990000000000001</v>
      </c>
      <c r="M8082">
        <v>81.480999999999995</v>
      </c>
      <c r="N8082">
        <v>4.3550000000000004</v>
      </c>
    </row>
    <row r="8083" spans="1:14" x14ac:dyDescent="0.45">
      <c r="A8083">
        <v>2018</v>
      </c>
      <c r="B8083" t="s">
        <v>69</v>
      </c>
      <c r="C8083">
        <v>0</v>
      </c>
      <c r="D8083">
        <v>0</v>
      </c>
      <c r="E8083">
        <v>1</v>
      </c>
      <c r="F8083">
        <v>0</v>
      </c>
      <c r="G8083">
        <v>0</v>
      </c>
      <c r="H8083">
        <v>0</v>
      </c>
      <c r="I8083">
        <v>0</v>
      </c>
      <c r="J8083">
        <v>3155.4510650626999</v>
      </c>
      <c r="K8083">
        <v>2993.7401445184901</v>
      </c>
      <c r="L8083">
        <v>52.688000000000002</v>
      </c>
      <c r="M8083">
        <v>59.71</v>
      </c>
      <c r="N8083">
        <v>90.361000000000004</v>
      </c>
    </row>
    <row r="8084" spans="1:14" x14ac:dyDescent="0.45">
      <c r="A8084">
        <v>2018</v>
      </c>
      <c r="B8084" t="s">
        <v>70</v>
      </c>
      <c r="C8084">
        <v>0</v>
      </c>
      <c r="D8084">
        <v>0</v>
      </c>
      <c r="E8084">
        <v>1</v>
      </c>
      <c r="F8084">
        <v>0</v>
      </c>
      <c r="G8084">
        <v>0</v>
      </c>
      <c r="H8084">
        <v>0</v>
      </c>
      <c r="I8084">
        <v>0</v>
      </c>
      <c r="J8084">
        <v>2316.3943207904499</v>
      </c>
      <c r="K8084">
        <v>2119.3550717889302</v>
      </c>
      <c r="L8084">
        <v>70.641999999999996</v>
      </c>
      <c r="M8084">
        <v>59.972000000000001</v>
      </c>
      <c r="N8084">
        <v>90.682000000000002</v>
      </c>
    </row>
    <row r="8085" spans="1:14" x14ac:dyDescent="0.45">
      <c r="A8085">
        <v>2018</v>
      </c>
      <c r="B8085" t="s">
        <v>71</v>
      </c>
      <c r="C8085">
        <v>0</v>
      </c>
      <c r="D8085">
        <v>0</v>
      </c>
      <c r="E8085">
        <v>0</v>
      </c>
      <c r="F8085">
        <v>1</v>
      </c>
      <c r="G8085">
        <v>0</v>
      </c>
      <c r="H8085">
        <v>0</v>
      </c>
      <c r="I8085">
        <v>0</v>
      </c>
      <c r="J8085">
        <v>6392.59334024091</v>
      </c>
      <c r="K8085">
        <v>5197.1436413751699</v>
      </c>
      <c r="L8085">
        <v>63.368000000000002</v>
      </c>
      <c r="M8085">
        <v>72.122</v>
      </c>
      <c r="N8085">
        <v>33.716999999999999</v>
      </c>
    </row>
    <row r="8086" spans="1:14" x14ac:dyDescent="0.45">
      <c r="A8086">
        <v>2018</v>
      </c>
      <c r="B8086" t="s">
        <v>72</v>
      </c>
      <c r="C8086">
        <v>1</v>
      </c>
      <c r="D8086">
        <v>0</v>
      </c>
      <c r="E8086">
        <v>0</v>
      </c>
      <c r="F8086">
        <v>0</v>
      </c>
      <c r="G8086">
        <v>1</v>
      </c>
      <c r="H8086">
        <v>0</v>
      </c>
      <c r="I8086">
        <v>0</v>
      </c>
      <c r="J8086">
        <v>27739.501951586401</v>
      </c>
      <c r="K8086">
        <v>23018.224093431501</v>
      </c>
      <c r="L8086">
        <v>24.992000000000001</v>
      </c>
      <c r="M8086">
        <v>74.933000000000007</v>
      </c>
      <c r="N8086">
        <v>7.0609999999999999</v>
      </c>
    </row>
    <row r="8087" spans="1:14" x14ac:dyDescent="0.45">
      <c r="A8087">
        <v>2018</v>
      </c>
      <c r="B8087" t="s">
        <v>73</v>
      </c>
      <c r="C8087">
        <v>0</v>
      </c>
      <c r="D8087">
        <v>0</v>
      </c>
      <c r="E8087">
        <v>0</v>
      </c>
      <c r="F8087">
        <v>0</v>
      </c>
      <c r="G8087">
        <v>0</v>
      </c>
      <c r="H8087">
        <v>1</v>
      </c>
      <c r="I8087">
        <v>1</v>
      </c>
      <c r="J8087">
        <v>54893.072441136799</v>
      </c>
      <c r="K8087">
        <v>51147.292584274299</v>
      </c>
      <c r="L8087">
        <v>10.712999999999999</v>
      </c>
      <c r="M8087">
        <v>80.412000000000006</v>
      </c>
      <c r="N8087">
        <v>7.1379999999999999</v>
      </c>
    </row>
    <row r="8088" spans="1:14" x14ac:dyDescent="0.45">
      <c r="A8088">
        <v>2018</v>
      </c>
      <c r="B8088" t="s">
        <v>74</v>
      </c>
      <c r="C8088">
        <v>0</v>
      </c>
      <c r="D8088">
        <v>1</v>
      </c>
      <c r="E8088">
        <v>0</v>
      </c>
      <c r="F8088">
        <v>0</v>
      </c>
      <c r="G8088">
        <v>0</v>
      </c>
      <c r="H8088">
        <v>1</v>
      </c>
      <c r="I8088">
        <v>1</v>
      </c>
      <c r="J8088">
        <v>33650.236917332099</v>
      </c>
      <c r="K8088">
        <v>34904.919141222999</v>
      </c>
      <c r="L8088">
        <v>16.975000000000001</v>
      </c>
      <c r="M8088">
        <v>74.061999999999998</v>
      </c>
      <c r="N8088">
        <v>13.53</v>
      </c>
    </row>
    <row r="8089" spans="1:14" x14ac:dyDescent="0.45">
      <c r="A8089">
        <v>2018</v>
      </c>
      <c r="B8089" t="s">
        <v>75</v>
      </c>
      <c r="C8089">
        <v>1</v>
      </c>
      <c r="D8089">
        <v>0</v>
      </c>
      <c r="E8089">
        <v>0</v>
      </c>
      <c r="F8089">
        <v>0</v>
      </c>
      <c r="G8089">
        <v>1</v>
      </c>
      <c r="H8089">
        <v>0</v>
      </c>
      <c r="I8089">
        <v>0</v>
      </c>
      <c r="J8089">
        <v>16348.1334649869</v>
      </c>
      <c r="K8089">
        <v>14122.5196856565</v>
      </c>
      <c r="L8089">
        <v>51.755000000000003</v>
      </c>
      <c r="M8089">
        <v>77.941999999999993</v>
      </c>
      <c r="N8089">
        <v>6.28</v>
      </c>
    </row>
    <row r="8090" spans="1:14" x14ac:dyDescent="0.45">
      <c r="A8090">
        <v>2018</v>
      </c>
      <c r="B8090" t="s">
        <v>76</v>
      </c>
      <c r="C8090">
        <v>1</v>
      </c>
      <c r="D8090">
        <v>0</v>
      </c>
      <c r="E8090">
        <v>0</v>
      </c>
      <c r="F8090">
        <v>0</v>
      </c>
      <c r="G8090">
        <v>1</v>
      </c>
      <c r="H8090">
        <v>0</v>
      </c>
      <c r="I8090">
        <v>0</v>
      </c>
      <c r="J8090">
        <v>26363.4629821253</v>
      </c>
      <c r="K8090">
        <v>19034.290255714699</v>
      </c>
      <c r="L8090">
        <v>21.405000000000001</v>
      </c>
      <c r="M8090">
        <v>74.334000000000003</v>
      </c>
      <c r="N8090">
        <v>3.3519999999999999</v>
      </c>
    </row>
    <row r="8091" spans="1:14" x14ac:dyDescent="0.45">
      <c r="A8091">
        <v>2018</v>
      </c>
      <c r="B8091" t="s">
        <v>77</v>
      </c>
      <c r="C8091">
        <v>0</v>
      </c>
      <c r="D8091">
        <v>1</v>
      </c>
      <c r="E8091">
        <v>0</v>
      </c>
      <c r="F8091">
        <v>0</v>
      </c>
      <c r="G8091">
        <v>1</v>
      </c>
      <c r="H8091">
        <v>0</v>
      </c>
      <c r="I8091">
        <v>0</v>
      </c>
      <c r="J8091">
        <v>11486.8029426009</v>
      </c>
      <c r="K8091">
        <v>9052.6710278022692</v>
      </c>
      <c r="L8091">
        <v>54.276000000000003</v>
      </c>
      <c r="M8091">
        <v>72.322000000000003</v>
      </c>
      <c r="N8091">
        <v>13.484999999999999</v>
      </c>
    </row>
    <row r="8092" spans="1:14" x14ac:dyDescent="0.45">
      <c r="A8092">
        <v>2018</v>
      </c>
      <c r="B8092" t="s">
        <v>78</v>
      </c>
      <c r="C8092">
        <v>0</v>
      </c>
      <c r="D8092">
        <v>0</v>
      </c>
      <c r="E8092">
        <v>0</v>
      </c>
      <c r="F8092">
        <v>0</v>
      </c>
      <c r="G8092">
        <v>0</v>
      </c>
      <c r="H8092">
        <v>1</v>
      </c>
      <c r="I8092">
        <v>1</v>
      </c>
      <c r="J8092">
        <v>95639.226731058399</v>
      </c>
      <c r="K8092">
        <v>84972.002119742698</v>
      </c>
      <c r="L8092">
        <v>0</v>
      </c>
      <c r="M8092">
        <v>80.986000000000004</v>
      </c>
      <c r="N8092">
        <v>3.1779999999999999</v>
      </c>
    </row>
    <row r="8093" spans="1:14" x14ac:dyDescent="0.45">
      <c r="A8093">
        <v>2018</v>
      </c>
      <c r="B8093" t="s">
        <v>79</v>
      </c>
      <c r="C8093">
        <v>0</v>
      </c>
      <c r="D8093">
        <v>1</v>
      </c>
      <c r="E8093">
        <v>0</v>
      </c>
      <c r="F8093">
        <v>1</v>
      </c>
      <c r="G8093">
        <v>0</v>
      </c>
      <c r="H8093">
        <v>0</v>
      </c>
      <c r="I8093">
        <v>0</v>
      </c>
      <c r="J8093">
        <v>9907.0625666922206</v>
      </c>
      <c r="K8093">
        <v>8743.4801755645694</v>
      </c>
      <c r="L8093">
        <v>30.574999999999999</v>
      </c>
      <c r="M8093">
        <v>67.698999999999998</v>
      </c>
      <c r="N8093">
        <v>47.508000000000003</v>
      </c>
    </row>
    <row r="8094" spans="1:14" x14ac:dyDescent="0.45">
      <c r="A8094">
        <v>2018</v>
      </c>
      <c r="B8094" t="s">
        <v>80</v>
      </c>
      <c r="C8094">
        <v>0</v>
      </c>
      <c r="D8094">
        <v>1</v>
      </c>
      <c r="E8094">
        <v>0</v>
      </c>
      <c r="F8094">
        <v>0</v>
      </c>
      <c r="G8094">
        <v>1</v>
      </c>
      <c r="H8094">
        <v>0</v>
      </c>
      <c r="I8094">
        <v>0</v>
      </c>
      <c r="J8094">
        <v>17917.749212335901</v>
      </c>
      <c r="K8094">
        <v>14717.8029960063</v>
      </c>
      <c r="L8094">
        <v>13.430999999999999</v>
      </c>
      <c r="M8094">
        <v>75.632999999999996</v>
      </c>
      <c r="N8094">
        <v>15.105</v>
      </c>
    </row>
    <row r="8095" spans="1:14" x14ac:dyDescent="0.45">
      <c r="A8095">
        <v>2018</v>
      </c>
      <c r="B8095" t="s">
        <v>81</v>
      </c>
      <c r="C8095">
        <v>0</v>
      </c>
      <c r="D8095">
        <v>1</v>
      </c>
      <c r="E8095">
        <v>0</v>
      </c>
      <c r="F8095">
        <v>0</v>
      </c>
      <c r="G8095">
        <v>0</v>
      </c>
      <c r="H8095">
        <v>1</v>
      </c>
      <c r="I8095">
        <v>1</v>
      </c>
      <c r="J8095">
        <v>18484.697638159902</v>
      </c>
      <c r="K8095">
        <v>17654.7267552126</v>
      </c>
      <c r="L8095">
        <v>68.852999999999994</v>
      </c>
      <c r="M8095">
        <v>76.378</v>
      </c>
      <c r="N8095">
        <v>12.317</v>
      </c>
    </row>
    <row r="8096" spans="1:14" x14ac:dyDescent="0.45">
      <c r="A8096">
        <v>2018</v>
      </c>
      <c r="B8096" t="s">
        <v>82</v>
      </c>
      <c r="C8096">
        <v>0</v>
      </c>
      <c r="D8096">
        <v>0</v>
      </c>
      <c r="E8096">
        <v>0</v>
      </c>
      <c r="F8096">
        <v>0</v>
      </c>
      <c r="G8096">
        <v>0</v>
      </c>
      <c r="H8096">
        <v>1</v>
      </c>
      <c r="I8096">
        <v>1</v>
      </c>
      <c r="J8096">
        <v>78099.050772200804</v>
      </c>
      <c r="K8096">
        <v>60980.088239039302</v>
      </c>
      <c r="L8096">
        <v>22.370999999999999</v>
      </c>
      <c r="M8096">
        <v>74.992000000000004</v>
      </c>
      <c r="N8096">
        <v>9.8629999999999995</v>
      </c>
    </row>
    <row r="8097" spans="1:14" x14ac:dyDescent="0.45">
      <c r="A8097">
        <v>2018</v>
      </c>
      <c r="B8097" t="s">
        <v>83</v>
      </c>
      <c r="C8097">
        <v>0</v>
      </c>
      <c r="D8097">
        <v>0</v>
      </c>
      <c r="E8097">
        <v>0</v>
      </c>
      <c r="F8097">
        <v>1</v>
      </c>
      <c r="G8097">
        <v>0</v>
      </c>
      <c r="H8097">
        <v>0</v>
      </c>
      <c r="I8097">
        <v>0</v>
      </c>
      <c r="J8097">
        <v>13854.854397715801</v>
      </c>
      <c r="K8097">
        <v>12000.056007053399</v>
      </c>
      <c r="L8097">
        <v>59.104999999999997</v>
      </c>
      <c r="M8097">
        <v>71.710999999999999</v>
      </c>
      <c r="N8097">
        <v>27.079000000000001</v>
      </c>
    </row>
    <row r="8098" spans="1:14" x14ac:dyDescent="0.45">
      <c r="A8098">
        <v>2018</v>
      </c>
      <c r="B8098" t="s">
        <v>84</v>
      </c>
      <c r="C8098">
        <v>0</v>
      </c>
      <c r="D8098">
        <v>0</v>
      </c>
      <c r="E8098">
        <v>1</v>
      </c>
      <c r="F8098">
        <v>0</v>
      </c>
      <c r="G8098">
        <v>1</v>
      </c>
      <c r="H8098">
        <v>0</v>
      </c>
      <c r="I8098">
        <v>0</v>
      </c>
      <c r="J8098">
        <v>17825.018570040302</v>
      </c>
      <c r="K8098">
        <v>16127.8350052321</v>
      </c>
      <c r="L8098">
        <v>30.553999999999998</v>
      </c>
      <c r="M8098">
        <v>66.370999999999995</v>
      </c>
      <c r="N8098">
        <v>43.948999999999998</v>
      </c>
    </row>
    <row r="8099" spans="1:14" x14ac:dyDescent="0.45">
      <c r="A8099">
        <v>2018</v>
      </c>
      <c r="B8099" t="s">
        <v>85</v>
      </c>
      <c r="C8099">
        <v>0</v>
      </c>
      <c r="D8099">
        <v>0</v>
      </c>
      <c r="E8099">
        <v>1</v>
      </c>
      <c r="F8099">
        <v>0</v>
      </c>
      <c r="G8099">
        <v>0</v>
      </c>
      <c r="H8099">
        <v>0</v>
      </c>
      <c r="I8099">
        <v>0</v>
      </c>
      <c r="J8099">
        <v>1125.7009174822799</v>
      </c>
      <c r="K8099">
        <v>901.29280403243399</v>
      </c>
      <c r="L8099">
        <v>58.636000000000003</v>
      </c>
      <c r="M8099">
        <v>52.296999999999997</v>
      </c>
      <c r="N8099">
        <v>119.249</v>
      </c>
    </row>
    <row r="8100" spans="1:14" x14ac:dyDescent="0.45">
      <c r="A8100">
        <v>2018</v>
      </c>
      <c r="B8100" t="s">
        <v>86</v>
      </c>
      <c r="C8100">
        <v>0</v>
      </c>
      <c r="D8100">
        <v>0</v>
      </c>
      <c r="E8100">
        <v>0</v>
      </c>
      <c r="F8100">
        <v>0</v>
      </c>
      <c r="G8100">
        <v>0</v>
      </c>
      <c r="H8100">
        <v>1</v>
      </c>
      <c r="I8100">
        <v>1</v>
      </c>
      <c r="J8100">
        <v>57337.490909999098</v>
      </c>
      <c r="K8100">
        <v>49632.282531667101</v>
      </c>
      <c r="L8100">
        <v>18.588999999999999</v>
      </c>
      <c r="M8100">
        <v>81.924999999999997</v>
      </c>
      <c r="N8100">
        <v>5.4139999999999997</v>
      </c>
    </row>
    <row r="8101" spans="1:14" x14ac:dyDescent="0.45">
      <c r="A8101">
        <v>2018</v>
      </c>
      <c r="B8101" t="s">
        <v>87</v>
      </c>
      <c r="C8101">
        <v>1</v>
      </c>
      <c r="D8101">
        <v>0</v>
      </c>
      <c r="E8101">
        <v>0</v>
      </c>
      <c r="F8101">
        <v>0</v>
      </c>
      <c r="G8101">
        <v>0</v>
      </c>
      <c r="H8101">
        <v>1</v>
      </c>
      <c r="I8101">
        <v>1</v>
      </c>
      <c r="J8101">
        <v>79261.356364128806</v>
      </c>
      <c r="K8101">
        <v>68954.756608617594</v>
      </c>
      <c r="L8101">
        <v>26.202999999999999</v>
      </c>
      <c r="M8101">
        <v>83.563999999999993</v>
      </c>
      <c r="N8101">
        <v>3.9550000000000001</v>
      </c>
    </row>
    <row r="8102" spans="1:14" x14ac:dyDescent="0.45">
      <c r="A8102">
        <v>2018</v>
      </c>
      <c r="B8102" t="s">
        <v>88</v>
      </c>
      <c r="C8102">
        <v>1</v>
      </c>
      <c r="D8102">
        <v>0</v>
      </c>
      <c r="E8102">
        <v>0</v>
      </c>
      <c r="F8102">
        <v>0</v>
      </c>
      <c r="G8102">
        <v>0</v>
      </c>
      <c r="H8102">
        <v>1</v>
      </c>
      <c r="I8102">
        <v>1</v>
      </c>
      <c r="L8102">
        <v>69.085999999999999</v>
      </c>
      <c r="M8102">
        <v>81.056240753202502</v>
      </c>
      <c r="N8102">
        <v>8.6798390775330496</v>
      </c>
    </row>
    <row r="8103" spans="1:14" x14ac:dyDescent="0.45">
      <c r="A8103">
        <v>2018</v>
      </c>
      <c r="B8103" t="s">
        <v>89</v>
      </c>
      <c r="C8103">
        <v>0</v>
      </c>
      <c r="D8103">
        <v>1</v>
      </c>
      <c r="E8103">
        <v>0</v>
      </c>
      <c r="F8103">
        <v>0</v>
      </c>
      <c r="G8103">
        <v>0</v>
      </c>
      <c r="H8103">
        <v>1</v>
      </c>
      <c r="I8103">
        <v>1</v>
      </c>
      <c r="J8103">
        <v>28492.661145651498</v>
      </c>
      <c r="K8103">
        <v>24819.442746058299</v>
      </c>
      <c r="L8103">
        <v>12.436</v>
      </c>
      <c r="M8103">
        <v>80.558999999999997</v>
      </c>
      <c r="N8103">
        <v>7.234</v>
      </c>
    </row>
    <row r="8104" spans="1:14" x14ac:dyDescent="0.45">
      <c r="A8104">
        <v>2018</v>
      </c>
      <c r="B8104" t="s">
        <v>90</v>
      </c>
      <c r="C8104">
        <v>0</v>
      </c>
      <c r="D8104">
        <v>0</v>
      </c>
      <c r="E8104">
        <v>0</v>
      </c>
      <c r="F8104">
        <v>0</v>
      </c>
      <c r="G8104">
        <v>1</v>
      </c>
      <c r="H8104">
        <v>0</v>
      </c>
      <c r="I8104">
        <v>0</v>
      </c>
      <c r="J8104">
        <v>17806.790234972501</v>
      </c>
      <c r="K8104">
        <v>15962.6344629592</v>
      </c>
      <c r="L8104">
        <v>40.847999999999999</v>
      </c>
      <c r="M8104">
        <v>77.709000000000003</v>
      </c>
      <c r="N8104">
        <v>8.69</v>
      </c>
    </row>
    <row r="8105" spans="1:14" x14ac:dyDescent="0.45">
      <c r="A8105">
        <v>2018</v>
      </c>
      <c r="B8105" t="s">
        <v>91</v>
      </c>
      <c r="C8105">
        <v>0</v>
      </c>
      <c r="D8105">
        <v>0</v>
      </c>
      <c r="E8105">
        <v>1</v>
      </c>
      <c r="F8105">
        <v>1</v>
      </c>
      <c r="G8105">
        <v>0</v>
      </c>
      <c r="H8105">
        <v>0</v>
      </c>
      <c r="I8105">
        <v>0</v>
      </c>
      <c r="J8105">
        <v>5670.2000535668803</v>
      </c>
      <c r="K8105">
        <v>4786.4839085725898</v>
      </c>
      <c r="L8105">
        <v>49.220999999999997</v>
      </c>
      <c r="M8105">
        <v>59.795000000000002</v>
      </c>
      <c r="N8105">
        <v>78.668999999999997</v>
      </c>
    </row>
    <row r="8106" spans="1:14" x14ac:dyDescent="0.45">
      <c r="A8106">
        <v>2018</v>
      </c>
      <c r="B8106" t="s">
        <v>92</v>
      </c>
      <c r="C8106">
        <v>0</v>
      </c>
      <c r="D8106">
        <v>0</v>
      </c>
      <c r="E8106">
        <v>1</v>
      </c>
      <c r="F8106">
        <v>1</v>
      </c>
      <c r="G8106">
        <v>0</v>
      </c>
      <c r="H8106">
        <v>0</v>
      </c>
      <c r="I8106">
        <v>0</v>
      </c>
      <c r="J8106">
        <v>4851.48003949961</v>
      </c>
      <c r="K8106">
        <v>3809.4430853122699</v>
      </c>
      <c r="L8106">
        <v>43.625999999999998</v>
      </c>
      <c r="M8106">
        <v>61.189</v>
      </c>
      <c r="N8106">
        <v>80.058000000000007</v>
      </c>
    </row>
    <row r="8107" spans="1:14" x14ac:dyDescent="0.45">
      <c r="A8107">
        <v>2018</v>
      </c>
      <c r="B8107" t="s">
        <v>93</v>
      </c>
      <c r="C8107">
        <v>0</v>
      </c>
      <c r="D8107">
        <v>0</v>
      </c>
      <c r="E8107">
        <v>1</v>
      </c>
      <c r="F8107">
        <v>0</v>
      </c>
      <c r="G8107">
        <v>0</v>
      </c>
      <c r="H8107">
        <v>0</v>
      </c>
      <c r="I8107">
        <v>0</v>
      </c>
      <c r="J8107">
        <v>1282.4822789662601</v>
      </c>
      <c r="K8107">
        <v>1026.7098042953101</v>
      </c>
      <c r="L8107">
        <v>55.54</v>
      </c>
      <c r="M8107">
        <v>59.926000000000002</v>
      </c>
      <c r="N8107">
        <v>86.515000000000001</v>
      </c>
    </row>
    <row r="8108" spans="1:14" x14ac:dyDescent="0.45">
      <c r="A8108">
        <v>2018</v>
      </c>
      <c r="B8108" t="s">
        <v>94</v>
      </c>
      <c r="C8108">
        <v>0</v>
      </c>
      <c r="D8108">
        <v>0</v>
      </c>
      <c r="E8108">
        <v>1</v>
      </c>
      <c r="F8108">
        <v>1</v>
      </c>
      <c r="G8108">
        <v>0</v>
      </c>
      <c r="H8108">
        <v>0</v>
      </c>
      <c r="I8108">
        <v>0</v>
      </c>
      <c r="J8108">
        <v>7029.3365156625696</v>
      </c>
      <c r="K8108">
        <v>4237.6018596569902</v>
      </c>
      <c r="L8108">
        <v>33.084000000000003</v>
      </c>
      <c r="M8108">
        <v>64.471999999999994</v>
      </c>
      <c r="N8108">
        <v>46.484000000000002</v>
      </c>
    </row>
    <row r="8109" spans="1:14" x14ac:dyDescent="0.45">
      <c r="A8109">
        <v>2018</v>
      </c>
      <c r="B8109" t="s">
        <v>95</v>
      </c>
      <c r="C8109">
        <v>0</v>
      </c>
      <c r="D8109">
        <v>1</v>
      </c>
      <c r="E8109">
        <v>0</v>
      </c>
      <c r="F8109">
        <v>0</v>
      </c>
      <c r="G8109">
        <v>1</v>
      </c>
      <c r="H8109">
        <v>0</v>
      </c>
      <c r="I8109">
        <v>0</v>
      </c>
      <c r="J8109">
        <v>17104.131354567799</v>
      </c>
      <c r="K8109">
        <v>14241.0619938419</v>
      </c>
      <c r="L8109">
        <v>19.222000000000001</v>
      </c>
      <c r="M8109">
        <v>76.578999999999994</v>
      </c>
      <c r="N8109">
        <v>14.143000000000001</v>
      </c>
    </row>
    <row r="8110" spans="1:14" x14ac:dyDescent="0.45">
      <c r="A8110">
        <v>2018</v>
      </c>
      <c r="B8110" t="s">
        <v>96</v>
      </c>
      <c r="C8110">
        <v>0</v>
      </c>
      <c r="D8110">
        <v>0</v>
      </c>
      <c r="E8110">
        <v>1</v>
      </c>
      <c r="F8110">
        <v>1</v>
      </c>
      <c r="G8110">
        <v>0</v>
      </c>
      <c r="H8110">
        <v>0</v>
      </c>
      <c r="I8110">
        <v>0</v>
      </c>
      <c r="J8110">
        <v>3303.2568870898399</v>
      </c>
      <c r="K8110">
        <v>3415.9891872087101</v>
      </c>
      <c r="L8110">
        <v>71.034999999999997</v>
      </c>
      <c r="M8110">
        <v>65.400999999999996</v>
      </c>
      <c r="N8110">
        <v>55.082999999999998</v>
      </c>
    </row>
    <row r="8111" spans="1:14" x14ac:dyDescent="0.45">
      <c r="A8111">
        <v>2018</v>
      </c>
      <c r="B8111" t="s">
        <v>97</v>
      </c>
      <c r="C8111">
        <v>0</v>
      </c>
      <c r="D8111">
        <v>0</v>
      </c>
      <c r="E8111">
        <v>1</v>
      </c>
      <c r="F8111">
        <v>1</v>
      </c>
      <c r="G8111">
        <v>0</v>
      </c>
      <c r="H8111">
        <v>0</v>
      </c>
      <c r="I8111">
        <v>0</v>
      </c>
      <c r="J8111">
        <v>8531.1296164654905</v>
      </c>
      <c r="K8111">
        <v>8221.5699554514795</v>
      </c>
      <c r="L8111">
        <v>34.268000000000001</v>
      </c>
      <c r="M8111">
        <v>74.84</v>
      </c>
      <c r="N8111">
        <v>15.083</v>
      </c>
    </row>
    <row r="8112" spans="1:14" x14ac:dyDescent="0.45">
      <c r="A8112">
        <v>2018</v>
      </c>
      <c r="B8112" t="s">
        <v>98</v>
      </c>
      <c r="C8112">
        <v>0</v>
      </c>
      <c r="D8112">
        <v>1</v>
      </c>
      <c r="E8112">
        <v>0</v>
      </c>
      <c r="F8112">
        <v>0</v>
      </c>
      <c r="G8112">
        <v>1</v>
      </c>
      <c r="H8112">
        <v>0</v>
      </c>
      <c r="I8112">
        <v>0</v>
      </c>
      <c r="J8112">
        <v>23005.312147193399</v>
      </c>
      <c r="K8112">
        <v>20597.908420935099</v>
      </c>
      <c r="L8112">
        <v>20.66</v>
      </c>
      <c r="M8112">
        <v>80.09</v>
      </c>
      <c r="N8112">
        <v>8.4550000000000001</v>
      </c>
    </row>
    <row r="8113" spans="1:14" x14ac:dyDescent="0.45">
      <c r="A8113">
        <v>2018</v>
      </c>
      <c r="B8113" t="s">
        <v>99</v>
      </c>
      <c r="C8113">
        <v>0</v>
      </c>
      <c r="D8113">
        <v>1</v>
      </c>
      <c r="E8113">
        <v>0</v>
      </c>
      <c r="F8113">
        <v>0</v>
      </c>
      <c r="G8113">
        <v>1</v>
      </c>
      <c r="H8113">
        <v>0</v>
      </c>
      <c r="I8113">
        <v>0</v>
      </c>
      <c r="L8113">
        <v>22.963000000000001</v>
      </c>
      <c r="M8113">
        <v>77.426000000000002</v>
      </c>
      <c r="N8113">
        <v>6.7649999999999997</v>
      </c>
    </row>
    <row r="8114" spans="1:14" x14ac:dyDescent="0.45">
      <c r="A8114">
        <v>2018</v>
      </c>
      <c r="B8114" t="s">
        <v>100</v>
      </c>
      <c r="C8114">
        <v>0</v>
      </c>
      <c r="D8114">
        <v>1</v>
      </c>
      <c r="E8114">
        <v>0</v>
      </c>
      <c r="F8114">
        <v>0</v>
      </c>
      <c r="G8114">
        <v>0</v>
      </c>
      <c r="H8114">
        <v>1</v>
      </c>
      <c r="I8114">
        <v>1</v>
      </c>
      <c r="J8114">
        <v>29256.815406641999</v>
      </c>
      <c r="K8114">
        <v>23935.363639595202</v>
      </c>
      <c r="L8114">
        <v>10.855</v>
      </c>
      <c r="M8114">
        <v>76.492999999999995</v>
      </c>
      <c r="N8114">
        <v>10.792</v>
      </c>
    </row>
    <row r="8115" spans="1:14" x14ac:dyDescent="0.45">
      <c r="A8115">
        <v>2018</v>
      </c>
      <c r="B8115" t="s">
        <v>101</v>
      </c>
      <c r="C8115">
        <v>0</v>
      </c>
      <c r="D8115">
        <v>1</v>
      </c>
      <c r="E8115">
        <v>0</v>
      </c>
      <c r="F8115">
        <v>0</v>
      </c>
      <c r="G8115">
        <v>0</v>
      </c>
      <c r="H8115">
        <v>1</v>
      </c>
      <c r="I8115">
        <v>1</v>
      </c>
      <c r="J8115">
        <v>76088.895062228505</v>
      </c>
      <c r="K8115">
        <v>69408.006413855095</v>
      </c>
      <c r="L8115">
        <v>0</v>
      </c>
      <c r="M8115">
        <v>78.834999999999994</v>
      </c>
      <c r="N8115">
        <v>2.46</v>
      </c>
    </row>
    <row r="8116" spans="1:14" x14ac:dyDescent="0.45">
      <c r="A8116">
        <v>2018</v>
      </c>
      <c r="B8116" t="s">
        <v>102</v>
      </c>
      <c r="C8116">
        <v>1</v>
      </c>
      <c r="D8116">
        <v>0</v>
      </c>
      <c r="E8116">
        <v>0</v>
      </c>
      <c r="F8116">
        <v>0</v>
      </c>
      <c r="G8116">
        <v>0</v>
      </c>
      <c r="H8116">
        <v>1</v>
      </c>
      <c r="I8116">
        <v>1</v>
      </c>
      <c r="J8116">
        <v>44227.91015625</v>
      </c>
      <c r="K8116">
        <v>39400.086673466103</v>
      </c>
      <c r="L8116">
        <v>33.19</v>
      </c>
      <c r="M8116">
        <v>81.555999999999997</v>
      </c>
      <c r="N8116">
        <v>3.165</v>
      </c>
    </row>
    <row r="8117" spans="1:14" x14ac:dyDescent="0.45">
      <c r="A8117">
        <v>2018</v>
      </c>
      <c r="B8117" t="s">
        <v>103</v>
      </c>
      <c r="C8117">
        <v>1</v>
      </c>
      <c r="D8117">
        <v>0</v>
      </c>
      <c r="E8117">
        <v>0</v>
      </c>
      <c r="F8117">
        <v>0</v>
      </c>
      <c r="G8117">
        <v>0</v>
      </c>
      <c r="H8117">
        <v>1</v>
      </c>
      <c r="I8117">
        <v>1</v>
      </c>
      <c r="J8117">
        <v>46301.082036029002</v>
      </c>
      <c r="K8117">
        <v>38550.398646184898</v>
      </c>
      <c r="L8117">
        <v>26.207999999999998</v>
      </c>
      <c r="M8117">
        <v>78.960999999999999</v>
      </c>
      <c r="N8117">
        <v>3.1779999999999999</v>
      </c>
    </row>
    <row r="8118" spans="1:14" x14ac:dyDescent="0.45">
      <c r="A8118">
        <v>2018</v>
      </c>
      <c r="B8118" t="s">
        <v>104</v>
      </c>
      <c r="C8118">
        <v>1</v>
      </c>
      <c r="D8118">
        <v>0</v>
      </c>
      <c r="E8118">
        <v>0</v>
      </c>
      <c r="F8118">
        <v>0</v>
      </c>
      <c r="G8118">
        <v>0</v>
      </c>
      <c r="H8118">
        <v>1</v>
      </c>
      <c r="I8118">
        <v>1</v>
      </c>
      <c r="J8118">
        <v>62495.498945314597</v>
      </c>
      <c r="K8118">
        <v>54186.855666816598</v>
      </c>
      <c r="L8118">
        <v>22.687999999999999</v>
      </c>
      <c r="M8118">
        <v>80.875</v>
      </c>
      <c r="N8118">
        <v>3.802</v>
      </c>
    </row>
    <row r="8119" spans="1:14" x14ac:dyDescent="0.45">
      <c r="A8119">
        <v>2018</v>
      </c>
      <c r="B8119" t="s">
        <v>105</v>
      </c>
      <c r="C8119">
        <v>0</v>
      </c>
      <c r="D8119">
        <v>0</v>
      </c>
      <c r="E8119">
        <v>0</v>
      </c>
      <c r="F8119">
        <v>1</v>
      </c>
      <c r="G8119">
        <v>0</v>
      </c>
      <c r="H8119">
        <v>0</v>
      </c>
      <c r="I8119">
        <v>0</v>
      </c>
      <c r="J8119">
        <v>5590.5042660485296</v>
      </c>
      <c r="K8119">
        <v>4822.0941798807198</v>
      </c>
      <c r="L8119">
        <v>22.222999999999999</v>
      </c>
      <c r="M8119">
        <v>64.105000000000004</v>
      </c>
      <c r="N8119">
        <v>59.220999999999997</v>
      </c>
    </row>
    <row r="8120" spans="1:14" x14ac:dyDescent="0.45">
      <c r="A8120">
        <v>2018</v>
      </c>
      <c r="B8120" t="s">
        <v>106</v>
      </c>
      <c r="C8120">
        <v>0</v>
      </c>
      <c r="D8120">
        <v>1</v>
      </c>
      <c r="E8120">
        <v>0</v>
      </c>
      <c r="F8120">
        <v>0</v>
      </c>
      <c r="G8120">
        <v>1</v>
      </c>
      <c r="H8120">
        <v>0</v>
      </c>
      <c r="I8120">
        <v>0</v>
      </c>
      <c r="J8120">
        <v>16877.124488064201</v>
      </c>
      <c r="K8120">
        <v>13134.256411877001</v>
      </c>
      <c r="L8120">
        <v>29.516999999999999</v>
      </c>
      <c r="M8120">
        <v>71.378</v>
      </c>
      <c r="N8120">
        <v>29.32</v>
      </c>
    </row>
    <row r="8121" spans="1:14" x14ac:dyDescent="0.45">
      <c r="A8121">
        <v>2018</v>
      </c>
      <c r="B8121" t="s">
        <v>107</v>
      </c>
      <c r="C8121">
        <v>1</v>
      </c>
      <c r="D8121">
        <v>0</v>
      </c>
      <c r="E8121">
        <v>0</v>
      </c>
      <c r="F8121">
        <v>0</v>
      </c>
      <c r="G8121">
        <v>0</v>
      </c>
      <c r="H8121">
        <v>1</v>
      </c>
      <c r="I8121">
        <v>1</v>
      </c>
      <c r="J8121">
        <v>65694.759132728199</v>
      </c>
      <c r="K8121">
        <v>55521.734414637198</v>
      </c>
      <c r="L8121">
        <v>12.125999999999999</v>
      </c>
      <c r="M8121">
        <v>80.991</v>
      </c>
      <c r="N8121">
        <v>4.0919999999999996</v>
      </c>
    </row>
    <row r="8122" spans="1:14" x14ac:dyDescent="0.45">
      <c r="A8122">
        <v>2018</v>
      </c>
      <c r="B8122" t="s">
        <v>108</v>
      </c>
      <c r="C8122">
        <v>0</v>
      </c>
      <c r="D8122">
        <v>1</v>
      </c>
      <c r="E8122">
        <v>0</v>
      </c>
      <c r="F8122">
        <v>0</v>
      </c>
      <c r="G8122">
        <v>1</v>
      </c>
      <c r="H8122">
        <v>0</v>
      </c>
      <c r="I8122">
        <v>0</v>
      </c>
      <c r="J8122">
        <v>20662.848586152999</v>
      </c>
      <c r="K8122">
        <v>17849.085115462</v>
      </c>
      <c r="L8122">
        <v>18.925999999999998</v>
      </c>
      <c r="M8122">
        <v>73.555000000000007</v>
      </c>
      <c r="N8122">
        <v>34.386000000000003</v>
      </c>
    </row>
    <row r="8123" spans="1:14" x14ac:dyDescent="0.45">
      <c r="A8123">
        <v>2018</v>
      </c>
      <c r="B8123" t="s">
        <v>109</v>
      </c>
      <c r="C8123">
        <v>0</v>
      </c>
      <c r="D8123">
        <v>0</v>
      </c>
      <c r="E8123">
        <v>0</v>
      </c>
      <c r="F8123">
        <v>0</v>
      </c>
      <c r="G8123">
        <v>1</v>
      </c>
      <c r="H8123">
        <v>0</v>
      </c>
      <c r="I8123">
        <v>0</v>
      </c>
      <c r="J8123">
        <v>15343.4261222434</v>
      </c>
      <c r="K8123">
        <v>13419.8840470667</v>
      </c>
      <c r="L8123">
        <v>27.370999999999999</v>
      </c>
      <c r="M8123">
        <v>75.555000000000007</v>
      </c>
      <c r="N8123">
        <v>23.888999999999999</v>
      </c>
    </row>
    <row r="8124" spans="1:14" x14ac:dyDescent="0.45">
      <c r="A8124">
        <v>2018</v>
      </c>
      <c r="B8124" t="s">
        <v>110</v>
      </c>
      <c r="C8124">
        <v>0</v>
      </c>
      <c r="D8124">
        <v>1</v>
      </c>
      <c r="E8124">
        <v>0</v>
      </c>
      <c r="F8124">
        <v>0</v>
      </c>
      <c r="G8124">
        <v>1</v>
      </c>
      <c r="H8124">
        <v>0</v>
      </c>
      <c r="I8124">
        <v>0</v>
      </c>
      <c r="J8124">
        <v>14083.506998230399</v>
      </c>
      <c r="K8124">
        <v>11713.9256267735</v>
      </c>
      <c r="L8124">
        <v>36.179000000000002</v>
      </c>
      <c r="M8124">
        <v>77.248000000000005</v>
      </c>
      <c r="N8124">
        <v>13.875</v>
      </c>
    </row>
    <row r="8125" spans="1:14" x14ac:dyDescent="0.45">
      <c r="A8125">
        <v>2018</v>
      </c>
      <c r="B8125" t="s">
        <v>111</v>
      </c>
      <c r="C8125">
        <v>0</v>
      </c>
      <c r="D8125">
        <v>0</v>
      </c>
      <c r="E8125">
        <v>0</v>
      </c>
      <c r="F8125">
        <v>1</v>
      </c>
      <c r="G8125">
        <v>0</v>
      </c>
      <c r="H8125">
        <v>0</v>
      </c>
      <c r="I8125">
        <v>0</v>
      </c>
      <c r="J8125">
        <v>14488.2094340483</v>
      </c>
      <c r="K8125">
        <v>11497.598900429</v>
      </c>
      <c r="L8125">
        <v>57.295999999999999</v>
      </c>
      <c r="M8125">
        <v>70.974000000000004</v>
      </c>
      <c r="N8125">
        <v>20.837</v>
      </c>
    </row>
    <row r="8126" spans="1:14" x14ac:dyDescent="0.45">
      <c r="A8126">
        <v>2018</v>
      </c>
      <c r="B8126" t="s">
        <v>112</v>
      </c>
      <c r="C8126">
        <v>0</v>
      </c>
      <c r="D8126">
        <v>0</v>
      </c>
      <c r="E8126">
        <v>1</v>
      </c>
      <c r="F8126">
        <v>0</v>
      </c>
      <c r="G8126">
        <v>0</v>
      </c>
      <c r="H8126">
        <v>0</v>
      </c>
      <c r="I8126">
        <v>0</v>
      </c>
      <c r="L8126">
        <v>59.92</v>
      </c>
      <c r="M8126">
        <v>66.978999999999999</v>
      </c>
      <c r="N8126">
        <v>41.945999999999998</v>
      </c>
    </row>
    <row r="8127" spans="1:14" x14ac:dyDescent="0.45">
      <c r="A8127">
        <v>2018</v>
      </c>
      <c r="B8127" t="s">
        <v>113</v>
      </c>
      <c r="C8127">
        <v>1</v>
      </c>
      <c r="D8127">
        <v>0</v>
      </c>
      <c r="E8127">
        <v>0</v>
      </c>
      <c r="F8127">
        <v>0</v>
      </c>
      <c r="G8127">
        <v>0</v>
      </c>
      <c r="H8127">
        <v>1</v>
      </c>
      <c r="I8127">
        <v>1</v>
      </c>
      <c r="J8127">
        <v>46325.209944114104</v>
      </c>
      <c r="K8127">
        <v>40767.416821208302</v>
      </c>
      <c r="L8127">
        <v>19.678999999999998</v>
      </c>
      <c r="M8127">
        <v>83.096000000000004</v>
      </c>
      <c r="N8127">
        <v>3.145</v>
      </c>
    </row>
    <row r="8128" spans="1:14" x14ac:dyDescent="0.45">
      <c r="A8128">
        <v>2018</v>
      </c>
      <c r="B8128" t="s">
        <v>114</v>
      </c>
      <c r="C8128">
        <v>1</v>
      </c>
      <c r="D8128">
        <v>0</v>
      </c>
      <c r="E8128">
        <v>0</v>
      </c>
      <c r="F8128">
        <v>0</v>
      </c>
      <c r="G8128">
        <v>0</v>
      </c>
      <c r="H8128">
        <v>1</v>
      </c>
      <c r="I8128">
        <v>1</v>
      </c>
      <c r="J8128">
        <v>41273.199550525402</v>
      </c>
      <c r="K8128">
        <v>35016.424984443402</v>
      </c>
      <c r="L8128">
        <v>31.12</v>
      </c>
      <c r="M8128">
        <v>78.334000000000003</v>
      </c>
      <c r="N8128">
        <v>2.63</v>
      </c>
    </row>
    <row r="8129" spans="1:14" x14ac:dyDescent="0.45">
      <c r="A8129">
        <v>2018</v>
      </c>
      <c r="B8129" t="s">
        <v>115</v>
      </c>
      <c r="C8129">
        <v>0</v>
      </c>
      <c r="D8129">
        <v>0</v>
      </c>
      <c r="E8129">
        <v>1</v>
      </c>
      <c r="F8129">
        <v>0</v>
      </c>
      <c r="G8129">
        <v>0</v>
      </c>
      <c r="H8129">
        <v>0</v>
      </c>
      <c r="I8129">
        <v>0</v>
      </c>
      <c r="J8129">
        <v>2311.1651165960602</v>
      </c>
      <c r="K8129">
        <v>2084.4176381407301</v>
      </c>
      <c r="L8129">
        <v>79.236999999999995</v>
      </c>
      <c r="M8129">
        <v>65.257000000000005</v>
      </c>
      <c r="N8129">
        <v>54.802999999999997</v>
      </c>
    </row>
    <row r="8130" spans="1:14" x14ac:dyDescent="0.45">
      <c r="A8130">
        <v>2018</v>
      </c>
      <c r="B8130" t="s">
        <v>116</v>
      </c>
      <c r="C8130">
        <v>1</v>
      </c>
      <c r="D8130">
        <v>0</v>
      </c>
      <c r="E8130">
        <v>0</v>
      </c>
      <c r="F8130">
        <v>0</v>
      </c>
      <c r="G8130">
        <v>0</v>
      </c>
      <c r="H8130">
        <v>1</v>
      </c>
      <c r="I8130">
        <v>1</v>
      </c>
      <c r="J8130">
        <v>56226.337241342997</v>
      </c>
      <c r="K8130">
        <v>47268.5152925363</v>
      </c>
      <c r="L8130">
        <v>14.618</v>
      </c>
      <c r="M8130">
        <v>81.626000000000005</v>
      </c>
      <c r="N8130">
        <v>2.6019999999999999</v>
      </c>
    </row>
    <row r="8131" spans="1:14" x14ac:dyDescent="0.45">
      <c r="A8131">
        <v>2018</v>
      </c>
      <c r="B8131" t="s">
        <v>117</v>
      </c>
      <c r="C8131">
        <v>0</v>
      </c>
      <c r="D8131">
        <v>0</v>
      </c>
      <c r="E8131">
        <v>0</v>
      </c>
      <c r="F8131">
        <v>0</v>
      </c>
      <c r="G8131">
        <v>1</v>
      </c>
      <c r="H8131">
        <v>0</v>
      </c>
      <c r="I8131">
        <v>0</v>
      </c>
      <c r="J8131">
        <v>13612.9520960439</v>
      </c>
      <c r="K8131">
        <v>13331.2007130239</v>
      </c>
      <c r="L8131">
        <v>43.752000000000002</v>
      </c>
      <c r="M8131">
        <v>66.965000000000003</v>
      </c>
      <c r="N8131">
        <v>24.359000000000002</v>
      </c>
    </row>
    <row r="8132" spans="1:14" x14ac:dyDescent="0.45">
      <c r="A8132">
        <v>2018</v>
      </c>
      <c r="B8132" t="s">
        <v>118</v>
      </c>
      <c r="C8132">
        <v>1</v>
      </c>
      <c r="D8132">
        <v>0</v>
      </c>
      <c r="E8132">
        <v>0</v>
      </c>
      <c r="F8132">
        <v>0</v>
      </c>
      <c r="G8132">
        <v>0</v>
      </c>
      <c r="H8132">
        <v>1</v>
      </c>
      <c r="I8132">
        <v>1</v>
      </c>
      <c r="J8132">
        <v>52560.953624384099</v>
      </c>
      <c r="K8132">
        <v>43883.0764667408</v>
      </c>
      <c r="L8132">
        <v>19.556000000000001</v>
      </c>
      <c r="M8132">
        <v>82.567999999999998</v>
      </c>
      <c r="N8132">
        <v>4.4400000000000004</v>
      </c>
    </row>
    <row r="8133" spans="1:14" x14ac:dyDescent="0.45">
      <c r="A8133">
        <v>2018</v>
      </c>
      <c r="B8133" t="s">
        <v>119</v>
      </c>
      <c r="C8133">
        <v>1</v>
      </c>
      <c r="D8133">
        <v>0</v>
      </c>
      <c r="E8133">
        <v>0</v>
      </c>
      <c r="F8133">
        <v>0</v>
      </c>
      <c r="G8133">
        <v>0</v>
      </c>
      <c r="H8133">
        <v>1</v>
      </c>
      <c r="I8133">
        <v>1</v>
      </c>
      <c r="J8133">
        <v>65297.312527105903</v>
      </c>
      <c r="K8133">
        <v>57047.738387528501</v>
      </c>
      <c r="L8133">
        <v>57.936</v>
      </c>
      <c r="M8133">
        <v>79.811999999999998</v>
      </c>
      <c r="N8133">
        <v>8.0150000000000006</v>
      </c>
    </row>
    <row r="8134" spans="1:14" x14ac:dyDescent="0.45">
      <c r="A8134">
        <v>2018</v>
      </c>
      <c r="B8134" t="s">
        <v>120</v>
      </c>
      <c r="C8134">
        <v>0</v>
      </c>
      <c r="D8134">
        <v>0</v>
      </c>
      <c r="E8134">
        <v>0</v>
      </c>
      <c r="F8134">
        <v>1</v>
      </c>
      <c r="G8134">
        <v>0</v>
      </c>
      <c r="H8134">
        <v>0</v>
      </c>
      <c r="I8134">
        <v>0</v>
      </c>
      <c r="J8134">
        <v>3796.94604537436</v>
      </c>
      <c r="K8134">
        <v>3436.7601140378001</v>
      </c>
      <c r="L8134">
        <v>77.296999999999997</v>
      </c>
      <c r="M8134">
        <v>65.942999999999998</v>
      </c>
      <c r="N8134">
        <v>26.838000000000001</v>
      </c>
    </row>
    <row r="8135" spans="1:14" x14ac:dyDescent="0.45">
      <c r="A8135">
        <v>2018</v>
      </c>
      <c r="B8135" t="s">
        <v>121</v>
      </c>
      <c r="C8135">
        <v>0</v>
      </c>
      <c r="D8135">
        <v>0</v>
      </c>
      <c r="E8135">
        <v>1</v>
      </c>
      <c r="F8135">
        <v>0</v>
      </c>
      <c r="G8135">
        <v>1</v>
      </c>
      <c r="H8135">
        <v>0</v>
      </c>
      <c r="I8135">
        <v>0</v>
      </c>
      <c r="J8135">
        <v>19225.598257467798</v>
      </c>
      <c r="K8135">
        <v>14546.855089007</v>
      </c>
      <c r="L8135">
        <v>10.63</v>
      </c>
      <c r="M8135">
        <v>67.043000000000006</v>
      </c>
      <c r="N8135">
        <v>43.793999999999997</v>
      </c>
    </row>
    <row r="8136" spans="1:14" x14ac:dyDescent="0.45">
      <c r="A8136">
        <v>2018</v>
      </c>
      <c r="B8136" t="s">
        <v>122</v>
      </c>
      <c r="C8136">
        <v>1</v>
      </c>
      <c r="D8136">
        <v>0</v>
      </c>
      <c r="E8136">
        <v>0</v>
      </c>
      <c r="F8136">
        <v>0</v>
      </c>
      <c r="G8136">
        <v>0</v>
      </c>
      <c r="H8136">
        <v>1</v>
      </c>
      <c r="I8136">
        <v>1</v>
      </c>
      <c r="J8136">
        <v>52071.269660708203</v>
      </c>
      <c r="K8136">
        <v>44860.969118926798</v>
      </c>
      <c r="L8136">
        <v>16.602</v>
      </c>
      <c r="M8136">
        <v>81.123000000000005</v>
      </c>
      <c r="N8136">
        <v>4.3250000000000002</v>
      </c>
    </row>
    <row r="8137" spans="1:14" x14ac:dyDescent="0.45">
      <c r="A8137">
        <v>2018</v>
      </c>
      <c r="B8137" t="s">
        <v>123</v>
      </c>
      <c r="C8137">
        <v>1</v>
      </c>
      <c r="D8137">
        <v>0</v>
      </c>
      <c r="E8137">
        <v>0</v>
      </c>
      <c r="F8137">
        <v>0</v>
      </c>
      <c r="G8137">
        <v>1</v>
      </c>
      <c r="H8137">
        <v>0</v>
      </c>
      <c r="I8137">
        <v>0</v>
      </c>
      <c r="J8137">
        <v>17228.6790847503</v>
      </c>
      <c r="K8137">
        <v>14556.2642402743</v>
      </c>
      <c r="L8137">
        <v>41.368000000000002</v>
      </c>
      <c r="M8137">
        <v>73.984999999999999</v>
      </c>
      <c r="N8137">
        <v>9.9269999999999996</v>
      </c>
    </row>
    <row r="8138" spans="1:14" x14ac:dyDescent="0.45">
      <c r="A8138">
        <v>2018</v>
      </c>
      <c r="B8138" t="s">
        <v>124</v>
      </c>
      <c r="C8138">
        <v>0</v>
      </c>
      <c r="D8138">
        <v>0</v>
      </c>
      <c r="E8138">
        <v>1</v>
      </c>
      <c r="F8138">
        <v>1</v>
      </c>
      <c r="G8138">
        <v>0</v>
      </c>
      <c r="H8138">
        <v>0</v>
      </c>
      <c r="I8138">
        <v>0</v>
      </c>
      <c r="J8138">
        <v>6234.5120820148804</v>
      </c>
      <c r="K8138">
        <v>5378.77995209458</v>
      </c>
      <c r="L8138">
        <v>43.94</v>
      </c>
      <c r="M8138">
        <v>64.138000000000005</v>
      </c>
      <c r="N8138">
        <v>49.112000000000002</v>
      </c>
    </row>
    <row r="8139" spans="1:14" x14ac:dyDescent="0.45">
      <c r="A8139">
        <v>2018</v>
      </c>
      <c r="B8139" t="s">
        <v>125</v>
      </c>
      <c r="C8139">
        <v>1</v>
      </c>
      <c r="D8139">
        <v>0</v>
      </c>
      <c r="E8139">
        <v>0</v>
      </c>
      <c r="F8139">
        <v>0</v>
      </c>
      <c r="G8139">
        <v>0</v>
      </c>
      <c r="H8139">
        <v>1</v>
      </c>
      <c r="I8139">
        <v>1</v>
      </c>
      <c r="L8139">
        <v>0</v>
      </c>
      <c r="M8139">
        <v>83.028000000000006</v>
      </c>
      <c r="N8139">
        <v>11.114000000000001</v>
      </c>
    </row>
    <row r="8140" spans="1:14" x14ac:dyDescent="0.45">
      <c r="A8140">
        <v>2018</v>
      </c>
      <c r="B8140" t="s">
        <v>126</v>
      </c>
      <c r="C8140">
        <v>0</v>
      </c>
      <c r="D8140">
        <v>0</v>
      </c>
      <c r="E8140">
        <v>1</v>
      </c>
      <c r="F8140">
        <v>0</v>
      </c>
      <c r="G8140">
        <v>0</v>
      </c>
      <c r="H8140">
        <v>0</v>
      </c>
      <c r="I8140">
        <v>0</v>
      </c>
      <c r="J8140">
        <v>3455.6451263866202</v>
      </c>
      <c r="K8140">
        <v>2786.1685217895401</v>
      </c>
      <c r="L8140">
        <v>63.86</v>
      </c>
      <c r="M8140">
        <v>59.042999999999999</v>
      </c>
      <c r="N8140">
        <v>104.979</v>
      </c>
    </row>
    <row r="8141" spans="1:14" x14ac:dyDescent="0.45">
      <c r="A8141">
        <v>2018</v>
      </c>
      <c r="B8141" t="s">
        <v>127</v>
      </c>
      <c r="C8141">
        <v>0</v>
      </c>
      <c r="D8141">
        <v>0</v>
      </c>
      <c r="E8141">
        <v>1</v>
      </c>
      <c r="F8141">
        <v>0</v>
      </c>
      <c r="G8141">
        <v>0</v>
      </c>
      <c r="H8141">
        <v>0</v>
      </c>
      <c r="I8141">
        <v>0</v>
      </c>
      <c r="J8141">
        <v>2651.4328145582599</v>
      </c>
      <c r="K8141">
        <v>2134.1302258898299</v>
      </c>
      <c r="L8141">
        <v>38.729999999999997</v>
      </c>
      <c r="M8141">
        <v>64.034000000000006</v>
      </c>
      <c r="N8141">
        <v>52.883000000000003</v>
      </c>
    </row>
    <row r="8142" spans="1:14" x14ac:dyDescent="0.45">
      <c r="A8142">
        <v>2018</v>
      </c>
      <c r="B8142" t="s">
        <v>128</v>
      </c>
      <c r="C8142">
        <v>0</v>
      </c>
      <c r="D8142">
        <v>0</v>
      </c>
      <c r="E8142">
        <v>1</v>
      </c>
      <c r="F8142">
        <v>0</v>
      </c>
      <c r="G8142">
        <v>0</v>
      </c>
      <c r="H8142">
        <v>0</v>
      </c>
      <c r="I8142">
        <v>0</v>
      </c>
      <c r="J8142">
        <v>2344.8692710482801</v>
      </c>
      <c r="K8142">
        <v>2109.4407586438801</v>
      </c>
      <c r="L8142">
        <v>56.64</v>
      </c>
      <c r="M8142">
        <v>61.652000000000001</v>
      </c>
      <c r="N8142">
        <v>82.570999999999998</v>
      </c>
    </row>
    <row r="8143" spans="1:14" x14ac:dyDescent="0.45">
      <c r="A8143">
        <v>2018</v>
      </c>
      <c r="B8143" t="s">
        <v>129</v>
      </c>
      <c r="C8143">
        <v>0</v>
      </c>
      <c r="D8143">
        <v>0</v>
      </c>
      <c r="E8143">
        <v>1</v>
      </c>
      <c r="F8143">
        <v>0</v>
      </c>
      <c r="G8143">
        <v>1</v>
      </c>
      <c r="H8143">
        <v>0</v>
      </c>
      <c r="I8143">
        <v>0</v>
      </c>
      <c r="J8143">
        <v>20165.479555060701</v>
      </c>
      <c r="K8143">
        <v>16707.357092591101</v>
      </c>
      <c r="L8143">
        <v>27.856999999999999</v>
      </c>
      <c r="M8143">
        <v>61.914999999999999</v>
      </c>
      <c r="N8143">
        <v>84.085999999999999</v>
      </c>
    </row>
    <row r="8144" spans="1:14" x14ac:dyDescent="0.45">
      <c r="A8144">
        <v>2018</v>
      </c>
      <c r="B8144" t="s">
        <v>130</v>
      </c>
      <c r="C8144">
        <v>1</v>
      </c>
      <c r="D8144">
        <v>0</v>
      </c>
      <c r="E8144">
        <v>0</v>
      </c>
      <c r="F8144">
        <v>0</v>
      </c>
      <c r="G8144">
        <v>0</v>
      </c>
      <c r="H8144">
        <v>1</v>
      </c>
      <c r="I8144">
        <v>1</v>
      </c>
      <c r="J8144">
        <v>32722.331044402901</v>
      </c>
      <c r="K8144">
        <v>29292.838088722601</v>
      </c>
      <c r="L8144">
        <v>20.942</v>
      </c>
      <c r="M8144">
        <v>81.495000000000005</v>
      </c>
      <c r="N8144">
        <v>4.1260000000000003</v>
      </c>
    </row>
    <row r="8145" spans="1:14" x14ac:dyDescent="0.45">
      <c r="A8145">
        <v>2018</v>
      </c>
      <c r="B8145" t="s">
        <v>131</v>
      </c>
      <c r="C8145">
        <v>0</v>
      </c>
      <c r="D8145">
        <v>1</v>
      </c>
      <c r="E8145">
        <v>0</v>
      </c>
      <c r="F8145">
        <v>0</v>
      </c>
      <c r="G8145">
        <v>1</v>
      </c>
      <c r="H8145">
        <v>0</v>
      </c>
      <c r="I8145">
        <v>0</v>
      </c>
      <c r="J8145">
        <v>16975.247600506002</v>
      </c>
      <c r="K8145">
        <v>15663.147063401</v>
      </c>
      <c r="L8145">
        <v>63.728000000000002</v>
      </c>
      <c r="M8145">
        <v>74.956999999999994</v>
      </c>
      <c r="N8145">
        <v>15.538</v>
      </c>
    </row>
    <row r="8146" spans="1:14" x14ac:dyDescent="0.45">
      <c r="A8146">
        <v>2018</v>
      </c>
      <c r="B8146" t="s">
        <v>132</v>
      </c>
      <c r="C8146">
        <v>1</v>
      </c>
      <c r="D8146">
        <v>0</v>
      </c>
      <c r="E8146">
        <v>0</v>
      </c>
      <c r="F8146">
        <v>0</v>
      </c>
      <c r="G8146">
        <v>0</v>
      </c>
      <c r="H8146">
        <v>1</v>
      </c>
      <c r="I8146">
        <v>1</v>
      </c>
      <c r="J8146">
        <v>66887.677926892604</v>
      </c>
      <c r="K8146">
        <v>60544.597036097097</v>
      </c>
      <c r="L8146">
        <v>13.183999999999999</v>
      </c>
      <c r="M8146">
        <v>70.353999999999999</v>
      </c>
      <c r="N8146">
        <v>11.177</v>
      </c>
    </row>
    <row r="8147" spans="1:14" x14ac:dyDescent="0.45">
      <c r="A8147">
        <v>2018</v>
      </c>
      <c r="B8147" t="s">
        <v>133</v>
      </c>
      <c r="C8147">
        <v>0</v>
      </c>
      <c r="D8147">
        <v>1</v>
      </c>
      <c r="E8147">
        <v>0</v>
      </c>
      <c r="F8147">
        <v>0</v>
      </c>
      <c r="G8147">
        <v>1</v>
      </c>
      <c r="H8147">
        <v>0</v>
      </c>
      <c r="I8147">
        <v>0</v>
      </c>
      <c r="J8147">
        <v>11192.3717280854</v>
      </c>
      <c r="K8147">
        <v>9722.5408948192708</v>
      </c>
      <c r="L8147">
        <v>48.945999999999998</v>
      </c>
      <c r="M8147">
        <v>71.495999999999995</v>
      </c>
      <c r="N8147">
        <v>25.613</v>
      </c>
    </row>
    <row r="8148" spans="1:14" x14ac:dyDescent="0.45">
      <c r="A8148">
        <v>2018</v>
      </c>
      <c r="B8148" t="s">
        <v>134</v>
      </c>
      <c r="C8148">
        <v>0</v>
      </c>
      <c r="D8148">
        <v>0</v>
      </c>
      <c r="E8148">
        <v>0</v>
      </c>
      <c r="F8148">
        <v>0</v>
      </c>
      <c r="G8148">
        <v>0</v>
      </c>
      <c r="H8148">
        <v>1</v>
      </c>
      <c r="I8148">
        <v>1</v>
      </c>
      <c r="L8148">
        <v>5.22</v>
      </c>
      <c r="M8148">
        <v>76.561000000000007</v>
      </c>
      <c r="N8148">
        <v>13.391999999999999</v>
      </c>
    </row>
    <row r="8149" spans="1:14" x14ac:dyDescent="0.45">
      <c r="A8149">
        <v>2018</v>
      </c>
      <c r="B8149" t="s">
        <v>135</v>
      </c>
      <c r="C8149">
        <v>0</v>
      </c>
      <c r="D8149">
        <v>1</v>
      </c>
      <c r="E8149">
        <v>0</v>
      </c>
      <c r="F8149">
        <v>0</v>
      </c>
      <c r="G8149">
        <v>1</v>
      </c>
      <c r="H8149">
        <v>0</v>
      </c>
      <c r="I8149">
        <v>0</v>
      </c>
      <c r="J8149">
        <v>12980.3576003177</v>
      </c>
      <c r="K8149">
        <v>12414.1432167314</v>
      </c>
      <c r="L8149">
        <v>73.394000000000005</v>
      </c>
      <c r="M8149">
        <v>68.828999999999994</v>
      </c>
      <c r="N8149">
        <v>30.126000000000001</v>
      </c>
    </row>
    <row r="8150" spans="1:14" x14ac:dyDescent="0.45">
      <c r="A8150">
        <v>2018</v>
      </c>
      <c r="B8150" t="s">
        <v>136</v>
      </c>
      <c r="C8150">
        <v>0</v>
      </c>
      <c r="D8150">
        <v>0</v>
      </c>
      <c r="E8150">
        <v>0</v>
      </c>
      <c r="F8150">
        <v>0</v>
      </c>
      <c r="G8150">
        <v>0</v>
      </c>
      <c r="H8150">
        <v>1</v>
      </c>
      <c r="I8150">
        <v>1</v>
      </c>
      <c r="J8150">
        <v>66993.930530728205</v>
      </c>
      <c r="K8150">
        <v>60462.253291538502</v>
      </c>
      <c r="L8150">
        <v>0</v>
      </c>
      <c r="M8150">
        <v>84.986999999999995</v>
      </c>
      <c r="N8150">
        <v>2.1800000000000002</v>
      </c>
    </row>
    <row r="8151" spans="1:14" x14ac:dyDescent="0.45">
      <c r="A8151">
        <v>2018</v>
      </c>
      <c r="B8151" t="s">
        <v>137</v>
      </c>
      <c r="C8151">
        <v>0</v>
      </c>
      <c r="D8151">
        <v>1</v>
      </c>
      <c r="E8151">
        <v>0</v>
      </c>
      <c r="F8151">
        <v>1</v>
      </c>
      <c r="G8151">
        <v>0</v>
      </c>
      <c r="H8151">
        <v>0</v>
      </c>
      <c r="I8151">
        <v>0</v>
      </c>
      <c r="J8151">
        <v>6219.2797377505904</v>
      </c>
      <c r="K8151">
        <v>5730.9296556486397</v>
      </c>
      <c r="L8151">
        <v>42.904000000000003</v>
      </c>
      <c r="M8151">
        <v>72.001000000000005</v>
      </c>
      <c r="N8151">
        <v>18.393000000000001</v>
      </c>
    </row>
    <row r="8152" spans="1:14" x14ac:dyDescent="0.45">
      <c r="A8152">
        <v>2018</v>
      </c>
      <c r="B8152" t="s">
        <v>138</v>
      </c>
      <c r="C8152">
        <v>1</v>
      </c>
      <c r="D8152">
        <v>0</v>
      </c>
      <c r="E8152">
        <v>0</v>
      </c>
      <c r="F8152">
        <v>0</v>
      </c>
      <c r="G8152">
        <v>0</v>
      </c>
      <c r="H8152">
        <v>1</v>
      </c>
      <c r="I8152">
        <v>1</v>
      </c>
      <c r="J8152">
        <v>33730.874557712501</v>
      </c>
      <c r="K8152">
        <v>29089.814528836599</v>
      </c>
      <c r="L8152">
        <v>43.052999999999997</v>
      </c>
      <c r="M8152">
        <v>77.864999999999995</v>
      </c>
      <c r="N8152">
        <v>5.07</v>
      </c>
    </row>
    <row r="8153" spans="1:14" x14ac:dyDescent="0.45">
      <c r="A8153">
        <v>2018</v>
      </c>
      <c r="B8153" t="s">
        <v>139</v>
      </c>
      <c r="C8153">
        <v>0</v>
      </c>
      <c r="D8153">
        <v>1</v>
      </c>
      <c r="E8153">
        <v>0</v>
      </c>
      <c r="F8153">
        <v>0</v>
      </c>
      <c r="G8153">
        <v>0</v>
      </c>
      <c r="H8153">
        <v>0</v>
      </c>
      <c r="I8153">
        <v>0</v>
      </c>
      <c r="J8153">
        <v>3485.69687548702</v>
      </c>
      <c r="K8153">
        <v>3350.2976290786801</v>
      </c>
      <c r="L8153">
        <v>44.722000000000001</v>
      </c>
      <c r="M8153">
        <v>64.076999999999998</v>
      </c>
      <c r="N8153">
        <v>63.908000000000001</v>
      </c>
    </row>
    <row r="8154" spans="1:14" x14ac:dyDescent="0.45">
      <c r="A8154">
        <v>2018</v>
      </c>
      <c r="B8154" t="s">
        <v>140</v>
      </c>
      <c r="C8154">
        <v>1</v>
      </c>
      <c r="D8154">
        <v>0</v>
      </c>
      <c r="E8154">
        <v>0</v>
      </c>
      <c r="F8154">
        <v>0</v>
      </c>
      <c r="G8154">
        <v>0</v>
      </c>
      <c r="H8154">
        <v>1</v>
      </c>
      <c r="I8154">
        <v>1</v>
      </c>
      <c r="J8154">
        <v>35798.041275402204</v>
      </c>
      <c r="K8154">
        <v>31195.038913550499</v>
      </c>
      <c r="L8154">
        <v>28.649000000000001</v>
      </c>
      <c r="M8154">
        <v>76.204999999999998</v>
      </c>
      <c r="N8154">
        <v>3.9940000000000002</v>
      </c>
    </row>
    <row r="8155" spans="1:14" x14ac:dyDescent="0.45">
      <c r="A8155">
        <v>2018</v>
      </c>
      <c r="B8155" t="s">
        <v>141</v>
      </c>
      <c r="C8155">
        <v>0</v>
      </c>
      <c r="D8155">
        <v>0</v>
      </c>
      <c r="E8155">
        <v>0</v>
      </c>
      <c r="F8155">
        <v>1</v>
      </c>
      <c r="G8155">
        <v>0</v>
      </c>
      <c r="H8155">
        <v>0</v>
      </c>
      <c r="I8155">
        <v>0</v>
      </c>
      <c r="J8155">
        <v>12262.231030077101</v>
      </c>
      <c r="K8155">
        <v>11132.173084549</v>
      </c>
      <c r="L8155">
        <v>44.674999999999997</v>
      </c>
      <c r="M8155">
        <v>70.08</v>
      </c>
      <c r="N8155">
        <v>24.722000000000001</v>
      </c>
    </row>
    <row r="8156" spans="1:14" x14ac:dyDescent="0.45">
      <c r="A8156">
        <v>2018</v>
      </c>
      <c r="B8156" t="s">
        <v>142</v>
      </c>
      <c r="C8156">
        <v>1</v>
      </c>
      <c r="D8156">
        <v>0</v>
      </c>
      <c r="E8156">
        <v>0</v>
      </c>
      <c r="F8156">
        <v>0</v>
      </c>
      <c r="G8156">
        <v>0</v>
      </c>
      <c r="H8156">
        <v>1</v>
      </c>
      <c r="I8156">
        <v>1</v>
      </c>
      <c r="L8156">
        <v>47.411999999999999</v>
      </c>
      <c r="M8156">
        <v>80.614000000000004</v>
      </c>
      <c r="N8156">
        <v>14.048999999999999</v>
      </c>
    </row>
    <row r="8157" spans="1:14" x14ac:dyDescent="0.45">
      <c r="A8157">
        <v>2018</v>
      </c>
      <c r="B8157" t="s">
        <v>143</v>
      </c>
      <c r="C8157">
        <v>0</v>
      </c>
      <c r="D8157">
        <v>0</v>
      </c>
      <c r="E8157">
        <v>0</v>
      </c>
      <c r="F8157">
        <v>1</v>
      </c>
      <c r="G8157">
        <v>0</v>
      </c>
      <c r="H8157">
        <v>0</v>
      </c>
      <c r="I8157">
        <v>0</v>
      </c>
      <c r="J8157">
        <v>7714.3397472453098</v>
      </c>
      <c r="K8157">
        <v>6469.9037079902901</v>
      </c>
      <c r="L8157">
        <v>65.97</v>
      </c>
      <c r="M8157">
        <v>70.415000000000006</v>
      </c>
      <c r="N8157">
        <v>36.485999999999997</v>
      </c>
    </row>
    <row r="8158" spans="1:14" x14ac:dyDescent="0.45">
      <c r="A8158">
        <v>2018</v>
      </c>
      <c r="B8158" t="s">
        <v>144</v>
      </c>
      <c r="C8158">
        <v>1</v>
      </c>
      <c r="D8158">
        <v>0</v>
      </c>
      <c r="E8158">
        <v>0</v>
      </c>
      <c r="F8158">
        <v>0</v>
      </c>
      <c r="G8158">
        <v>0</v>
      </c>
      <c r="H8158">
        <v>1</v>
      </c>
      <c r="I8158">
        <v>1</v>
      </c>
      <c r="J8158">
        <v>93214.335384457198</v>
      </c>
      <c r="K8158">
        <v>85705.718174015696</v>
      </c>
      <c r="L8158">
        <v>36.83</v>
      </c>
      <c r="M8158">
        <v>82.123000000000005</v>
      </c>
      <c r="N8158">
        <v>3.1819999999999999</v>
      </c>
    </row>
    <row r="8159" spans="1:14" x14ac:dyDescent="0.45">
      <c r="A8159">
        <v>2018</v>
      </c>
      <c r="B8159" t="s">
        <v>145</v>
      </c>
      <c r="C8159">
        <v>0</v>
      </c>
      <c r="D8159">
        <v>0</v>
      </c>
      <c r="E8159">
        <v>0</v>
      </c>
      <c r="F8159">
        <v>0</v>
      </c>
      <c r="G8159">
        <v>1</v>
      </c>
      <c r="H8159">
        <v>0</v>
      </c>
      <c r="I8159">
        <v>0</v>
      </c>
      <c r="J8159">
        <v>14642.497571362799</v>
      </c>
      <c r="K8159">
        <v>14605.813310917199</v>
      </c>
      <c r="L8159">
        <v>25.102</v>
      </c>
      <c r="M8159">
        <v>76.620999999999995</v>
      </c>
      <c r="N8159">
        <v>13.856</v>
      </c>
    </row>
    <row r="8160" spans="1:14" x14ac:dyDescent="0.45">
      <c r="A8160">
        <v>2018</v>
      </c>
      <c r="B8160" t="s">
        <v>146</v>
      </c>
      <c r="C8160">
        <v>0</v>
      </c>
      <c r="D8160">
        <v>0</v>
      </c>
      <c r="E8160">
        <v>0</v>
      </c>
      <c r="F8160">
        <v>0</v>
      </c>
      <c r="G8160">
        <v>1</v>
      </c>
      <c r="H8160">
        <v>0</v>
      </c>
      <c r="I8160">
        <v>0</v>
      </c>
      <c r="J8160">
        <v>14456.2357053224</v>
      </c>
      <c r="K8160">
        <v>10218.9506350965</v>
      </c>
      <c r="L8160">
        <v>29.527000000000001</v>
      </c>
      <c r="M8160">
        <v>71.116</v>
      </c>
      <c r="N8160">
        <v>26.952999999999999</v>
      </c>
    </row>
    <row r="8161" spans="1:14" x14ac:dyDescent="0.45">
      <c r="A8161">
        <v>2018</v>
      </c>
      <c r="B8161" t="s">
        <v>147</v>
      </c>
      <c r="C8161">
        <v>1</v>
      </c>
      <c r="D8161">
        <v>0</v>
      </c>
      <c r="E8161">
        <v>0</v>
      </c>
      <c r="F8161">
        <v>0</v>
      </c>
      <c r="G8161">
        <v>0</v>
      </c>
      <c r="H8161">
        <v>1</v>
      </c>
      <c r="I8161">
        <v>1</v>
      </c>
      <c r="J8161">
        <v>65354.261567093199</v>
      </c>
      <c r="K8161">
        <v>56550.3161733042</v>
      </c>
      <c r="L8161">
        <v>6.1870000000000003</v>
      </c>
      <c r="M8161">
        <v>82.453000000000003</v>
      </c>
      <c r="N8161">
        <v>2.78</v>
      </c>
    </row>
    <row r="8162" spans="1:14" x14ac:dyDescent="0.45">
      <c r="A8162">
        <v>2018</v>
      </c>
      <c r="B8162" t="s">
        <v>148</v>
      </c>
      <c r="C8162">
        <v>0</v>
      </c>
      <c r="D8162">
        <v>0</v>
      </c>
      <c r="E8162">
        <v>0</v>
      </c>
      <c r="F8162">
        <v>0</v>
      </c>
      <c r="G8162">
        <v>0</v>
      </c>
      <c r="H8162">
        <v>1</v>
      </c>
      <c r="I8162">
        <v>1</v>
      </c>
      <c r="J8162">
        <v>43814.294997796504</v>
      </c>
      <c r="K8162">
        <v>40189.8527206402</v>
      </c>
      <c r="L8162">
        <v>7.5819999999999901</v>
      </c>
      <c r="M8162">
        <v>82.918000000000006</v>
      </c>
      <c r="N8162">
        <v>3.65</v>
      </c>
    </row>
    <row r="8163" spans="1:14" x14ac:dyDescent="0.45">
      <c r="A8163">
        <v>2018</v>
      </c>
      <c r="B8163" t="s">
        <v>149</v>
      </c>
      <c r="C8163">
        <v>1</v>
      </c>
      <c r="D8163">
        <v>0</v>
      </c>
      <c r="E8163">
        <v>0</v>
      </c>
      <c r="F8163">
        <v>0</v>
      </c>
      <c r="G8163">
        <v>0</v>
      </c>
      <c r="H8163">
        <v>1</v>
      </c>
      <c r="I8163">
        <v>1</v>
      </c>
      <c r="J8163">
        <v>49133.143527173997</v>
      </c>
      <c r="K8163">
        <v>41849.995964573602</v>
      </c>
      <c r="L8163">
        <v>29.562000000000001</v>
      </c>
      <c r="M8163">
        <v>83.183999999999997</v>
      </c>
      <c r="N8163">
        <v>3.36</v>
      </c>
    </row>
    <row r="8164" spans="1:14" x14ac:dyDescent="0.45">
      <c r="A8164">
        <v>2018</v>
      </c>
      <c r="B8164" t="s">
        <v>150</v>
      </c>
      <c r="C8164">
        <v>0</v>
      </c>
      <c r="D8164">
        <v>1</v>
      </c>
      <c r="E8164">
        <v>0</v>
      </c>
      <c r="F8164">
        <v>0</v>
      </c>
      <c r="G8164">
        <v>1</v>
      </c>
      <c r="H8164">
        <v>0</v>
      </c>
      <c r="I8164">
        <v>0</v>
      </c>
      <c r="J8164">
        <v>10137.111053155801</v>
      </c>
      <c r="K8164">
        <v>9990.4286530925801</v>
      </c>
      <c r="L8164">
        <v>44.326000000000001</v>
      </c>
      <c r="M8164">
        <v>71.605999999999995</v>
      </c>
      <c r="N8164">
        <v>19.135000000000002</v>
      </c>
    </row>
    <row r="8165" spans="1:14" x14ac:dyDescent="0.45">
      <c r="A8165">
        <v>2018</v>
      </c>
      <c r="B8165" t="s">
        <v>151</v>
      </c>
      <c r="C8165">
        <v>0</v>
      </c>
      <c r="D8165">
        <v>0</v>
      </c>
      <c r="E8165">
        <v>0</v>
      </c>
      <c r="F8165">
        <v>0</v>
      </c>
      <c r="G8165">
        <v>1</v>
      </c>
      <c r="H8165">
        <v>0</v>
      </c>
      <c r="I8165">
        <v>0</v>
      </c>
      <c r="J8165">
        <v>9311.5311626558396</v>
      </c>
      <c r="K8165">
        <v>9237.4606431251705</v>
      </c>
      <c r="L8165">
        <v>9.0210000000000008</v>
      </c>
      <c r="M8165">
        <v>76.491</v>
      </c>
      <c r="N8165">
        <v>16.106000000000002</v>
      </c>
    </row>
    <row r="8166" spans="1:14" x14ac:dyDescent="0.45">
      <c r="A8166">
        <v>2018</v>
      </c>
      <c r="B8166" t="s">
        <v>152</v>
      </c>
      <c r="C8166">
        <v>0</v>
      </c>
      <c r="D8166">
        <v>0</v>
      </c>
      <c r="E8166">
        <v>0</v>
      </c>
      <c r="F8166">
        <v>0</v>
      </c>
      <c r="G8166">
        <v>0</v>
      </c>
      <c r="H8166">
        <v>1</v>
      </c>
      <c r="I8166">
        <v>1</v>
      </c>
      <c r="J8166">
        <v>44848.489942179804</v>
      </c>
      <c r="K8166">
        <v>41544.605887513899</v>
      </c>
      <c r="L8166">
        <v>8.3840000000000003</v>
      </c>
      <c r="M8166">
        <v>84.289000000000001</v>
      </c>
      <c r="N8166">
        <v>2.548</v>
      </c>
    </row>
    <row r="8167" spans="1:14" x14ac:dyDescent="0.45">
      <c r="A8167">
        <v>2018</v>
      </c>
      <c r="B8167" t="s">
        <v>153</v>
      </c>
      <c r="C8167">
        <v>1</v>
      </c>
      <c r="D8167">
        <v>0</v>
      </c>
      <c r="E8167">
        <v>0</v>
      </c>
      <c r="F8167">
        <v>0</v>
      </c>
      <c r="G8167">
        <v>1</v>
      </c>
      <c r="H8167">
        <v>0</v>
      </c>
      <c r="I8167">
        <v>0</v>
      </c>
      <c r="J8167">
        <v>32330.227454656699</v>
      </c>
      <c r="K8167">
        <v>24585.825754639001</v>
      </c>
      <c r="L8167">
        <v>42.572000000000003</v>
      </c>
      <c r="M8167">
        <v>73.369</v>
      </c>
      <c r="N8167">
        <v>10.567</v>
      </c>
    </row>
    <row r="8168" spans="1:14" x14ac:dyDescent="0.45">
      <c r="A8168">
        <v>2018</v>
      </c>
      <c r="B8168" t="s">
        <v>154</v>
      </c>
      <c r="C8168">
        <v>0</v>
      </c>
      <c r="D8168">
        <v>0</v>
      </c>
      <c r="E8168">
        <v>1</v>
      </c>
      <c r="F8168">
        <v>1</v>
      </c>
      <c r="G8168">
        <v>0</v>
      </c>
      <c r="H8168">
        <v>0</v>
      </c>
      <c r="I8168">
        <v>0</v>
      </c>
      <c r="J8168">
        <v>5017.66784674664</v>
      </c>
      <c r="K8168">
        <v>4324.4581632705904</v>
      </c>
      <c r="L8168">
        <v>72.97</v>
      </c>
      <c r="M8168">
        <v>62.825000000000003</v>
      </c>
      <c r="N8168">
        <v>44.332000000000001</v>
      </c>
    </row>
    <row r="8169" spans="1:14" x14ac:dyDescent="0.45">
      <c r="A8169">
        <v>2018</v>
      </c>
      <c r="B8169" t="s">
        <v>155</v>
      </c>
      <c r="C8169">
        <v>1</v>
      </c>
      <c r="D8169">
        <v>0</v>
      </c>
      <c r="E8169">
        <v>0</v>
      </c>
      <c r="F8169">
        <v>1</v>
      </c>
      <c r="G8169">
        <v>0</v>
      </c>
      <c r="H8169">
        <v>0</v>
      </c>
      <c r="I8169">
        <v>0</v>
      </c>
      <c r="J8169">
        <v>5951.8287675860602</v>
      </c>
      <c r="K8169">
        <v>5030.2954271242597</v>
      </c>
      <c r="L8169">
        <v>63.649000000000001</v>
      </c>
      <c r="M8169">
        <v>70.668000000000006</v>
      </c>
      <c r="N8169">
        <v>19.321999999999999</v>
      </c>
    </row>
    <row r="8170" spans="1:14" x14ac:dyDescent="0.45">
      <c r="A8170">
        <v>2018</v>
      </c>
      <c r="B8170" t="s">
        <v>156</v>
      </c>
      <c r="C8170">
        <v>0</v>
      </c>
      <c r="D8170">
        <v>0</v>
      </c>
      <c r="E8170">
        <v>0</v>
      </c>
      <c r="F8170">
        <v>1</v>
      </c>
      <c r="G8170">
        <v>0</v>
      </c>
      <c r="H8170">
        <v>0</v>
      </c>
      <c r="I8170">
        <v>0</v>
      </c>
      <c r="J8170">
        <v>6050.5908826201003</v>
      </c>
      <c r="K8170">
        <v>5425.3729628863102</v>
      </c>
      <c r="L8170">
        <v>76.611999999999995</v>
      </c>
      <c r="M8170">
        <v>69.992999999999995</v>
      </c>
      <c r="N8170">
        <v>27.704000000000001</v>
      </c>
    </row>
    <row r="8171" spans="1:14" x14ac:dyDescent="0.45">
      <c r="A8171">
        <v>2018</v>
      </c>
      <c r="B8171" t="s">
        <v>157</v>
      </c>
      <c r="C8171">
        <v>0</v>
      </c>
      <c r="D8171">
        <v>0</v>
      </c>
      <c r="E8171">
        <v>0</v>
      </c>
      <c r="F8171">
        <v>1</v>
      </c>
      <c r="G8171">
        <v>0</v>
      </c>
      <c r="H8171">
        <v>0</v>
      </c>
      <c r="I8171">
        <v>0</v>
      </c>
      <c r="J8171">
        <v>2877.60160708184</v>
      </c>
      <c r="K8171">
        <v>2603.0763919046099</v>
      </c>
      <c r="L8171">
        <v>45.942999999999998</v>
      </c>
      <c r="M8171">
        <v>65.807000000000002</v>
      </c>
      <c r="N8171">
        <v>58.973999999999997</v>
      </c>
    </row>
    <row r="8172" spans="1:14" x14ac:dyDescent="0.45">
      <c r="A8172">
        <v>2018</v>
      </c>
      <c r="B8172" t="s">
        <v>158</v>
      </c>
      <c r="C8172">
        <v>0</v>
      </c>
      <c r="D8172">
        <v>1</v>
      </c>
      <c r="E8172">
        <v>0</v>
      </c>
      <c r="F8172">
        <v>0</v>
      </c>
      <c r="G8172">
        <v>0</v>
      </c>
      <c r="H8172">
        <v>1</v>
      </c>
      <c r="I8172">
        <v>1</v>
      </c>
      <c r="J8172">
        <v>30576.248674924402</v>
      </c>
      <c r="K8172">
        <v>30198.2044934724</v>
      </c>
      <c r="L8172">
        <v>69.224000000000004</v>
      </c>
      <c r="M8172">
        <v>71.335999999999999</v>
      </c>
      <c r="N8172">
        <v>17.213999999999999</v>
      </c>
    </row>
    <row r="8173" spans="1:14" x14ac:dyDescent="0.45">
      <c r="A8173">
        <v>2018</v>
      </c>
      <c r="B8173" t="s">
        <v>159</v>
      </c>
      <c r="C8173">
        <v>0</v>
      </c>
      <c r="D8173">
        <v>0</v>
      </c>
      <c r="E8173">
        <v>0</v>
      </c>
      <c r="F8173">
        <v>0</v>
      </c>
      <c r="G8173">
        <v>0</v>
      </c>
      <c r="H8173">
        <v>1</v>
      </c>
      <c r="I8173">
        <v>1</v>
      </c>
      <c r="J8173">
        <v>45890.430409414301</v>
      </c>
      <c r="K8173">
        <v>41834.748736868001</v>
      </c>
      <c r="L8173">
        <v>18.541</v>
      </c>
      <c r="M8173">
        <v>83.34</v>
      </c>
      <c r="N8173">
        <v>3.2080000000000002</v>
      </c>
    </row>
    <row r="8174" spans="1:14" x14ac:dyDescent="0.45">
      <c r="A8174">
        <v>2018</v>
      </c>
      <c r="B8174" t="s">
        <v>160</v>
      </c>
      <c r="C8174">
        <v>0</v>
      </c>
      <c r="D8174">
        <v>0</v>
      </c>
      <c r="E8174">
        <v>0</v>
      </c>
      <c r="F8174">
        <v>0</v>
      </c>
      <c r="G8174">
        <v>0</v>
      </c>
      <c r="H8174">
        <v>1</v>
      </c>
      <c r="I8174">
        <v>1</v>
      </c>
      <c r="J8174">
        <v>51623.807909141098</v>
      </c>
      <c r="K8174">
        <v>45976.169787920699</v>
      </c>
      <c r="L8174">
        <v>0</v>
      </c>
      <c r="M8174">
        <v>79.899000000000001</v>
      </c>
      <c r="N8174">
        <v>8.9179999999999993</v>
      </c>
    </row>
    <row r="8175" spans="1:14" x14ac:dyDescent="0.45">
      <c r="A8175">
        <v>2018</v>
      </c>
      <c r="B8175" t="s">
        <v>161</v>
      </c>
      <c r="C8175">
        <v>0</v>
      </c>
      <c r="D8175">
        <v>0</v>
      </c>
      <c r="E8175">
        <v>0</v>
      </c>
      <c r="F8175">
        <v>1</v>
      </c>
      <c r="G8175">
        <v>0</v>
      </c>
      <c r="H8175">
        <v>0</v>
      </c>
      <c r="I8175">
        <v>0</v>
      </c>
      <c r="J8175">
        <v>7775.0857445188303</v>
      </c>
      <c r="K8175">
        <v>7471.1389477468902</v>
      </c>
      <c r="L8175">
        <v>64.995999999999995</v>
      </c>
      <c r="M8175">
        <v>67.593999999999994</v>
      </c>
      <c r="N8175">
        <v>47.348999999999997</v>
      </c>
    </row>
    <row r="8176" spans="1:14" x14ac:dyDescent="0.45">
      <c r="A8176">
        <v>2018</v>
      </c>
      <c r="B8176" t="s">
        <v>162</v>
      </c>
      <c r="C8176">
        <v>0</v>
      </c>
      <c r="D8176">
        <v>0</v>
      </c>
      <c r="E8176">
        <v>0</v>
      </c>
      <c r="F8176">
        <v>0</v>
      </c>
      <c r="G8176">
        <v>1</v>
      </c>
      <c r="H8176">
        <v>0</v>
      </c>
      <c r="I8176">
        <v>0</v>
      </c>
      <c r="J8176">
        <v>16290.0516478592</v>
      </c>
      <c r="K8176">
        <v>21173.701757095499</v>
      </c>
      <c r="L8176">
        <v>11.407</v>
      </c>
      <c r="M8176">
        <v>78.263000000000005</v>
      </c>
      <c r="N8176">
        <v>14.212999999999999</v>
      </c>
    </row>
    <row r="8177" spans="1:14" x14ac:dyDescent="0.45">
      <c r="A8177">
        <v>2018</v>
      </c>
      <c r="B8177" t="s">
        <v>163</v>
      </c>
      <c r="C8177">
        <v>0</v>
      </c>
      <c r="D8177">
        <v>0</v>
      </c>
      <c r="E8177">
        <v>1</v>
      </c>
      <c r="F8177">
        <v>0</v>
      </c>
      <c r="G8177">
        <v>0</v>
      </c>
      <c r="H8177">
        <v>0</v>
      </c>
      <c r="I8177">
        <v>0</v>
      </c>
      <c r="J8177">
        <v>1647.9744379384599</v>
      </c>
      <c r="K8177">
        <v>2434.79233187523</v>
      </c>
      <c r="L8177">
        <v>48.848999999999997</v>
      </c>
      <c r="M8177">
        <v>60.999000000000002</v>
      </c>
      <c r="N8177">
        <v>81.361000000000004</v>
      </c>
    </row>
    <row r="8178" spans="1:14" x14ac:dyDescent="0.45">
      <c r="A8178">
        <v>2018</v>
      </c>
      <c r="B8178" t="s">
        <v>164</v>
      </c>
      <c r="C8178">
        <v>0</v>
      </c>
      <c r="D8178">
        <v>0</v>
      </c>
      <c r="E8178">
        <v>0</v>
      </c>
      <c r="F8178">
        <v>0</v>
      </c>
      <c r="G8178">
        <v>1</v>
      </c>
      <c r="H8178">
        <v>0</v>
      </c>
      <c r="I8178">
        <v>0</v>
      </c>
      <c r="J8178">
        <v>16380.851549471799</v>
      </c>
      <c r="K8178">
        <v>19144.221665771602</v>
      </c>
      <c r="L8178">
        <v>19.898</v>
      </c>
      <c r="M8178">
        <v>73.150999999999996</v>
      </c>
      <c r="N8178">
        <v>12.452</v>
      </c>
    </row>
    <row r="8179" spans="1:14" x14ac:dyDescent="0.45">
      <c r="A8179">
        <v>2018</v>
      </c>
      <c r="B8179" t="s">
        <v>165</v>
      </c>
      <c r="C8179">
        <v>0</v>
      </c>
      <c r="D8179">
        <v>1</v>
      </c>
      <c r="E8179">
        <v>0</v>
      </c>
      <c r="F8179">
        <v>0</v>
      </c>
      <c r="G8179">
        <v>1</v>
      </c>
      <c r="H8179">
        <v>0</v>
      </c>
      <c r="I8179">
        <v>0</v>
      </c>
      <c r="J8179">
        <v>22981.917929401301</v>
      </c>
      <c r="K8179">
        <v>16533.3528006745</v>
      </c>
      <c r="L8179">
        <v>81.322000000000003</v>
      </c>
      <c r="M8179">
        <v>72.655000000000001</v>
      </c>
      <c r="N8179">
        <v>17.524000000000001</v>
      </c>
    </row>
    <row r="8180" spans="1:14" x14ac:dyDescent="0.45">
      <c r="A8180">
        <v>2018</v>
      </c>
      <c r="B8180" t="s">
        <v>166</v>
      </c>
      <c r="C8180">
        <v>1</v>
      </c>
      <c r="D8180">
        <v>0</v>
      </c>
      <c r="E8180">
        <v>0</v>
      </c>
      <c r="F8180">
        <v>0</v>
      </c>
      <c r="G8180">
        <v>0</v>
      </c>
      <c r="H8180">
        <v>1</v>
      </c>
      <c r="I8180">
        <v>1</v>
      </c>
      <c r="L8180">
        <v>85.662000000000006</v>
      </c>
      <c r="M8180">
        <v>83.269000000000005</v>
      </c>
      <c r="N8180">
        <v>6.7949999999999999</v>
      </c>
    </row>
    <row r="8181" spans="1:14" x14ac:dyDescent="0.45">
      <c r="A8181">
        <v>2018</v>
      </c>
      <c r="B8181" t="s">
        <v>167</v>
      </c>
      <c r="C8181">
        <v>0</v>
      </c>
      <c r="D8181">
        <v>0</v>
      </c>
      <c r="E8181">
        <v>0</v>
      </c>
      <c r="F8181">
        <v>0</v>
      </c>
      <c r="G8181">
        <v>1</v>
      </c>
      <c r="H8181">
        <v>0</v>
      </c>
      <c r="I8181">
        <v>0</v>
      </c>
      <c r="J8181">
        <v>14759.824894576501</v>
      </c>
      <c r="K8181">
        <v>13785.4431710188</v>
      </c>
      <c r="L8181">
        <v>81.524000000000001</v>
      </c>
      <c r="M8181">
        <v>76.484999999999999</v>
      </c>
      <c r="N8181">
        <v>7.6550000000000002</v>
      </c>
    </row>
    <row r="8182" spans="1:14" x14ac:dyDescent="0.45">
      <c r="A8182">
        <v>2018</v>
      </c>
      <c r="B8182" t="s">
        <v>168</v>
      </c>
      <c r="C8182">
        <v>0</v>
      </c>
      <c r="D8182">
        <v>0</v>
      </c>
      <c r="E8182">
        <v>1</v>
      </c>
      <c r="F8182">
        <v>1</v>
      </c>
      <c r="G8182">
        <v>0</v>
      </c>
      <c r="H8182">
        <v>0</v>
      </c>
      <c r="I8182">
        <v>0</v>
      </c>
      <c r="J8182">
        <v>2846.4182812464901</v>
      </c>
      <c r="K8182">
        <v>2548.7404145758201</v>
      </c>
      <c r="L8182">
        <v>71.846999999999994</v>
      </c>
      <c r="M8182">
        <v>54.637999999999998</v>
      </c>
      <c r="N8182">
        <v>77.531999999999996</v>
      </c>
    </row>
    <row r="8183" spans="1:14" x14ac:dyDescent="0.45">
      <c r="A8183">
        <v>2018</v>
      </c>
      <c r="B8183" t="s">
        <v>169</v>
      </c>
      <c r="C8183">
        <v>1</v>
      </c>
      <c r="D8183">
        <v>0</v>
      </c>
      <c r="E8183">
        <v>0</v>
      </c>
      <c r="F8183">
        <v>0</v>
      </c>
      <c r="G8183">
        <v>0</v>
      </c>
      <c r="H8183">
        <v>1</v>
      </c>
      <c r="I8183">
        <v>1</v>
      </c>
      <c r="J8183">
        <v>41019.790163287798</v>
      </c>
      <c r="K8183">
        <v>35095.165707325497</v>
      </c>
      <c r="L8183">
        <v>32.320999999999998</v>
      </c>
      <c r="M8183">
        <v>75.909000000000006</v>
      </c>
      <c r="N8183">
        <v>4.0830000000000002</v>
      </c>
    </row>
    <row r="8184" spans="1:14" x14ac:dyDescent="0.45">
      <c r="A8184">
        <v>2018</v>
      </c>
      <c r="B8184" t="s">
        <v>170</v>
      </c>
      <c r="C8184">
        <v>1</v>
      </c>
      <c r="D8184">
        <v>0</v>
      </c>
      <c r="E8184">
        <v>0</v>
      </c>
      <c r="F8184">
        <v>0</v>
      </c>
      <c r="G8184">
        <v>0</v>
      </c>
      <c r="H8184">
        <v>1</v>
      </c>
      <c r="I8184">
        <v>1</v>
      </c>
      <c r="J8184">
        <v>131733.88464929999</v>
      </c>
      <c r="K8184">
        <v>112574.681456548</v>
      </c>
      <c r="L8184">
        <v>9.0190000000000108</v>
      </c>
      <c r="M8184">
        <v>81.519000000000005</v>
      </c>
      <c r="N8184">
        <v>5.8079999999999998</v>
      </c>
    </row>
    <row r="8185" spans="1:14" x14ac:dyDescent="0.45">
      <c r="A8185">
        <v>2018</v>
      </c>
      <c r="B8185" t="s">
        <v>171</v>
      </c>
      <c r="C8185">
        <v>1</v>
      </c>
      <c r="D8185">
        <v>0</v>
      </c>
      <c r="E8185">
        <v>0</v>
      </c>
      <c r="F8185">
        <v>0</v>
      </c>
      <c r="G8185">
        <v>0</v>
      </c>
      <c r="H8185">
        <v>1</v>
      </c>
      <c r="I8185">
        <v>1</v>
      </c>
      <c r="J8185">
        <v>34729.706276305697</v>
      </c>
      <c r="K8185">
        <v>30131.121000392799</v>
      </c>
      <c r="L8185">
        <v>31.858000000000001</v>
      </c>
      <c r="M8185">
        <v>74.978999999999999</v>
      </c>
      <c r="N8185">
        <v>3.706</v>
      </c>
    </row>
    <row r="8186" spans="1:14" x14ac:dyDescent="0.45">
      <c r="A8186">
        <v>2018</v>
      </c>
      <c r="B8186" t="s">
        <v>172</v>
      </c>
      <c r="C8186">
        <v>0</v>
      </c>
      <c r="D8186">
        <v>0</v>
      </c>
      <c r="E8186">
        <v>0</v>
      </c>
      <c r="F8186">
        <v>0</v>
      </c>
      <c r="G8186">
        <v>0</v>
      </c>
      <c r="H8186">
        <v>1</v>
      </c>
      <c r="I8186">
        <v>1</v>
      </c>
      <c r="J8186">
        <v>139787.66394708501</v>
      </c>
      <c r="K8186">
        <v>126681.38025740501</v>
      </c>
      <c r="L8186">
        <v>0</v>
      </c>
      <c r="M8186">
        <v>83.396000000000001</v>
      </c>
      <c r="N8186">
        <v>3.4940000000000002</v>
      </c>
    </row>
    <row r="8187" spans="1:14" x14ac:dyDescent="0.45">
      <c r="A8187">
        <v>2018</v>
      </c>
      <c r="B8187" t="s">
        <v>173</v>
      </c>
      <c r="C8187">
        <v>0</v>
      </c>
      <c r="D8187">
        <v>1</v>
      </c>
      <c r="E8187">
        <v>0</v>
      </c>
      <c r="F8187">
        <v>0</v>
      </c>
      <c r="G8187">
        <v>0</v>
      </c>
      <c r="H8187">
        <v>1</v>
      </c>
      <c r="I8187">
        <v>1</v>
      </c>
      <c r="L8187">
        <v>0</v>
      </c>
      <c r="M8187">
        <v>80.028999999999996</v>
      </c>
      <c r="N8187">
        <v>9.9019999999999992</v>
      </c>
    </row>
    <row r="8188" spans="1:14" x14ac:dyDescent="0.45">
      <c r="A8188">
        <v>2018</v>
      </c>
      <c r="B8188" t="s">
        <v>174</v>
      </c>
      <c r="C8188">
        <v>0</v>
      </c>
      <c r="D8188">
        <v>0</v>
      </c>
      <c r="E8188">
        <v>0</v>
      </c>
      <c r="F8188">
        <v>1</v>
      </c>
      <c r="G8188">
        <v>0</v>
      </c>
      <c r="H8188">
        <v>0</v>
      </c>
      <c r="I8188">
        <v>0</v>
      </c>
      <c r="J8188">
        <v>8611.75</v>
      </c>
      <c r="K8188">
        <v>8270.4529104965495</v>
      </c>
      <c r="L8188">
        <v>37.546999999999997</v>
      </c>
      <c r="M8188">
        <v>73.945999999999998</v>
      </c>
      <c r="N8188">
        <v>20.145</v>
      </c>
    </row>
    <row r="8189" spans="1:14" x14ac:dyDescent="0.45">
      <c r="A8189">
        <v>2018</v>
      </c>
      <c r="B8189" t="s">
        <v>175</v>
      </c>
      <c r="C8189">
        <v>1</v>
      </c>
      <c r="D8189">
        <v>0</v>
      </c>
      <c r="E8189">
        <v>0</v>
      </c>
      <c r="F8189">
        <v>0</v>
      </c>
      <c r="G8189">
        <v>0</v>
      </c>
      <c r="H8189">
        <v>1</v>
      </c>
      <c r="I8189">
        <v>1</v>
      </c>
      <c r="L8189">
        <v>0</v>
      </c>
      <c r="M8189">
        <v>86.084000000000003</v>
      </c>
      <c r="N8189">
        <v>4.734</v>
      </c>
    </row>
    <row r="8190" spans="1:14" x14ac:dyDescent="0.45">
      <c r="A8190">
        <v>2018</v>
      </c>
      <c r="B8190" t="s">
        <v>176</v>
      </c>
      <c r="C8190">
        <v>1</v>
      </c>
      <c r="D8190">
        <v>0</v>
      </c>
      <c r="E8190">
        <v>0</v>
      </c>
      <c r="F8190">
        <v>1</v>
      </c>
      <c r="G8190">
        <v>0</v>
      </c>
      <c r="H8190">
        <v>0</v>
      </c>
      <c r="I8190">
        <v>0</v>
      </c>
      <c r="J8190">
        <v>13895.504365569201</v>
      </c>
      <c r="K8190">
        <v>11918.2802393441</v>
      </c>
      <c r="L8190">
        <v>57.371000000000002</v>
      </c>
      <c r="M8190">
        <v>70.236000000000004</v>
      </c>
      <c r="N8190">
        <v>14.98</v>
      </c>
    </row>
    <row r="8191" spans="1:14" x14ac:dyDescent="0.45">
      <c r="A8191">
        <v>2018</v>
      </c>
      <c r="B8191" t="s">
        <v>177</v>
      </c>
      <c r="C8191">
        <v>0</v>
      </c>
      <c r="D8191">
        <v>0</v>
      </c>
      <c r="E8191">
        <v>1</v>
      </c>
      <c r="F8191">
        <v>0</v>
      </c>
      <c r="G8191">
        <v>0</v>
      </c>
      <c r="H8191">
        <v>0</v>
      </c>
      <c r="I8191">
        <v>0</v>
      </c>
      <c r="J8191">
        <v>1678.78623269236</v>
      </c>
      <c r="K8191">
        <v>1555.2721282171699</v>
      </c>
      <c r="L8191">
        <v>62.808999999999997</v>
      </c>
      <c r="M8191">
        <v>63.491</v>
      </c>
      <c r="N8191">
        <v>66.028000000000006</v>
      </c>
    </row>
    <row r="8192" spans="1:14" x14ac:dyDescent="0.45">
      <c r="A8192">
        <v>2018</v>
      </c>
      <c r="B8192" t="s">
        <v>178</v>
      </c>
      <c r="C8192">
        <v>0</v>
      </c>
      <c r="D8192">
        <v>0</v>
      </c>
      <c r="E8192">
        <v>0</v>
      </c>
      <c r="F8192">
        <v>0</v>
      </c>
      <c r="G8192">
        <v>1</v>
      </c>
      <c r="H8192">
        <v>0</v>
      </c>
      <c r="I8192">
        <v>0</v>
      </c>
      <c r="J8192">
        <v>21072.580544780099</v>
      </c>
      <c r="K8192">
        <v>20789.856021801399</v>
      </c>
      <c r="L8192">
        <v>60.192</v>
      </c>
      <c r="M8192">
        <v>79.433000000000007</v>
      </c>
      <c r="N8192">
        <v>7.6360000000000001</v>
      </c>
    </row>
    <row r="8193" spans="1:14" x14ac:dyDescent="0.45">
      <c r="A8193">
        <v>2018</v>
      </c>
      <c r="B8193" t="s">
        <v>179</v>
      </c>
      <c r="C8193">
        <v>0</v>
      </c>
      <c r="D8193">
        <v>1</v>
      </c>
      <c r="E8193">
        <v>0</v>
      </c>
      <c r="F8193">
        <v>0</v>
      </c>
      <c r="G8193">
        <v>1</v>
      </c>
      <c r="H8193">
        <v>0</v>
      </c>
      <c r="I8193">
        <v>0</v>
      </c>
      <c r="J8193">
        <v>21997.773014811701</v>
      </c>
      <c r="K8193">
        <v>20450.783837838801</v>
      </c>
      <c r="L8193">
        <v>19.844000000000001</v>
      </c>
      <c r="M8193">
        <v>74.301000000000002</v>
      </c>
      <c r="N8193">
        <v>14.683</v>
      </c>
    </row>
    <row r="8194" spans="1:14" x14ac:dyDescent="0.45">
      <c r="A8194">
        <v>2018</v>
      </c>
      <c r="B8194" t="s">
        <v>180</v>
      </c>
      <c r="C8194">
        <v>0</v>
      </c>
      <c r="D8194">
        <v>0</v>
      </c>
      <c r="E8194">
        <v>0</v>
      </c>
      <c r="F8194">
        <v>0</v>
      </c>
      <c r="G8194">
        <v>1</v>
      </c>
      <c r="H8194">
        <v>0</v>
      </c>
      <c r="I8194">
        <v>0</v>
      </c>
      <c r="J8194">
        <v>5635.3075042686596</v>
      </c>
      <c r="K8194">
        <v>5097.05047084343</v>
      </c>
      <c r="L8194">
        <v>22.969000000000001</v>
      </c>
      <c r="M8194">
        <v>65.87</v>
      </c>
      <c r="N8194">
        <v>32.511000000000003</v>
      </c>
    </row>
    <row r="8195" spans="1:14" x14ac:dyDescent="0.45">
      <c r="A8195">
        <v>2018</v>
      </c>
      <c r="B8195" t="s">
        <v>181</v>
      </c>
      <c r="C8195">
        <v>1</v>
      </c>
      <c r="D8195">
        <v>0</v>
      </c>
      <c r="E8195">
        <v>0</v>
      </c>
      <c r="F8195">
        <v>0</v>
      </c>
      <c r="G8195">
        <v>1</v>
      </c>
      <c r="H8195">
        <v>0</v>
      </c>
      <c r="I8195">
        <v>0</v>
      </c>
      <c r="J8195">
        <v>20804.776269038299</v>
      </c>
      <c r="K8195">
        <v>17563.139946873202</v>
      </c>
      <c r="L8195">
        <v>42.036999999999999</v>
      </c>
      <c r="M8195">
        <v>76.882999999999996</v>
      </c>
      <c r="N8195">
        <v>6.3470000000000004</v>
      </c>
    </row>
    <row r="8196" spans="1:14" x14ac:dyDescent="0.45">
      <c r="A8196">
        <v>2018</v>
      </c>
      <c r="B8196" t="s">
        <v>182</v>
      </c>
      <c r="C8196">
        <v>0</v>
      </c>
      <c r="D8196">
        <v>0</v>
      </c>
      <c r="E8196">
        <v>1</v>
      </c>
      <c r="F8196">
        <v>0</v>
      </c>
      <c r="G8196">
        <v>0</v>
      </c>
      <c r="H8196">
        <v>0</v>
      </c>
      <c r="I8196">
        <v>0</v>
      </c>
      <c r="J8196">
        <v>2862.4063242994498</v>
      </c>
      <c r="K8196">
        <v>2649.4712932549101</v>
      </c>
      <c r="L8196">
        <v>57.643999999999998</v>
      </c>
      <c r="M8196">
        <v>58.872999999999998</v>
      </c>
      <c r="N8196">
        <v>106.137</v>
      </c>
    </row>
    <row r="8197" spans="1:14" x14ac:dyDescent="0.45">
      <c r="A8197">
        <v>2018</v>
      </c>
      <c r="B8197" t="s">
        <v>183</v>
      </c>
      <c r="C8197">
        <v>0</v>
      </c>
      <c r="D8197">
        <v>0</v>
      </c>
      <c r="E8197">
        <v>0</v>
      </c>
      <c r="F8197">
        <v>0</v>
      </c>
      <c r="G8197">
        <v>0</v>
      </c>
      <c r="H8197">
        <v>1</v>
      </c>
      <c r="I8197">
        <v>1</v>
      </c>
      <c r="J8197">
        <v>53367.947669514899</v>
      </c>
      <c r="K8197">
        <v>46165.886869128699</v>
      </c>
      <c r="L8197">
        <v>5.3880000000000097</v>
      </c>
      <c r="M8197">
        <v>82.908000000000001</v>
      </c>
      <c r="N8197">
        <v>6.577</v>
      </c>
    </row>
    <row r="8198" spans="1:14" x14ac:dyDescent="0.45">
      <c r="A8198">
        <v>2018</v>
      </c>
      <c r="B8198" t="s">
        <v>184</v>
      </c>
      <c r="C8198">
        <v>0</v>
      </c>
      <c r="D8198">
        <v>0</v>
      </c>
      <c r="E8198">
        <v>0</v>
      </c>
      <c r="F8198">
        <v>1</v>
      </c>
      <c r="G8198">
        <v>0</v>
      </c>
      <c r="H8198">
        <v>0</v>
      </c>
      <c r="I8198">
        <v>0</v>
      </c>
      <c r="J8198">
        <v>6201.2634142980296</v>
      </c>
      <c r="K8198">
        <v>4965.3710388005302</v>
      </c>
      <c r="L8198">
        <v>69.421000000000006</v>
      </c>
      <c r="M8198">
        <v>66.231999999999999</v>
      </c>
      <c r="N8198">
        <v>46.149000000000001</v>
      </c>
    </row>
    <row r="8199" spans="1:14" x14ac:dyDescent="0.45">
      <c r="A8199">
        <v>2018</v>
      </c>
      <c r="B8199" t="s">
        <v>185</v>
      </c>
      <c r="C8199">
        <v>1</v>
      </c>
      <c r="D8199">
        <v>0</v>
      </c>
      <c r="E8199">
        <v>0</v>
      </c>
      <c r="F8199">
        <v>0</v>
      </c>
      <c r="G8199">
        <v>1</v>
      </c>
      <c r="H8199">
        <v>0</v>
      </c>
      <c r="I8199">
        <v>0</v>
      </c>
      <c r="J8199">
        <v>23877.7240673296</v>
      </c>
      <c r="K8199">
        <v>20175.219169920099</v>
      </c>
      <c r="L8199">
        <v>33.186999999999998</v>
      </c>
      <c r="M8199">
        <v>76.921000000000006</v>
      </c>
      <c r="N8199">
        <v>3.2570000000000001</v>
      </c>
    </row>
    <row r="8200" spans="1:14" x14ac:dyDescent="0.45">
      <c r="A8200">
        <v>2018</v>
      </c>
      <c r="B8200" t="s">
        <v>186</v>
      </c>
      <c r="C8200">
        <v>0</v>
      </c>
      <c r="D8200">
        <v>0</v>
      </c>
      <c r="E8200">
        <v>0</v>
      </c>
      <c r="F8200">
        <v>1</v>
      </c>
      <c r="G8200">
        <v>0</v>
      </c>
      <c r="H8200">
        <v>0</v>
      </c>
      <c r="I8200">
        <v>0</v>
      </c>
      <c r="J8200">
        <v>15230.2408828847</v>
      </c>
      <c r="K8200">
        <v>11734.533575048799</v>
      </c>
      <c r="L8200">
        <v>31.555</v>
      </c>
      <c r="M8200">
        <v>70.573999999999998</v>
      </c>
      <c r="N8200">
        <v>16.521000000000001</v>
      </c>
    </row>
    <row r="8201" spans="1:14" x14ac:dyDescent="0.45">
      <c r="A8201">
        <v>2018</v>
      </c>
      <c r="B8201" t="s">
        <v>187</v>
      </c>
      <c r="C8201">
        <v>0</v>
      </c>
      <c r="D8201">
        <v>0</v>
      </c>
      <c r="E8201">
        <v>0</v>
      </c>
      <c r="F8201">
        <v>0</v>
      </c>
      <c r="G8201">
        <v>0</v>
      </c>
      <c r="H8201">
        <v>1</v>
      </c>
      <c r="I8201">
        <v>1</v>
      </c>
      <c r="L8201">
        <v>8.3820000000000103</v>
      </c>
      <c r="M8201">
        <v>77.510000000000005</v>
      </c>
      <c r="N8201">
        <v>8.4979999999999993</v>
      </c>
    </row>
    <row r="8202" spans="1:14" x14ac:dyDescent="0.45">
      <c r="A8202">
        <v>2018</v>
      </c>
      <c r="B8202" t="s">
        <v>188</v>
      </c>
      <c r="C8202">
        <v>0</v>
      </c>
      <c r="D8202">
        <v>0</v>
      </c>
      <c r="E8202">
        <v>1</v>
      </c>
      <c r="F8202">
        <v>0</v>
      </c>
      <c r="G8202">
        <v>0</v>
      </c>
      <c r="H8202">
        <v>0</v>
      </c>
      <c r="I8202">
        <v>0</v>
      </c>
      <c r="J8202">
        <v>1538.83512127022</v>
      </c>
      <c r="K8202">
        <v>1288.4665016444701</v>
      </c>
      <c r="L8202">
        <v>64.012</v>
      </c>
      <c r="M8202">
        <v>60.79</v>
      </c>
      <c r="N8202">
        <v>75.016999999999996</v>
      </c>
    </row>
    <row r="8203" spans="1:14" x14ac:dyDescent="0.45">
      <c r="A8203">
        <v>2018</v>
      </c>
      <c r="B8203" t="s">
        <v>189</v>
      </c>
      <c r="C8203">
        <v>0</v>
      </c>
      <c r="D8203">
        <v>0</v>
      </c>
      <c r="E8203">
        <v>1</v>
      </c>
      <c r="F8203">
        <v>1</v>
      </c>
      <c r="G8203">
        <v>0</v>
      </c>
      <c r="H8203">
        <v>0</v>
      </c>
      <c r="I8203">
        <v>0</v>
      </c>
      <c r="J8203">
        <v>6153.6379085369499</v>
      </c>
      <c r="K8203">
        <v>5444.2057360725003</v>
      </c>
      <c r="L8203">
        <v>46.328000000000003</v>
      </c>
      <c r="M8203">
        <v>67.418999999999997</v>
      </c>
      <c r="N8203">
        <v>44.49</v>
      </c>
    </row>
    <row r="8204" spans="1:14" x14ac:dyDescent="0.45">
      <c r="A8204">
        <v>2018</v>
      </c>
      <c r="B8204" t="s">
        <v>190</v>
      </c>
      <c r="C8204">
        <v>0</v>
      </c>
      <c r="D8204">
        <v>0</v>
      </c>
      <c r="E8204">
        <v>1</v>
      </c>
      <c r="F8204">
        <v>0</v>
      </c>
      <c r="G8204">
        <v>1</v>
      </c>
      <c r="H8204">
        <v>0</v>
      </c>
      <c r="I8204">
        <v>0</v>
      </c>
      <c r="J8204">
        <v>25024.1337925763</v>
      </c>
      <c r="K8204">
        <v>23488.269655950498</v>
      </c>
      <c r="L8204">
        <v>59.207000000000001</v>
      </c>
      <c r="M8204">
        <v>74.491</v>
      </c>
      <c r="N8204">
        <v>15.72</v>
      </c>
    </row>
    <row r="8205" spans="1:14" x14ac:dyDescent="0.45">
      <c r="A8205">
        <v>2018</v>
      </c>
      <c r="B8205" t="s">
        <v>191</v>
      </c>
      <c r="C8205">
        <v>0</v>
      </c>
      <c r="D8205">
        <v>0</v>
      </c>
      <c r="E8205">
        <v>1</v>
      </c>
      <c r="F8205">
        <v>0</v>
      </c>
      <c r="G8205">
        <v>0</v>
      </c>
      <c r="H8205">
        <v>0</v>
      </c>
      <c r="I8205">
        <v>0</v>
      </c>
      <c r="J8205">
        <v>1638.91665761076</v>
      </c>
      <c r="K8205">
        <v>1402.3576704529601</v>
      </c>
      <c r="L8205">
        <v>83.063000000000002</v>
      </c>
      <c r="M8205">
        <v>64.463999999999999</v>
      </c>
      <c r="N8205">
        <v>48.192999999999998</v>
      </c>
    </row>
    <row r="8206" spans="1:14" x14ac:dyDescent="0.45">
      <c r="A8206">
        <v>2018</v>
      </c>
      <c r="B8206" t="s">
        <v>192</v>
      </c>
      <c r="C8206">
        <v>0</v>
      </c>
      <c r="D8206">
        <v>0</v>
      </c>
      <c r="E8206">
        <v>0</v>
      </c>
      <c r="F8206">
        <v>0</v>
      </c>
      <c r="G8206">
        <v>1</v>
      </c>
      <c r="H8206">
        <v>0</v>
      </c>
      <c r="I8206">
        <v>0</v>
      </c>
      <c r="J8206">
        <v>30459.965533806098</v>
      </c>
      <c r="K8206">
        <v>27227.6151753083</v>
      </c>
      <c r="L8206">
        <v>23.963999999999999</v>
      </c>
      <c r="M8206">
        <v>75.733999999999995</v>
      </c>
      <c r="N8206">
        <v>8.0760000000000005</v>
      </c>
    </row>
    <row r="8207" spans="1:14" x14ac:dyDescent="0.45">
      <c r="A8207">
        <v>2018</v>
      </c>
      <c r="B8207" t="s">
        <v>193</v>
      </c>
      <c r="C8207">
        <v>0</v>
      </c>
      <c r="D8207">
        <v>0</v>
      </c>
      <c r="E8207">
        <v>1</v>
      </c>
      <c r="F8207">
        <v>0</v>
      </c>
      <c r="G8207">
        <v>1</v>
      </c>
      <c r="H8207">
        <v>0</v>
      </c>
      <c r="I8207">
        <v>0</v>
      </c>
      <c r="J8207">
        <v>11214.38604306</v>
      </c>
      <c r="K8207">
        <v>9719.5061900695091</v>
      </c>
      <c r="L8207">
        <v>49.968000000000004</v>
      </c>
      <c r="M8207">
        <v>62.579000000000001</v>
      </c>
      <c r="N8207">
        <v>42.433999999999997</v>
      </c>
    </row>
    <row r="8208" spans="1:14" x14ac:dyDescent="0.45">
      <c r="A8208">
        <v>2018</v>
      </c>
      <c r="B8208" t="s">
        <v>194</v>
      </c>
      <c r="C8208">
        <v>0</v>
      </c>
      <c r="D8208">
        <v>0</v>
      </c>
      <c r="E8208">
        <v>0</v>
      </c>
      <c r="F8208">
        <v>0</v>
      </c>
      <c r="G8208">
        <v>0</v>
      </c>
      <c r="H8208">
        <v>1</v>
      </c>
      <c r="I8208">
        <v>1</v>
      </c>
      <c r="L8208">
        <v>29.317</v>
      </c>
      <c r="M8208">
        <v>77.557000000000002</v>
      </c>
      <c r="N8208">
        <v>13.225</v>
      </c>
    </row>
    <row r="8209" spans="1:14" x14ac:dyDescent="0.45">
      <c r="A8209">
        <v>2018</v>
      </c>
      <c r="B8209" t="s">
        <v>195</v>
      </c>
      <c r="C8209">
        <v>0</v>
      </c>
      <c r="D8209">
        <v>0</v>
      </c>
      <c r="E8209">
        <v>1</v>
      </c>
      <c r="F8209">
        <v>0</v>
      </c>
      <c r="G8209">
        <v>0</v>
      </c>
      <c r="H8209">
        <v>0</v>
      </c>
      <c r="I8209">
        <v>0</v>
      </c>
      <c r="J8209">
        <v>1574.3383826266599</v>
      </c>
      <c r="K8209">
        <v>1251.3348149173</v>
      </c>
      <c r="L8209">
        <v>83.575000000000003</v>
      </c>
      <c r="M8209">
        <v>59.765000000000001</v>
      </c>
      <c r="N8209">
        <v>123.595</v>
      </c>
    </row>
    <row r="8210" spans="1:14" x14ac:dyDescent="0.45">
      <c r="A8210">
        <v>2018</v>
      </c>
      <c r="B8210" t="s">
        <v>196</v>
      </c>
      <c r="C8210">
        <v>0</v>
      </c>
      <c r="D8210">
        <v>0</v>
      </c>
      <c r="E8210">
        <v>1</v>
      </c>
      <c r="F8210">
        <v>1</v>
      </c>
      <c r="G8210">
        <v>0</v>
      </c>
      <c r="H8210">
        <v>0</v>
      </c>
      <c r="I8210">
        <v>0</v>
      </c>
      <c r="J8210">
        <v>5628.7407944201505</v>
      </c>
      <c r="K8210">
        <v>4976.5654926379902</v>
      </c>
      <c r="L8210">
        <v>49.655999999999999</v>
      </c>
      <c r="M8210">
        <v>52.668999999999997</v>
      </c>
      <c r="N8210">
        <v>119.521</v>
      </c>
    </row>
    <row r="8211" spans="1:14" x14ac:dyDescent="0.45">
      <c r="A8211">
        <v>2018</v>
      </c>
      <c r="B8211" t="s">
        <v>197</v>
      </c>
      <c r="C8211">
        <v>0</v>
      </c>
      <c r="D8211">
        <v>1</v>
      </c>
      <c r="E8211">
        <v>0</v>
      </c>
      <c r="F8211">
        <v>1</v>
      </c>
      <c r="G8211">
        <v>0</v>
      </c>
      <c r="H8211">
        <v>0</v>
      </c>
      <c r="I8211">
        <v>0</v>
      </c>
      <c r="J8211">
        <v>7049.0275344235197</v>
      </c>
      <c r="K8211">
        <v>5937.1502443210602</v>
      </c>
      <c r="L8211">
        <v>41.478000000000002</v>
      </c>
      <c r="M8211">
        <v>73.879000000000005</v>
      </c>
      <c r="N8211">
        <v>17.428000000000001</v>
      </c>
    </row>
    <row r="8212" spans="1:14" x14ac:dyDescent="0.45">
      <c r="A8212">
        <v>2018</v>
      </c>
      <c r="B8212" t="s">
        <v>198</v>
      </c>
      <c r="C8212">
        <v>1</v>
      </c>
      <c r="D8212">
        <v>0</v>
      </c>
      <c r="E8212">
        <v>0</v>
      </c>
      <c r="F8212">
        <v>0</v>
      </c>
      <c r="G8212">
        <v>0</v>
      </c>
      <c r="H8212">
        <v>1</v>
      </c>
      <c r="I8212">
        <v>1</v>
      </c>
      <c r="J8212">
        <v>66758.264014575296</v>
      </c>
      <c r="K8212">
        <v>56353.522927597303</v>
      </c>
      <c r="L8212">
        <v>8.5100000000000104</v>
      </c>
      <c r="M8212">
        <v>81.781000000000006</v>
      </c>
      <c r="N8212">
        <v>3.9630000000000001</v>
      </c>
    </row>
    <row r="8213" spans="1:14" x14ac:dyDescent="0.45">
      <c r="A8213">
        <v>2018</v>
      </c>
      <c r="B8213" t="s">
        <v>199</v>
      </c>
      <c r="C8213">
        <v>1</v>
      </c>
      <c r="D8213">
        <v>0</v>
      </c>
      <c r="E8213">
        <v>0</v>
      </c>
      <c r="F8213">
        <v>0</v>
      </c>
      <c r="G8213">
        <v>0</v>
      </c>
      <c r="H8213">
        <v>1</v>
      </c>
      <c r="I8213">
        <v>1</v>
      </c>
      <c r="J8213">
        <v>87338.470800898504</v>
      </c>
      <c r="K8213">
        <v>64533.3137146101</v>
      </c>
      <c r="L8213">
        <v>17.751999999999999</v>
      </c>
      <c r="M8213">
        <v>82.76</v>
      </c>
      <c r="N8213">
        <v>2.5390000000000001</v>
      </c>
    </row>
    <row r="8214" spans="1:14" x14ac:dyDescent="0.45">
      <c r="A8214">
        <v>2018</v>
      </c>
      <c r="B8214" t="s">
        <v>200</v>
      </c>
      <c r="C8214">
        <v>0</v>
      </c>
      <c r="D8214">
        <v>0</v>
      </c>
      <c r="E8214">
        <v>0</v>
      </c>
      <c r="F8214">
        <v>0</v>
      </c>
      <c r="G8214">
        <v>0</v>
      </c>
      <c r="H8214">
        <v>0</v>
      </c>
      <c r="I8214">
        <v>0</v>
      </c>
      <c r="J8214">
        <v>4371.3857177189702</v>
      </c>
      <c r="K8214">
        <v>3870.0180375855698</v>
      </c>
      <c r="L8214">
        <v>80.260000000000005</v>
      </c>
      <c r="M8214">
        <v>69.036000000000001</v>
      </c>
      <c r="N8214">
        <v>32.902000000000001</v>
      </c>
    </row>
    <row r="8215" spans="1:14" x14ac:dyDescent="0.45">
      <c r="A8215">
        <v>2018</v>
      </c>
      <c r="B8215" t="s">
        <v>201</v>
      </c>
      <c r="C8215">
        <v>0</v>
      </c>
      <c r="D8215">
        <v>0</v>
      </c>
      <c r="E8215">
        <v>0</v>
      </c>
      <c r="F8215">
        <v>0</v>
      </c>
      <c r="G8215">
        <v>1</v>
      </c>
      <c r="H8215">
        <v>0</v>
      </c>
      <c r="I8215">
        <v>0</v>
      </c>
      <c r="J8215">
        <v>10490.855629992901</v>
      </c>
      <c r="K8215">
        <v>9491.2918300003203</v>
      </c>
      <c r="L8215">
        <v>0</v>
      </c>
      <c r="M8215">
        <v>61.238</v>
      </c>
      <c r="N8215">
        <v>30.170999999999999</v>
      </c>
    </row>
    <row r="8216" spans="1:14" x14ac:dyDescent="0.45">
      <c r="A8216">
        <v>2018</v>
      </c>
      <c r="B8216" t="s">
        <v>202</v>
      </c>
      <c r="C8216">
        <v>0</v>
      </c>
      <c r="D8216">
        <v>0</v>
      </c>
      <c r="E8216">
        <v>0</v>
      </c>
      <c r="F8216">
        <v>0</v>
      </c>
      <c r="G8216">
        <v>0</v>
      </c>
      <c r="H8216">
        <v>1</v>
      </c>
      <c r="I8216">
        <v>1</v>
      </c>
      <c r="J8216">
        <v>46947.937247914</v>
      </c>
      <c r="K8216">
        <v>42701.590221587998</v>
      </c>
      <c r="L8216">
        <v>13.462</v>
      </c>
      <c r="M8216">
        <v>81.884</v>
      </c>
      <c r="N8216">
        <v>4.4969999999999999</v>
      </c>
    </row>
    <row r="8217" spans="1:14" x14ac:dyDescent="0.45">
      <c r="A8217">
        <v>2018</v>
      </c>
      <c r="B8217" t="s">
        <v>203</v>
      </c>
      <c r="C8217">
        <v>0</v>
      </c>
      <c r="D8217">
        <v>0</v>
      </c>
      <c r="E8217">
        <v>0</v>
      </c>
      <c r="F8217">
        <v>0</v>
      </c>
      <c r="G8217">
        <v>0</v>
      </c>
      <c r="H8217">
        <v>1</v>
      </c>
      <c r="I8217">
        <v>1</v>
      </c>
      <c r="J8217">
        <v>38673.604536085702</v>
      </c>
      <c r="K8217">
        <v>33604.291129059602</v>
      </c>
      <c r="L8217">
        <v>15.461</v>
      </c>
      <c r="M8217">
        <v>79.864000000000004</v>
      </c>
      <c r="N8217">
        <v>10.882</v>
      </c>
    </row>
    <row r="8218" spans="1:14" x14ac:dyDescent="0.45">
      <c r="A8218">
        <v>2018</v>
      </c>
      <c r="B8218" t="s">
        <v>204</v>
      </c>
      <c r="C8218">
        <v>0</v>
      </c>
      <c r="D8218">
        <v>0</v>
      </c>
      <c r="E8218">
        <v>0</v>
      </c>
      <c r="F8218">
        <v>1</v>
      </c>
      <c r="G8218">
        <v>0</v>
      </c>
      <c r="H8218">
        <v>0</v>
      </c>
      <c r="I8218">
        <v>0</v>
      </c>
      <c r="J8218">
        <v>5255.0635068127203</v>
      </c>
      <c r="K8218">
        <v>5002.2885417029502</v>
      </c>
      <c r="L8218">
        <v>63.334000000000003</v>
      </c>
      <c r="M8218">
        <v>66.480999999999995</v>
      </c>
      <c r="N8218">
        <v>69.418000000000006</v>
      </c>
    </row>
    <row r="8219" spans="1:14" x14ac:dyDescent="0.45">
      <c r="A8219">
        <v>2018</v>
      </c>
      <c r="B8219" t="s">
        <v>205</v>
      </c>
      <c r="C8219">
        <v>0</v>
      </c>
      <c r="D8219">
        <v>1</v>
      </c>
      <c r="E8219">
        <v>0</v>
      </c>
      <c r="F8219">
        <v>0</v>
      </c>
      <c r="G8219">
        <v>0</v>
      </c>
      <c r="H8219">
        <v>1</v>
      </c>
      <c r="I8219">
        <v>1</v>
      </c>
      <c r="J8219">
        <v>32681.446362697701</v>
      </c>
      <c r="K8219">
        <v>34269.046697490099</v>
      </c>
      <c r="L8219">
        <v>32.290999999999997</v>
      </c>
      <c r="M8219">
        <v>78.266000000000005</v>
      </c>
      <c r="N8219">
        <v>17.268999999999998</v>
      </c>
    </row>
    <row r="8220" spans="1:14" x14ac:dyDescent="0.45">
      <c r="A8220">
        <v>2018</v>
      </c>
      <c r="B8220" t="s">
        <v>206</v>
      </c>
      <c r="C8220">
        <v>0</v>
      </c>
      <c r="D8220">
        <v>1</v>
      </c>
      <c r="E8220">
        <v>0</v>
      </c>
      <c r="F8220">
        <v>0</v>
      </c>
      <c r="G8220">
        <v>1</v>
      </c>
      <c r="H8220">
        <v>0</v>
      </c>
      <c r="I8220">
        <v>0</v>
      </c>
      <c r="J8220">
        <v>15386.2601642505</v>
      </c>
      <c r="K8220">
        <v>12856.516253207599</v>
      </c>
      <c r="L8220">
        <v>22.093</v>
      </c>
      <c r="M8220">
        <v>76.018000000000001</v>
      </c>
      <c r="N8220">
        <v>16.196000000000002</v>
      </c>
    </row>
    <row r="8221" spans="1:14" x14ac:dyDescent="0.45">
      <c r="A8221">
        <v>2018</v>
      </c>
      <c r="B8221" t="s">
        <v>207</v>
      </c>
      <c r="C8221">
        <v>0</v>
      </c>
      <c r="D8221">
        <v>0</v>
      </c>
      <c r="E8221">
        <v>0</v>
      </c>
      <c r="F8221">
        <v>1</v>
      </c>
      <c r="G8221">
        <v>0</v>
      </c>
      <c r="H8221">
        <v>0</v>
      </c>
      <c r="I8221">
        <v>0</v>
      </c>
      <c r="J8221">
        <v>9016.2865963760796</v>
      </c>
      <c r="K8221">
        <v>8165.1543152931799</v>
      </c>
      <c r="L8221">
        <v>53.093000000000004</v>
      </c>
      <c r="M8221">
        <v>69.760999999999996</v>
      </c>
      <c r="N8221">
        <v>28.382999999999999</v>
      </c>
    </row>
    <row r="8222" spans="1:14" x14ac:dyDescent="0.45">
      <c r="A8222">
        <v>2018</v>
      </c>
      <c r="B8222" t="s">
        <v>208</v>
      </c>
      <c r="C8222">
        <v>0</v>
      </c>
      <c r="D8222">
        <v>0</v>
      </c>
      <c r="E8222">
        <v>0</v>
      </c>
      <c r="F8222">
        <v>0</v>
      </c>
      <c r="G8222">
        <v>0</v>
      </c>
      <c r="H8222">
        <v>1</v>
      </c>
      <c r="I8222">
        <v>1</v>
      </c>
      <c r="J8222">
        <v>19256.927626691599</v>
      </c>
      <c r="K8222">
        <v>17422.136601669099</v>
      </c>
      <c r="L8222">
        <v>20.07</v>
      </c>
      <c r="M8222">
        <v>68.989000000000004</v>
      </c>
      <c r="N8222">
        <v>22.562000000000001</v>
      </c>
    </row>
    <row r="8223" spans="1:14" x14ac:dyDescent="0.45">
      <c r="A8223">
        <v>2018</v>
      </c>
      <c r="B8223" t="s">
        <v>209</v>
      </c>
      <c r="C8223">
        <v>0</v>
      </c>
      <c r="D8223">
        <v>0</v>
      </c>
      <c r="E8223">
        <v>0</v>
      </c>
      <c r="F8223">
        <v>1</v>
      </c>
      <c r="G8223">
        <v>0</v>
      </c>
      <c r="H8223">
        <v>0</v>
      </c>
      <c r="I8223">
        <v>0</v>
      </c>
      <c r="J8223">
        <v>4211.1454741468997</v>
      </c>
      <c r="K8223">
        <v>3809.4078637451298</v>
      </c>
      <c r="L8223">
        <v>86.831000000000003</v>
      </c>
      <c r="M8223">
        <v>65.114000000000004</v>
      </c>
      <c r="N8223">
        <v>47.18</v>
      </c>
    </row>
    <row r="8224" spans="1:14" x14ac:dyDescent="0.45">
      <c r="A8224">
        <v>2018</v>
      </c>
      <c r="B8224" t="s">
        <v>210</v>
      </c>
      <c r="C8224">
        <v>1</v>
      </c>
      <c r="D8224">
        <v>0</v>
      </c>
      <c r="E8224">
        <v>0</v>
      </c>
      <c r="F8224">
        <v>0</v>
      </c>
      <c r="G8224">
        <v>0</v>
      </c>
      <c r="H8224">
        <v>1</v>
      </c>
      <c r="I8224">
        <v>1</v>
      </c>
      <c r="J8224">
        <v>36500.411428258398</v>
      </c>
      <c r="K8224">
        <v>31506.098951292301</v>
      </c>
      <c r="L8224">
        <v>39.942</v>
      </c>
      <c r="M8224">
        <v>77.623000000000005</v>
      </c>
      <c r="N8224">
        <v>4.47</v>
      </c>
    </row>
    <row r="8225" spans="1:14" x14ac:dyDescent="0.45">
      <c r="A8225">
        <v>2018</v>
      </c>
      <c r="B8225" t="s">
        <v>211</v>
      </c>
      <c r="C8225">
        <v>0</v>
      </c>
      <c r="D8225">
        <v>1</v>
      </c>
      <c r="E8225">
        <v>0</v>
      </c>
      <c r="F8225">
        <v>0</v>
      </c>
      <c r="G8225">
        <v>0</v>
      </c>
      <c r="H8225">
        <v>1</v>
      </c>
      <c r="I8225">
        <v>1</v>
      </c>
      <c r="J8225">
        <v>41119.308805164801</v>
      </c>
      <c r="K8225">
        <v>31589.5278828347</v>
      </c>
      <c r="L8225">
        <v>6.4219999999999997</v>
      </c>
      <c r="M8225">
        <v>81.085999999999999</v>
      </c>
      <c r="N8225">
        <v>6.9729999999999999</v>
      </c>
    </row>
    <row r="8226" spans="1:14" x14ac:dyDescent="0.45">
      <c r="A8226">
        <v>2018</v>
      </c>
      <c r="B8226" t="s">
        <v>212</v>
      </c>
      <c r="C8226">
        <v>0</v>
      </c>
      <c r="D8226">
        <v>0</v>
      </c>
      <c r="E8226">
        <v>0</v>
      </c>
      <c r="F8226">
        <v>0</v>
      </c>
      <c r="G8226">
        <v>0</v>
      </c>
      <c r="H8226">
        <v>0</v>
      </c>
      <c r="I8226">
        <v>0</v>
      </c>
      <c r="L8226">
        <v>38.100999999999999</v>
      </c>
      <c r="M8226">
        <v>73.02</v>
      </c>
      <c r="N8226">
        <v>18.468</v>
      </c>
    </row>
    <row r="8227" spans="1:14" x14ac:dyDescent="0.45">
      <c r="A8227">
        <v>2018</v>
      </c>
      <c r="B8227" t="s">
        <v>213</v>
      </c>
      <c r="C8227">
        <v>1</v>
      </c>
      <c r="D8227">
        <v>0</v>
      </c>
      <c r="E8227">
        <v>0</v>
      </c>
      <c r="F8227">
        <v>0</v>
      </c>
      <c r="G8227">
        <v>0</v>
      </c>
      <c r="H8227">
        <v>1</v>
      </c>
      <c r="I8227">
        <v>1</v>
      </c>
      <c r="J8227">
        <v>39123.614759527503</v>
      </c>
      <c r="K8227">
        <v>33817.791168793497</v>
      </c>
      <c r="L8227">
        <v>34.789000000000001</v>
      </c>
      <c r="M8227">
        <v>81.590999999999994</v>
      </c>
      <c r="N8227">
        <v>4.0590000000000002</v>
      </c>
    </row>
    <row r="8228" spans="1:14" x14ac:dyDescent="0.45">
      <c r="A8228">
        <v>2018</v>
      </c>
      <c r="B8228" t="s">
        <v>214</v>
      </c>
      <c r="C8228">
        <v>0</v>
      </c>
      <c r="D8228">
        <v>1</v>
      </c>
      <c r="E8228">
        <v>0</v>
      </c>
      <c r="F8228">
        <v>0</v>
      </c>
      <c r="G8228">
        <v>1</v>
      </c>
      <c r="H8228">
        <v>0</v>
      </c>
      <c r="I8228">
        <v>0</v>
      </c>
      <c r="J8228">
        <v>15592.9841390273</v>
      </c>
      <c r="K8228">
        <v>14226.0881005177</v>
      </c>
      <c r="L8228">
        <v>38.414999999999999</v>
      </c>
      <c r="M8228">
        <v>73.626999999999995</v>
      </c>
      <c r="N8228">
        <v>20.007000000000001</v>
      </c>
    </row>
    <row r="8229" spans="1:14" x14ac:dyDescent="0.45">
      <c r="A8229">
        <v>2018</v>
      </c>
      <c r="B8229" t="s">
        <v>215</v>
      </c>
      <c r="C8229">
        <v>0</v>
      </c>
      <c r="D8229">
        <v>0</v>
      </c>
      <c r="E8229">
        <v>0</v>
      </c>
      <c r="F8229">
        <v>1</v>
      </c>
      <c r="G8229">
        <v>0</v>
      </c>
      <c r="H8229">
        <v>0</v>
      </c>
      <c r="I8229">
        <v>0</v>
      </c>
      <c r="J8229">
        <v>6342.9374800852001</v>
      </c>
      <c r="K8229">
        <v>5408.5268089313704</v>
      </c>
      <c r="L8229">
        <v>23.835999999999999</v>
      </c>
      <c r="M8229">
        <v>75.38</v>
      </c>
      <c r="N8229">
        <v>16.757000000000001</v>
      </c>
    </row>
    <row r="8230" spans="1:14" x14ac:dyDescent="0.45">
      <c r="A8230">
        <v>2018</v>
      </c>
      <c r="B8230" t="s">
        <v>216</v>
      </c>
      <c r="C8230">
        <v>0</v>
      </c>
      <c r="D8230">
        <v>0</v>
      </c>
      <c r="E8230">
        <v>0</v>
      </c>
      <c r="F8230">
        <v>0</v>
      </c>
      <c r="G8230">
        <v>0</v>
      </c>
      <c r="H8230">
        <v>1</v>
      </c>
      <c r="I8230">
        <v>1</v>
      </c>
      <c r="L8230">
        <v>38.165999999999997</v>
      </c>
      <c r="M8230">
        <v>82.984999999999999</v>
      </c>
      <c r="N8230">
        <v>6.8680000000000003</v>
      </c>
    </row>
    <row r="8231" spans="1:14" x14ac:dyDescent="0.45">
      <c r="A8231">
        <v>2018</v>
      </c>
      <c r="B8231" t="s">
        <v>217</v>
      </c>
      <c r="C8231">
        <v>0</v>
      </c>
      <c r="D8231">
        <v>0</v>
      </c>
      <c r="E8231">
        <v>0</v>
      </c>
      <c r="F8231">
        <v>0</v>
      </c>
      <c r="G8231">
        <v>0</v>
      </c>
      <c r="H8231">
        <v>1</v>
      </c>
      <c r="I8231">
        <v>1</v>
      </c>
      <c r="J8231">
        <v>114909.945485127</v>
      </c>
      <c r="K8231">
        <v>99224.492242937806</v>
      </c>
      <c r="L8231">
        <v>0.864999999999995</v>
      </c>
      <c r="M8231">
        <v>82.713999999999999</v>
      </c>
      <c r="N8231">
        <v>6.5519999999999996</v>
      </c>
    </row>
    <row r="8232" spans="1:14" x14ac:dyDescent="0.45">
      <c r="A8232">
        <v>2018</v>
      </c>
      <c r="B8232" t="s">
        <v>218</v>
      </c>
      <c r="C8232">
        <v>1</v>
      </c>
      <c r="D8232">
        <v>0</v>
      </c>
      <c r="E8232">
        <v>0</v>
      </c>
      <c r="F8232">
        <v>0</v>
      </c>
      <c r="G8232">
        <v>1</v>
      </c>
      <c r="H8232">
        <v>0</v>
      </c>
      <c r="I8232">
        <v>0</v>
      </c>
      <c r="J8232">
        <v>35065.180260834</v>
      </c>
      <c r="K8232">
        <v>28502.243146477998</v>
      </c>
      <c r="L8232">
        <v>46.002000000000002</v>
      </c>
      <c r="M8232">
        <v>75.102999999999994</v>
      </c>
      <c r="N8232">
        <v>7.4379999999999997</v>
      </c>
    </row>
    <row r="8233" spans="1:14" x14ac:dyDescent="0.45">
      <c r="A8233">
        <v>2018</v>
      </c>
      <c r="B8233" t="s">
        <v>219</v>
      </c>
      <c r="C8233">
        <v>1</v>
      </c>
      <c r="D8233">
        <v>0</v>
      </c>
      <c r="E8233">
        <v>0</v>
      </c>
      <c r="F8233">
        <v>0</v>
      </c>
      <c r="G8233">
        <v>1</v>
      </c>
      <c r="H8233">
        <v>0</v>
      </c>
      <c r="I8233">
        <v>0</v>
      </c>
      <c r="J8233">
        <v>36536.6953125</v>
      </c>
      <c r="K8233">
        <v>26478.1855613673</v>
      </c>
      <c r="L8233">
        <v>25.567</v>
      </c>
      <c r="M8233">
        <v>72.936000000000007</v>
      </c>
      <c r="N8233">
        <v>6.2229999999999999</v>
      </c>
    </row>
    <row r="8234" spans="1:14" x14ac:dyDescent="0.45">
      <c r="A8234">
        <v>2018</v>
      </c>
      <c r="B8234" t="s">
        <v>220</v>
      </c>
      <c r="C8234">
        <v>0</v>
      </c>
      <c r="D8234">
        <v>0</v>
      </c>
      <c r="E8234">
        <v>1</v>
      </c>
      <c r="F8234">
        <v>0</v>
      </c>
      <c r="G8234">
        <v>0</v>
      </c>
      <c r="H8234">
        <v>0</v>
      </c>
      <c r="I8234">
        <v>0</v>
      </c>
      <c r="J8234">
        <v>2493.4400174493799</v>
      </c>
      <c r="K8234">
        <v>2086.6448960000098</v>
      </c>
      <c r="L8234">
        <v>82.789000000000001</v>
      </c>
      <c r="M8234">
        <v>66.353999999999999</v>
      </c>
      <c r="N8234">
        <v>43.101999999999997</v>
      </c>
    </row>
    <row r="8235" spans="1:14" x14ac:dyDescent="0.45">
      <c r="A8235">
        <v>2018</v>
      </c>
      <c r="B8235" t="s">
        <v>221</v>
      </c>
      <c r="C8235">
        <v>0</v>
      </c>
      <c r="D8235">
        <v>0</v>
      </c>
      <c r="E8235">
        <v>0</v>
      </c>
      <c r="F8235">
        <v>0</v>
      </c>
      <c r="G8235">
        <v>0</v>
      </c>
      <c r="H8235">
        <v>1</v>
      </c>
      <c r="I8235">
        <v>1</v>
      </c>
      <c r="J8235">
        <v>61359.465374038802</v>
      </c>
      <c r="K8235">
        <v>56253.010444849402</v>
      </c>
      <c r="L8235">
        <v>16.155999999999999</v>
      </c>
      <c r="M8235">
        <v>78.75</v>
      </c>
      <c r="N8235">
        <v>7.7569999999999997</v>
      </c>
    </row>
    <row r="8236" spans="1:14" x14ac:dyDescent="0.45">
      <c r="A8236">
        <v>2018</v>
      </c>
      <c r="B8236" t="s">
        <v>222</v>
      </c>
      <c r="C8236">
        <v>0</v>
      </c>
      <c r="D8236">
        <v>0</v>
      </c>
      <c r="E8236">
        <v>1</v>
      </c>
      <c r="F8236">
        <v>1</v>
      </c>
      <c r="G8236">
        <v>0</v>
      </c>
      <c r="H8236">
        <v>0</v>
      </c>
      <c r="I8236">
        <v>0</v>
      </c>
      <c r="J8236">
        <v>3816.65991210938</v>
      </c>
      <c r="K8236">
        <v>3996.5462471568899</v>
      </c>
      <c r="L8236">
        <v>65.358000000000004</v>
      </c>
      <c r="M8236">
        <v>65.501000000000005</v>
      </c>
      <c r="N8236">
        <v>58.994999999999997</v>
      </c>
    </row>
    <row r="8237" spans="1:14" x14ac:dyDescent="0.45">
      <c r="A8237">
        <v>2018</v>
      </c>
      <c r="B8237" t="s">
        <v>223</v>
      </c>
      <c r="C8237">
        <v>0</v>
      </c>
      <c r="D8237">
        <v>0</v>
      </c>
      <c r="E8237">
        <v>1</v>
      </c>
      <c r="F8237">
        <v>1</v>
      </c>
      <c r="G8237">
        <v>0</v>
      </c>
      <c r="H8237">
        <v>0</v>
      </c>
      <c r="I8237">
        <v>0</v>
      </c>
      <c r="J8237">
        <v>3998.2863530340601</v>
      </c>
      <c r="K8237">
        <v>3340.32438810643</v>
      </c>
      <c r="L8237">
        <v>52.808</v>
      </c>
      <c r="M8237">
        <v>67.379000000000005</v>
      </c>
      <c r="N8237">
        <v>44.009</v>
      </c>
    </row>
    <row r="8238" spans="1:14" x14ac:dyDescent="0.45">
      <c r="A8238">
        <v>2018</v>
      </c>
      <c r="B8238" t="s">
        <v>224</v>
      </c>
      <c r="C8238">
        <v>0</v>
      </c>
      <c r="D8238">
        <v>0</v>
      </c>
      <c r="E8238">
        <v>0</v>
      </c>
      <c r="F8238">
        <v>0</v>
      </c>
      <c r="G8238">
        <v>0</v>
      </c>
      <c r="H8238">
        <v>1</v>
      </c>
      <c r="I8238">
        <v>1</v>
      </c>
      <c r="J8238">
        <v>119927.76912792699</v>
      </c>
      <c r="K8238">
        <v>98585.101107639595</v>
      </c>
      <c r="L8238">
        <v>0</v>
      </c>
      <c r="M8238">
        <v>83.378</v>
      </c>
      <c r="N8238">
        <v>2.5099999999999998</v>
      </c>
    </row>
    <row r="8239" spans="1:14" x14ac:dyDescent="0.45">
      <c r="A8239">
        <v>2018</v>
      </c>
      <c r="B8239" t="s">
        <v>225</v>
      </c>
      <c r="C8239">
        <v>0</v>
      </c>
      <c r="D8239">
        <v>0</v>
      </c>
      <c r="E8239">
        <v>0</v>
      </c>
      <c r="F8239">
        <v>1</v>
      </c>
      <c r="G8239">
        <v>0</v>
      </c>
      <c r="H8239">
        <v>0</v>
      </c>
      <c r="I8239">
        <v>0</v>
      </c>
      <c r="J8239">
        <v>2686.1200073424102</v>
      </c>
      <c r="K8239">
        <v>2429.7915257699001</v>
      </c>
      <c r="L8239">
        <v>76.251000000000005</v>
      </c>
      <c r="M8239">
        <v>69.805999999999997</v>
      </c>
      <c r="N8239">
        <v>20.789000000000001</v>
      </c>
    </row>
    <row r="8240" spans="1:14" x14ac:dyDescent="0.45">
      <c r="A8240">
        <v>2018</v>
      </c>
      <c r="B8240" t="s">
        <v>226</v>
      </c>
      <c r="C8240">
        <v>0</v>
      </c>
      <c r="D8240">
        <v>0</v>
      </c>
      <c r="E8240">
        <v>1</v>
      </c>
      <c r="F8240">
        <v>0</v>
      </c>
      <c r="G8240">
        <v>0</v>
      </c>
      <c r="H8240">
        <v>0</v>
      </c>
      <c r="I8240">
        <v>0</v>
      </c>
      <c r="J8240">
        <v>2769.8696770893898</v>
      </c>
      <c r="K8240">
        <v>2514.1292179265902</v>
      </c>
      <c r="L8240">
        <v>57.945</v>
      </c>
      <c r="M8240">
        <v>59.058999999999997</v>
      </c>
      <c r="N8240">
        <v>116.639</v>
      </c>
    </row>
    <row r="8241" spans="1:14" x14ac:dyDescent="0.45">
      <c r="A8241">
        <v>2018</v>
      </c>
      <c r="B8241" t="s">
        <v>227</v>
      </c>
      <c r="C8241">
        <v>0</v>
      </c>
      <c r="D8241">
        <v>1</v>
      </c>
      <c r="E8241">
        <v>0</v>
      </c>
      <c r="F8241">
        <v>1</v>
      </c>
      <c r="G8241">
        <v>0</v>
      </c>
      <c r="H8241">
        <v>0</v>
      </c>
      <c r="I8241">
        <v>0</v>
      </c>
      <c r="J8241">
        <v>10297.203612691999</v>
      </c>
      <c r="K8241">
        <v>9172.2381893398706</v>
      </c>
      <c r="L8241">
        <v>27.977</v>
      </c>
      <c r="M8241">
        <v>71.384</v>
      </c>
      <c r="N8241">
        <v>13.72</v>
      </c>
    </row>
    <row r="8242" spans="1:14" x14ac:dyDescent="0.45">
      <c r="A8242">
        <v>2018</v>
      </c>
      <c r="B8242" t="s">
        <v>228</v>
      </c>
      <c r="C8242">
        <v>1</v>
      </c>
      <c r="D8242">
        <v>0</v>
      </c>
      <c r="E8242">
        <v>0</v>
      </c>
      <c r="F8242">
        <v>0</v>
      </c>
      <c r="G8242">
        <v>0</v>
      </c>
      <c r="H8242">
        <v>1</v>
      </c>
      <c r="I8242">
        <v>1</v>
      </c>
      <c r="J8242">
        <v>59194.044290560902</v>
      </c>
      <c r="K8242">
        <v>52172.111219545703</v>
      </c>
      <c r="L8242">
        <v>2.774</v>
      </c>
      <c r="M8242">
        <v>85.094999999999999</v>
      </c>
      <c r="N8242">
        <v>1.736</v>
      </c>
    </row>
    <row r="8243" spans="1:14" x14ac:dyDescent="0.45">
      <c r="A8243">
        <v>2018</v>
      </c>
      <c r="B8243" t="s">
        <v>229</v>
      </c>
      <c r="C8243">
        <v>0</v>
      </c>
      <c r="D8243">
        <v>0</v>
      </c>
      <c r="E8243">
        <v>1</v>
      </c>
      <c r="F8243">
        <v>0</v>
      </c>
      <c r="G8243">
        <v>0</v>
      </c>
      <c r="H8243">
        <v>0</v>
      </c>
      <c r="I8243">
        <v>0</v>
      </c>
      <c r="J8243">
        <v>1504.43908725289</v>
      </c>
      <c r="K8243">
        <v>1395.4188305271</v>
      </c>
      <c r="L8243">
        <v>55.029000000000003</v>
      </c>
      <c r="M8243">
        <v>54.767000000000003</v>
      </c>
      <c r="N8243">
        <v>136.25800000000001</v>
      </c>
    </row>
    <row r="8244" spans="1:14" x14ac:dyDescent="0.45">
      <c r="A8244">
        <v>2018</v>
      </c>
      <c r="B8244" t="s">
        <v>230</v>
      </c>
      <c r="C8244">
        <v>1</v>
      </c>
      <c r="D8244">
        <v>0</v>
      </c>
      <c r="E8244">
        <v>0</v>
      </c>
      <c r="F8244">
        <v>0</v>
      </c>
      <c r="G8244">
        <v>1</v>
      </c>
      <c r="H8244">
        <v>0</v>
      </c>
      <c r="I8244">
        <v>0</v>
      </c>
      <c r="J8244">
        <v>20453.081579726098</v>
      </c>
      <c r="K8244">
        <v>17984.880644155801</v>
      </c>
      <c r="L8244">
        <v>43.908000000000001</v>
      </c>
      <c r="M8244">
        <v>76.036000000000001</v>
      </c>
      <c r="N8244">
        <v>5.8789999999999996</v>
      </c>
    </row>
    <row r="8245" spans="1:14" x14ac:dyDescent="0.45">
      <c r="A8245">
        <v>2018</v>
      </c>
      <c r="B8245" t="s">
        <v>231</v>
      </c>
      <c r="C8245">
        <v>0</v>
      </c>
      <c r="D8245">
        <v>0</v>
      </c>
      <c r="E8245">
        <v>1</v>
      </c>
      <c r="F8245">
        <v>0</v>
      </c>
      <c r="G8245">
        <v>0</v>
      </c>
      <c r="H8245">
        <v>0</v>
      </c>
      <c r="I8245">
        <v>0</v>
      </c>
      <c r="L8245">
        <v>80.385000000000005</v>
      </c>
      <c r="M8245">
        <v>51.905000000000001</v>
      </c>
      <c r="N8245">
        <v>142.74199999999999</v>
      </c>
    </row>
    <row r="8246" spans="1:14" x14ac:dyDescent="0.45">
      <c r="A8246">
        <v>2018</v>
      </c>
      <c r="B8246" t="s">
        <v>232</v>
      </c>
      <c r="C8246">
        <v>0</v>
      </c>
      <c r="D8246">
        <v>0</v>
      </c>
      <c r="E8246">
        <v>1</v>
      </c>
      <c r="F8246">
        <v>1</v>
      </c>
      <c r="G8246">
        <v>0</v>
      </c>
      <c r="H8246">
        <v>0</v>
      </c>
      <c r="I8246">
        <v>0</v>
      </c>
      <c r="J8246">
        <v>5674.7237909401101</v>
      </c>
      <c r="K8246">
        <v>3531.8588903406599</v>
      </c>
      <c r="L8246">
        <v>27.196999999999999</v>
      </c>
      <c r="M8246">
        <v>67.602000000000004</v>
      </c>
      <c r="N8246">
        <v>18.459</v>
      </c>
    </row>
    <row r="8247" spans="1:14" x14ac:dyDescent="0.45">
      <c r="A8247">
        <v>2018</v>
      </c>
      <c r="B8247" t="s">
        <v>233</v>
      </c>
      <c r="C8247">
        <v>0</v>
      </c>
      <c r="D8247">
        <v>1</v>
      </c>
      <c r="E8247">
        <v>0</v>
      </c>
      <c r="F8247">
        <v>0</v>
      </c>
      <c r="G8247">
        <v>1</v>
      </c>
      <c r="H8247">
        <v>0</v>
      </c>
      <c r="I8247">
        <v>0</v>
      </c>
      <c r="J8247">
        <v>22938.535371554499</v>
      </c>
      <c r="K8247">
        <v>18258.606814574399</v>
      </c>
      <c r="L8247">
        <v>33.94</v>
      </c>
      <c r="M8247">
        <v>71.468000000000004</v>
      </c>
      <c r="N8247">
        <v>18.774000000000001</v>
      </c>
    </row>
    <row r="8248" spans="1:14" x14ac:dyDescent="0.45">
      <c r="A8248">
        <v>2018</v>
      </c>
      <c r="B8248" t="s">
        <v>234</v>
      </c>
      <c r="C8248">
        <v>1</v>
      </c>
      <c r="D8248">
        <v>0</v>
      </c>
      <c r="E8248">
        <v>0</v>
      </c>
      <c r="F8248">
        <v>0</v>
      </c>
      <c r="G8248">
        <v>0</v>
      </c>
      <c r="H8248">
        <v>1</v>
      </c>
      <c r="I8248">
        <v>1</v>
      </c>
      <c r="J8248">
        <v>36415.720715668504</v>
      </c>
      <c r="K8248">
        <v>31364.235155187798</v>
      </c>
      <c r="L8248">
        <v>46.274000000000001</v>
      </c>
      <c r="M8248">
        <v>77.265000000000001</v>
      </c>
      <c r="N8248">
        <v>5.8650000000000002</v>
      </c>
    </row>
    <row r="8249" spans="1:14" x14ac:dyDescent="0.45">
      <c r="A8249">
        <v>2018</v>
      </c>
      <c r="B8249" t="s">
        <v>235</v>
      </c>
      <c r="C8249">
        <v>1</v>
      </c>
      <c r="D8249">
        <v>0</v>
      </c>
      <c r="E8249">
        <v>0</v>
      </c>
      <c r="F8249">
        <v>0</v>
      </c>
      <c r="G8249">
        <v>0</v>
      </c>
      <c r="H8249">
        <v>1</v>
      </c>
      <c r="I8249">
        <v>1</v>
      </c>
      <c r="J8249">
        <v>43371.980959618202</v>
      </c>
      <c r="K8249">
        <v>37334.8046868897</v>
      </c>
      <c r="L8249">
        <v>45.459000000000003</v>
      </c>
      <c r="M8249">
        <v>80.861000000000004</v>
      </c>
      <c r="N8249">
        <v>2.31</v>
      </c>
    </row>
    <row r="8250" spans="1:14" x14ac:dyDescent="0.45">
      <c r="A8250">
        <v>2018</v>
      </c>
      <c r="B8250" t="s">
        <v>236</v>
      </c>
      <c r="C8250">
        <v>1</v>
      </c>
      <c r="D8250">
        <v>0</v>
      </c>
      <c r="E8250">
        <v>0</v>
      </c>
      <c r="F8250">
        <v>0</v>
      </c>
      <c r="G8250">
        <v>0</v>
      </c>
      <c r="H8250">
        <v>1</v>
      </c>
      <c r="I8250">
        <v>1</v>
      </c>
      <c r="J8250">
        <v>60318.460717918999</v>
      </c>
      <c r="K8250">
        <v>51525.142132953602</v>
      </c>
      <c r="L8250">
        <v>12.569000000000001</v>
      </c>
      <c r="M8250">
        <v>82.531999999999996</v>
      </c>
      <c r="N8250">
        <v>2.5859999999999999</v>
      </c>
    </row>
    <row r="8251" spans="1:14" x14ac:dyDescent="0.45">
      <c r="A8251">
        <v>2018</v>
      </c>
      <c r="B8251" t="s">
        <v>237</v>
      </c>
      <c r="C8251">
        <v>0</v>
      </c>
      <c r="D8251">
        <v>0</v>
      </c>
      <c r="E8251">
        <v>1</v>
      </c>
      <c r="F8251">
        <v>1</v>
      </c>
      <c r="G8251">
        <v>0</v>
      </c>
      <c r="H8251">
        <v>0</v>
      </c>
      <c r="I8251">
        <v>0</v>
      </c>
      <c r="J8251">
        <v>9632.1619699769199</v>
      </c>
      <c r="K8251">
        <v>8529.2811890181201</v>
      </c>
      <c r="L8251">
        <v>76.200999999999993</v>
      </c>
      <c r="M8251">
        <v>58.707000000000001</v>
      </c>
      <c r="N8251">
        <v>58.304000000000002</v>
      </c>
    </row>
    <row r="8252" spans="1:14" x14ac:dyDescent="0.45">
      <c r="A8252">
        <v>2018</v>
      </c>
      <c r="B8252" t="s">
        <v>238</v>
      </c>
      <c r="C8252">
        <v>0</v>
      </c>
      <c r="D8252">
        <v>1</v>
      </c>
      <c r="E8252">
        <v>0</v>
      </c>
      <c r="F8252">
        <v>0</v>
      </c>
      <c r="G8252">
        <v>0</v>
      </c>
      <c r="H8252">
        <v>1</v>
      </c>
      <c r="I8252">
        <v>1</v>
      </c>
      <c r="J8252">
        <v>42154.102026750399</v>
      </c>
      <c r="K8252">
        <v>40682.396425065002</v>
      </c>
      <c r="L8252">
        <v>0</v>
      </c>
      <c r="M8252">
        <v>75.692999999999998</v>
      </c>
      <c r="N8252">
        <v>16.263000000000002</v>
      </c>
    </row>
    <row r="8253" spans="1:14" x14ac:dyDescent="0.45">
      <c r="A8253">
        <v>2018</v>
      </c>
      <c r="B8253" t="s">
        <v>239</v>
      </c>
      <c r="C8253">
        <v>0</v>
      </c>
      <c r="D8253">
        <v>0</v>
      </c>
      <c r="E8253">
        <v>1</v>
      </c>
      <c r="F8253">
        <v>0</v>
      </c>
      <c r="G8253">
        <v>0</v>
      </c>
      <c r="H8253">
        <v>1</v>
      </c>
      <c r="I8253">
        <v>1</v>
      </c>
      <c r="J8253">
        <v>32841.424246738097</v>
      </c>
      <c r="K8253">
        <v>31884.092787862901</v>
      </c>
      <c r="L8253">
        <v>43.308999999999997</v>
      </c>
      <c r="M8253">
        <v>72.176000000000002</v>
      </c>
      <c r="N8253">
        <v>14.712</v>
      </c>
    </row>
    <row r="8254" spans="1:14" x14ac:dyDescent="0.45">
      <c r="A8254">
        <v>2018</v>
      </c>
      <c r="B8254" t="s">
        <v>240</v>
      </c>
      <c r="C8254">
        <v>0</v>
      </c>
      <c r="D8254">
        <v>0</v>
      </c>
      <c r="E8254">
        <v>0</v>
      </c>
      <c r="F8254">
        <v>0</v>
      </c>
      <c r="G8254">
        <v>0</v>
      </c>
      <c r="H8254">
        <v>0</v>
      </c>
      <c r="I8254">
        <v>0</v>
      </c>
      <c r="J8254">
        <v>4956.0929646477698</v>
      </c>
      <c r="K8254">
        <v>3250.8373135594602</v>
      </c>
      <c r="L8254">
        <v>45.838000000000001</v>
      </c>
      <c r="M8254">
        <v>67.370999999999995</v>
      </c>
      <c r="N8254">
        <v>33.015000000000001</v>
      </c>
    </row>
    <row r="8255" spans="1:14" x14ac:dyDescent="0.45">
      <c r="A8255">
        <v>2018</v>
      </c>
      <c r="B8255" t="s">
        <v>241</v>
      </c>
      <c r="C8255">
        <v>0</v>
      </c>
      <c r="D8255">
        <v>1</v>
      </c>
      <c r="E8255">
        <v>0</v>
      </c>
      <c r="F8255">
        <v>0</v>
      </c>
      <c r="G8255">
        <v>0</v>
      </c>
      <c r="H8255">
        <v>1</v>
      </c>
      <c r="I8255">
        <v>1</v>
      </c>
      <c r="J8255">
        <v>30286.119611215101</v>
      </c>
      <c r="K8255">
        <v>47150.5587559708</v>
      </c>
      <c r="L8255">
        <v>6.9020000000000001</v>
      </c>
      <c r="M8255">
        <v>77.596000000000004</v>
      </c>
      <c r="N8255">
        <v>6.4960000000000004</v>
      </c>
    </row>
    <row r="8256" spans="1:14" x14ac:dyDescent="0.45">
      <c r="A8256">
        <v>2018</v>
      </c>
      <c r="B8256" t="s">
        <v>242</v>
      </c>
      <c r="C8256">
        <v>0</v>
      </c>
      <c r="D8256">
        <v>0</v>
      </c>
      <c r="E8256">
        <v>1</v>
      </c>
      <c r="F8256">
        <v>0</v>
      </c>
      <c r="G8256">
        <v>0</v>
      </c>
      <c r="H8256">
        <v>0</v>
      </c>
      <c r="I8256">
        <v>0</v>
      </c>
      <c r="J8256">
        <v>2552.6061626634701</v>
      </c>
      <c r="K8256">
        <v>2144.2815264085598</v>
      </c>
      <c r="L8256">
        <v>76.941000000000003</v>
      </c>
      <c r="M8256">
        <v>52.447000000000003</v>
      </c>
      <c r="N8256">
        <v>117.39</v>
      </c>
    </row>
    <row r="8257" spans="1:14" x14ac:dyDescent="0.45">
      <c r="A8257">
        <v>2018</v>
      </c>
      <c r="B8257" t="s">
        <v>243</v>
      </c>
      <c r="C8257">
        <v>0</v>
      </c>
      <c r="D8257">
        <v>0</v>
      </c>
      <c r="E8257">
        <v>1</v>
      </c>
      <c r="F8257">
        <v>0</v>
      </c>
      <c r="G8257">
        <v>0</v>
      </c>
      <c r="H8257">
        <v>0</v>
      </c>
      <c r="I8257">
        <v>0</v>
      </c>
      <c r="J8257">
        <v>2442.6469385739201</v>
      </c>
      <c r="K8257">
        <v>2029.9317990263601</v>
      </c>
      <c r="L8257">
        <v>58.298000000000002</v>
      </c>
      <c r="M8257">
        <v>60.600999999999999</v>
      </c>
      <c r="N8257">
        <v>68.778999999999996</v>
      </c>
    </row>
    <row r="8258" spans="1:14" x14ac:dyDescent="0.45">
      <c r="A8258">
        <v>2018</v>
      </c>
      <c r="B8258" t="s">
        <v>244</v>
      </c>
      <c r="C8258">
        <v>0</v>
      </c>
      <c r="D8258">
        <v>0</v>
      </c>
      <c r="E8258">
        <v>0</v>
      </c>
      <c r="F8258">
        <v>0</v>
      </c>
      <c r="G8258">
        <v>1</v>
      </c>
      <c r="H8258">
        <v>0</v>
      </c>
      <c r="I8258">
        <v>0</v>
      </c>
      <c r="J8258">
        <v>20879.902782144902</v>
      </c>
      <c r="K8258">
        <v>18260.040305553899</v>
      </c>
      <c r="L8258">
        <v>50.051000000000002</v>
      </c>
      <c r="M8258">
        <v>77.19</v>
      </c>
      <c r="N8258">
        <v>9.3450000000000006</v>
      </c>
    </row>
    <row r="8259" spans="1:14" x14ac:dyDescent="0.45">
      <c r="A8259">
        <v>2018</v>
      </c>
      <c r="B8259" t="s">
        <v>245</v>
      </c>
      <c r="C8259">
        <v>1</v>
      </c>
      <c r="D8259">
        <v>0</v>
      </c>
      <c r="E8259">
        <v>0</v>
      </c>
      <c r="F8259">
        <v>0</v>
      </c>
      <c r="G8259">
        <v>0</v>
      </c>
      <c r="H8259">
        <v>0</v>
      </c>
      <c r="I8259">
        <v>0</v>
      </c>
      <c r="J8259">
        <v>3479.6923596604101</v>
      </c>
      <c r="K8259">
        <v>3169.0783258871402</v>
      </c>
      <c r="L8259">
        <v>72.866</v>
      </c>
      <c r="M8259">
        <v>70.736999999999995</v>
      </c>
      <c r="N8259">
        <v>34.758000000000003</v>
      </c>
    </row>
    <row r="8260" spans="1:14" x14ac:dyDescent="0.45">
      <c r="A8260">
        <v>2018</v>
      </c>
      <c r="B8260" t="s">
        <v>246</v>
      </c>
      <c r="C8260">
        <v>1</v>
      </c>
      <c r="D8260">
        <v>0</v>
      </c>
      <c r="E8260">
        <v>0</v>
      </c>
      <c r="F8260">
        <v>0</v>
      </c>
      <c r="G8260">
        <v>1</v>
      </c>
      <c r="H8260">
        <v>0</v>
      </c>
      <c r="I8260">
        <v>0</v>
      </c>
      <c r="J8260">
        <v>14648.135352724999</v>
      </c>
      <c r="K8260">
        <v>13787.1021742008</v>
      </c>
      <c r="L8260">
        <v>48.406999999999996</v>
      </c>
      <c r="M8260">
        <v>69.272000000000006</v>
      </c>
      <c r="N8260">
        <v>42.610999999999997</v>
      </c>
    </row>
    <row r="8261" spans="1:14" x14ac:dyDescent="0.45">
      <c r="A8261">
        <v>2018</v>
      </c>
      <c r="B8261" t="s">
        <v>247</v>
      </c>
      <c r="C8261">
        <v>0</v>
      </c>
      <c r="D8261">
        <v>0</v>
      </c>
      <c r="E8261">
        <v>0</v>
      </c>
      <c r="F8261">
        <v>1</v>
      </c>
      <c r="G8261">
        <v>0</v>
      </c>
      <c r="H8261">
        <v>0</v>
      </c>
      <c r="I8261">
        <v>0</v>
      </c>
      <c r="J8261">
        <v>4210.4905026885899</v>
      </c>
      <c r="K8261">
        <v>3397.2875023531801</v>
      </c>
      <c r="L8261">
        <v>69.421999999999997</v>
      </c>
      <c r="M8261">
        <v>66.203999999999994</v>
      </c>
      <c r="N8261">
        <v>55.38</v>
      </c>
    </row>
    <row r="8262" spans="1:14" x14ac:dyDescent="0.45">
      <c r="A8262">
        <v>2018</v>
      </c>
      <c r="B8262" t="s">
        <v>248</v>
      </c>
      <c r="C8262">
        <v>0</v>
      </c>
      <c r="D8262">
        <v>0</v>
      </c>
      <c r="E8262">
        <v>0</v>
      </c>
      <c r="F8262">
        <v>0</v>
      </c>
      <c r="G8262">
        <v>1</v>
      </c>
      <c r="H8262">
        <v>0</v>
      </c>
      <c r="I8262">
        <v>0</v>
      </c>
      <c r="J8262">
        <v>6896.0417630578504</v>
      </c>
      <c r="K8262">
        <v>6242.5126464118603</v>
      </c>
      <c r="L8262">
        <v>76.869</v>
      </c>
      <c r="M8262">
        <v>72.168999999999997</v>
      </c>
      <c r="N8262">
        <v>11.869</v>
      </c>
    </row>
    <row r="8263" spans="1:14" x14ac:dyDescent="0.45">
      <c r="A8263">
        <v>2018</v>
      </c>
      <c r="B8263" t="s">
        <v>249</v>
      </c>
      <c r="C8263">
        <v>0</v>
      </c>
      <c r="D8263">
        <v>1</v>
      </c>
      <c r="E8263">
        <v>0</v>
      </c>
      <c r="F8263">
        <v>0</v>
      </c>
      <c r="G8263">
        <v>0</v>
      </c>
      <c r="H8263">
        <v>1</v>
      </c>
      <c r="I8263">
        <v>1</v>
      </c>
      <c r="J8263">
        <v>33753.595297830099</v>
      </c>
      <c r="K8263">
        <v>28170.5152078471</v>
      </c>
      <c r="L8263">
        <v>46.816000000000003</v>
      </c>
      <c r="M8263">
        <v>72.658000000000001</v>
      </c>
      <c r="N8263">
        <v>18.224</v>
      </c>
    </row>
    <row r="8264" spans="1:14" x14ac:dyDescent="0.45">
      <c r="A8264">
        <v>2018</v>
      </c>
      <c r="B8264" t="s">
        <v>250</v>
      </c>
      <c r="C8264">
        <v>0</v>
      </c>
      <c r="D8264">
        <v>0</v>
      </c>
      <c r="E8264">
        <v>0</v>
      </c>
      <c r="F8264">
        <v>1</v>
      </c>
      <c r="G8264">
        <v>0</v>
      </c>
      <c r="H8264">
        <v>0</v>
      </c>
      <c r="I8264">
        <v>0</v>
      </c>
      <c r="J8264">
        <v>13163.590590288601</v>
      </c>
      <c r="K8264">
        <v>11471.8493102265</v>
      </c>
      <c r="L8264">
        <v>31.055</v>
      </c>
      <c r="M8264">
        <v>75.37</v>
      </c>
      <c r="N8264">
        <v>15.153</v>
      </c>
    </row>
    <row r="8265" spans="1:14" x14ac:dyDescent="0.45">
      <c r="A8265">
        <v>2018</v>
      </c>
      <c r="B8265" t="s">
        <v>251</v>
      </c>
      <c r="C8265">
        <v>1</v>
      </c>
      <c r="D8265">
        <v>0</v>
      </c>
      <c r="E8265">
        <v>0</v>
      </c>
      <c r="F8265">
        <v>0</v>
      </c>
      <c r="G8265">
        <v>1</v>
      </c>
      <c r="H8265">
        <v>0</v>
      </c>
      <c r="I8265">
        <v>0</v>
      </c>
      <c r="J8265">
        <v>28305.461248494299</v>
      </c>
      <c r="K8265">
        <v>28381.182900345601</v>
      </c>
      <c r="L8265">
        <v>24.856999999999999</v>
      </c>
      <c r="M8265">
        <v>77.453999999999994</v>
      </c>
      <c r="N8265">
        <v>11.561</v>
      </c>
    </row>
    <row r="8266" spans="1:14" x14ac:dyDescent="0.45">
      <c r="A8266">
        <v>2018</v>
      </c>
      <c r="B8266" t="s">
        <v>252</v>
      </c>
      <c r="C8266">
        <v>0</v>
      </c>
      <c r="D8266">
        <v>0</v>
      </c>
      <c r="E8266">
        <v>0</v>
      </c>
      <c r="F8266">
        <v>0</v>
      </c>
      <c r="G8266">
        <v>1</v>
      </c>
      <c r="H8266">
        <v>0</v>
      </c>
      <c r="I8266">
        <v>0</v>
      </c>
      <c r="J8266">
        <v>4575.8690051042404</v>
      </c>
      <c r="K8266">
        <v>4139.5801020185399</v>
      </c>
      <c r="L8266">
        <v>37.613</v>
      </c>
      <c r="M8266">
        <v>65.870999999999995</v>
      </c>
      <c r="N8266">
        <v>23.353999999999999</v>
      </c>
    </row>
    <row r="8267" spans="1:14" x14ac:dyDescent="0.45">
      <c r="A8267">
        <v>2018</v>
      </c>
      <c r="B8267" t="s">
        <v>253</v>
      </c>
      <c r="C8267">
        <v>0</v>
      </c>
      <c r="D8267">
        <v>0</v>
      </c>
      <c r="E8267">
        <v>0</v>
      </c>
      <c r="F8267">
        <v>0</v>
      </c>
      <c r="G8267">
        <v>0</v>
      </c>
      <c r="H8267">
        <v>1</v>
      </c>
      <c r="I8267">
        <v>1</v>
      </c>
      <c r="L8267">
        <v>40.847999999999999</v>
      </c>
      <c r="M8267">
        <v>80.430999999999997</v>
      </c>
      <c r="N8267">
        <v>4.6609999999999996</v>
      </c>
    </row>
    <row r="8268" spans="1:14" x14ac:dyDescent="0.45">
      <c r="A8268">
        <v>2018</v>
      </c>
      <c r="B8268" t="s">
        <v>254</v>
      </c>
      <c r="C8268">
        <v>0</v>
      </c>
      <c r="D8268">
        <v>0</v>
      </c>
      <c r="E8268">
        <v>1</v>
      </c>
      <c r="F8268">
        <v>0</v>
      </c>
      <c r="G8268">
        <v>0</v>
      </c>
      <c r="H8268">
        <v>0</v>
      </c>
      <c r="I8268">
        <v>0</v>
      </c>
      <c r="J8268">
        <v>3392.68872070313</v>
      </c>
      <c r="K8268">
        <v>2527.1009765589101</v>
      </c>
      <c r="L8268">
        <v>66.224000000000004</v>
      </c>
      <c r="M8268">
        <v>65.488</v>
      </c>
      <c r="N8268">
        <v>47.427999999999997</v>
      </c>
    </row>
    <row r="8269" spans="1:14" x14ac:dyDescent="0.45">
      <c r="A8269">
        <v>2018</v>
      </c>
      <c r="B8269" t="s">
        <v>255</v>
      </c>
      <c r="C8269">
        <v>0</v>
      </c>
      <c r="D8269">
        <v>0</v>
      </c>
      <c r="E8269">
        <v>1</v>
      </c>
      <c r="F8269">
        <v>0</v>
      </c>
      <c r="G8269">
        <v>0</v>
      </c>
      <c r="H8269">
        <v>0</v>
      </c>
      <c r="I8269">
        <v>0</v>
      </c>
      <c r="J8269">
        <v>2613.87976413963</v>
      </c>
      <c r="K8269">
        <v>2217.3660981375001</v>
      </c>
      <c r="L8269">
        <v>76.225999999999999</v>
      </c>
      <c r="M8269">
        <v>65.775000000000006</v>
      </c>
      <c r="N8269">
        <v>47.256999999999998</v>
      </c>
    </row>
    <row r="8270" spans="1:14" x14ac:dyDescent="0.45">
      <c r="A8270">
        <v>2018</v>
      </c>
      <c r="B8270" t="s">
        <v>256</v>
      </c>
      <c r="C8270">
        <v>1</v>
      </c>
      <c r="D8270">
        <v>0</v>
      </c>
      <c r="E8270">
        <v>0</v>
      </c>
      <c r="F8270">
        <v>1</v>
      </c>
      <c r="G8270">
        <v>0</v>
      </c>
      <c r="H8270">
        <v>0</v>
      </c>
      <c r="I8270">
        <v>0</v>
      </c>
      <c r="J8270">
        <v>16978.984375</v>
      </c>
      <c r="K8270">
        <v>12008.990016681701</v>
      </c>
      <c r="L8270">
        <v>30.648</v>
      </c>
      <c r="M8270">
        <v>73.569000000000003</v>
      </c>
      <c r="N8270">
        <v>8.0950000000000006</v>
      </c>
    </row>
    <row r="8271" spans="1:14" x14ac:dyDescent="0.45">
      <c r="A8271">
        <v>2018</v>
      </c>
      <c r="B8271" t="s">
        <v>257</v>
      </c>
      <c r="C8271">
        <v>0</v>
      </c>
      <c r="D8271">
        <v>1</v>
      </c>
      <c r="E8271">
        <v>0</v>
      </c>
      <c r="F8271">
        <v>0</v>
      </c>
      <c r="G8271">
        <v>0</v>
      </c>
      <c r="H8271">
        <v>1</v>
      </c>
      <c r="I8271">
        <v>1</v>
      </c>
      <c r="J8271">
        <v>29757.938854378299</v>
      </c>
      <c r="K8271">
        <v>23603.062076104299</v>
      </c>
      <c r="L8271">
        <v>4.6660000000000004</v>
      </c>
      <c r="M8271">
        <v>77.527000000000001</v>
      </c>
      <c r="N8271">
        <v>7.9349999999999996</v>
      </c>
    </row>
    <row r="8272" spans="1:14" x14ac:dyDescent="0.45">
      <c r="A8272">
        <v>2018</v>
      </c>
      <c r="B8272" t="s">
        <v>258</v>
      </c>
      <c r="C8272">
        <v>0</v>
      </c>
      <c r="D8272">
        <v>0</v>
      </c>
      <c r="E8272">
        <v>0</v>
      </c>
      <c r="F8272">
        <v>0</v>
      </c>
      <c r="G8272">
        <v>0</v>
      </c>
      <c r="H8272">
        <v>1</v>
      </c>
      <c r="I8272">
        <v>1</v>
      </c>
      <c r="J8272">
        <v>67719.765640249505</v>
      </c>
      <c r="K8272">
        <v>61467.511684373101</v>
      </c>
      <c r="L8272">
        <v>17.744</v>
      </c>
      <c r="M8272">
        <v>78.8</v>
      </c>
      <c r="N8272">
        <v>6.5289999999999999</v>
      </c>
    </row>
    <row r="8273" spans="1:14" x14ac:dyDescent="0.45">
      <c r="A8273">
        <v>2018</v>
      </c>
      <c r="B8273" t="s">
        <v>259</v>
      </c>
      <c r="C8273">
        <v>1</v>
      </c>
      <c r="D8273">
        <v>0</v>
      </c>
      <c r="E8273">
        <v>0</v>
      </c>
      <c r="F8273">
        <v>1</v>
      </c>
      <c r="G8273">
        <v>0</v>
      </c>
      <c r="H8273">
        <v>0</v>
      </c>
      <c r="I8273">
        <v>0</v>
      </c>
      <c r="J8273">
        <v>8348.9605787312703</v>
      </c>
      <c r="K8273">
        <v>8111.32412962127</v>
      </c>
      <c r="L8273">
        <v>49.521999999999998</v>
      </c>
      <c r="M8273">
        <v>71.998999999999995</v>
      </c>
      <c r="N8273">
        <v>16.524000000000001</v>
      </c>
    </row>
    <row r="8274" spans="1:14" x14ac:dyDescent="0.45">
      <c r="A8274">
        <v>2018</v>
      </c>
      <c r="B8274" t="s">
        <v>260</v>
      </c>
      <c r="C8274">
        <v>0</v>
      </c>
      <c r="D8274">
        <v>1</v>
      </c>
      <c r="E8274">
        <v>0</v>
      </c>
      <c r="F8274">
        <v>0</v>
      </c>
      <c r="G8274">
        <v>1</v>
      </c>
      <c r="H8274">
        <v>0</v>
      </c>
      <c r="I8274">
        <v>0</v>
      </c>
      <c r="J8274">
        <v>16139.0661084965</v>
      </c>
      <c r="K8274">
        <v>14104.917234984599</v>
      </c>
      <c r="L8274">
        <v>47.802</v>
      </c>
      <c r="M8274">
        <v>71.016999999999996</v>
      </c>
      <c r="N8274">
        <v>15.18</v>
      </c>
    </row>
    <row r="8275" spans="1:14" x14ac:dyDescent="0.45">
      <c r="A8275">
        <v>2018</v>
      </c>
      <c r="B8275" t="s">
        <v>261</v>
      </c>
      <c r="C8275">
        <v>0</v>
      </c>
      <c r="D8275">
        <v>1</v>
      </c>
      <c r="E8275">
        <v>0</v>
      </c>
      <c r="F8275">
        <v>0</v>
      </c>
      <c r="G8275">
        <v>1</v>
      </c>
      <c r="H8275">
        <v>0</v>
      </c>
      <c r="I8275">
        <v>0</v>
      </c>
      <c r="L8275">
        <v>11.792</v>
      </c>
      <c r="M8275">
        <v>72.641000000000005</v>
      </c>
      <c r="N8275">
        <v>18.916</v>
      </c>
    </row>
    <row r="8276" spans="1:14" x14ac:dyDescent="0.45">
      <c r="A8276">
        <v>2018</v>
      </c>
      <c r="B8276" t="s">
        <v>262</v>
      </c>
      <c r="C8276">
        <v>0</v>
      </c>
      <c r="D8276">
        <v>1</v>
      </c>
      <c r="E8276">
        <v>0</v>
      </c>
      <c r="F8276">
        <v>0</v>
      </c>
      <c r="G8276">
        <v>0</v>
      </c>
      <c r="H8276">
        <v>1</v>
      </c>
      <c r="I8276">
        <v>1</v>
      </c>
      <c r="L8276">
        <v>52.277000000000001</v>
      </c>
      <c r="M8276">
        <v>76.727999999999994</v>
      </c>
      <c r="N8276">
        <v>14.372999999999999</v>
      </c>
    </row>
    <row r="8277" spans="1:14" x14ac:dyDescent="0.45">
      <c r="A8277">
        <v>2018</v>
      </c>
      <c r="B8277" t="s">
        <v>263</v>
      </c>
      <c r="C8277">
        <v>0</v>
      </c>
      <c r="D8277">
        <v>1</v>
      </c>
      <c r="E8277">
        <v>0</v>
      </c>
      <c r="F8277">
        <v>0</v>
      </c>
      <c r="G8277">
        <v>0</v>
      </c>
      <c r="H8277">
        <v>1</v>
      </c>
      <c r="I8277">
        <v>1</v>
      </c>
      <c r="J8277">
        <v>44205.407132439403</v>
      </c>
      <c r="K8277">
        <v>34620.535053182801</v>
      </c>
      <c r="L8277">
        <v>4.2789999999999999</v>
      </c>
      <c r="M8277">
        <v>74.682000000000002</v>
      </c>
      <c r="N8277">
        <v>6.9779999999999998</v>
      </c>
    </row>
    <row r="8278" spans="1:14" x14ac:dyDescent="0.45">
      <c r="A8278">
        <v>2018</v>
      </c>
      <c r="B8278" t="s">
        <v>264</v>
      </c>
      <c r="C8278">
        <v>0</v>
      </c>
      <c r="D8278">
        <v>0</v>
      </c>
      <c r="E8278">
        <v>0</v>
      </c>
      <c r="F8278">
        <v>1</v>
      </c>
      <c r="G8278">
        <v>0</v>
      </c>
      <c r="H8278">
        <v>0</v>
      </c>
      <c r="I8278">
        <v>0</v>
      </c>
      <c r="J8278">
        <v>10936.893785955799</v>
      </c>
      <c r="K8278">
        <v>9745.6789338563503</v>
      </c>
      <c r="L8278">
        <v>64.081000000000003</v>
      </c>
      <c r="M8278">
        <v>74.099999999999994</v>
      </c>
      <c r="N8278">
        <v>21.45</v>
      </c>
    </row>
    <row r="8279" spans="1:14" x14ac:dyDescent="0.45">
      <c r="A8279">
        <v>2018</v>
      </c>
      <c r="B8279" t="s">
        <v>265</v>
      </c>
      <c r="C8279">
        <v>0</v>
      </c>
      <c r="D8279">
        <v>0</v>
      </c>
      <c r="E8279">
        <v>0</v>
      </c>
      <c r="F8279">
        <v>1</v>
      </c>
      <c r="G8279">
        <v>0</v>
      </c>
      <c r="H8279">
        <v>0</v>
      </c>
      <c r="I8279">
        <v>0</v>
      </c>
      <c r="J8279">
        <v>3482.0227252590798</v>
      </c>
      <c r="K8279">
        <v>3149.8424437660401</v>
      </c>
      <c r="L8279">
        <v>74.725999999999999</v>
      </c>
      <c r="M8279">
        <v>70.626000000000005</v>
      </c>
      <c r="N8279">
        <v>19.928999999999998</v>
      </c>
    </row>
    <row r="8280" spans="1:14" x14ac:dyDescent="0.45">
      <c r="A8280">
        <v>2018</v>
      </c>
      <c r="B8280" t="s">
        <v>266</v>
      </c>
      <c r="C8280">
        <v>0</v>
      </c>
      <c r="D8280">
        <v>0</v>
      </c>
      <c r="E8280">
        <v>0</v>
      </c>
      <c r="F8280">
        <v>0</v>
      </c>
      <c r="G8280">
        <v>1</v>
      </c>
      <c r="H8280">
        <v>0</v>
      </c>
      <c r="I8280">
        <v>0</v>
      </c>
      <c r="J8280">
        <v>6805.0451717528904</v>
      </c>
      <c r="K8280">
        <v>6155.85302136062</v>
      </c>
      <c r="L8280">
        <v>81.757000000000005</v>
      </c>
      <c r="M8280">
        <v>71.052000000000007</v>
      </c>
      <c r="N8280">
        <v>17.7</v>
      </c>
    </row>
    <row r="8281" spans="1:14" x14ac:dyDescent="0.45">
      <c r="A8281">
        <v>2018</v>
      </c>
      <c r="B8281" t="s">
        <v>267</v>
      </c>
      <c r="C8281">
        <v>1</v>
      </c>
      <c r="D8281">
        <v>0</v>
      </c>
      <c r="E8281">
        <v>0</v>
      </c>
      <c r="F8281">
        <v>0</v>
      </c>
      <c r="G8281">
        <v>1</v>
      </c>
      <c r="H8281">
        <v>0</v>
      </c>
      <c r="I8281">
        <v>0</v>
      </c>
      <c r="J8281">
        <v>11188.224462796599</v>
      </c>
      <c r="K8281">
        <v>10155.249664425701</v>
      </c>
      <c r="L8281">
        <v>43.908000000000001</v>
      </c>
      <c r="M8281">
        <v>77.117000000000004</v>
      </c>
      <c r="N8281">
        <v>11.901999999999999</v>
      </c>
    </row>
    <row r="8282" spans="1:14" x14ac:dyDescent="0.45">
      <c r="A8282">
        <v>2018</v>
      </c>
      <c r="B8282" t="s">
        <v>268</v>
      </c>
      <c r="C8282">
        <v>0</v>
      </c>
      <c r="D8282">
        <v>0</v>
      </c>
      <c r="E8282">
        <v>0</v>
      </c>
      <c r="F8282">
        <v>0</v>
      </c>
      <c r="G8282">
        <v>0</v>
      </c>
      <c r="H8282">
        <v>0</v>
      </c>
      <c r="I8282">
        <v>0</v>
      </c>
      <c r="L8282">
        <v>63.357999999999997</v>
      </c>
      <c r="M8282">
        <v>65.915000000000006</v>
      </c>
      <c r="N8282">
        <v>47.31</v>
      </c>
    </row>
    <row r="8283" spans="1:14" x14ac:dyDescent="0.45">
      <c r="A8283">
        <v>2018</v>
      </c>
      <c r="B8283" t="s">
        <v>269</v>
      </c>
      <c r="C8283">
        <v>0</v>
      </c>
      <c r="D8283">
        <v>0</v>
      </c>
      <c r="E8283">
        <v>1</v>
      </c>
      <c r="F8283">
        <v>0</v>
      </c>
      <c r="G8283">
        <v>1</v>
      </c>
      <c r="H8283">
        <v>0</v>
      </c>
      <c r="I8283">
        <v>0</v>
      </c>
      <c r="J8283">
        <v>14571.375633359499</v>
      </c>
      <c r="K8283">
        <v>13719.5495262111</v>
      </c>
      <c r="L8283">
        <v>33.645000000000003</v>
      </c>
      <c r="M8283">
        <v>65.725999999999999</v>
      </c>
      <c r="N8283">
        <v>35.064999999999998</v>
      </c>
    </row>
    <row r="8284" spans="1:14" x14ac:dyDescent="0.45">
      <c r="A8284">
        <v>2018</v>
      </c>
      <c r="B8284" t="s">
        <v>270</v>
      </c>
      <c r="C8284">
        <v>0</v>
      </c>
      <c r="D8284">
        <v>0</v>
      </c>
      <c r="E8284">
        <v>1</v>
      </c>
      <c r="F8284">
        <v>1</v>
      </c>
      <c r="G8284">
        <v>0</v>
      </c>
      <c r="H8284">
        <v>0</v>
      </c>
      <c r="I8284">
        <v>0</v>
      </c>
      <c r="J8284">
        <v>3646.9596648165498</v>
      </c>
      <c r="K8284">
        <v>3423.9745837432802</v>
      </c>
      <c r="L8284">
        <v>56.478999999999999</v>
      </c>
      <c r="M8284">
        <v>62.137999999999998</v>
      </c>
      <c r="N8284">
        <v>62.716999999999999</v>
      </c>
    </row>
    <row r="8285" spans="1:14" x14ac:dyDescent="0.45">
      <c r="A8285">
        <v>2018</v>
      </c>
      <c r="B8285" t="s">
        <v>271</v>
      </c>
      <c r="C8285">
        <v>0</v>
      </c>
      <c r="D8285">
        <v>0</v>
      </c>
      <c r="E8285">
        <v>1</v>
      </c>
      <c r="F8285">
        <v>1</v>
      </c>
      <c r="G8285">
        <v>0</v>
      </c>
      <c r="H8285">
        <v>0</v>
      </c>
      <c r="I8285">
        <v>0</v>
      </c>
      <c r="J8285">
        <v>3572.9813398596002</v>
      </c>
      <c r="K8285">
        <v>2379.0192007974301</v>
      </c>
      <c r="L8285">
        <v>67.790999999999997</v>
      </c>
      <c r="M8285">
        <v>60.905999999999999</v>
      </c>
      <c r="N8285">
        <v>53.320999999999998</v>
      </c>
    </row>
    <row r="8286" spans="1:14" x14ac:dyDescent="0.45">
      <c r="A8286">
        <v>2019</v>
      </c>
      <c r="B8286" t="s">
        <v>54</v>
      </c>
      <c r="C8286">
        <v>0</v>
      </c>
      <c r="D8286">
        <v>1</v>
      </c>
      <c r="E8286">
        <v>0</v>
      </c>
      <c r="F8286">
        <v>0</v>
      </c>
      <c r="G8286">
        <v>0</v>
      </c>
      <c r="H8286">
        <v>1</v>
      </c>
      <c r="I8286">
        <v>1</v>
      </c>
      <c r="J8286">
        <v>38435.426617196601</v>
      </c>
      <c r="K8286">
        <v>37405.637720074301</v>
      </c>
      <c r="L8286">
        <v>56.454000000000001</v>
      </c>
      <c r="M8286">
        <v>76.019000000000005</v>
      </c>
      <c r="N8286">
        <v>15.364000000000001</v>
      </c>
    </row>
    <row r="8287" spans="1:14" x14ac:dyDescent="0.45">
      <c r="A8287">
        <v>2019</v>
      </c>
      <c r="B8287" t="s">
        <v>55</v>
      </c>
      <c r="C8287">
        <v>0</v>
      </c>
      <c r="D8287">
        <v>0</v>
      </c>
      <c r="E8287">
        <v>0</v>
      </c>
      <c r="F8287">
        <v>0</v>
      </c>
      <c r="G8287">
        <v>0</v>
      </c>
      <c r="H8287">
        <v>0</v>
      </c>
      <c r="I8287">
        <v>0</v>
      </c>
      <c r="J8287">
        <v>2927.2451435353</v>
      </c>
      <c r="K8287">
        <v>2315.4249278627799</v>
      </c>
      <c r="L8287">
        <v>74.245999999999995</v>
      </c>
      <c r="M8287">
        <v>62.941000000000003</v>
      </c>
      <c r="N8287">
        <v>64.006</v>
      </c>
    </row>
    <row r="8288" spans="1:14" x14ac:dyDescent="0.45">
      <c r="A8288">
        <v>2019</v>
      </c>
      <c r="B8288" t="s">
        <v>56</v>
      </c>
      <c r="C8288">
        <v>0</v>
      </c>
      <c r="D8288">
        <v>0</v>
      </c>
      <c r="E8288">
        <v>1</v>
      </c>
      <c r="F8288">
        <v>1</v>
      </c>
      <c r="G8288">
        <v>0</v>
      </c>
      <c r="H8288">
        <v>0</v>
      </c>
      <c r="I8288">
        <v>0</v>
      </c>
      <c r="J8288">
        <v>8274.5425617464298</v>
      </c>
      <c r="K8288">
        <v>6399.1240722105504</v>
      </c>
      <c r="L8288">
        <v>33.823</v>
      </c>
      <c r="M8288">
        <v>63.051000000000002</v>
      </c>
      <c r="N8288">
        <v>74.39</v>
      </c>
    </row>
    <row r="8289" spans="1:14" x14ac:dyDescent="0.45">
      <c r="A8289">
        <v>2019</v>
      </c>
      <c r="B8289" t="s">
        <v>57</v>
      </c>
      <c r="C8289">
        <v>1</v>
      </c>
      <c r="D8289">
        <v>0</v>
      </c>
      <c r="E8289">
        <v>0</v>
      </c>
      <c r="F8289">
        <v>0</v>
      </c>
      <c r="G8289">
        <v>1</v>
      </c>
      <c r="H8289">
        <v>0</v>
      </c>
      <c r="I8289">
        <v>0</v>
      </c>
      <c r="J8289">
        <v>15078.506973679199</v>
      </c>
      <c r="K8289">
        <v>13660.4357020561</v>
      </c>
      <c r="L8289">
        <v>38.771000000000001</v>
      </c>
      <c r="M8289">
        <v>79.466999999999999</v>
      </c>
      <c r="N8289">
        <v>9.5619999999999994</v>
      </c>
    </row>
    <row r="8290" spans="1:14" x14ac:dyDescent="0.45">
      <c r="A8290">
        <v>2019</v>
      </c>
      <c r="B8290" t="s">
        <v>58</v>
      </c>
      <c r="C8290">
        <v>1</v>
      </c>
      <c r="D8290">
        <v>0</v>
      </c>
      <c r="E8290">
        <v>0</v>
      </c>
      <c r="F8290">
        <v>0</v>
      </c>
      <c r="G8290">
        <v>0</v>
      </c>
      <c r="H8290">
        <v>1</v>
      </c>
      <c r="I8290">
        <v>1</v>
      </c>
      <c r="J8290">
        <v>63215.899791912998</v>
      </c>
      <c r="K8290">
        <v>53064.920301225902</v>
      </c>
      <c r="L8290">
        <v>12.016</v>
      </c>
      <c r="M8290">
        <v>84.097999999999999</v>
      </c>
      <c r="N8290">
        <v>6.0960000000000001</v>
      </c>
    </row>
    <row r="8291" spans="1:14" x14ac:dyDescent="0.45">
      <c r="A8291">
        <v>2019</v>
      </c>
      <c r="B8291" t="s">
        <v>59</v>
      </c>
      <c r="C8291">
        <v>0</v>
      </c>
      <c r="D8291">
        <v>0</v>
      </c>
      <c r="E8291">
        <v>0</v>
      </c>
      <c r="F8291">
        <v>0</v>
      </c>
      <c r="G8291">
        <v>0</v>
      </c>
      <c r="H8291">
        <v>1</v>
      </c>
      <c r="I8291">
        <v>1</v>
      </c>
      <c r="J8291">
        <v>68887.845407833302</v>
      </c>
      <c r="K8291">
        <v>68059.034399018507</v>
      </c>
      <c r="L8291">
        <v>13.211</v>
      </c>
      <c r="M8291">
        <v>82.596000000000004</v>
      </c>
      <c r="N8291">
        <v>6.7720000000000002</v>
      </c>
    </row>
    <row r="8292" spans="1:14" x14ac:dyDescent="0.45">
      <c r="A8292">
        <v>2019</v>
      </c>
      <c r="B8292" t="s">
        <v>60</v>
      </c>
      <c r="C8292">
        <v>0</v>
      </c>
      <c r="D8292">
        <v>1</v>
      </c>
      <c r="E8292">
        <v>0</v>
      </c>
      <c r="F8292">
        <v>0</v>
      </c>
      <c r="G8292">
        <v>1</v>
      </c>
      <c r="H8292">
        <v>0</v>
      </c>
      <c r="I8292">
        <v>0</v>
      </c>
      <c r="J8292">
        <v>26629.5529419501</v>
      </c>
      <c r="K8292">
        <v>21977.630771598499</v>
      </c>
      <c r="L8292">
        <v>8.0090000000000003</v>
      </c>
      <c r="M8292">
        <v>76.846999999999994</v>
      </c>
      <c r="N8292">
        <v>11.52</v>
      </c>
    </row>
    <row r="8293" spans="1:14" x14ac:dyDescent="0.45">
      <c r="A8293">
        <v>2019</v>
      </c>
      <c r="B8293" t="s">
        <v>61</v>
      </c>
      <c r="C8293">
        <v>1</v>
      </c>
      <c r="D8293">
        <v>0</v>
      </c>
      <c r="E8293">
        <v>0</v>
      </c>
      <c r="F8293">
        <v>0</v>
      </c>
      <c r="G8293">
        <v>1</v>
      </c>
      <c r="H8293">
        <v>0</v>
      </c>
      <c r="I8293">
        <v>0</v>
      </c>
      <c r="J8293">
        <v>16215.3607965094</v>
      </c>
      <c r="K8293">
        <v>13736.052097644</v>
      </c>
      <c r="L8293">
        <v>36.780999999999999</v>
      </c>
      <c r="M8293">
        <v>75.192999999999998</v>
      </c>
      <c r="N8293">
        <v>11.932</v>
      </c>
    </row>
    <row r="8294" spans="1:14" x14ac:dyDescent="0.45">
      <c r="A8294">
        <v>2019</v>
      </c>
      <c r="B8294" t="s">
        <v>62</v>
      </c>
      <c r="C8294">
        <v>0</v>
      </c>
      <c r="D8294">
        <v>0</v>
      </c>
      <c r="E8294">
        <v>0</v>
      </c>
      <c r="F8294">
        <v>0</v>
      </c>
      <c r="G8294">
        <v>1</v>
      </c>
      <c r="H8294">
        <v>0</v>
      </c>
      <c r="I8294">
        <v>0</v>
      </c>
      <c r="L8294">
        <v>12.853</v>
      </c>
      <c r="M8294">
        <v>72.751000000000005</v>
      </c>
      <c r="N8294">
        <v>10.932</v>
      </c>
    </row>
    <row r="8295" spans="1:14" x14ac:dyDescent="0.45">
      <c r="A8295">
        <v>2019</v>
      </c>
      <c r="B8295" t="s">
        <v>63</v>
      </c>
      <c r="C8295">
        <v>0</v>
      </c>
      <c r="D8295">
        <v>1</v>
      </c>
      <c r="E8295">
        <v>0</v>
      </c>
      <c r="F8295">
        <v>0</v>
      </c>
      <c r="G8295">
        <v>0</v>
      </c>
      <c r="H8295">
        <v>1</v>
      </c>
      <c r="I8295">
        <v>1</v>
      </c>
      <c r="J8295">
        <v>29651.8641526705</v>
      </c>
      <c r="K8295">
        <v>23353.714242874601</v>
      </c>
      <c r="L8295">
        <v>75.494</v>
      </c>
      <c r="M8295">
        <v>77.168000000000006</v>
      </c>
      <c r="N8295">
        <v>10.163</v>
      </c>
    </row>
    <row r="8296" spans="1:14" x14ac:dyDescent="0.45">
      <c r="A8296">
        <v>2019</v>
      </c>
      <c r="B8296" t="s">
        <v>64</v>
      </c>
      <c r="C8296">
        <v>0</v>
      </c>
      <c r="D8296">
        <v>0</v>
      </c>
      <c r="E8296">
        <v>0</v>
      </c>
      <c r="F8296">
        <v>0</v>
      </c>
      <c r="G8296">
        <v>0</v>
      </c>
      <c r="H8296">
        <v>1</v>
      </c>
      <c r="I8296">
        <v>1</v>
      </c>
      <c r="J8296">
        <v>57837.060687640696</v>
      </c>
      <c r="K8296">
        <v>50095.662130042401</v>
      </c>
      <c r="L8296">
        <v>13.875999999999999</v>
      </c>
      <c r="M8296">
        <v>83.241</v>
      </c>
      <c r="N8296">
        <v>3.7869999999999999</v>
      </c>
    </row>
    <row r="8297" spans="1:14" x14ac:dyDescent="0.45">
      <c r="A8297">
        <v>2019</v>
      </c>
      <c r="B8297" t="s">
        <v>65</v>
      </c>
      <c r="C8297">
        <v>1</v>
      </c>
      <c r="D8297">
        <v>0</v>
      </c>
      <c r="E8297">
        <v>0</v>
      </c>
      <c r="F8297">
        <v>0</v>
      </c>
      <c r="G8297">
        <v>0</v>
      </c>
      <c r="H8297">
        <v>1</v>
      </c>
      <c r="I8297">
        <v>1</v>
      </c>
      <c r="J8297">
        <v>64688.1438223164</v>
      </c>
      <c r="K8297">
        <v>55124.359751087999</v>
      </c>
      <c r="L8297">
        <v>41.484999999999999</v>
      </c>
      <c r="M8297">
        <v>81.906999999999996</v>
      </c>
      <c r="N8297">
        <v>3.7309999999999999</v>
      </c>
    </row>
    <row r="8298" spans="1:14" x14ac:dyDescent="0.45">
      <c r="A8298">
        <v>2019</v>
      </c>
      <c r="B8298" t="s">
        <v>66</v>
      </c>
      <c r="C8298">
        <v>1</v>
      </c>
      <c r="D8298">
        <v>0</v>
      </c>
      <c r="E8298">
        <v>0</v>
      </c>
      <c r="F8298">
        <v>0</v>
      </c>
      <c r="G8298">
        <v>1</v>
      </c>
      <c r="H8298">
        <v>0</v>
      </c>
      <c r="I8298">
        <v>0</v>
      </c>
      <c r="J8298">
        <v>20101.4919048601</v>
      </c>
      <c r="K8298">
        <v>14638.1547635157</v>
      </c>
      <c r="L8298">
        <v>43.969000000000001</v>
      </c>
      <c r="M8298">
        <v>73.290000000000006</v>
      </c>
      <c r="N8298">
        <v>21.097999999999999</v>
      </c>
    </row>
    <row r="8299" spans="1:14" x14ac:dyDescent="0.45">
      <c r="A8299">
        <v>2019</v>
      </c>
      <c r="B8299" t="s">
        <v>67</v>
      </c>
      <c r="C8299">
        <v>0</v>
      </c>
      <c r="D8299">
        <v>0</v>
      </c>
      <c r="E8299">
        <v>1</v>
      </c>
      <c r="F8299">
        <v>0</v>
      </c>
      <c r="G8299">
        <v>0</v>
      </c>
      <c r="H8299">
        <v>0</v>
      </c>
      <c r="I8299">
        <v>0</v>
      </c>
      <c r="J8299">
        <v>855.73272008312199</v>
      </c>
      <c r="K8299">
        <v>739.44141871091301</v>
      </c>
      <c r="L8299">
        <v>86.634</v>
      </c>
      <c r="M8299">
        <v>62.18</v>
      </c>
      <c r="N8299">
        <v>56.96</v>
      </c>
    </row>
    <row r="8300" spans="1:14" x14ac:dyDescent="0.45">
      <c r="A8300">
        <v>2019</v>
      </c>
      <c r="B8300" t="s">
        <v>68</v>
      </c>
      <c r="C8300">
        <v>1</v>
      </c>
      <c r="D8300">
        <v>0</v>
      </c>
      <c r="E8300">
        <v>0</v>
      </c>
      <c r="F8300">
        <v>0</v>
      </c>
      <c r="G8300">
        <v>0</v>
      </c>
      <c r="H8300">
        <v>1</v>
      </c>
      <c r="I8300">
        <v>1</v>
      </c>
      <c r="J8300">
        <v>60506.6597699177</v>
      </c>
      <c r="K8300">
        <v>50917.360208739803</v>
      </c>
      <c r="L8300">
        <v>1.9590000000000001</v>
      </c>
      <c r="M8300">
        <v>81.834999999999994</v>
      </c>
      <c r="N8300">
        <v>4.1369999999999996</v>
      </c>
    </row>
    <row r="8301" spans="1:14" x14ac:dyDescent="0.45">
      <c r="A8301">
        <v>2019</v>
      </c>
      <c r="B8301" t="s">
        <v>69</v>
      </c>
      <c r="C8301">
        <v>0</v>
      </c>
      <c r="D8301">
        <v>0</v>
      </c>
      <c r="E8301">
        <v>1</v>
      </c>
      <c r="F8301">
        <v>1</v>
      </c>
      <c r="G8301">
        <v>0</v>
      </c>
      <c r="H8301">
        <v>0</v>
      </c>
      <c r="I8301">
        <v>0</v>
      </c>
      <c r="J8301">
        <v>3281.1047005146502</v>
      </c>
      <c r="K8301">
        <v>3112.9542679514998</v>
      </c>
      <c r="L8301">
        <v>52.139000000000003</v>
      </c>
      <c r="M8301">
        <v>59.887999999999998</v>
      </c>
      <c r="N8301">
        <v>87.995999999999995</v>
      </c>
    </row>
    <row r="8302" spans="1:14" x14ac:dyDescent="0.45">
      <c r="A8302">
        <v>2019</v>
      </c>
      <c r="B8302" t="s">
        <v>70</v>
      </c>
      <c r="C8302">
        <v>0</v>
      </c>
      <c r="D8302">
        <v>0</v>
      </c>
      <c r="E8302">
        <v>1</v>
      </c>
      <c r="F8302">
        <v>0</v>
      </c>
      <c r="G8302">
        <v>0</v>
      </c>
      <c r="H8302">
        <v>0</v>
      </c>
      <c r="I8302">
        <v>0</v>
      </c>
      <c r="J8302">
        <v>2391.5362684448401</v>
      </c>
      <c r="K8302">
        <v>2188.10522647377</v>
      </c>
      <c r="L8302">
        <v>70.02</v>
      </c>
      <c r="M8302">
        <v>60.183999999999997</v>
      </c>
      <c r="N8302">
        <v>87.918999999999997</v>
      </c>
    </row>
    <row r="8303" spans="1:14" x14ac:dyDescent="0.45">
      <c r="A8303">
        <v>2019</v>
      </c>
      <c r="B8303" t="s">
        <v>71</v>
      </c>
      <c r="C8303">
        <v>0</v>
      </c>
      <c r="D8303">
        <v>0</v>
      </c>
      <c r="E8303">
        <v>0</v>
      </c>
      <c r="F8303">
        <v>1</v>
      </c>
      <c r="G8303">
        <v>0</v>
      </c>
      <c r="H8303">
        <v>0</v>
      </c>
      <c r="I8303">
        <v>0</v>
      </c>
      <c r="J8303">
        <v>6838.3261160824304</v>
      </c>
      <c r="K8303">
        <v>5559.5219655421097</v>
      </c>
      <c r="L8303">
        <v>62.594999999999999</v>
      </c>
      <c r="M8303">
        <v>72.625</v>
      </c>
      <c r="N8303">
        <v>32.323999999999998</v>
      </c>
    </row>
    <row r="8304" spans="1:14" x14ac:dyDescent="0.45">
      <c r="A8304">
        <v>2019</v>
      </c>
      <c r="B8304" t="s">
        <v>72</v>
      </c>
      <c r="C8304">
        <v>1</v>
      </c>
      <c r="D8304">
        <v>0</v>
      </c>
      <c r="E8304">
        <v>0</v>
      </c>
      <c r="F8304">
        <v>0</v>
      </c>
      <c r="G8304">
        <v>1</v>
      </c>
      <c r="H8304">
        <v>0</v>
      </c>
      <c r="I8304">
        <v>0</v>
      </c>
      <c r="J8304">
        <v>29199.833586032299</v>
      </c>
      <c r="K8304">
        <v>24230.006513716799</v>
      </c>
      <c r="L8304">
        <v>24.652999999999999</v>
      </c>
      <c r="M8304">
        <v>75.087000000000003</v>
      </c>
      <c r="N8304">
        <v>6.6749999999999998</v>
      </c>
    </row>
    <row r="8305" spans="1:14" x14ac:dyDescent="0.45">
      <c r="A8305">
        <v>2019</v>
      </c>
      <c r="B8305" t="s">
        <v>73</v>
      </c>
      <c r="C8305">
        <v>0</v>
      </c>
      <c r="D8305">
        <v>0</v>
      </c>
      <c r="E8305">
        <v>0</v>
      </c>
      <c r="F8305">
        <v>0</v>
      </c>
      <c r="G8305">
        <v>0</v>
      </c>
      <c r="H8305">
        <v>1</v>
      </c>
      <c r="I8305">
        <v>1</v>
      </c>
      <c r="J8305">
        <v>56749.962837061197</v>
      </c>
      <c r="K8305">
        <v>52877.472954103599</v>
      </c>
      <c r="L8305">
        <v>10.606</v>
      </c>
      <c r="M8305">
        <v>80.471000000000004</v>
      </c>
      <c r="N8305">
        <v>6.98</v>
      </c>
    </row>
    <row r="8306" spans="1:14" x14ac:dyDescent="0.45">
      <c r="A8306">
        <v>2019</v>
      </c>
      <c r="B8306" t="s">
        <v>74</v>
      </c>
      <c r="C8306">
        <v>0</v>
      </c>
      <c r="D8306">
        <v>1</v>
      </c>
      <c r="E8306">
        <v>0</v>
      </c>
      <c r="F8306">
        <v>0</v>
      </c>
      <c r="G8306">
        <v>0</v>
      </c>
      <c r="H8306">
        <v>1</v>
      </c>
      <c r="I8306">
        <v>1</v>
      </c>
      <c r="J8306">
        <v>33202.354578976003</v>
      </c>
      <c r="K8306">
        <v>34440.337068784502</v>
      </c>
      <c r="L8306">
        <v>16.867999999999999</v>
      </c>
      <c r="M8306">
        <v>71.408000000000001</v>
      </c>
      <c r="N8306">
        <v>24.327999999999999</v>
      </c>
    </row>
    <row r="8307" spans="1:14" x14ac:dyDescent="0.45">
      <c r="A8307">
        <v>2019</v>
      </c>
      <c r="B8307" t="s">
        <v>75</v>
      </c>
      <c r="C8307">
        <v>1</v>
      </c>
      <c r="D8307">
        <v>0</v>
      </c>
      <c r="E8307">
        <v>0</v>
      </c>
      <c r="F8307">
        <v>0</v>
      </c>
      <c r="G8307">
        <v>1</v>
      </c>
      <c r="H8307">
        <v>0</v>
      </c>
      <c r="I8307">
        <v>0</v>
      </c>
      <c r="J8307">
        <v>17028.6416622178</v>
      </c>
      <c r="K8307">
        <v>14710.384375666899</v>
      </c>
      <c r="L8307">
        <v>51.374000000000002</v>
      </c>
      <c r="M8307">
        <v>77.394000000000005</v>
      </c>
      <c r="N8307">
        <v>6.2329999999999997</v>
      </c>
    </row>
    <row r="8308" spans="1:14" x14ac:dyDescent="0.45">
      <c r="A8308">
        <v>2019</v>
      </c>
      <c r="B8308" t="s">
        <v>76</v>
      </c>
      <c r="C8308">
        <v>1</v>
      </c>
      <c r="D8308">
        <v>0</v>
      </c>
      <c r="E8308">
        <v>0</v>
      </c>
      <c r="F8308">
        <v>0</v>
      </c>
      <c r="G8308">
        <v>1</v>
      </c>
      <c r="H8308">
        <v>0</v>
      </c>
      <c r="I8308">
        <v>0</v>
      </c>
      <c r="J8308">
        <v>26798.820642796101</v>
      </c>
      <c r="K8308">
        <v>19348.616339654302</v>
      </c>
      <c r="L8308">
        <v>20.956</v>
      </c>
      <c r="M8308">
        <v>74.254999999999995</v>
      </c>
      <c r="N8308">
        <v>3.141</v>
      </c>
    </row>
    <row r="8309" spans="1:14" x14ac:dyDescent="0.45">
      <c r="A8309">
        <v>2019</v>
      </c>
      <c r="B8309" t="s">
        <v>77</v>
      </c>
      <c r="C8309">
        <v>0</v>
      </c>
      <c r="D8309">
        <v>1</v>
      </c>
      <c r="E8309">
        <v>0</v>
      </c>
      <c r="F8309">
        <v>0</v>
      </c>
      <c r="G8309">
        <v>1</v>
      </c>
      <c r="H8309">
        <v>0</v>
      </c>
      <c r="I8309">
        <v>0</v>
      </c>
      <c r="J8309">
        <v>11803.0879992669</v>
      </c>
      <c r="K8309">
        <v>9301.9331230357693</v>
      </c>
      <c r="L8309">
        <v>54.134</v>
      </c>
      <c r="M8309">
        <v>72.576999999999998</v>
      </c>
      <c r="N8309">
        <v>12.817</v>
      </c>
    </row>
    <row r="8310" spans="1:14" x14ac:dyDescent="0.45">
      <c r="A8310">
        <v>2019</v>
      </c>
      <c r="B8310" t="s">
        <v>78</v>
      </c>
      <c r="C8310">
        <v>0</v>
      </c>
      <c r="D8310">
        <v>0</v>
      </c>
      <c r="E8310">
        <v>0</v>
      </c>
      <c r="F8310">
        <v>0</v>
      </c>
      <c r="G8310">
        <v>0</v>
      </c>
      <c r="H8310">
        <v>1</v>
      </c>
      <c r="I8310">
        <v>1</v>
      </c>
      <c r="J8310">
        <v>95519.920686168596</v>
      </c>
      <c r="K8310">
        <v>84866.003003629201</v>
      </c>
      <c r="L8310">
        <v>0</v>
      </c>
      <c r="M8310">
        <v>81.251000000000005</v>
      </c>
      <c r="N8310">
        <v>2.988</v>
      </c>
    </row>
    <row r="8311" spans="1:14" x14ac:dyDescent="0.45">
      <c r="A8311">
        <v>2019</v>
      </c>
      <c r="B8311" t="s">
        <v>79</v>
      </c>
      <c r="C8311">
        <v>0</v>
      </c>
      <c r="D8311">
        <v>1</v>
      </c>
      <c r="E8311">
        <v>0</v>
      </c>
      <c r="F8311">
        <v>1</v>
      </c>
      <c r="G8311">
        <v>0</v>
      </c>
      <c r="H8311">
        <v>0</v>
      </c>
      <c r="I8311">
        <v>0</v>
      </c>
      <c r="J8311">
        <v>9985.2304846037605</v>
      </c>
      <c r="K8311">
        <v>8812.4672881444894</v>
      </c>
      <c r="L8311">
        <v>30.227</v>
      </c>
      <c r="M8311">
        <v>67.819999999999993</v>
      </c>
      <c r="N8311">
        <v>46.415999999999997</v>
      </c>
    </row>
    <row r="8312" spans="1:14" x14ac:dyDescent="0.45">
      <c r="A8312">
        <v>2019</v>
      </c>
      <c r="B8312" t="s">
        <v>80</v>
      </c>
      <c r="C8312">
        <v>0</v>
      </c>
      <c r="D8312">
        <v>1</v>
      </c>
      <c r="E8312">
        <v>0</v>
      </c>
      <c r="F8312">
        <v>0</v>
      </c>
      <c r="G8312">
        <v>1</v>
      </c>
      <c r="H8312">
        <v>0</v>
      </c>
      <c r="I8312">
        <v>0</v>
      </c>
      <c r="J8312">
        <v>18018.620915151801</v>
      </c>
      <c r="K8312">
        <v>14800.659934806101</v>
      </c>
      <c r="L8312">
        <v>13.176</v>
      </c>
      <c r="M8312">
        <v>75.808999999999997</v>
      </c>
      <c r="N8312">
        <v>14.814</v>
      </c>
    </row>
    <row r="8313" spans="1:14" x14ac:dyDescent="0.45">
      <c r="A8313">
        <v>2019</v>
      </c>
      <c r="B8313" t="s">
        <v>81</v>
      </c>
      <c r="C8313">
        <v>0</v>
      </c>
      <c r="D8313">
        <v>1</v>
      </c>
      <c r="E8313">
        <v>0</v>
      </c>
      <c r="F8313">
        <v>0</v>
      </c>
      <c r="G8313">
        <v>0</v>
      </c>
      <c r="H8313">
        <v>1</v>
      </c>
      <c r="I8313">
        <v>1</v>
      </c>
      <c r="J8313">
        <v>18572.509535997</v>
      </c>
      <c r="K8313">
        <v>17738.595861027501</v>
      </c>
      <c r="L8313">
        <v>68.841999999999999</v>
      </c>
      <c r="M8313">
        <v>76.495000000000005</v>
      </c>
      <c r="N8313">
        <v>11.961</v>
      </c>
    </row>
    <row r="8314" spans="1:14" x14ac:dyDescent="0.45">
      <c r="A8314">
        <v>2019</v>
      </c>
      <c r="B8314" t="s">
        <v>82</v>
      </c>
      <c r="C8314">
        <v>0</v>
      </c>
      <c r="D8314">
        <v>0</v>
      </c>
      <c r="E8314">
        <v>0</v>
      </c>
      <c r="F8314">
        <v>0</v>
      </c>
      <c r="G8314">
        <v>0</v>
      </c>
      <c r="H8314">
        <v>1</v>
      </c>
      <c r="I8314">
        <v>1</v>
      </c>
      <c r="J8314">
        <v>80228.159656274001</v>
      </c>
      <c r="K8314">
        <v>62642.505980837603</v>
      </c>
      <c r="L8314">
        <v>22.058</v>
      </c>
      <c r="M8314">
        <v>75.049000000000007</v>
      </c>
      <c r="N8314">
        <v>9.8390000000000004</v>
      </c>
    </row>
    <row r="8315" spans="1:14" x14ac:dyDescent="0.45">
      <c r="A8315">
        <v>2019</v>
      </c>
      <c r="B8315" t="s">
        <v>83</v>
      </c>
      <c r="C8315">
        <v>0</v>
      </c>
      <c r="D8315">
        <v>0</v>
      </c>
      <c r="E8315">
        <v>0</v>
      </c>
      <c r="F8315">
        <v>1</v>
      </c>
      <c r="G8315">
        <v>0</v>
      </c>
      <c r="H8315">
        <v>0</v>
      </c>
      <c r="I8315">
        <v>0</v>
      </c>
      <c r="J8315">
        <v>14555.1884045845</v>
      </c>
      <c r="K8315">
        <v>12606.633821935</v>
      </c>
      <c r="L8315">
        <v>58.387999999999998</v>
      </c>
      <c r="M8315">
        <v>72.004999999999995</v>
      </c>
      <c r="N8315">
        <v>26.018000000000001</v>
      </c>
    </row>
    <row r="8316" spans="1:14" x14ac:dyDescent="0.45">
      <c r="A8316">
        <v>2019</v>
      </c>
      <c r="B8316" t="s">
        <v>84</v>
      </c>
      <c r="C8316">
        <v>0</v>
      </c>
      <c r="D8316">
        <v>0</v>
      </c>
      <c r="E8316">
        <v>1</v>
      </c>
      <c r="F8316">
        <v>0</v>
      </c>
      <c r="G8316">
        <v>1</v>
      </c>
      <c r="H8316">
        <v>0</v>
      </c>
      <c r="I8316">
        <v>0</v>
      </c>
      <c r="J8316">
        <v>18106.010543783901</v>
      </c>
      <c r="K8316">
        <v>16382.072731410301</v>
      </c>
      <c r="L8316">
        <v>29.827999999999999</v>
      </c>
      <c r="M8316">
        <v>67.167000000000002</v>
      </c>
      <c r="N8316">
        <v>42.491</v>
      </c>
    </row>
    <row r="8317" spans="1:14" x14ac:dyDescent="0.45">
      <c r="A8317">
        <v>2019</v>
      </c>
      <c r="B8317" t="s">
        <v>85</v>
      </c>
      <c r="C8317">
        <v>0</v>
      </c>
      <c r="D8317">
        <v>0</v>
      </c>
      <c r="E8317">
        <v>1</v>
      </c>
      <c r="F8317">
        <v>0</v>
      </c>
      <c r="G8317">
        <v>0</v>
      </c>
      <c r="H8317">
        <v>0</v>
      </c>
      <c r="I8317">
        <v>0</v>
      </c>
      <c r="J8317">
        <v>1145.0956365775201</v>
      </c>
      <c r="K8317">
        <v>916.82119215515695</v>
      </c>
      <c r="L8317">
        <v>58.23</v>
      </c>
      <c r="M8317">
        <v>31.53</v>
      </c>
      <c r="N8317">
        <v>238.21299999999999</v>
      </c>
    </row>
    <row r="8318" spans="1:14" x14ac:dyDescent="0.45">
      <c r="A8318">
        <v>2019</v>
      </c>
      <c r="B8318" t="s">
        <v>86</v>
      </c>
      <c r="C8318">
        <v>0</v>
      </c>
      <c r="D8318">
        <v>0</v>
      </c>
      <c r="E8318">
        <v>0</v>
      </c>
      <c r="F8318">
        <v>0</v>
      </c>
      <c r="G8318">
        <v>0</v>
      </c>
      <c r="H8318">
        <v>1</v>
      </c>
      <c r="I8318">
        <v>1</v>
      </c>
      <c r="J8318">
        <v>57583.845798091999</v>
      </c>
      <c r="K8318">
        <v>49845.531406266098</v>
      </c>
      <c r="L8318">
        <v>18.518000000000001</v>
      </c>
      <c r="M8318">
        <v>82.284999999999997</v>
      </c>
      <c r="N8318">
        <v>5.0990000000000002</v>
      </c>
    </row>
    <row r="8319" spans="1:14" x14ac:dyDescent="0.45">
      <c r="A8319">
        <v>2019</v>
      </c>
      <c r="B8319" t="s">
        <v>87</v>
      </c>
      <c r="C8319">
        <v>1</v>
      </c>
      <c r="D8319">
        <v>0</v>
      </c>
      <c r="E8319">
        <v>0</v>
      </c>
      <c r="F8319">
        <v>0</v>
      </c>
      <c r="G8319">
        <v>0</v>
      </c>
      <c r="H8319">
        <v>1</v>
      </c>
      <c r="I8319">
        <v>1</v>
      </c>
      <c r="J8319">
        <v>79596.702946509802</v>
      </c>
      <c r="K8319">
        <v>69246.497035836393</v>
      </c>
      <c r="L8319">
        <v>26.151</v>
      </c>
      <c r="M8319">
        <v>83.78</v>
      </c>
      <c r="N8319">
        <v>3.774</v>
      </c>
    </row>
    <row r="8320" spans="1:14" x14ac:dyDescent="0.45">
      <c r="A8320">
        <v>2019</v>
      </c>
      <c r="B8320" t="s">
        <v>88</v>
      </c>
      <c r="C8320">
        <v>1</v>
      </c>
      <c r="D8320">
        <v>0</v>
      </c>
      <c r="E8320">
        <v>0</v>
      </c>
      <c r="F8320">
        <v>0</v>
      </c>
      <c r="G8320">
        <v>0</v>
      </c>
      <c r="H8320">
        <v>1</v>
      </c>
      <c r="I8320">
        <v>1</v>
      </c>
      <c r="L8320">
        <v>69.069000000000003</v>
      </c>
      <c r="M8320">
        <v>81.177171022524902</v>
      </c>
      <c r="N8320">
        <v>8.6125881163252593</v>
      </c>
    </row>
    <row r="8321" spans="1:14" x14ac:dyDescent="0.45">
      <c r="A8321">
        <v>2019</v>
      </c>
      <c r="B8321" t="s">
        <v>89</v>
      </c>
      <c r="C8321">
        <v>0</v>
      </c>
      <c r="D8321">
        <v>1</v>
      </c>
      <c r="E8321">
        <v>0</v>
      </c>
      <c r="F8321">
        <v>0</v>
      </c>
      <c r="G8321">
        <v>0</v>
      </c>
      <c r="H8321">
        <v>1</v>
      </c>
      <c r="I8321">
        <v>1</v>
      </c>
      <c r="J8321">
        <v>28218.534387908101</v>
      </c>
      <c r="K8321">
        <v>24580.655876197499</v>
      </c>
      <c r="L8321">
        <v>12.356999999999999</v>
      </c>
      <c r="M8321">
        <v>80.323999999999998</v>
      </c>
      <c r="N8321">
        <v>6.6870000000000003</v>
      </c>
    </row>
    <row r="8322" spans="1:14" x14ac:dyDescent="0.45">
      <c r="A8322">
        <v>2019</v>
      </c>
      <c r="B8322" t="s">
        <v>90</v>
      </c>
      <c r="C8322">
        <v>0</v>
      </c>
      <c r="D8322">
        <v>0</v>
      </c>
      <c r="E8322">
        <v>0</v>
      </c>
      <c r="F8322">
        <v>0</v>
      </c>
      <c r="G8322">
        <v>1</v>
      </c>
      <c r="H8322">
        <v>0</v>
      </c>
      <c r="I8322">
        <v>0</v>
      </c>
      <c r="J8322">
        <v>18820.513103364599</v>
      </c>
      <c r="K8322">
        <v>16871.371376314099</v>
      </c>
      <c r="L8322">
        <v>39.692</v>
      </c>
      <c r="M8322">
        <v>77.94</v>
      </c>
      <c r="N8322">
        <v>8.11</v>
      </c>
    </row>
    <row r="8323" spans="1:14" x14ac:dyDescent="0.45">
      <c r="A8323">
        <v>2019</v>
      </c>
      <c r="B8323" t="s">
        <v>91</v>
      </c>
      <c r="C8323">
        <v>0</v>
      </c>
      <c r="D8323">
        <v>0</v>
      </c>
      <c r="E8323">
        <v>1</v>
      </c>
      <c r="F8323">
        <v>1</v>
      </c>
      <c r="G8323">
        <v>0</v>
      </c>
      <c r="H8323">
        <v>0</v>
      </c>
      <c r="I8323">
        <v>0</v>
      </c>
      <c r="J8323">
        <v>5894.8787467415304</v>
      </c>
      <c r="K8323">
        <v>4976.1458145582701</v>
      </c>
      <c r="L8323">
        <v>48.761000000000003</v>
      </c>
      <c r="M8323">
        <v>60.274000000000001</v>
      </c>
      <c r="N8323">
        <v>76.209999999999994</v>
      </c>
    </row>
    <row r="8324" spans="1:14" x14ac:dyDescent="0.45">
      <c r="A8324">
        <v>2019</v>
      </c>
      <c r="B8324" t="s">
        <v>92</v>
      </c>
      <c r="C8324">
        <v>0</v>
      </c>
      <c r="D8324">
        <v>0</v>
      </c>
      <c r="E8324">
        <v>1</v>
      </c>
      <c r="F8324">
        <v>1</v>
      </c>
      <c r="G8324">
        <v>0</v>
      </c>
      <c r="H8324">
        <v>0</v>
      </c>
      <c r="I8324">
        <v>0</v>
      </c>
      <c r="J8324">
        <v>4882.35560028896</v>
      </c>
      <c r="K8324">
        <v>3833.6869635919902</v>
      </c>
      <c r="L8324">
        <v>43.031999999999996</v>
      </c>
      <c r="M8324">
        <v>61.695</v>
      </c>
      <c r="N8324">
        <v>77.355999999999995</v>
      </c>
    </row>
    <row r="8325" spans="1:14" x14ac:dyDescent="0.45">
      <c r="A8325">
        <v>2019</v>
      </c>
      <c r="B8325" t="s">
        <v>93</v>
      </c>
      <c r="C8325">
        <v>0</v>
      </c>
      <c r="D8325">
        <v>0</v>
      </c>
      <c r="E8325">
        <v>1</v>
      </c>
      <c r="F8325">
        <v>0</v>
      </c>
      <c r="G8325">
        <v>0</v>
      </c>
      <c r="H8325">
        <v>0</v>
      </c>
      <c r="I8325">
        <v>0</v>
      </c>
      <c r="J8325">
        <v>1296.94757256244</v>
      </c>
      <c r="K8325">
        <v>1038.29020505467</v>
      </c>
      <c r="L8325">
        <v>54.954000000000001</v>
      </c>
      <c r="M8325">
        <v>60.241999999999997</v>
      </c>
      <c r="N8325">
        <v>84.073999999999998</v>
      </c>
    </row>
    <row r="8326" spans="1:14" x14ac:dyDescent="0.45">
      <c r="A8326">
        <v>2019</v>
      </c>
      <c r="B8326" t="s">
        <v>94</v>
      </c>
      <c r="C8326">
        <v>0</v>
      </c>
      <c r="D8326">
        <v>0</v>
      </c>
      <c r="E8326">
        <v>1</v>
      </c>
      <c r="F8326">
        <v>1</v>
      </c>
      <c r="G8326">
        <v>0</v>
      </c>
      <c r="H8326">
        <v>0</v>
      </c>
      <c r="I8326">
        <v>0</v>
      </c>
      <c r="J8326">
        <v>6939.3691339746601</v>
      </c>
      <c r="K8326">
        <v>4183.3654544003002</v>
      </c>
      <c r="L8326">
        <v>32.627000000000002</v>
      </c>
      <c r="M8326">
        <v>63.152000000000001</v>
      </c>
      <c r="N8326">
        <v>50.841000000000001</v>
      </c>
    </row>
    <row r="8327" spans="1:14" x14ac:dyDescent="0.45">
      <c r="A8327">
        <v>2019</v>
      </c>
      <c r="B8327" t="s">
        <v>95</v>
      </c>
      <c r="C8327">
        <v>0</v>
      </c>
      <c r="D8327">
        <v>1</v>
      </c>
      <c r="E8327">
        <v>0</v>
      </c>
      <c r="F8327">
        <v>0</v>
      </c>
      <c r="G8327">
        <v>1</v>
      </c>
      <c r="H8327">
        <v>0</v>
      </c>
      <c r="I8327">
        <v>0</v>
      </c>
      <c r="J8327">
        <v>17336.771603055098</v>
      </c>
      <c r="K8327">
        <v>14434.760471261799</v>
      </c>
      <c r="L8327">
        <v>18.896000000000001</v>
      </c>
      <c r="M8327">
        <v>76.793000000000006</v>
      </c>
      <c r="N8327">
        <v>13.723000000000001</v>
      </c>
    </row>
    <row r="8328" spans="1:14" x14ac:dyDescent="0.45">
      <c r="A8328">
        <v>2019</v>
      </c>
      <c r="B8328" t="s">
        <v>96</v>
      </c>
      <c r="C8328">
        <v>0</v>
      </c>
      <c r="D8328">
        <v>0</v>
      </c>
      <c r="E8328">
        <v>1</v>
      </c>
      <c r="F8328">
        <v>1</v>
      </c>
      <c r="G8328">
        <v>0</v>
      </c>
      <c r="H8328">
        <v>0</v>
      </c>
      <c r="I8328">
        <v>0</v>
      </c>
      <c r="J8328">
        <v>3357.89791389936</v>
      </c>
      <c r="K8328">
        <v>3472.4949822889498</v>
      </c>
      <c r="L8328">
        <v>70.835999999999999</v>
      </c>
      <c r="M8328">
        <v>65.662000000000006</v>
      </c>
      <c r="N8328">
        <v>53.334000000000003</v>
      </c>
    </row>
    <row r="8329" spans="1:14" x14ac:dyDescent="0.45">
      <c r="A8329">
        <v>2019</v>
      </c>
      <c r="B8329" t="s">
        <v>97</v>
      </c>
      <c r="C8329">
        <v>0</v>
      </c>
      <c r="D8329">
        <v>0</v>
      </c>
      <c r="E8329">
        <v>1</v>
      </c>
      <c r="F8329">
        <v>1</v>
      </c>
      <c r="G8329">
        <v>0</v>
      </c>
      <c r="H8329">
        <v>0</v>
      </c>
      <c r="I8329">
        <v>0</v>
      </c>
      <c r="J8329">
        <v>9111.6299317326902</v>
      </c>
      <c r="K8329">
        <v>8781.0062980806597</v>
      </c>
      <c r="L8329">
        <v>33.805</v>
      </c>
      <c r="M8329">
        <v>75.448999999999998</v>
      </c>
      <c r="N8329">
        <v>14.244999999999999</v>
      </c>
    </row>
    <row r="8330" spans="1:14" x14ac:dyDescent="0.45">
      <c r="A8330">
        <v>2019</v>
      </c>
      <c r="B8330" t="s">
        <v>98</v>
      </c>
      <c r="C8330">
        <v>0</v>
      </c>
      <c r="D8330">
        <v>1</v>
      </c>
      <c r="E8330">
        <v>0</v>
      </c>
      <c r="F8330">
        <v>0</v>
      </c>
      <c r="G8330">
        <v>1</v>
      </c>
      <c r="H8330">
        <v>0</v>
      </c>
      <c r="I8330">
        <v>0</v>
      </c>
      <c r="J8330">
        <v>23364.7831275883</v>
      </c>
      <c r="K8330">
        <v>20919.7623600072</v>
      </c>
      <c r="L8330">
        <v>19.923999999999999</v>
      </c>
      <c r="M8330">
        <v>80.296000000000006</v>
      </c>
      <c r="N8330">
        <v>8.2690000000000001</v>
      </c>
    </row>
    <row r="8331" spans="1:14" x14ac:dyDescent="0.45">
      <c r="A8331">
        <v>2019</v>
      </c>
      <c r="B8331" t="s">
        <v>99</v>
      </c>
      <c r="C8331">
        <v>0</v>
      </c>
      <c r="D8331">
        <v>1</v>
      </c>
      <c r="E8331">
        <v>0</v>
      </c>
      <c r="F8331">
        <v>0</v>
      </c>
      <c r="G8331">
        <v>1</v>
      </c>
      <c r="H8331">
        <v>0</v>
      </c>
      <c r="I8331">
        <v>0</v>
      </c>
      <c r="L8331">
        <v>22.890999999999998</v>
      </c>
      <c r="M8331">
        <v>77.412999999999997</v>
      </c>
      <c r="N8331">
        <v>6.3780000000000001</v>
      </c>
    </row>
    <row r="8332" spans="1:14" x14ac:dyDescent="0.45">
      <c r="A8332">
        <v>2019</v>
      </c>
      <c r="B8332" t="s">
        <v>100</v>
      </c>
      <c r="C8332">
        <v>0</v>
      </c>
      <c r="D8332">
        <v>1</v>
      </c>
      <c r="E8332">
        <v>0</v>
      </c>
      <c r="F8332">
        <v>0</v>
      </c>
      <c r="G8332">
        <v>0</v>
      </c>
      <c r="H8332">
        <v>1</v>
      </c>
      <c r="I8332">
        <v>1</v>
      </c>
      <c r="J8332">
        <v>28659.655702325199</v>
      </c>
      <c r="K8332">
        <v>23446.8198772248</v>
      </c>
      <c r="L8332">
        <v>10.901999999999999</v>
      </c>
      <c r="M8332">
        <v>76.492000000000004</v>
      </c>
      <c r="N8332">
        <v>10.619</v>
      </c>
    </row>
    <row r="8333" spans="1:14" x14ac:dyDescent="0.45">
      <c r="A8333">
        <v>2019</v>
      </c>
      <c r="B8333" t="s">
        <v>101</v>
      </c>
      <c r="C8333">
        <v>0</v>
      </c>
      <c r="D8333">
        <v>1</v>
      </c>
      <c r="E8333">
        <v>0</v>
      </c>
      <c r="F8333">
        <v>0</v>
      </c>
      <c r="G8333">
        <v>0</v>
      </c>
      <c r="H8333">
        <v>1</v>
      </c>
      <c r="I8333">
        <v>1</v>
      </c>
      <c r="J8333">
        <v>77440.552064534</v>
      </c>
      <c r="K8333">
        <v>70640.982892336295</v>
      </c>
      <c r="L8333">
        <v>0</v>
      </c>
      <c r="M8333">
        <v>79.052000000000007</v>
      </c>
      <c r="N8333">
        <v>2.2879999999999998</v>
      </c>
    </row>
    <row r="8334" spans="1:14" x14ac:dyDescent="0.45">
      <c r="A8334">
        <v>2019</v>
      </c>
      <c r="B8334" t="s">
        <v>102</v>
      </c>
      <c r="C8334">
        <v>1</v>
      </c>
      <c r="D8334">
        <v>0</v>
      </c>
      <c r="E8334">
        <v>0</v>
      </c>
      <c r="F8334">
        <v>0</v>
      </c>
      <c r="G8334">
        <v>0</v>
      </c>
      <c r="H8334">
        <v>1</v>
      </c>
      <c r="I8334">
        <v>1</v>
      </c>
      <c r="J8334">
        <v>46195.59375</v>
      </c>
      <c r="K8334">
        <v>41152.982161084998</v>
      </c>
      <c r="L8334">
        <v>33.195</v>
      </c>
      <c r="M8334">
        <v>81.453999999999994</v>
      </c>
      <c r="N8334">
        <v>3.2360000000000002</v>
      </c>
    </row>
    <row r="8335" spans="1:14" x14ac:dyDescent="0.45">
      <c r="A8335">
        <v>2019</v>
      </c>
      <c r="B8335" t="s">
        <v>103</v>
      </c>
      <c r="C8335">
        <v>1</v>
      </c>
      <c r="D8335">
        <v>0</v>
      </c>
      <c r="E8335">
        <v>0</v>
      </c>
      <c r="F8335">
        <v>0</v>
      </c>
      <c r="G8335">
        <v>0</v>
      </c>
      <c r="H8335">
        <v>1</v>
      </c>
      <c r="I8335">
        <v>1</v>
      </c>
      <c r="J8335">
        <v>47763.6165520254</v>
      </c>
      <c r="K8335">
        <v>39768.108603407803</v>
      </c>
      <c r="L8335">
        <v>26.079000000000001</v>
      </c>
      <c r="M8335">
        <v>79.185000000000002</v>
      </c>
      <c r="N8335">
        <v>3.0910000000000002</v>
      </c>
    </row>
    <row r="8336" spans="1:14" x14ac:dyDescent="0.45">
      <c r="A8336">
        <v>2019</v>
      </c>
      <c r="B8336" t="s">
        <v>104</v>
      </c>
      <c r="C8336">
        <v>1</v>
      </c>
      <c r="D8336">
        <v>0</v>
      </c>
      <c r="E8336">
        <v>0</v>
      </c>
      <c r="F8336">
        <v>0</v>
      </c>
      <c r="G8336">
        <v>0</v>
      </c>
      <c r="H8336">
        <v>1</v>
      </c>
      <c r="I8336">
        <v>1</v>
      </c>
      <c r="J8336">
        <v>62970.7160913279</v>
      </c>
      <c r="K8336">
        <v>54598.893706931398</v>
      </c>
      <c r="L8336">
        <v>22.623999999999999</v>
      </c>
      <c r="M8336">
        <v>81.188999999999993</v>
      </c>
      <c r="N8336">
        <v>3.774</v>
      </c>
    </row>
    <row r="8337" spans="1:14" x14ac:dyDescent="0.45">
      <c r="A8337">
        <v>2019</v>
      </c>
      <c r="B8337" t="s">
        <v>105</v>
      </c>
      <c r="C8337">
        <v>0</v>
      </c>
      <c r="D8337">
        <v>0</v>
      </c>
      <c r="E8337">
        <v>0</v>
      </c>
      <c r="F8337">
        <v>1</v>
      </c>
      <c r="G8337">
        <v>0</v>
      </c>
      <c r="H8337">
        <v>0</v>
      </c>
      <c r="I8337">
        <v>0</v>
      </c>
      <c r="J8337">
        <v>5809.3045504134097</v>
      </c>
      <c r="K8337">
        <v>5010.8205500938102</v>
      </c>
      <c r="L8337">
        <v>22.085000000000001</v>
      </c>
      <c r="M8337">
        <v>64.381</v>
      </c>
      <c r="N8337">
        <v>57.529000000000003</v>
      </c>
    </row>
    <row r="8338" spans="1:14" x14ac:dyDescent="0.45">
      <c r="A8338">
        <v>2019</v>
      </c>
      <c r="B8338" t="s">
        <v>106</v>
      </c>
      <c r="C8338">
        <v>0</v>
      </c>
      <c r="D8338">
        <v>1</v>
      </c>
      <c r="E8338">
        <v>0</v>
      </c>
      <c r="F8338">
        <v>0</v>
      </c>
      <c r="G8338">
        <v>1</v>
      </c>
      <c r="H8338">
        <v>0</v>
      </c>
      <c r="I8338">
        <v>0</v>
      </c>
      <c r="J8338">
        <v>17619.433541676899</v>
      </c>
      <c r="K8338">
        <v>13711.942347292301</v>
      </c>
      <c r="L8338">
        <v>29.213999999999999</v>
      </c>
      <c r="M8338">
        <v>71.305000000000007</v>
      </c>
      <c r="N8338">
        <v>30.125</v>
      </c>
    </row>
    <row r="8339" spans="1:14" x14ac:dyDescent="0.45">
      <c r="A8339">
        <v>2019</v>
      </c>
      <c r="B8339" t="s">
        <v>107</v>
      </c>
      <c r="C8339">
        <v>1</v>
      </c>
      <c r="D8339">
        <v>0</v>
      </c>
      <c r="E8339">
        <v>0</v>
      </c>
      <c r="F8339">
        <v>0</v>
      </c>
      <c r="G8339">
        <v>0</v>
      </c>
      <c r="H8339">
        <v>1</v>
      </c>
      <c r="I8339">
        <v>1</v>
      </c>
      <c r="J8339">
        <v>66580.188138602694</v>
      </c>
      <c r="K8339">
        <v>56270.0521610781</v>
      </c>
      <c r="L8339">
        <v>12.006</v>
      </c>
      <c r="M8339">
        <v>81.433999999999997</v>
      </c>
      <c r="N8339">
        <v>3.3849999999999998</v>
      </c>
    </row>
    <row r="8340" spans="1:14" x14ac:dyDescent="0.45">
      <c r="A8340">
        <v>2019</v>
      </c>
      <c r="B8340" t="s">
        <v>108</v>
      </c>
      <c r="C8340">
        <v>0</v>
      </c>
      <c r="D8340">
        <v>1</v>
      </c>
      <c r="E8340">
        <v>0</v>
      </c>
      <c r="F8340">
        <v>0</v>
      </c>
      <c r="G8340">
        <v>1</v>
      </c>
      <c r="H8340">
        <v>0</v>
      </c>
      <c r="I8340">
        <v>0</v>
      </c>
      <c r="J8340">
        <v>21451.286441994998</v>
      </c>
      <c r="K8340">
        <v>18530.157443824599</v>
      </c>
      <c r="L8340">
        <v>18.172000000000001</v>
      </c>
      <c r="M8340">
        <v>73.111999999999995</v>
      </c>
      <c r="N8340">
        <v>34.020000000000003</v>
      </c>
    </row>
    <row r="8341" spans="1:14" x14ac:dyDescent="0.45">
      <c r="A8341">
        <v>2019</v>
      </c>
      <c r="B8341" t="s">
        <v>109</v>
      </c>
      <c r="C8341">
        <v>0</v>
      </c>
      <c r="D8341">
        <v>0</v>
      </c>
      <c r="E8341">
        <v>0</v>
      </c>
      <c r="F8341">
        <v>1</v>
      </c>
      <c r="G8341">
        <v>0</v>
      </c>
      <c r="H8341">
        <v>0</v>
      </c>
      <c r="I8341">
        <v>0</v>
      </c>
      <c r="J8341">
        <v>15199.1989965639</v>
      </c>
      <c r="K8341">
        <v>13293.738081515001</v>
      </c>
      <c r="L8341">
        <v>26.811</v>
      </c>
      <c r="M8341">
        <v>75.682000000000002</v>
      </c>
      <c r="N8341">
        <v>23.372</v>
      </c>
    </row>
    <row r="8342" spans="1:14" x14ac:dyDescent="0.45">
      <c r="A8342">
        <v>2019</v>
      </c>
      <c r="B8342" t="s">
        <v>110</v>
      </c>
      <c r="C8342">
        <v>0</v>
      </c>
      <c r="D8342">
        <v>1</v>
      </c>
      <c r="E8342">
        <v>0</v>
      </c>
      <c r="F8342">
        <v>0</v>
      </c>
      <c r="G8342">
        <v>1</v>
      </c>
      <c r="H8342">
        <v>0</v>
      </c>
      <c r="I8342">
        <v>0</v>
      </c>
      <c r="J8342">
        <v>13870.4895118068</v>
      </c>
      <c r="K8342">
        <v>11536.748806150499</v>
      </c>
      <c r="L8342">
        <v>36.014000000000003</v>
      </c>
      <c r="M8342">
        <v>77.286000000000001</v>
      </c>
      <c r="N8342">
        <v>13.446999999999999</v>
      </c>
    </row>
    <row r="8343" spans="1:14" x14ac:dyDescent="0.45">
      <c r="A8343">
        <v>2019</v>
      </c>
      <c r="B8343" t="s">
        <v>111</v>
      </c>
      <c r="C8343">
        <v>0</v>
      </c>
      <c r="D8343">
        <v>0</v>
      </c>
      <c r="E8343">
        <v>0</v>
      </c>
      <c r="F8343">
        <v>1</v>
      </c>
      <c r="G8343">
        <v>0</v>
      </c>
      <c r="H8343">
        <v>0</v>
      </c>
      <c r="I8343">
        <v>0</v>
      </c>
      <c r="J8343">
        <v>15026.568243809699</v>
      </c>
      <c r="K8343">
        <v>11924.831381249</v>
      </c>
      <c r="L8343">
        <v>57.27</v>
      </c>
      <c r="M8343">
        <v>71.212999999999994</v>
      </c>
      <c r="N8343">
        <v>20.109000000000002</v>
      </c>
    </row>
    <row r="8344" spans="1:14" x14ac:dyDescent="0.45">
      <c r="A8344">
        <v>2019</v>
      </c>
      <c r="B8344" t="s">
        <v>112</v>
      </c>
      <c r="C8344">
        <v>0</v>
      </c>
      <c r="D8344">
        <v>0</v>
      </c>
      <c r="E8344">
        <v>1</v>
      </c>
      <c r="F8344">
        <v>0</v>
      </c>
      <c r="G8344">
        <v>0</v>
      </c>
      <c r="H8344">
        <v>0</v>
      </c>
      <c r="I8344">
        <v>0</v>
      </c>
      <c r="L8344">
        <v>59.287999999999997</v>
      </c>
      <c r="M8344">
        <v>67.305999999999997</v>
      </c>
      <c r="N8344">
        <v>40.542000000000002</v>
      </c>
    </row>
    <row r="8345" spans="1:14" x14ac:dyDescent="0.45">
      <c r="A8345">
        <v>2019</v>
      </c>
      <c r="B8345" t="s">
        <v>113</v>
      </c>
      <c r="C8345">
        <v>1</v>
      </c>
      <c r="D8345">
        <v>0</v>
      </c>
      <c r="E8345">
        <v>0</v>
      </c>
      <c r="F8345">
        <v>0</v>
      </c>
      <c r="G8345">
        <v>0</v>
      </c>
      <c r="H8345">
        <v>1</v>
      </c>
      <c r="I8345">
        <v>1</v>
      </c>
      <c r="J8345">
        <v>46896.417114142401</v>
      </c>
      <c r="K8345">
        <v>41270.094322721998</v>
      </c>
      <c r="L8345">
        <v>19.434999999999999</v>
      </c>
      <c r="M8345">
        <v>83.478999999999999</v>
      </c>
      <c r="N8345">
        <v>3.1360000000000001</v>
      </c>
    </row>
    <row r="8346" spans="1:14" x14ac:dyDescent="0.45">
      <c r="A8346">
        <v>2019</v>
      </c>
      <c r="B8346" t="s">
        <v>114</v>
      </c>
      <c r="C8346">
        <v>1</v>
      </c>
      <c r="D8346">
        <v>0</v>
      </c>
      <c r="E8346">
        <v>0</v>
      </c>
      <c r="F8346">
        <v>0</v>
      </c>
      <c r="G8346">
        <v>0</v>
      </c>
      <c r="H8346">
        <v>1</v>
      </c>
      <c r="I8346">
        <v>1</v>
      </c>
      <c r="J8346">
        <v>42652.534863145796</v>
      </c>
      <c r="K8346">
        <v>36186.661167457001</v>
      </c>
      <c r="L8346">
        <v>30.949000000000002</v>
      </c>
      <c r="M8346">
        <v>78.772999999999996</v>
      </c>
      <c r="N8346">
        <v>2.2250000000000001</v>
      </c>
    </row>
    <row r="8347" spans="1:14" x14ac:dyDescent="0.45">
      <c r="A8347">
        <v>2019</v>
      </c>
      <c r="B8347" t="s">
        <v>115</v>
      </c>
      <c r="C8347">
        <v>0</v>
      </c>
      <c r="D8347">
        <v>0</v>
      </c>
      <c r="E8347">
        <v>1</v>
      </c>
      <c r="F8347">
        <v>0</v>
      </c>
      <c r="G8347">
        <v>0</v>
      </c>
      <c r="H8347">
        <v>0</v>
      </c>
      <c r="I8347">
        <v>0</v>
      </c>
      <c r="J8347">
        <v>2437.9704605595198</v>
      </c>
      <c r="K8347">
        <v>2198.7821608959198</v>
      </c>
      <c r="L8347">
        <v>78.775000000000006</v>
      </c>
      <c r="M8347">
        <v>65.741</v>
      </c>
      <c r="N8347">
        <v>52.402000000000001</v>
      </c>
    </row>
    <row r="8348" spans="1:14" x14ac:dyDescent="0.45">
      <c r="A8348">
        <v>2019</v>
      </c>
      <c r="B8348" t="s">
        <v>116</v>
      </c>
      <c r="C8348">
        <v>1</v>
      </c>
      <c r="D8348">
        <v>0</v>
      </c>
      <c r="E8348">
        <v>0</v>
      </c>
      <c r="F8348">
        <v>0</v>
      </c>
      <c r="G8348">
        <v>0</v>
      </c>
      <c r="H8348">
        <v>1</v>
      </c>
      <c r="I8348">
        <v>1</v>
      </c>
      <c r="J8348">
        <v>56922.487316310297</v>
      </c>
      <c r="K8348">
        <v>47853.756695035103</v>
      </c>
      <c r="L8348">
        <v>14.554</v>
      </c>
      <c r="M8348">
        <v>81.864000000000004</v>
      </c>
      <c r="N8348">
        <v>2.5049999999999999</v>
      </c>
    </row>
    <row r="8349" spans="1:14" x14ac:dyDescent="0.45">
      <c r="A8349">
        <v>2019</v>
      </c>
      <c r="B8349" t="s">
        <v>117</v>
      </c>
      <c r="C8349">
        <v>0</v>
      </c>
      <c r="D8349">
        <v>0</v>
      </c>
      <c r="E8349">
        <v>0</v>
      </c>
      <c r="F8349">
        <v>0</v>
      </c>
      <c r="G8349">
        <v>1</v>
      </c>
      <c r="H8349">
        <v>0</v>
      </c>
      <c r="I8349">
        <v>0</v>
      </c>
      <c r="J8349">
        <v>13567.473882451501</v>
      </c>
      <c r="K8349">
        <v>13286.6637757606</v>
      </c>
      <c r="L8349">
        <v>43.25</v>
      </c>
      <c r="M8349">
        <v>67.009</v>
      </c>
      <c r="N8349">
        <v>25.280999999999999</v>
      </c>
    </row>
    <row r="8350" spans="1:14" x14ac:dyDescent="0.45">
      <c r="A8350">
        <v>2019</v>
      </c>
      <c r="B8350" t="s">
        <v>118</v>
      </c>
      <c r="C8350">
        <v>1</v>
      </c>
      <c r="D8350">
        <v>0</v>
      </c>
      <c r="E8350">
        <v>0</v>
      </c>
      <c r="F8350">
        <v>0</v>
      </c>
      <c r="G8350">
        <v>0</v>
      </c>
      <c r="H8350">
        <v>1</v>
      </c>
      <c r="I8350">
        <v>1</v>
      </c>
      <c r="J8350">
        <v>53448.554884994301</v>
      </c>
      <c r="K8350">
        <v>44624.133683276203</v>
      </c>
      <c r="L8350">
        <v>19.291</v>
      </c>
      <c r="M8350">
        <v>82.73</v>
      </c>
      <c r="N8350">
        <v>4.4169999999999998</v>
      </c>
    </row>
    <row r="8351" spans="1:14" x14ac:dyDescent="0.45">
      <c r="A8351">
        <v>2019</v>
      </c>
      <c r="B8351" t="s">
        <v>119</v>
      </c>
      <c r="C8351">
        <v>1</v>
      </c>
      <c r="D8351">
        <v>0</v>
      </c>
      <c r="E8351">
        <v>0</v>
      </c>
      <c r="F8351">
        <v>0</v>
      </c>
      <c r="G8351">
        <v>0</v>
      </c>
      <c r="H8351">
        <v>1</v>
      </c>
      <c r="I8351">
        <v>1</v>
      </c>
      <c r="J8351">
        <v>67210.427723407003</v>
      </c>
      <c r="K8351">
        <v>58719.153197724299</v>
      </c>
      <c r="L8351">
        <v>57.774999999999999</v>
      </c>
      <c r="M8351">
        <v>79.906000000000006</v>
      </c>
      <c r="N8351">
        <v>7.95</v>
      </c>
    </row>
    <row r="8352" spans="1:14" x14ac:dyDescent="0.45">
      <c r="A8352">
        <v>2019</v>
      </c>
      <c r="B8352" t="s">
        <v>120</v>
      </c>
      <c r="C8352">
        <v>0</v>
      </c>
      <c r="D8352">
        <v>0</v>
      </c>
      <c r="E8352">
        <v>0</v>
      </c>
      <c r="F8352">
        <v>1</v>
      </c>
      <c r="G8352">
        <v>0</v>
      </c>
      <c r="H8352">
        <v>0</v>
      </c>
      <c r="I8352">
        <v>0</v>
      </c>
      <c r="J8352">
        <v>3938.5570883315399</v>
      </c>
      <c r="K8352">
        <v>3564.93764891097</v>
      </c>
      <c r="L8352">
        <v>77.188000000000002</v>
      </c>
      <c r="M8352">
        <v>66.195999999999998</v>
      </c>
      <c r="N8352">
        <v>25.981000000000002</v>
      </c>
    </row>
    <row r="8353" spans="1:14" x14ac:dyDescent="0.45">
      <c r="A8353">
        <v>2019</v>
      </c>
      <c r="B8353" t="s">
        <v>121</v>
      </c>
      <c r="C8353">
        <v>0</v>
      </c>
      <c r="D8353">
        <v>0</v>
      </c>
      <c r="E8353">
        <v>1</v>
      </c>
      <c r="F8353">
        <v>0</v>
      </c>
      <c r="G8353">
        <v>1</v>
      </c>
      <c r="H8353">
        <v>0</v>
      </c>
      <c r="I8353">
        <v>0</v>
      </c>
      <c r="J8353">
        <v>19491.406763139599</v>
      </c>
      <c r="K8353">
        <v>14747.976414941901</v>
      </c>
      <c r="L8353">
        <v>10.259</v>
      </c>
      <c r="M8353">
        <v>67.337000000000003</v>
      </c>
      <c r="N8353">
        <v>42.460999999999999</v>
      </c>
    </row>
    <row r="8354" spans="1:14" x14ac:dyDescent="0.45">
      <c r="A8354">
        <v>2019</v>
      </c>
      <c r="B8354" t="s">
        <v>122</v>
      </c>
      <c r="C8354">
        <v>1</v>
      </c>
      <c r="D8354">
        <v>0</v>
      </c>
      <c r="E8354">
        <v>0</v>
      </c>
      <c r="F8354">
        <v>0</v>
      </c>
      <c r="G8354">
        <v>0</v>
      </c>
      <c r="H8354">
        <v>1</v>
      </c>
      <c r="I8354">
        <v>1</v>
      </c>
      <c r="J8354">
        <v>52645.544198290299</v>
      </c>
      <c r="K8354">
        <v>45355.723951373198</v>
      </c>
      <c r="L8354">
        <v>16.347999999999999</v>
      </c>
      <c r="M8354">
        <v>81.442999999999998</v>
      </c>
      <c r="N8354">
        <v>4.4349999999999996</v>
      </c>
    </row>
    <row r="8355" spans="1:14" x14ac:dyDescent="0.45">
      <c r="A8355">
        <v>2019</v>
      </c>
      <c r="B8355" t="s">
        <v>123</v>
      </c>
      <c r="C8355">
        <v>1</v>
      </c>
      <c r="D8355">
        <v>0</v>
      </c>
      <c r="E8355">
        <v>0</v>
      </c>
      <c r="F8355">
        <v>0</v>
      </c>
      <c r="G8355">
        <v>1</v>
      </c>
      <c r="H8355">
        <v>0</v>
      </c>
      <c r="I8355">
        <v>0</v>
      </c>
      <c r="J8355">
        <v>18186.881646580699</v>
      </c>
      <c r="K8355">
        <v>15365.835863095699</v>
      </c>
      <c r="L8355">
        <v>40.960999999999999</v>
      </c>
      <c r="M8355">
        <v>74.165000000000006</v>
      </c>
      <c r="N8355">
        <v>9.76</v>
      </c>
    </row>
    <row r="8356" spans="1:14" x14ac:dyDescent="0.45">
      <c r="A8356">
        <v>2019</v>
      </c>
      <c r="B8356" t="s">
        <v>124</v>
      </c>
      <c r="C8356">
        <v>0</v>
      </c>
      <c r="D8356">
        <v>0</v>
      </c>
      <c r="E8356">
        <v>1</v>
      </c>
      <c r="F8356">
        <v>1</v>
      </c>
      <c r="G8356">
        <v>0</v>
      </c>
      <c r="H8356">
        <v>0</v>
      </c>
      <c r="I8356">
        <v>0</v>
      </c>
      <c r="J8356">
        <v>6508.2465230590096</v>
      </c>
      <c r="K8356">
        <v>5614.9423501005704</v>
      </c>
      <c r="L8356">
        <v>43.292999999999999</v>
      </c>
      <c r="M8356">
        <v>64.454999999999998</v>
      </c>
      <c r="N8356">
        <v>47.268000000000001</v>
      </c>
    </row>
    <row r="8357" spans="1:14" x14ac:dyDescent="0.45">
      <c r="A8357">
        <v>2019</v>
      </c>
      <c r="B8357" t="s">
        <v>125</v>
      </c>
      <c r="C8357">
        <v>1</v>
      </c>
      <c r="D8357">
        <v>0</v>
      </c>
      <c r="E8357">
        <v>0</v>
      </c>
      <c r="F8357">
        <v>0</v>
      </c>
      <c r="G8357">
        <v>0</v>
      </c>
      <c r="H8357">
        <v>1</v>
      </c>
      <c r="I8357">
        <v>1</v>
      </c>
      <c r="L8357">
        <v>0</v>
      </c>
      <c r="M8357">
        <v>83.183000000000007</v>
      </c>
      <c r="N8357">
        <v>10.93</v>
      </c>
    </row>
    <row r="8358" spans="1:14" x14ac:dyDescent="0.45">
      <c r="A8358">
        <v>2019</v>
      </c>
      <c r="B8358" t="s">
        <v>126</v>
      </c>
      <c r="C8358">
        <v>0</v>
      </c>
      <c r="D8358">
        <v>0</v>
      </c>
      <c r="E8358">
        <v>1</v>
      </c>
      <c r="F8358">
        <v>0</v>
      </c>
      <c r="G8358">
        <v>0</v>
      </c>
      <c r="H8358">
        <v>0</v>
      </c>
      <c r="I8358">
        <v>0</v>
      </c>
      <c r="J8358">
        <v>3557.4623388314499</v>
      </c>
      <c r="K8358">
        <v>2868.2602591974201</v>
      </c>
      <c r="L8358">
        <v>63.5</v>
      </c>
      <c r="M8358">
        <v>59.378999999999998</v>
      </c>
      <c r="N8358">
        <v>102.65300000000001</v>
      </c>
    </row>
    <row r="8359" spans="1:14" x14ac:dyDescent="0.45">
      <c r="A8359">
        <v>2019</v>
      </c>
      <c r="B8359" t="s">
        <v>127</v>
      </c>
      <c r="C8359">
        <v>0</v>
      </c>
      <c r="D8359">
        <v>0</v>
      </c>
      <c r="E8359">
        <v>1</v>
      </c>
      <c r="F8359">
        <v>0</v>
      </c>
      <c r="G8359">
        <v>0</v>
      </c>
      <c r="H8359">
        <v>0</v>
      </c>
      <c r="I8359">
        <v>0</v>
      </c>
      <c r="J8359">
        <v>2750.8213217963398</v>
      </c>
      <c r="K8359">
        <v>2214.1277337422798</v>
      </c>
      <c r="L8359">
        <v>38.069000000000003</v>
      </c>
      <c r="M8359">
        <v>64.427000000000007</v>
      </c>
      <c r="N8359">
        <v>50.936</v>
      </c>
    </row>
    <row r="8360" spans="1:14" x14ac:dyDescent="0.45">
      <c r="A8360">
        <v>2019</v>
      </c>
      <c r="B8360" t="s">
        <v>128</v>
      </c>
      <c r="C8360">
        <v>0</v>
      </c>
      <c r="D8360">
        <v>0</v>
      </c>
      <c r="E8360">
        <v>1</v>
      </c>
      <c r="F8360">
        <v>0</v>
      </c>
      <c r="G8360">
        <v>0</v>
      </c>
      <c r="H8360">
        <v>0</v>
      </c>
      <c r="I8360">
        <v>0</v>
      </c>
      <c r="J8360">
        <v>2418.1041022028799</v>
      </c>
      <c r="K8360">
        <v>2175.3226991415099</v>
      </c>
      <c r="L8360">
        <v>56.222999999999999</v>
      </c>
      <c r="M8360">
        <v>62.161000000000001</v>
      </c>
      <c r="N8360">
        <v>79.709000000000003</v>
      </c>
    </row>
    <row r="8361" spans="1:14" x14ac:dyDescent="0.45">
      <c r="A8361">
        <v>2019</v>
      </c>
      <c r="B8361" t="s">
        <v>129</v>
      </c>
      <c r="C8361">
        <v>0</v>
      </c>
      <c r="D8361">
        <v>0</v>
      </c>
      <c r="E8361">
        <v>1</v>
      </c>
      <c r="F8361">
        <v>0</v>
      </c>
      <c r="G8361">
        <v>1</v>
      </c>
      <c r="H8361">
        <v>0</v>
      </c>
      <c r="I8361">
        <v>0</v>
      </c>
      <c r="J8361">
        <v>18446.5916579681</v>
      </c>
      <c r="K8361">
        <v>15283.2365394227</v>
      </c>
      <c r="L8361">
        <v>27.373000000000001</v>
      </c>
      <c r="M8361">
        <v>62.296999999999997</v>
      </c>
      <c r="N8361">
        <v>81.16</v>
      </c>
    </row>
    <row r="8362" spans="1:14" x14ac:dyDescent="0.45">
      <c r="A8362">
        <v>2019</v>
      </c>
      <c r="B8362" t="s">
        <v>130</v>
      </c>
      <c r="C8362">
        <v>1</v>
      </c>
      <c r="D8362">
        <v>0</v>
      </c>
      <c r="E8362">
        <v>0</v>
      </c>
      <c r="F8362">
        <v>0</v>
      </c>
      <c r="G8362">
        <v>0</v>
      </c>
      <c r="H8362">
        <v>1</v>
      </c>
      <c r="I8362">
        <v>1</v>
      </c>
      <c r="J8362">
        <v>33502.750648899702</v>
      </c>
      <c r="K8362">
        <v>29991.4651237211</v>
      </c>
      <c r="L8362">
        <v>20.611999999999998</v>
      </c>
      <c r="M8362">
        <v>81.349000000000004</v>
      </c>
      <c r="N8362">
        <v>4.0860000000000003</v>
      </c>
    </row>
    <row r="8363" spans="1:14" x14ac:dyDescent="0.45">
      <c r="A8363">
        <v>2019</v>
      </c>
      <c r="B8363" t="s">
        <v>131</v>
      </c>
      <c r="C8363">
        <v>0</v>
      </c>
      <c r="D8363">
        <v>1</v>
      </c>
      <c r="E8363">
        <v>0</v>
      </c>
      <c r="F8363">
        <v>0</v>
      </c>
      <c r="G8363">
        <v>1</v>
      </c>
      <c r="H8363">
        <v>0</v>
      </c>
      <c r="I8363">
        <v>0</v>
      </c>
      <c r="J8363">
        <v>17047.354926125801</v>
      </c>
      <c r="K8363">
        <v>15729.6808584955</v>
      </c>
      <c r="L8363">
        <v>63.603999999999999</v>
      </c>
      <c r="M8363">
        <v>74.971000000000004</v>
      </c>
      <c r="N8363">
        <v>15.677</v>
      </c>
    </row>
    <row r="8364" spans="1:14" x14ac:dyDescent="0.45">
      <c r="A8364">
        <v>2019</v>
      </c>
      <c r="B8364" t="s">
        <v>132</v>
      </c>
      <c r="C8364">
        <v>1</v>
      </c>
      <c r="D8364">
        <v>0</v>
      </c>
      <c r="E8364">
        <v>0</v>
      </c>
      <c r="F8364">
        <v>0</v>
      </c>
      <c r="G8364">
        <v>0</v>
      </c>
      <c r="H8364">
        <v>1</v>
      </c>
      <c r="I8364">
        <v>1</v>
      </c>
      <c r="J8364">
        <v>68534.941903913306</v>
      </c>
      <c r="K8364">
        <v>62035.647955966197</v>
      </c>
      <c r="L8364">
        <v>12.948</v>
      </c>
      <c r="M8364">
        <v>70.257000000000005</v>
      </c>
      <c r="N8364">
        <v>11.260999999999999</v>
      </c>
    </row>
    <row r="8365" spans="1:14" x14ac:dyDescent="0.45">
      <c r="A8365">
        <v>2019</v>
      </c>
      <c r="B8365" t="s">
        <v>133</v>
      </c>
      <c r="C8365">
        <v>0</v>
      </c>
      <c r="D8365">
        <v>1</v>
      </c>
      <c r="E8365">
        <v>0</v>
      </c>
      <c r="F8365">
        <v>0</v>
      </c>
      <c r="G8365">
        <v>1</v>
      </c>
      <c r="H8365">
        <v>0</v>
      </c>
      <c r="I8365">
        <v>0</v>
      </c>
      <c r="J8365">
        <v>11466.3762560987</v>
      </c>
      <c r="K8365">
        <v>9960.56195895977</v>
      </c>
      <c r="L8365">
        <v>48.561</v>
      </c>
      <c r="M8365">
        <v>71.638999999999996</v>
      </c>
      <c r="N8365">
        <v>24.547000000000001</v>
      </c>
    </row>
    <row r="8366" spans="1:14" x14ac:dyDescent="0.45">
      <c r="A8366">
        <v>2019</v>
      </c>
      <c r="B8366" t="s">
        <v>134</v>
      </c>
      <c r="C8366">
        <v>0</v>
      </c>
      <c r="D8366">
        <v>0</v>
      </c>
      <c r="E8366">
        <v>0</v>
      </c>
      <c r="F8366">
        <v>0</v>
      </c>
      <c r="G8366">
        <v>0</v>
      </c>
      <c r="H8366">
        <v>1</v>
      </c>
      <c r="I8366">
        <v>1</v>
      </c>
      <c r="L8366">
        <v>5.1410000000000098</v>
      </c>
      <c r="M8366">
        <v>76.644999999999996</v>
      </c>
      <c r="N8366">
        <v>13.356999999999999</v>
      </c>
    </row>
    <row r="8367" spans="1:14" x14ac:dyDescent="0.45">
      <c r="A8367">
        <v>2019</v>
      </c>
      <c r="B8367" t="s">
        <v>135</v>
      </c>
      <c r="C8367">
        <v>0</v>
      </c>
      <c r="D8367">
        <v>1</v>
      </c>
      <c r="E8367">
        <v>0</v>
      </c>
      <c r="F8367">
        <v>0</v>
      </c>
      <c r="G8367">
        <v>1</v>
      </c>
      <c r="H8367">
        <v>0</v>
      </c>
      <c r="I8367">
        <v>0</v>
      </c>
      <c r="J8367">
        <v>13402.421947275699</v>
      </c>
      <c r="K8367">
        <v>12817.796753185899</v>
      </c>
      <c r="L8367">
        <v>73.311000000000007</v>
      </c>
      <c r="M8367">
        <v>69.066999999999993</v>
      </c>
      <c r="N8367">
        <v>29.193999999999999</v>
      </c>
    </row>
    <row r="8368" spans="1:14" x14ac:dyDescent="0.45">
      <c r="A8368">
        <v>2019</v>
      </c>
      <c r="B8368" t="s">
        <v>136</v>
      </c>
      <c r="C8368">
        <v>0</v>
      </c>
      <c r="D8368">
        <v>0</v>
      </c>
      <c r="E8368">
        <v>0</v>
      </c>
      <c r="F8368">
        <v>0</v>
      </c>
      <c r="G8368">
        <v>0</v>
      </c>
      <c r="H8368">
        <v>1</v>
      </c>
      <c r="I8368">
        <v>1</v>
      </c>
      <c r="J8368">
        <v>65388.330874483603</v>
      </c>
      <c r="K8368">
        <v>59013.194065850199</v>
      </c>
      <c r="L8368">
        <v>0</v>
      </c>
      <c r="M8368">
        <v>85.263000000000005</v>
      </c>
      <c r="N8368">
        <v>2.0910000000000002</v>
      </c>
    </row>
    <row r="8369" spans="1:14" x14ac:dyDescent="0.45">
      <c r="A8369">
        <v>2019</v>
      </c>
      <c r="B8369" t="s">
        <v>137</v>
      </c>
      <c r="C8369">
        <v>0</v>
      </c>
      <c r="D8369">
        <v>1</v>
      </c>
      <c r="E8369">
        <v>0</v>
      </c>
      <c r="F8369">
        <v>1</v>
      </c>
      <c r="G8369">
        <v>0</v>
      </c>
      <c r="H8369">
        <v>0</v>
      </c>
      <c r="I8369">
        <v>0</v>
      </c>
      <c r="J8369">
        <v>6264.0188427671501</v>
      </c>
      <c r="K8369">
        <v>5772.1557581103498</v>
      </c>
      <c r="L8369">
        <v>42.27</v>
      </c>
      <c r="M8369">
        <v>72.123999999999995</v>
      </c>
      <c r="N8369">
        <v>17.861999999999998</v>
      </c>
    </row>
    <row r="8370" spans="1:14" x14ac:dyDescent="0.45">
      <c r="A8370">
        <v>2019</v>
      </c>
      <c r="B8370" t="s">
        <v>138</v>
      </c>
      <c r="C8370">
        <v>1</v>
      </c>
      <c r="D8370">
        <v>0</v>
      </c>
      <c r="E8370">
        <v>0</v>
      </c>
      <c r="F8370">
        <v>0</v>
      </c>
      <c r="G8370">
        <v>0</v>
      </c>
      <c r="H8370">
        <v>1</v>
      </c>
      <c r="I8370">
        <v>1</v>
      </c>
      <c r="J8370">
        <v>35123.487656060097</v>
      </c>
      <c r="K8370">
        <v>30290.816793751099</v>
      </c>
      <c r="L8370">
        <v>42.758000000000003</v>
      </c>
      <c r="M8370">
        <v>78.197000000000003</v>
      </c>
      <c r="N8370">
        <v>4.415</v>
      </c>
    </row>
    <row r="8371" spans="1:14" x14ac:dyDescent="0.45">
      <c r="A8371">
        <v>2019</v>
      </c>
      <c r="B8371" t="s">
        <v>139</v>
      </c>
      <c r="C8371">
        <v>0</v>
      </c>
      <c r="D8371">
        <v>1</v>
      </c>
      <c r="E8371">
        <v>0</v>
      </c>
      <c r="F8371">
        <v>0</v>
      </c>
      <c r="G8371">
        <v>0</v>
      </c>
      <c r="H8371">
        <v>0</v>
      </c>
      <c r="I8371">
        <v>0</v>
      </c>
      <c r="J8371">
        <v>3381.584787365</v>
      </c>
      <c r="K8371">
        <v>3250.2296959068099</v>
      </c>
      <c r="L8371">
        <v>43.808</v>
      </c>
      <c r="M8371">
        <v>64.328000000000003</v>
      </c>
      <c r="N8371">
        <v>62.012</v>
      </c>
    </row>
    <row r="8372" spans="1:14" x14ac:dyDescent="0.45">
      <c r="A8372">
        <v>2019</v>
      </c>
      <c r="B8372" t="s">
        <v>140</v>
      </c>
      <c r="C8372">
        <v>1</v>
      </c>
      <c r="D8372">
        <v>0</v>
      </c>
      <c r="E8372">
        <v>0</v>
      </c>
      <c r="F8372">
        <v>0</v>
      </c>
      <c r="G8372">
        <v>0</v>
      </c>
      <c r="H8372">
        <v>1</v>
      </c>
      <c r="I8372">
        <v>1</v>
      </c>
      <c r="J8372">
        <v>37662.676810140001</v>
      </c>
      <c r="K8372">
        <v>32819.9149121628</v>
      </c>
      <c r="L8372">
        <v>28.356000000000002</v>
      </c>
      <c r="M8372">
        <v>76.454999999999998</v>
      </c>
      <c r="N8372">
        <v>4.37</v>
      </c>
    </row>
    <row r="8373" spans="1:14" x14ac:dyDescent="0.45">
      <c r="A8373">
        <v>2019</v>
      </c>
      <c r="B8373" t="s">
        <v>141</v>
      </c>
      <c r="C8373">
        <v>0</v>
      </c>
      <c r="D8373">
        <v>0</v>
      </c>
      <c r="E8373">
        <v>0</v>
      </c>
      <c r="F8373">
        <v>0</v>
      </c>
      <c r="G8373">
        <v>1</v>
      </c>
      <c r="H8373">
        <v>0</v>
      </c>
      <c r="I8373">
        <v>0</v>
      </c>
      <c r="J8373">
        <v>12757.7850854842</v>
      </c>
      <c r="K8373">
        <v>11582.058060946099</v>
      </c>
      <c r="L8373">
        <v>44.015000000000001</v>
      </c>
      <c r="M8373">
        <v>70.349000000000004</v>
      </c>
      <c r="N8373">
        <v>23.696000000000002</v>
      </c>
    </row>
    <row r="8374" spans="1:14" x14ac:dyDescent="0.45">
      <c r="A8374">
        <v>2019</v>
      </c>
      <c r="B8374" t="s">
        <v>142</v>
      </c>
      <c r="C8374">
        <v>1</v>
      </c>
      <c r="D8374">
        <v>0</v>
      </c>
      <c r="E8374">
        <v>0</v>
      </c>
      <c r="F8374">
        <v>0</v>
      </c>
      <c r="G8374">
        <v>0</v>
      </c>
      <c r="H8374">
        <v>1</v>
      </c>
      <c r="I8374">
        <v>1</v>
      </c>
      <c r="L8374">
        <v>47.265000000000001</v>
      </c>
      <c r="M8374">
        <v>80.739999999999995</v>
      </c>
      <c r="N8374">
        <v>13.867000000000001</v>
      </c>
    </row>
    <row r="8375" spans="1:14" x14ac:dyDescent="0.45">
      <c r="A8375">
        <v>2019</v>
      </c>
      <c r="B8375" t="s">
        <v>143</v>
      </c>
      <c r="C8375">
        <v>0</v>
      </c>
      <c r="D8375">
        <v>0</v>
      </c>
      <c r="E8375">
        <v>0</v>
      </c>
      <c r="F8375">
        <v>1</v>
      </c>
      <c r="G8375">
        <v>0</v>
      </c>
      <c r="H8375">
        <v>0</v>
      </c>
      <c r="I8375">
        <v>0</v>
      </c>
      <c r="J8375">
        <v>7930.0911303899002</v>
      </c>
      <c r="K8375">
        <v>6650.8512316341203</v>
      </c>
      <c r="L8375">
        <v>65.528000000000006</v>
      </c>
      <c r="M8375">
        <v>70.745999999999995</v>
      </c>
      <c r="N8375">
        <v>34.488</v>
      </c>
    </row>
    <row r="8376" spans="1:14" x14ac:dyDescent="0.45">
      <c r="A8376">
        <v>2019</v>
      </c>
      <c r="B8376" t="s">
        <v>144</v>
      </c>
      <c r="C8376">
        <v>1</v>
      </c>
      <c r="D8376">
        <v>0</v>
      </c>
      <c r="E8376">
        <v>0</v>
      </c>
      <c r="F8376">
        <v>0</v>
      </c>
      <c r="G8376">
        <v>0</v>
      </c>
      <c r="H8376">
        <v>1</v>
      </c>
      <c r="I8376">
        <v>1</v>
      </c>
      <c r="J8376">
        <v>96369.644579000596</v>
      </c>
      <c r="K8376">
        <v>88606.8603584667</v>
      </c>
      <c r="L8376">
        <v>36.594999999999999</v>
      </c>
      <c r="M8376">
        <v>82.411000000000001</v>
      </c>
      <c r="N8376">
        <v>3.5960000000000001</v>
      </c>
    </row>
    <row r="8377" spans="1:14" x14ac:dyDescent="0.45">
      <c r="A8377">
        <v>2019</v>
      </c>
      <c r="B8377" t="s">
        <v>145</v>
      </c>
      <c r="C8377">
        <v>0</v>
      </c>
      <c r="D8377">
        <v>0</v>
      </c>
      <c r="E8377">
        <v>0</v>
      </c>
      <c r="F8377">
        <v>0</v>
      </c>
      <c r="G8377">
        <v>1</v>
      </c>
      <c r="H8377">
        <v>0</v>
      </c>
      <c r="I8377">
        <v>0</v>
      </c>
      <c r="J8377">
        <v>14040.664653207201</v>
      </c>
      <c r="K8377">
        <v>14005.488181675801</v>
      </c>
      <c r="L8377">
        <v>24.609000000000002</v>
      </c>
      <c r="M8377">
        <v>76.855000000000004</v>
      </c>
      <c r="N8377">
        <v>13.422000000000001</v>
      </c>
    </row>
    <row r="8378" spans="1:14" x14ac:dyDescent="0.45">
      <c r="A8378">
        <v>2019</v>
      </c>
      <c r="B8378" t="s">
        <v>146</v>
      </c>
      <c r="C8378">
        <v>0</v>
      </c>
      <c r="D8378">
        <v>0</v>
      </c>
      <c r="E8378">
        <v>0</v>
      </c>
      <c r="F8378">
        <v>0</v>
      </c>
      <c r="G8378">
        <v>1</v>
      </c>
      <c r="H8378">
        <v>0</v>
      </c>
      <c r="I8378">
        <v>0</v>
      </c>
      <c r="J8378">
        <v>14910.2250318887</v>
      </c>
      <c r="K8378">
        <v>10539.870590443799</v>
      </c>
      <c r="L8378">
        <v>29.321999999999999</v>
      </c>
      <c r="M8378">
        <v>71.245000000000005</v>
      </c>
      <c r="N8378">
        <v>26.300999999999998</v>
      </c>
    </row>
    <row r="8379" spans="1:14" x14ac:dyDescent="0.45">
      <c r="A8379">
        <v>2019</v>
      </c>
      <c r="B8379" t="s">
        <v>147</v>
      </c>
      <c r="C8379">
        <v>1</v>
      </c>
      <c r="D8379">
        <v>0</v>
      </c>
      <c r="E8379">
        <v>0</v>
      </c>
      <c r="F8379">
        <v>0</v>
      </c>
      <c r="G8379">
        <v>0</v>
      </c>
      <c r="H8379">
        <v>1</v>
      </c>
      <c r="I8379">
        <v>1</v>
      </c>
      <c r="J8379">
        <v>65122.754951071598</v>
      </c>
      <c r="K8379">
        <v>56349.9960714728</v>
      </c>
      <c r="L8379">
        <v>6.1449999999999996</v>
      </c>
      <c r="M8379">
        <v>82.846999999999994</v>
      </c>
      <c r="N8379">
        <v>1.7769999999999999</v>
      </c>
    </row>
    <row r="8380" spans="1:14" x14ac:dyDescent="0.45">
      <c r="A8380">
        <v>2019</v>
      </c>
      <c r="B8380" t="s">
        <v>148</v>
      </c>
      <c r="C8380">
        <v>0</v>
      </c>
      <c r="D8380">
        <v>0</v>
      </c>
      <c r="E8380">
        <v>0</v>
      </c>
      <c r="F8380">
        <v>0</v>
      </c>
      <c r="G8380">
        <v>0</v>
      </c>
      <c r="H8380">
        <v>1</v>
      </c>
      <c r="I8380">
        <v>1</v>
      </c>
      <c r="J8380">
        <v>44580.8078825716</v>
      </c>
      <c r="K8380">
        <v>40892.957493845701</v>
      </c>
      <c r="L8380">
        <v>7.4989999999999997</v>
      </c>
      <c r="M8380">
        <v>82.905000000000001</v>
      </c>
      <c r="N8380">
        <v>3.617</v>
      </c>
    </row>
    <row r="8381" spans="1:14" x14ac:dyDescent="0.45">
      <c r="A8381">
        <v>2019</v>
      </c>
      <c r="B8381" t="s">
        <v>149</v>
      </c>
      <c r="C8381">
        <v>1</v>
      </c>
      <c r="D8381">
        <v>0</v>
      </c>
      <c r="E8381">
        <v>0</v>
      </c>
      <c r="F8381">
        <v>0</v>
      </c>
      <c r="G8381">
        <v>0</v>
      </c>
      <c r="H8381">
        <v>1</v>
      </c>
      <c r="I8381">
        <v>1</v>
      </c>
      <c r="J8381">
        <v>49690.629850527403</v>
      </c>
      <c r="K8381">
        <v>42324.844482453198</v>
      </c>
      <c r="L8381">
        <v>29.263999999999999</v>
      </c>
      <c r="M8381">
        <v>83.341999999999999</v>
      </c>
      <c r="N8381">
        <v>2.9359999999999999</v>
      </c>
    </row>
    <row r="8382" spans="1:14" x14ac:dyDescent="0.45">
      <c r="A8382">
        <v>2019</v>
      </c>
      <c r="B8382" t="s">
        <v>150</v>
      </c>
      <c r="C8382">
        <v>0</v>
      </c>
      <c r="D8382">
        <v>1</v>
      </c>
      <c r="E8382">
        <v>0</v>
      </c>
      <c r="F8382">
        <v>0</v>
      </c>
      <c r="G8382">
        <v>1</v>
      </c>
      <c r="H8382">
        <v>0</v>
      </c>
      <c r="I8382">
        <v>0</v>
      </c>
      <c r="J8382">
        <v>10216.065536718101</v>
      </c>
      <c r="K8382">
        <v>10068.240677715299</v>
      </c>
      <c r="L8382">
        <v>44.015000000000001</v>
      </c>
      <c r="M8382">
        <v>71.531999999999996</v>
      </c>
      <c r="N8382">
        <v>19.356999999999999</v>
      </c>
    </row>
    <row r="8383" spans="1:14" x14ac:dyDescent="0.45">
      <c r="A8383">
        <v>2019</v>
      </c>
      <c r="B8383" t="s">
        <v>151</v>
      </c>
      <c r="C8383">
        <v>0</v>
      </c>
      <c r="D8383">
        <v>0</v>
      </c>
      <c r="E8383">
        <v>0</v>
      </c>
      <c r="F8383">
        <v>0</v>
      </c>
      <c r="G8383">
        <v>1</v>
      </c>
      <c r="H8383">
        <v>0</v>
      </c>
      <c r="I8383">
        <v>0</v>
      </c>
      <c r="J8383">
        <v>9288.5270910351592</v>
      </c>
      <c r="K8383">
        <v>9214.6395621970496</v>
      </c>
      <c r="L8383">
        <v>8.7970000000000006</v>
      </c>
      <c r="M8383">
        <v>76.864999999999995</v>
      </c>
      <c r="N8383">
        <v>15.552</v>
      </c>
    </row>
    <row r="8384" spans="1:14" x14ac:dyDescent="0.45">
      <c r="A8384">
        <v>2019</v>
      </c>
      <c r="B8384" t="s">
        <v>152</v>
      </c>
      <c r="C8384">
        <v>0</v>
      </c>
      <c r="D8384">
        <v>0</v>
      </c>
      <c r="E8384">
        <v>0</v>
      </c>
      <c r="F8384">
        <v>0</v>
      </c>
      <c r="G8384">
        <v>0</v>
      </c>
      <c r="H8384">
        <v>1</v>
      </c>
      <c r="I8384">
        <v>1</v>
      </c>
      <c r="J8384">
        <v>44730.910284495803</v>
      </c>
      <c r="K8384">
        <v>41435.688050031102</v>
      </c>
      <c r="L8384">
        <v>8.3020000000000103</v>
      </c>
      <c r="M8384">
        <v>84.418000000000006</v>
      </c>
      <c r="N8384">
        <v>2.5779999999999998</v>
      </c>
    </row>
    <row r="8385" spans="1:14" x14ac:dyDescent="0.45">
      <c r="A8385">
        <v>2019</v>
      </c>
      <c r="B8385" t="s">
        <v>153</v>
      </c>
      <c r="C8385">
        <v>1</v>
      </c>
      <c r="D8385">
        <v>0</v>
      </c>
      <c r="E8385">
        <v>0</v>
      </c>
      <c r="F8385">
        <v>0</v>
      </c>
      <c r="G8385">
        <v>1</v>
      </c>
      <c r="H8385">
        <v>0</v>
      </c>
      <c r="I8385">
        <v>0</v>
      </c>
      <c r="J8385">
        <v>33298.212369503497</v>
      </c>
      <c r="K8385">
        <v>25321.938993647898</v>
      </c>
      <c r="L8385">
        <v>42.46</v>
      </c>
      <c r="M8385">
        <v>73.658000000000001</v>
      </c>
      <c r="N8385">
        <v>10.281000000000001</v>
      </c>
    </row>
    <row r="8386" spans="1:14" x14ac:dyDescent="0.45">
      <c r="A8386">
        <v>2019</v>
      </c>
      <c r="B8386" t="s">
        <v>154</v>
      </c>
      <c r="C8386">
        <v>0</v>
      </c>
      <c r="D8386">
        <v>0</v>
      </c>
      <c r="E8386">
        <v>1</v>
      </c>
      <c r="F8386">
        <v>1</v>
      </c>
      <c r="G8386">
        <v>0</v>
      </c>
      <c r="H8386">
        <v>0</v>
      </c>
      <c r="I8386">
        <v>0</v>
      </c>
      <c r="J8386">
        <v>5171.7126427925696</v>
      </c>
      <c r="K8386">
        <v>4457.2210914110201</v>
      </c>
      <c r="L8386">
        <v>72.492999999999995</v>
      </c>
      <c r="M8386">
        <v>62.939</v>
      </c>
      <c r="N8386">
        <v>43.606999999999999</v>
      </c>
    </row>
    <row r="8387" spans="1:14" x14ac:dyDescent="0.45">
      <c r="A8387">
        <v>2019</v>
      </c>
      <c r="B8387" t="s">
        <v>155</v>
      </c>
      <c r="C8387">
        <v>1</v>
      </c>
      <c r="D8387">
        <v>0</v>
      </c>
      <c r="E8387">
        <v>0</v>
      </c>
      <c r="F8387">
        <v>1</v>
      </c>
      <c r="G8387">
        <v>0</v>
      </c>
      <c r="H8387">
        <v>0</v>
      </c>
      <c r="I8387">
        <v>0</v>
      </c>
      <c r="J8387">
        <v>6087.6019382692702</v>
      </c>
      <c r="K8387">
        <v>5145.0465710639901</v>
      </c>
      <c r="L8387">
        <v>63.408999999999999</v>
      </c>
      <c r="M8387">
        <v>70.891000000000005</v>
      </c>
      <c r="N8387">
        <v>18.646999999999998</v>
      </c>
    </row>
    <row r="8388" spans="1:14" x14ac:dyDescent="0.45">
      <c r="A8388">
        <v>2019</v>
      </c>
      <c r="B8388" t="s">
        <v>156</v>
      </c>
      <c r="C8388">
        <v>0</v>
      </c>
      <c r="D8388">
        <v>0</v>
      </c>
      <c r="E8388">
        <v>0</v>
      </c>
      <c r="F8388">
        <v>1</v>
      </c>
      <c r="G8388">
        <v>0</v>
      </c>
      <c r="H8388">
        <v>0</v>
      </c>
      <c r="I8388">
        <v>0</v>
      </c>
      <c r="J8388">
        <v>6448.88455952596</v>
      </c>
      <c r="K8388">
        <v>5782.5102719350298</v>
      </c>
      <c r="L8388">
        <v>76.194999999999993</v>
      </c>
      <c r="M8388">
        <v>70.126999999999995</v>
      </c>
      <c r="N8388">
        <v>26.606999999999999</v>
      </c>
    </row>
    <row r="8389" spans="1:14" x14ac:dyDescent="0.45">
      <c r="A8389">
        <v>2019</v>
      </c>
      <c r="B8389" t="s">
        <v>157</v>
      </c>
      <c r="C8389">
        <v>0</v>
      </c>
      <c r="D8389">
        <v>0</v>
      </c>
      <c r="E8389">
        <v>0</v>
      </c>
      <c r="F8389">
        <v>1</v>
      </c>
      <c r="G8389">
        <v>0</v>
      </c>
      <c r="H8389">
        <v>0</v>
      </c>
      <c r="I8389">
        <v>0</v>
      </c>
      <c r="J8389">
        <v>2927.4848842414099</v>
      </c>
      <c r="K8389">
        <v>2648.2007693741498</v>
      </c>
      <c r="L8389">
        <v>45.164999999999999</v>
      </c>
      <c r="M8389">
        <v>65.866</v>
      </c>
      <c r="N8389">
        <v>58.603999999999999</v>
      </c>
    </row>
    <row r="8390" spans="1:14" x14ac:dyDescent="0.45">
      <c r="A8390">
        <v>2019</v>
      </c>
      <c r="B8390" t="s">
        <v>158</v>
      </c>
      <c r="C8390">
        <v>0</v>
      </c>
      <c r="D8390">
        <v>1</v>
      </c>
      <c r="E8390">
        <v>0</v>
      </c>
      <c r="F8390">
        <v>0</v>
      </c>
      <c r="G8390">
        <v>0</v>
      </c>
      <c r="H8390">
        <v>1</v>
      </c>
      <c r="I8390">
        <v>1</v>
      </c>
      <c r="J8390">
        <v>31512.1943105684</v>
      </c>
      <c r="K8390">
        <v>31122.578114332198</v>
      </c>
      <c r="L8390">
        <v>69.200999999999993</v>
      </c>
      <c r="M8390">
        <v>71.540000000000006</v>
      </c>
      <c r="N8390">
        <v>16.670999999999999</v>
      </c>
    </row>
    <row r="8391" spans="1:14" x14ac:dyDescent="0.45">
      <c r="A8391">
        <v>2019</v>
      </c>
      <c r="B8391" t="s">
        <v>159</v>
      </c>
      <c r="C8391">
        <v>0</v>
      </c>
      <c r="D8391">
        <v>0</v>
      </c>
      <c r="E8391">
        <v>0</v>
      </c>
      <c r="F8391">
        <v>0</v>
      </c>
      <c r="G8391">
        <v>0</v>
      </c>
      <c r="H8391">
        <v>1</v>
      </c>
      <c r="I8391">
        <v>1</v>
      </c>
      <c r="J8391">
        <v>46757.2614496182</v>
      </c>
      <c r="K8391">
        <v>42624.971413812098</v>
      </c>
      <c r="L8391">
        <v>18.57</v>
      </c>
      <c r="M8391">
        <v>83.685000000000002</v>
      </c>
      <c r="N8391">
        <v>3.1080000000000001</v>
      </c>
    </row>
    <row r="8392" spans="1:14" x14ac:dyDescent="0.45">
      <c r="A8392">
        <v>2019</v>
      </c>
      <c r="B8392" t="s">
        <v>160</v>
      </c>
      <c r="C8392">
        <v>0</v>
      </c>
      <c r="D8392">
        <v>0</v>
      </c>
      <c r="E8392">
        <v>0</v>
      </c>
      <c r="F8392">
        <v>0</v>
      </c>
      <c r="G8392">
        <v>0</v>
      </c>
      <c r="H8392">
        <v>1</v>
      </c>
      <c r="I8392">
        <v>1</v>
      </c>
      <c r="J8392">
        <v>51380.6455015764</v>
      </c>
      <c r="K8392">
        <v>45759.609317296199</v>
      </c>
      <c r="L8392">
        <v>0</v>
      </c>
      <c r="M8392">
        <v>80.022000000000006</v>
      </c>
      <c r="N8392">
        <v>8.8249999999999993</v>
      </c>
    </row>
    <row r="8393" spans="1:14" x14ac:dyDescent="0.45">
      <c r="A8393">
        <v>2019</v>
      </c>
      <c r="B8393" t="s">
        <v>161</v>
      </c>
      <c r="C8393">
        <v>0</v>
      </c>
      <c r="D8393">
        <v>0</v>
      </c>
      <c r="E8393">
        <v>0</v>
      </c>
      <c r="F8393">
        <v>1</v>
      </c>
      <c r="G8393">
        <v>0</v>
      </c>
      <c r="H8393">
        <v>0</v>
      </c>
      <c r="I8393">
        <v>0</v>
      </c>
      <c r="J8393">
        <v>8075.2750237700302</v>
      </c>
      <c r="K8393">
        <v>7759.59310627379</v>
      </c>
      <c r="L8393">
        <v>64.355000000000004</v>
      </c>
      <c r="M8393">
        <v>67.911000000000001</v>
      </c>
      <c r="N8393">
        <v>45.195</v>
      </c>
    </row>
    <row r="8394" spans="1:14" x14ac:dyDescent="0.45">
      <c r="A8394">
        <v>2019</v>
      </c>
      <c r="B8394" t="s">
        <v>162</v>
      </c>
      <c r="C8394">
        <v>0</v>
      </c>
      <c r="D8394">
        <v>0</v>
      </c>
      <c r="E8394">
        <v>0</v>
      </c>
      <c r="F8394">
        <v>0</v>
      </c>
      <c r="G8394">
        <v>1</v>
      </c>
      <c r="H8394">
        <v>0</v>
      </c>
      <c r="I8394">
        <v>0</v>
      </c>
      <c r="J8394">
        <v>15659.5661040012</v>
      </c>
      <c r="K8394">
        <v>20354.2008029924</v>
      </c>
      <c r="L8394">
        <v>11.242000000000001</v>
      </c>
      <c r="M8394">
        <v>78.207999999999998</v>
      </c>
      <c r="N8394">
        <v>14.86</v>
      </c>
    </row>
    <row r="8395" spans="1:14" x14ac:dyDescent="0.45">
      <c r="A8395">
        <v>2019</v>
      </c>
      <c r="B8395" t="s">
        <v>163</v>
      </c>
      <c r="C8395">
        <v>0</v>
      </c>
      <c r="D8395">
        <v>0</v>
      </c>
      <c r="E8395">
        <v>1</v>
      </c>
      <c r="F8395">
        <v>0</v>
      </c>
      <c r="G8395">
        <v>0</v>
      </c>
      <c r="H8395">
        <v>0</v>
      </c>
      <c r="I8395">
        <v>0</v>
      </c>
      <c r="J8395">
        <v>1575.7666500123801</v>
      </c>
      <c r="K8395">
        <v>2328.10926428832</v>
      </c>
      <c r="L8395">
        <v>48.384999999999998</v>
      </c>
      <c r="M8395">
        <v>61.231999999999999</v>
      </c>
      <c r="N8395">
        <v>79.176000000000002</v>
      </c>
    </row>
    <row r="8396" spans="1:14" x14ac:dyDescent="0.45">
      <c r="A8396">
        <v>2019</v>
      </c>
      <c r="B8396" t="s">
        <v>164</v>
      </c>
      <c r="C8396">
        <v>0</v>
      </c>
      <c r="D8396">
        <v>0</v>
      </c>
      <c r="E8396">
        <v>0</v>
      </c>
      <c r="F8396">
        <v>0</v>
      </c>
      <c r="G8396">
        <v>1</v>
      </c>
      <c r="H8396">
        <v>0</v>
      </c>
      <c r="I8396">
        <v>0</v>
      </c>
      <c r="J8396">
        <v>14333.4224412442</v>
      </c>
      <c r="K8396">
        <v>16751.401208636998</v>
      </c>
      <c r="L8396">
        <v>19.606999999999999</v>
      </c>
      <c r="M8396">
        <v>72.941000000000003</v>
      </c>
      <c r="N8396">
        <v>12.663</v>
      </c>
    </row>
    <row r="8397" spans="1:14" x14ac:dyDescent="0.45">
      <c r="A8397">
        <v>2019</v>
      </c>
      <c r="B8397" t="s">
        <v>165</v>
      </c>
      <c r="C8397">
        <v>0</v>
      </c>
      <c r="D8397">
        <v>1</v>
      </c>
      <c r="E8397">
        <v>0</v>
      </c>
      <c r="F8397">
        <v>0</v>
      </c>
      <c r="G8397">
        <v>1</v>
      </c>
      <c r="H8397">
        <v>0</v>
      </c>
      <c r="I8397">
        <v>0</v>
      </c>
      <c r="J8397">
        <v>22738.2471068581</v>
      </c>
      <c r="K8397">
        <v>16358.054303450999</v>
      </c>
      <c r="L8397">
        <v>81.245999999999995</v>
      </c>
      <c r="M8397">
        <v>72.248999999999995</v>
      </c>
      <c r="N8397">
        <v>17.469000000000001</v>
      </c>
    </row>
    <row r="8398" spans="1:14" x14ac:dyDescent="0.45">
      <c r="A8398">
        <v>2019</v>
      </c>
      <c r="B8398" t="s">
        <v>166</v>
      </c>
      <c r="C8398">
        <v>1</v>
      </c>
      <c r="D8398">
        <v>0</v>
      </c>
      <c r="E8398">
        <v>0</v>
      </c>
      <c r="F8398">
        <v>0</v>
      </c>
      <c r="G8398">
        <v>0</v>
      </c>
      <c r="H8398">
        <v>1</v>
      </c>
      <c r="I8398">
        <v>1</v>
      </c>
      <c r="L8398">
        <v>85.629000000000005</v>
      </c>
      <c r="M8398">
        <v>83.405000000000001</v>
      </c>
      <c r="N8398">
        <v>6.6879999999999997</v>
      </c>
    </row>
    <row r="8399" spans="1:14" x14ac:dyDescent="0.45">
      <c r="A8399">
        <v>2019</v>
      </c>
      <c r="B8399" t="s">
        <v>167</v>
      </c>
      <c r="C8399">
        <v>0</v>
      </c>
      <c r="D8399">
        <v>0</v>
      </c>
      <c r="E8399">
        <v>0</v>
      </c>
      <c r="F8399">
        <v>1</v>
      </c>
      <c r="G8399">
        <v>0</v>
      </c>
      <c r="H8399">
        <v>0</v>
      </c>
      <c r="I8399">
        <v>0</v>
      </c>
      <c r="J8399">
        <v>14637.44429132</v>
      </c>
      <c r="K8399">
        <v>13671.141621815001</v>
      </c>
      <c r="L8399">
        <v>81.415000000000006</v>
      </c>
      <c r="M8399">
        <v>76.697999999999993</v>
      </c>
      <c r="N8399">
        <v>7.4189999999999996</v>
      </c>
    </row>
    <row r="8400" spans="1:14" x14ac:dyDescent="0.45">
      <c r="A8400">
        <v>2019</v>
      </c>
      <c r="B8400" t="s">
        <v>168</v>
      </c>
      <c r="C8400">
        <v>0</v>
      </c>
      <c r="D8400">
        <v>0</v>
      </c>
      <c r="E8400">
        <v>1</v>
      </c>
      <c r="F8400">
        <v>1</v>
      </c>
      <c r="G8400">
        <v>0</v>
      </c>
      <c r="H8400">
        <v>0</v>
      </c>
      <c r="I8400">
        <v>0</v>
      </c>
      <c r="J8400">
        <v>2773.2863988723602</v>
      </c>
      <c r="K8400">
        <v>2483.2566501449201</v>
      </c>
      <c r="L8400">
        <v>71.415000000000006</v>
      </c>
      <c r="M8400">
        <v>55.249000000000002</v>
      </c>
      <c r="N8400">
        <v>76.536000000000001</v>
      </c>
    </row>
    <row r="8401" spans="1:14" x14ac:dyDescent="0.45">
      <c r="A8401">
        <v>2019</v>
      </c>
      <c r="B8401" t="s">
        <v>169</v>
      </c>
      <c r="C8401">
        <v>1</v>
      </c>
      <c r="D8401">
        <v>0</v>
      </c>
      <c r="E8401">
        <v>0</v>
      </c>
      <c r="F8401">
        <v>0</v>
      </c>
      <c r="G8401">
        <v>0</v>
      </c>
      <c r="H8401">
        <v>1</v>
      </c>
      <c r="I8401">
        <v>1</v>
      </c>
      <c r="J8401">
        <v>43062.322842531503</v>
      </c>
      <c r="K8401">
        <v>36842.688611644102</v>
      </c>
      <c r="L8401">
        <v>32.145000000000003</v>
      </c>
      <c r="M8401">
        <v>76.424000000000007</v>
      </c>
      <c r="N8401">
        <v>3.6629999999999998</v>
      </c>
    </row>
    <row r="8402" spans="1:14" x14ac:dyDescent="0.45">
      <c r="A8402">
        <v>2019</v>
      </c>
      <c r="B8402" t="s">
        <v>170</v>
      </c>
      <c r="C8402">
        <v>1</v>
      </c>
      <c r="D8402">
        <v>0</v>
      </c>
      <c r="E8402">
        <v>0</v>
      </c>
      <c r="F8402">
        <v>0</v>
      </c>
      <c r="G8402">
        <v>0</v>
      </c>
      <c r="H8402">
        <v>1</v>
      </c>
      <c r="I8402">
        <v>1</v>
      </c>
      <c r="J8402">
        <v>132724.75274388801</v>
      </c>
      <c r="K8402">
        <v>113421.43899665</v>
      </c>
      <c r="L8402">
        <v>8.7769999999999992</v>
      </c>
      <c r="M8402">
        <v>81.587999999999994</v>
      </c>
      <c r="N8402">
        <v>7.2389999999999999</v>
      </c>
    </row>
    <row r="8403" spans="1:14" x14ac:dyDescent="0.45">
      <c r="A8403">
        <v>2019</v>
      </c>
      <c r="B8403" t="s">
        <v>171</v>
      </c>
      <c r="C8403">
        <v>1</v>
      </c>
      <c r="D8403">
        <v>0</v>
      </c>
      <c r="E8403">
        <v>0</v>
      </c>
      <c r="F8403">
        <v>0</v>
      </c>
      <c r="G8403">
        <v>0</v>
      </c>
      <c r="H8403">
        <v>1</v>
      </c>
      <c r="I8403">
        <v>1</v>
      </c>
      <c r="J8403">
        <v>35208.193459085902</v>
      </c>
      <c r="K8403">
        <v>30546.251352685002</v>
      </c>
      <c r="L8403">
        <v>31.777999999999999</v>
      </c>
      <c r="M8403">
        <v>75.628</v>
      </c>
      <c r="N8403">
        <v>4.2249999999999996</v>
      </c>
    </row>
    <row r="8404" spans="1:14" x14ac:dyDescent="0.45">
      <c r="A8404">
        <v>2019</v>
      </c>
      <c r="B8404" t="s">
        <v>172</v>
      </c>
      <c r="C8404">
        <v>0</v>
      </c>
      <c r="D8404">
        <v>0</v>
      </c>
      <c r="E8404">
        <v>0</v>
      </c>
      <c r="F8404">
        <v>0</v>
      </c>
      <c r="G8404">
        <v>0</v>
      </c>
      <c r="H8404">
        <v>1</v>
      </c>
      <c r="I8404">
        <v>1</v>
      </c>
      <c r="J8404">
        <v>133549.15217859499</v>
      </c>
      <c r="K8404">
        <v>121027.782083796</v>
      </c>
      <c r="L8404">
        <v>0</v>
      </c>
      <c r="M8404">
        <v>83.293000000000006</v>
      </c>
      <c r="N8404">
        <v>3.3929999999999998</v>
      </c>
    </row>
    <row r="8405" spans="1:14" x14ac:dyDescent="0.45">
      <c r="A8405">
        <v>2019</v>
      </c>
      <c r="B8405" t="s">
        <v>173</v>
      </c>
      <c r="C8405">
        <v>0</v>
      </c>
      <c r="D8405">
        <v>1</v>
      </c>
      <c r="E8405">
        <v>0</v>
      </c>
      <c r="F8405">
        <v>0</v>
      </c>
      <c r="G8405">
        <v>0</v>
      </c>
      <c r="H8405">
        <v>1</v>
      </c>
      <c r="I8405">
        <v>1</v>
      </c>
      <c r="L8405">
        <v>0</v>
      </c>
      <c r="M8405">
        <v>80.078000000000003</v>
      </c>
      <c r="N8405">
        <v>9.8539999999999992</v>
      </c>
    </row>
    <row r="8406" spans="1:14" x14ac:dyDescent="0.45">
      <c r="A8406">
        <v>2019</v>
      </c>
      <c r="B8406" t="s">
        <v>174</v>
      </c>
      <c r="C8406">
        <v>0</v>
      </c>
      <c r="D8406">
        <v>0</v>
      </c>
      <c r="E8406">
        <v>0</v>
      </c>
      <c r="F8406">
        <v>1</v>
      </c>
      <c r="G8406">
        <v>0</v>
      </c>
      <c r="H8406">
        <v>0</v>
      </c>
      <c r="I8406">
        <v>0</v>
      </c>
      <c r="J8406">
        <v>8768.17578125</v>
      </c>
      <c r="K8406">
        <v>8420.6792939628394</v>
      </c>
      <c r="L8406">
        <v>37.006</v>
      </c>
      <c r="M8406">
        <v>74.245000000000005</v>
      </c>
      <c r="N8406">
        <v>19.350999999999999</v>
      </c>
    </row>
    <row r="8407" spans="1:14" x14ac:dyDescent="0.45">
      <c r="A8407">
        <v>2019</v>
      </c>
      <c r="B8407" t="s">
        <v>175</v>
      </c>
      <c r="C8407">
        <v>1</v>
      </c>
      <c r="D8407">
        <v>0</v>
      </c>
      <c r="E8407">
        <v>0</v>
      </c>
      <c r="F8407">
        <v>0</v>
      </c>
      <c r="G8407">
        <v>0</v>
      </c>
      <c r="H8407">
        <v>1</v>
      </c>
      <c r="I8407">
        <v>1</v>
      </c>
      <c r="L8407">
        <v>0</v>
      </c>
      <c r="M8407">
        <v>86.150999999999996</v>
      </c>
      <c r="N8407">
        <v>4.6970000000000001</v>
      </c>
    </row>
    <row r="8408" spans="1:14" x14ac:dyDescent="0.45">
      <c r="A8408">
        <v>2019</v>
      </c>
      <c r="B8408" t="s">
        <v>176</v>
      </c>
      <c r="C8408">
        <v>1</v>
      </c>
      <c r="D8408">
        <v>0</v>
      </c>
      <c r="E8408">
        <v>0</v>
      </c>
      <c r="F8408">
        <v>1</v>
      </c>
      <c r="G8408">
        <v>0</v>
      </c>
      <c r="H8408">
        <v>0</v>
      </c>
      <c r="I8408">
        <v>0</v>
      </c>
      <c r="J8408">
        <v>14621.2401362286</v>
      </c>
      <c r="K8408">
        <v>12540.749353589899</v>
      </c>
      <c r="L8408">
        <v>57.274000000000001</v>
      </c>
      <c r="M8408">
        <v>70.180999999999997</v>
      </c>
      <c r="N8408">
        <v>14.755000000000001</v>
      </c>
    </row>
    <row r="8409" spans="1:14" x14ac:dyDescent="0.45">
      <c r="A8409">
        <v>2019</v>
      </c>
      <c r="B8409" t="s">
        <v>177</v>
      </c>
      <c r="C8409">
        <v>0</v>
      </c>
      <c r="D8409">
        <v>0</v>
      </c>
      <c r="E8409">
        <v>1</v>
      </c>
      <c r="F8409">
        <v>0</v>
      </c>
      <c r="G8409">
        <v>0</v>
      </c>
      <c r="H8409">
        <v>0</v>
      </c>
      <c r="I8409">
        <v>0</v>
      </c>
      <c r="J8409">
        <v>1707.8315382978001</v>
      </c>
      <c r="K8409">
        <v>1582.1804703181499</v>
      </c>
      <c r="L8409">
        <v>62.139000000000003</v>
      </c>
      <c r="M8409">
        <v>63.503999999999998</v>
      </c>
      <c r="N8409">
        <v>66.027000000000001</v>
      </c>
    </row>
    <row r="8410" spans="1:14" x14ac:dyDescent="0.45">
      <c r="A8410">
        <v>2019</v>
      </c>
      <c r="B8410" t="s">
        <v>178</v>
      </c>
      <c r="C8410">
        <v>0</v>
      </c>
      <c r="D8410">
        <v>0</v>
      </c>
      <c r="E8410">
        <v>0</v>
      </c>
      <c r="F8410">
        <v>0</v>
      </c>
      <c r="G8410">
        <v>1</v>
      </c>
      <c r="H8410">
        <v>0</v>
      </c>
      <c r="I8410">
        <v>0</v>
      </c>
      <c r="J8410">
        <v>21855.5012283287</v>
      </c>
      <c r="K8410">
        <v>21562.272492241598</v>
      </c>
      <c r="L8410">
        <v>59.762</v>
      </c>
      <c r="M8410">
        <v>79.706999999999994</v>
      </c>
      <c r="N8410">
        <v>7.0529999999999999</v>
      </c>
    </row>
    <row r="8411" spans="1:14" x14ac:dyDescent="0.45">
      <c r="A8411">
        <v>2019</v>
      </c>
      <c r="B8411" t="s">
        <v>179</v>
      </c>
      <c r="C8411">
        <v>0</v>
      </c>
      <c r="D8411">
        <v>1</v>
      </c>
      <c r="E8411">
        <v>0</v>
      </c>
      <c r="F8411">
        <v>0</v>
      </c>
      <c r="G8411">
        <v>1</v>
      </c>
      <c r="H8411">
        <v>0</v>
      </c>
      <c r="I8411">
        <v>0</v>
      </c>
      <c r="J8411">
        <v>21704.185947490299</v>
      </c>
      <c r="K8411">
        <v>20177.843224835298</v>
      </c>
      <c r="L8411">
        <v>19.556000000000001</v>
      </c>
      <c r="M8411">
        <v>74.53</v>
      </c>
      <c r="N8411">
        <v>14.195</v>
      </c>
    </row>
    <row r="8412" spans="1:14" x14ac:dyDescent="0.45">
      <c r="A8412">
        <v>2019</v>
      </c>
      <c r="B8412" t="s">
        <v>180</v>
      </c>
      <c r="C8412">
        <v>0</v>
      </c>
      <c r="D8412">
        <v>0</v>
      </c>
      <c r="E8412">
        <v>0</v>
      </c>
      <c r="F8412">
        <v>0</v>
      </c>
      <c r="G8412">
        <v>1</v>
      </c>
      <c r="H8412">
        <v>0</v>
      </c>
      <c r="I8412">
        <v>0</v>
      </c>
      <c r="J8412">
        <v>6405.0756493052204</v>
      </c>
      <c r="K8412">
        <v>5793.2941244731301</v>
      </c>
      <c r="L8412">
        <v>22.582999999999998</v>
      </c>
      <c r="M8412">
        <v>66.046999999999997</v>
      </c>
      <c r="N8412">
        <v>31.561</v>
      </c>
    </row>
    <row r="8413" spans="1:14" x14ac:dyDescent="0.45">
      <c r="A8413">
        <v>2019</v>
      </c>
      <c r="B8413" t="s">
        <v>181</v>
      </c>
      <c r="C8413">
        <v>1</v>
      </c>
      <c r="D8413">
        <v>0</v>
      </c>
      <c r="E8413">
        <v>0</v>
      </c>
      <c r="F8413">
        <v>0</v>
      </c>
      <c r="G8413">
        <v>1</v>
      </c>
      <c r="H8413">
        <v>0</v>
      </c>
      <c r="I8413">
        <v>0</v>
      </c>
      <c r="J8413">
        <v>21765.6854327047</v>
      </c>
      <c r="K8413">
        <v>18374.3278154408</v>
      </c>
      <c r="L8413">
        <v>41.792000000000002</v>
      </c>
      <c r="M8413">
        <v>76.834999999999994</v>
      </c>
      <c r="N8413">
        <v>6.62</v>
      </c>
    </row>
    <row r="8414" spans="1:14" x14ac:dyDescent="0.45">
      <c r="A8414">
        <v>2019</v>
      </c>
      <c r="B8414" t="s">
        <v>182</v>
      </c>
      <c r="C8414">
        <v>0</v>
      </c>
      <c r="D8414">
        <v>0</v>
      </c>
      <c r="E8414">
        <v>1</v>
      </c>
      <c r="F8414">
        <v>0</v>
      </c>
      <c r="G8414">
        <v>0</v>
      </c>
      <c r="H8414">
        <v>0</v>
      </c>
      <c r="I8414">
        <v>0</v>
      </c>
      <c r="J8414">
        <v>2916.1706941992102</v>
      </c>
      <c r="K8414">
        <v>2699.2361199463899</v>
      </c>
      <c r="L8414">
        <v>56.863999999999997</v>
      </c>
      <c r="M8414">
        <v>59.216999999999999</v>
      </c>
      <c r="N8414">
        <v>103.08799999999999</v>
      </c>
    </row>
    <row r="8415" spans="1:14" x14ac:dyDescent="0.45">
      <c r="A8415">
        <v>2019</v>
      </c>
      <c r="B8415" t="s">
        <v>183</v>
      </c>
      <c r="C8415">
        <v>0</v>
      </c>
      <c r="D8415">
        <v>0</v>
      </c>
      <c r="E8415">
        <v>0</v>
      </c>
      <c r="F8415">
        <v>0</v>
      </c>
      <c r="G8415">
        <v>0</v>
      </c>
      <c r="H8415">
        <v>1</v>
      </c>
      <c r="I8415">
        <v>1</v>
      </c>
      <c r="J8415">
        <v>53342.2137912334</v>
      </c>
      <c r="K8415">
        <v>46143.625804850803</v>
      </c>
      <c r="L8415">
        <v>5.3220000000000001</v>
      </c>
      <c r="M8415">
        <v>82.838999999999999</v>
      </c>
      <c r="N8415">
        <v>8.0879999999999992</v>
      </c>
    </row>
    <row r="8416" spans="1:14" x14ac:dyDescent="0.45">
      <c r="A8416">
        <v>2019</v>
      </c>
      <c r="B8416" t="s">
        <v>184</v>
      </c>
      <c r="C8416">
        <v>0</v>
      </c>
      <c r="D8416">
        <v>0</v>
      </c>
      <c r="E8416">
        <v>0</v>
      </c>
      <c r="F8416">
        <v>1</v>
      </c>
      <c r="G8416">
        <v>0</v>
      </c>
      <c r="H8416">
        <v>0</v>
      </c>
      <c r="I8416">
        <v>0</v>
      </c>
      <c r="J8416">
        <v>6562.9889847862496</v>
      </c>
      <c r="K8416">
        <v>5255.0058360508101</v>
      </c>
      <c r="L8416">
        <v>69.147999999999996</v>
      </c>
      <c r="M8416">
        <v>66.456999999999994</v>
      </c>
      <c r="N8416">
        <v>44.591000000000001</v>
      </c>
    </row>
    <row r="8417" spans="1:14" x14ac:dyDescent="0.45">
      <c r="A8417">
        <v>2019</v>
      </c>
      <c r="B8417" t="s">
        <v>185</v>
      </c>
      <c r="C8417">
        <v>1</v>
      </c>
      <c r="D8417">
        <v>0</v>
      </c>
      <c r="E8417">
        <v>0</v>
      </c>
      <c r="F8417">
        <v>0</v>
      </c>
      <c r="G8417">
        <v>1</v>
      </c>
      <c r="H8417">
        <v>0</v>
      </c>
      <c r="I8417">
        <v>0</v>
      </c>
      <c r="J8417">
        <v>24835.374565737999</v>
      </c>
      <c r="K8417">
        <v>20984.3753792428</v>
      </c>
      <c r="L8417">
        <v>32.85</v>
      </c>
      <c r="M8417">
        <v>76.638999999999996</v>
      </c>
      <c r="N8417">
        <v>3.9369999999999998</v>
      </c>
    </row>
    <row r="8418" spans="1:14" x14ac:dyDescent="0.45">
      <c r="A8418">
        <v>2019</v>
      </c>
      <c r="B8418" t="s">
        <v>186</v>
      </c>
      <c r="C8418">
        <v>0</v>
      </c>
      <c r="D8418">
        <v>0</v>
      </c>
      <c r="E8418">
        <v>0</v>
      </c>
      <c r="F8418">
        <v>1</v>
      </c>
      <c r="G8418">
        <v>0</v>
      </c>
      <c r="H8418">
        <v>0</v>
      </c>
      <c r="I8418">
        <v>0</v>
      </c>
      <c r="J8418">
        <v>15790.6961126441</v>
      </c>
      <c r="K8418">
        <v>12166.350823475501</v>
      </c>
      <c r="L8418">
        <v>31.457000000000001</v>
      </c>
      <c r="M8418">
        <v>70.662999999999997</v>
      </c>
      <c r="N8418">
        <v>15.749000000000001</v>
      </c>
    </row>
    <row r="8419" spans="1:14" x14ac:dyDescent="0.45">
      <c r="A8419">
        <v>2019</v>
      </c>
      <c r="B8419" t="s">
        <v>187</v>
      </c>
      <c r="C8419">
        <v>0</v>
      </c>
      <c r="D8419">
        <v>0</v>
      </c>
      <c r="E8419">
        <v>0</v>
      </c>
      <c r="F8419">
        <v>0</v>
      </c>
      <c r="G8419">
        <v>0</v>
      </c>
      <c r="H8419">
        <v>1</v>
      </c>
      <c r="I8419">
        <v>1</v>
      </c>
      <c r="L8419">
        <v>8.2919999999999998</v>
      </c>
      <c r="M8419">
        <v>77.843999999999994</v>
      </c>
      <c r="N8419">
        <v>7.6719999999999997</v>
      </c>
    </row>
    <row r="8420" spans="1:14" x14ac:dyDescent="0.45">
      <c r="A8420">
        <v>2019</v>
      </c>
      <c r="B8420" t="s">
        <v>188</v>
      </c>
      <c r="C8420">
        <v>0</v>
      </c>
      <c r="D8420">
        <v>0</v>
      </c>
      <c r="E8420">
        <v>1</v>
      </c>
      <c r="F8420">
        <v>0</v>
      </c>
      <c r="G8420">
        <v>0</v>
      </c>
      <c r="H8420">
        <v>0</v>
      </c>
      <c r="I8420">
        <v>0</v>
      </c>
      <c r="J8420">
        <v>1528.8898835437301</v>
      </c>
      <c r="K8420">
        <v>1280.13935503574</v>
      </c>
      <c r="L8420">
        <v>63.472000000000001</v>
      </c>
      <c r="M8420">
        <v>61.305999999999997</v>
      </c>
      <c r="N8420">
        <v>72.834000000000003</v>
      </c>
    </row>
    <row r="8421" spans="1:14" x14ac:dyDescent="0.45">
      <c r="A8421">
        <v>2019</v>
      </c>
      <c r="B8421" t="s">
        <v>189</v>
      </c>
      <c r="C8421">
        <v>0</v>
      </c>
      <c r="D8421">
        <v>0</v>
      </c>
      <c r="E8421">
        <v>1</v>
      </c>
      <c r="F8421">
        <v>1</v>
      </c>
      <c r="G8421">
        <v>0</v>
      </c>
      <c r="H8421">
        <v>0</v>
      </c>
      <c r="I8421">
        <v>0</v>
      </c>
      <c r="J8421">
        <v>6162.21045071341</v>
      </c>
      <c r="K8421">
        <v>5451.7899787568304</v>
      </c>
      <c r="L8421">
        <v>45.493000000000002</v>
      </c>
      <c r="M8421">
        <v>67.64</v>
      </c>
      <c r="N8421">
        <v>43.119</v>
      </c>
    </row>
    <row r="8422" spans="1:14" x14ac:dyDescent="0.45">
      <c r="A8422">
        <v>2019</v>
      </c>
      <c r="B8422" t="s">
        <v>190</v>
      </c>
      <c r="C8422">
        <v>0</v>
      </c>
      <c r="D8422">
        <v>0</v>
      </c>
      <c r="E8422">
        <v>1</v>
      </c>
      <c r="F8422">
        <v>0</v>
      </c>
      <c r="G8422">
        <v>0</v>
      </c>
      <c r="H8422">
        <v>1</v>
      </c>
      <c r="I8422">
        <v>1</v>
      </c>
      <c r="J8422">
        <v>25739.354897588</v>
      </c>
      <c r="K8422">
        <v>24159.593839132602</v>
      </c>
      <c r="L8422">
        <v>59.234000000000002</v>
      </c>
      <c r="M8422">
        <v>74.180999999999997</v>
      </c>
      <c r="N8422">
        <v>15.391999999999999</v>
      </c>
    </row>
    <row r="8423" spans="1:14" x14ac:dyDescent="0.45">
      <c r="A8423">
        <v>2019</v>
      </c>
      <c r="B8423" t="s">
        <v>191</v>
      </c>
      <c r="C8423">
        <v>0</v>
      </c>
      <c r="D8423">
        <v>0</v>
      </c>
      <c r="E8423">
        <v>1</v>
      </c>
      <c r="F8423">
        <v>0</v>
      </c>
      <c r="G8423">
        <v>0</v>
      </c>
      <c r="H8423">
        <v>0</v>
      </c>
      <c r="I8423">
        <v>0</v>
      </c>
      <c r="J8423">
        <v>1687.28944917892</v>
      </c>
      <c r="K8423">
        <v>1443.7483994945001</v>
      </c>
      <c r="L8423">
        <v>82.825999999999993</v>
      </c>
      <c r="M8423">
        <v>64.995000000000005</v>
      </c>
      <c r="N8423">
        <v>45.881</v>
      </c>
    </row>
    <row r="8424" spans="1:14" x14ac:dyDescent="0.45">
      <c r="A8424">
        <v>2019</v>
      </c>
      <c r="B8424" t="s">
        <v>192</v>
      </c>
      <c r="C8424">
        <v>0</v>
      </c>
      <c r="D8424">
        <v>0</v>
      </c>
      <c r="E8424">
        <v>0</v>
      </c>
      <c r="F8424">
        <v>0</v>
      </c>
      <c r="G8424">
        <v>1</v>
      </c>
      <c r="H8424">
        <v>0</v>
      </c>
      <c r="I8424">
        <v>0</v>
      </c>
      <c r="J8424">
        <v>31300.5086554849</v>
      </c>
      <c r="K8424">
        <v>27978.9615492864</v>
      </c>
      <c r="L8424">
        <v>23.393000000000001</v>
      </c>
      <c r="M8424">
        <v>75.900000000000006</v>
      </c>
      <c r="N8424">
        <v>8.032</v>
      </c>
    </row>
    <row r="8425" spans="1:14" x14ac:dyDescent="0.45">
      <c r="A8425">
        <v>2019</v>
      </c>
      <c r="B8425" t="s">
        <v>193</v>
      </c>
      <c r="C8425">
        <v>0</v>
      </c>
      <c r="D8425">
        <v>0</v>
      </c>
      <c r="E8425">
        <v>1</v>
      </c>
      <c r="F8425">
        <v>0</v>
      </c>
      <c r="G8425">
        <v>1</v>
      </c>
      <c r="H8425">
        <v>0</v>
      </c>
      <c r="I8425">
        <v>0</v>
      </c>
      <c r="J8425">
        <v>10813.304468194399</v>
      </c>
      <c r="K8425">
        <v>9371.8888675820708</v>
      </c>
      <c r="L8425">
        <v>48.957999999999998</v>
      </c>
      <c r="M8425">
        <v>63.545999999999999</v>
      </c>
      <c r="N8425">
        <v>41.494</v>
      </c>
    </row>
    <row r="8426" spans="1:14" x14ac:dyDescent="0.45">
      <c r="A8426">
        <v>2019</v>
      </c>
      <c r="B8426" t="s">
        <v>194</v>
      </c>
      <c r="C8426">
        <v>0</v>
      </c>
      <c r="D8426">
        <v>0</v>
      </c>
      <c r="E8426">
        <v>0</v>
      </c>
      <c r="F8426">
        <v>0</v>
      </c>
      <c r="G8426">
        <v>0</v>
      </c>
      <c r="H8426">
        <v>1</v>
      </c>
      <c r="I8426">
        <v>1</v>
      </c>
      <c r="L8426">
        <v>28.896000000000001</v>
      </c>
      <c r="M8426">
        <v>77.262</v>
      </c>
      <c r="N8426">
        <v>12.919</v>
      </c>
    </row>
    <row r="8427" spans="1:14" x14ac:dyDescent="0.45">
      <c r="A8427">
        <v>2019</v>
      </c>
      <c r="B8427" t="s">
        <v>195</v>
      </c>
      <c r="C8427">
        <v>0</v>
      </c>
      <c r="D8427">
        <v>0</v>
      </c>
      <c r="E8427">
        <v>1</v>
      </c>
      <c r="F8427">
        <v>0</v>
      </c>
      <c r="G8427">
        <v>0</v>
      </c>
      <c r="H8427">
        <v>0</v>
      </c>
      <c r="I8427">
        <v>0</v>
      </c>
      <c r="J8427">
        <v>1612.6373469325899</v>
      </c>
      <c r="K8427">
        <v>1281.77606435907</v>
      </c>
      <c r="L8427">
        <v>83.483000000000004</v>
      </c>
      <c r="M8427">
        <v>60.030999999999999</v>
      </c>
      <c r="N8427">
        <v>122.20099999999999</v>
      </c>
    </row>
    <row r="8428" spans="1:14" x14ac:dyDescent="0.45">
      <c r="A8428">
        <v>2019</v>
      </c>
      <c r="B8428" t="s">
        <v>196</v>
      </c>
      <c r="C8428">
        <v>0</v>
      </c>
      <c r="D8428">
        <v>0</v>
      </c>
      <c r="E8428">
        <v>1</v>
      </c>
      <c r="F8428">
        <v>1</v>
      </c>
      <c r="G8428">
        <v>0</v>
      </c>
      <c r="H8428">
        <v>0</v>
      </c>
      <c r="I8428">
        <v>0</v>
      </c>
      <c r="J8428">
        <v>5628.1776524465204</v>
      </c>
      <c r="K8428">
        <v>4976.0675992341503</v>
      </c>
      <c r="L8428">
        <v>48.843000000000004</v>
      </c>
      <c r="M8428">
        <v>53.009</v>
      </c>
      <c r="N8428">
        <v>116.666</v>
      </c>
    </row>
    <row r="8429" spans="1:14" x14ac:dyDescent="0.45">
      <c r="A8429">
        <v>2019</v>
      </c>
      <c r="B8429" t="s">
        <v>197</v>
      </c>
      <c r="C8429">
        <v>0</v>
      </c>
      <c r="D8429">
        <v>1</v>
      </c>
      <c r="E8429">
        <v>0</v>
      </c>
      <c r="F8429">
        <v>1</v>
      </c>
      <c r="G8429">
        <v>0</v>
      </c>
      <c r="H8429">
        <v>0</v>
      </c>
      <c r="I8429">
        <v>0</v>
      </c>
      <c r="J8429">
        <v>6756.59375829081</v>
      </c>
      <c r="K8429">
        <v>5690.8434655582796</v>
      </c>
      <c r="L8429">
        <v>41.24</v>
      </c>
      <c r="M8429">
        <v>73.763999999999996</v>
      </c>
      <c r="N8429">
        <v>16.847999999999999</v>
      </c>
    </row>
    <row r="8430" spans="1:14" x14ac:dyDescent="0.45">
      <c r="A8430">
        <v>2019</v>
      </c>
      <c r="B8430" t="s">
        <v>198</v>
      </c>
      <c r="C8430">
        <v>1</v>
      </c>
      <c r="D8430">
        <v>0</v>
      </c>
      <c r="E8430">
        <v>0</v>
      </c>
      <c r="F8430">
        <v>0</v>
      </c>
      <c r="G8430">
        <v>0</v>
      </c>
      <c r="H8430">
        <v>1</v>
      </c>
      <c r="I8430">
        <v>1</v>
      </c>
      <c r="J8430">
        <v>67847.854292679505</v>
      </c>
      <c r="K8430">
        <v>57273.292960943698</v>
      </c>
      <c r="L8430">
        <v>8.1240000000000006</v>
      </c>
      <c r="M8430">
        <v>82.052999999999997</v>
      </c>
      <c r="N8430">
        <v>4.21</v>
      </c>
    </row>
    <row r="8431" spans="1:14" x14ac:dyDescent="0.45">
      <c r="A8431">
        <v>2019</v>
      </c>
      <c r="B8431" t="s">
        <v>199</v>
      </c>
      <c r="C8431">
        <v>1</v>
      </c>
      <c r="D8431">
        <v>0</v>
      </c>
      <c r="E8431">
        <v>0</v>
      </c>
      <c r="F8431">
        <v>0</v>
      </c>
      <c r="G8431">
        <v>0</v>
      </c>
      <c r="H8431">
        <v>1</v>
      </c>
      <c r="I8431">
        <v>1</v>
      </c>
      <c r="J8431">
        <v>87725.728325461299</v>
      </c>
      <c r="K8431">
        <v>64819.453500340103</v>
      </c>
      <c r="L8431">
        <v>17.384</v>
      </c>
      <c r="M8431">
        <v>82.954999999999998</v>
      </c>
      <c r="N8431">
        <v>2.5550000000000002</v>
      </c>
    </row>
    <row r="8432" spans="1:14" x14ac:dyDescent="0.45">
      <c r="A8432">
        <v>2019</v>
      </c>
      <c r="B8432" t="s">
        <v>200</v>
      </c>
      <c r="C8432">
        <v>0</v>
      </c>
      <c r="D8432">
        <v>0</v>
      </c>
      <c r="E8432">
        <v>0</v>
      </c>
      <c r="F8432">
        <v>1</v>
      </c>
      <c r="G8432">
        <v>0</v>
      </c>
      <c r="H8432">
        <v>0</v>
      </c>
      <c r="I8432">
        <v>0</v>
      </c>
      <c r="J8432">
        <v>4607.5245471711196</v>
      </c>
      <c r="K8432">
        <v>4079.07337801227</v>
      </c>
      <c r="L8432">
        <v>79.846999999999994</v>
      </c>
      <c r="M8432">
        <v>69.299000000000007</v>
      </c>
      <c r="N8432">
        <v>31.484000000000002</v>
      </c>
    </row>
    <row r="8433" spans="1:14" x14ac:dyDescent="0.45">
      <c r="A8433">
        <v>2019</v>
      </c>
      <c r="B8433" t="s">
        <v>201</v>
      </c>
      <c r="C8433">
        <v>0</v>
      </c>
      <c r="D8433">
        <v>0</v>
      </c>
      <c r="E8433">
        <v>0</v>
      </c>
      <c r="F8433">
        <v>0</v>
      </c>
      <c r="G8433">
        <v>0</v>
      </c>
      <c r="H8433">
        <v>1</v>
      </c>
      <c r="I8433">
        <v>1</v>
      </c>
      <c r="J8433">
        <v>11273.1407790468</v>
      </c>
      <c r="K8433">
        <v>10199.0412172589</v>
      </c>
      <c r="L8433">
        <v>0</v>
      </c>
      <c r="M8433">
        <v>61.393000000000001</v>
      </c>
      <c r="N8433">
        <v>29.251000000000001</v>
      </c>
    </row>
    <row r="8434" spans="1:14" x14ac:dyDescent="0.45">
      <c r="A8434">
        <v>2019</v>
      </c>
      <c r="B8434" t="s">
        <v>202</v>
      </c>
      <c r="C8434">
        <v>0</v>
      </c>
      <c r="D8434">
        <v>0</v>
      </c>
      <c r="E8434">
        <v>0</v>
      </c>
      <c r="F8434">
        <v>0</v>
      </c>
      <c r="G8434">
        <v>0</v>
      </c>
      <c r="H8434">
        <v>1</v>
      </c>
      <c r="I8434">
        <v>1</v>
      </c>
      <c r="J8434">
        <v>47277.662830205503</v>
      </c>
      <c r="K8434">
        <v>43001.4927844255</v>
      </c>
      <c r="L8434">
        <v>13.385</v>
      </c>
      <c r="M8434">
        <v>81.831999999999994</v>
      </c>
      <c r="N8434">
        <v>5.4889999999999999</v>
      </c>
    </row>
    <row r="8435" spans="1:14" x14ac:dyDescent="0.45">
      <c r="A8435">
        <v>2019</v>
      </c>
      <c r="B8435" t="s">
        <v>203</v>
      </c>
      <c r="C8435">
        <v>0</v>
      </c>
      <c r="D8435">
        <v>0</v>
      </c>
      <c r="E8435">
        <v>0</v>
      </c>
      <c r="F8435">
        <v>0</v>
      </c>
      <c r="G8435">
        <v>0</v>
      </c>
      <c r="H8435">
        <v>1</v>
      </c>
      <c r="I8435">
        <v>1</v>
      </c>
      <c r="J8435">
        <v>38292.385968275201</v>
      </c>
      <c r="K8435">
        <v>33273.042467597203</v>
      </c>
      <c r="L8435">
        <v>14.557</v>
      </c>
      <c r="M8435">
        <v>79.945999999999998</v>
      </c>
      <c r="N8435">
        <v>10.78</v>
      </c>
    </row>
    <row r="8436" spans="1:14" x14ac:dyDescent="0.45">
      <c r="A8436">
        <v>2019</v>
      </c>
      <c r="B8436" t="s">
        <v>204</v>
      </c>
      <c r="C8436">
        <v>0</v>
      </c>
      <c r="D8436">
        <v>0</v>
      </c>
      <c r="E8436">
        <v>0</v>
      </c>
      <c r="F8436">
        <v>1</v>
      </c>
      <c r="G8436">
        <v>0</v>
      </c>
      <c r="H8436">
        <v>0</v>
      </c>
      <c r="I8436">
        <v>0</v>
      </c>
      <c r="J8436">
        <v>5295.9529513820298</v>
      </c>
      <c r="K8436">
        <v>5041.2111541091499</v>
      </c>
      <c r="L8436">
        <v>63.093000000000004</v>
      </c>
      <c r="M8436">
        <v>66.728999999999999</v>
      </c>
      <c r="N8436">
        <v>67.272000000000006</v>
      </c>
    </row>
    <row r="8437" spans="1:14" x14ac:dyDescent="0.45">
      <c r="A8437">
        <v>2019</v>
      </c>
      <c r="B8437" t="s">
        <v>205</v>
      </c>
      <c r="C8437">
        <v>0</v>
      </c>
      <c r="D8437">
        <v>1</v>
      </c>
      <c r="E8437">
        <v>0</v>
      </c>
      <c r="F8437">
        <v>0</v>
      </c>
      <c r="G8437">
        <v>0</v>
      </c>
      <c r="H8437">
        <v>1</v>
      </c>
      <c r="I8437">
        <v>1</v>
      </c>
      <c r="J8437">
        <v>33163.726908933902</v>
      </c>
      <c r="K8437">
        <v>34774.755483351</v>
      </c>
      <c r="L8437">
        <v>31.940999999999999</v>
      </c>
      <c r="M8437">
        <v>78.513999999999996</v>
      </c>
      <c r="N8437">
        <v>17.719000000000001</v>
      </c>
    </row>
    <row r="8438" spans="1:14" x14ac:dyDescent="0.45">
      <c r="A8438">
        <v>2019</v>
      </c>
      <c r="B8438" t="s">
        <v>206</v>
      </c>
      <c r="C8438">
        <v>0</v>
      </c>
      <c r="D8438">
        <v>1</v>
      </c>
      <c r="E8438">
        <v>0</v>
      </c>
      <c r="F8438">
        <v>0</v>
      </c>
      <c r="G8438">
        <v>1</v>
      </c>
      <c r="H8438">
        <v>0</v>
      </c>
      <c r="I8438">
        <v>0</v>
      </c>
      <c r="J8438">
        <v>15463.5432397882</v>
      </c>
      <c r="K8438">
        <v>12921.092771877</v>
      </c>
      <c r="L8438">
        <v>21.901</v>
      </c>
      <c r="M8438">
        <v>76.275000000000006</v>
      </c>
      <c r="N8438">
        <v>15.939</v>
      </c>
    </row>
    <row r="8439" spans="1:14" x14ac:dyDescent="0.45">
      <c r="A8439">
        <v>2019</v>
      </c>
      <c r="B8439" t="s">
        <v>207</v>
      </c>
      <c r="C8439">
        <v>0</v>
      </c>
      <c r="D8439">
        <v>0</v>
      </c>
      <c r="E8439">
        <v>0</v>
      </c>
      <c r="F8439">
        <v>1</v>
      </c>
      <c r="G8439">
        <v>0</v>
      </c>
      <c r="H8439">
        <v>0</v>
      </c>
      <c r="I8439">
        <v>0</v>
      </c>
      <c r="J8439">
        <v>9452.2939715980992</v>
      </c>
      <c r="K8439">
        <v>8560.0028444786494</v>
      </c>
      <c r="L8439">
        <v>52.850999999999999</v>
      </c>
      <c r="M8439">
        <v>69.680000000000007</v>
      </c>
      <c r="N8439">
        <v>28.323</v>
      </c>
    </row>
    <row r="8440" spans="1:14" x14ac:dyDescent="0.45">
      <c r="A8440">
        <v>2019</v>
      </c>
      <c r="B8440" t="s">
        <v>208</v>
      </c>
      <c r="C8440">
        <v>0</v>
      </c>
      <c r="D8440">
        <v>0</v>
      </c>
      <c r="E8440">
        <v>0</v>
      </c>
      <c r="F8440">
        <v>0</v>
      </c>
      <c r="G8440">
        <v>0</v>
      </c>
      <c r="H8440">
        <v>1</v>
      </c>
      <c r="I8440">
        <v>1</v>
      </c>
      <c r="J8440">
        <v>19312.790552383402</v>
      </c>
      <c r="K8440">
        <v>17472.676934023199</v>
      </c>
      <c r="L8440">
        <v>19.53</v>
      </c>
      <c r="M8440">
        <v>68.981999999999999</v>
      </c>
      <c r="N8440">
        <v>22.696999999999999</v>
      </c>
    </row>
    <row r="8441" spans="1:14" x14ac:dyDescent="0.45">
      <c r="A8441">
        <v>2019</v>
      </c>
      <c r="B8441" t="s">
        <v>209</v>
      </c>
      <c r="C8441">
        <v>0</v>
      </c>
      <c r="D8441">
        <v>0</v>
      </c>
      <c r="E8441">
        <v>0</v>
      </c>
      <c r="F8441">
        <v>1</v>
      </c>
      <c r="G8441">
        <v>0</v>
      </c>
      <c r="H8441">
        <v>0</v>
      </c>
      <c r="I8441">
        <v>0</v>
      </c>
      <c r="J8441">
        <v>4301.6113920554399</v>
      </c>
      <c r="K8441">
        <v>3891.2434548443698</v>
      </c>
      <c r="L8441">
        <v>86.75</v>
      </c>
      <c r="M8441">
        <v>65.331000000000003</v>
      </c>
      <c r="N8441">
        <v>45.603999999999999</v>
      </c>
    </row>
    <row r="8442" spans="1:14" x14ac:dyDescent="0.45">
      <c r="A8442">
        <v>2019</v>
      </c>
      <c r="B8442" t="s">
        <v>210</v>
      </c>
      <c r="C8442">
        <v>1</v>
      </c>
      <c r="D8442">
        <v>0</v>
      </c>
      <c r="E8442">
        <v>0</v>
      </c>
      <c r="F8442">
        <v>0</v>
      </c>
      <c r="G8442">
        <v>0</v>
      </c>
      <c r="H8442">
        <v>1</v>
      </c>
      <c r="I8442">
        <v>1</v>
      </c>
      <c r="J8442">
        <v>38181.623033468903</v>
      </c>
      <c r="K8442">
        <v>32957.272160556902</v>
      </c>
      <c r="L8442">
        <v>39.963000000000001</v>
      </c>
      <c r="M8442">
        <v>77.921000000000006</v>
      </c>
      <c r="N8442">
        <v>4.3819999999999997</v>
      </c>
    </row>
    <row r="8443" spans="1:14" x14ac:dyDescent="0.45">
      <c r="A8443">
        <v>2019</v>
      </c>
      <c r="B8443" t="s">
        <v>211</v>
      </c>
      <c r="C8443">
        <v>0</v>
      </c>
      <c r="D8443">
        <v>1</v>
      </c>
      <c r="E8443">
        <v>0</v>
      </c>
      <c r="F8443">
        <v>0</v>
      </c>
      <c r="G8443">
        <v>0</v>
      </c>
      <c r="H8443">
        <v>1</v>
      </c>
      <c r="I8443">
        <v>1</v>
      </c>
      <c r="J8443">
        <v>41656.329158136898</v>
      </c>
      <c r="K8443">
        <v>32002.088791731399</v>
      </c>
      <c r="L8443">
        <v>6.4240000000000101</v>
      </c>
      <c r="M8443">
        <v>81.438000000000002</v>
      </c>
      <c r="N8443">
        <v>6.9950000000000001</v>
      </c>
    </row>
    <row r="8444" spans="1:14" x14ac:dyDescent="0.45">
      <c r="A8444">
        <v>2019</v>
      </c>
      <c r="B8444" t="s">
        <v>212</v>
      </c>
      <c r="C8444">
        <v>0</v>
      </c>
      <c r="D8444">
        <v>0</v>
      </c>
      <c r="E8444">
        <v>0</v>
      </c>
      <c r="F8444">
        <v>0</v>
      </c>
      <c r="G8444">
        <v>0</v>
      </c>
      <c r="H8444">
        <v>0</v>
      </c>
      <c r="I8444">
        <v>0</v>
      </c>
      <c r="L8444">
        <v>37.866</v>
      </c>
      <c r="M8444">
        <v>72.927999999999997</v>
      </c>
      <c r="N8444">
        <v>17.75</v>
      </c>
    </row>
    <row r="8445" spans="1:14" x14ac:dyDescent="0.45">
      <c r="A8445">
        <v>2019</v>
      </c>
      <c r="B8445" t="s">
        <v>213</v>
      </c>
      <c r="C8445">
        <v>1</v>
      </c>
      <c r="D8445">
        <v>0</v>
      </c>
      <c r="E8445">
        <v>0</v>
      </c>
      <c r="F8445">
        <v>0</v>
      </c>
      <c r="G8445">
        <v>0</v>
      </c>
      <c r="H8445">
        <v>1</v>
      </c>
      <c r="I8445">
        <v>1</v>
      </c>
      <c r="J8445">
        <v>40188.286684665502</v>
      </c>
      <c r="K8445">
        <v>34738.075581389297</v>
      </c>
      <c r="L8445">
        <v>34.235999999999997</v>
      </c>
      <c r="M8445">
        <v>81.959000000000003</v>
      </c>
      <c r="N8445">
        <v>3.5670000000000002</v>
      </c>
    </row>
    <row r="8446" spans="1:14" x14ac:dyDescent="0.45">
      <c r="A8446">
        <v>2019</v>
      </c>
      <c r="B8446" t="s">
        <v>214</v>
      </c>
      <c r="C8446">
        <v>0</v>
      </c>
      <c r="D8446">
        <v>1</v>
      </c>
      <c r="E8446">
        <v>0</v>
      </c>
      <c r="F8446">
        <v>0</v>
      </c>
      <c r="G8446">
        <v>1</v>
      </c>
      <c r="H8446">
        <v>0</v>
      </c>
      <c r="I8446">
        <v>0</v>
      </c>
      <c r="J8446">
        <v>15321.3245528933</v>
      </c>
      <c r="K8446">
        <v>13978.2424558845</v>
      </c>
      <c r="L8446">
        <v>38.121000000000002</v>
      </c>
      <c r="M8446">
        <v>73.668000000000006</v>
      </c>
      <c r="N8446">
        <v>19.469000000000001</v>
      </c>
    </row>
    <row r="8447" spans="1:14" x14ac:dyDescent="0.45">
      <c r="A8447">
        <v>2019</v>
      </c>
      <c r="B8447" t="s">
        <v>215</v>
      </c>
      <c r="C8447">
        <v>0</v>
      </c>
      <c r="D8447">
        <v>0</v>
      </c>
      <c r="E8447">
        <v>0</v>
      </c>
      <c r="F8447">
        <v>1</v>
      </c>
      <c r="G8447">
        <v>0</v>
      </c>
      <c r="H8447">
        <v>0</v>
      </c>
      <c r="I8447">
        <v>0</v>
      </c>
      <c r="J8447">
        <v>6269.8913452798497</v>
      </c>
      <c r="K8447">
        <v>5346.2414751055303</v>
      </c>
      <c r="L8447">
        <v>23.56</v>
      </c>
      <c r="M8447">
        <v>75.811000000000007</v>
      </c>
      <c r="N8447">
        <v>15.877000000000001</v>
      </c>
    </row>
    <row r="8448" spans="1:14" x14ac:dyDescent="0.45">
      <c r="A8448">
        <v>2019</v>
      </c>
      <c r="B8448" t="s">
        <v>216</v>
      </c>
      <c r="C8448">
        <v>0</v>
      </c>
      <c r="D8448">
        <v>0</v>
      </c>
      <c r="E8448">
        <v>0</v>
      </c>
      <c r="F8448">
        <v>0</v>
      </c>
      <c r="G8448">
        <v>0</v>
      </c>
      <c r="H8448">
        <v>1</v>
      </c>
      <c r="I8448">
        <v>1</v>
      </c>
      <c r="L8448">
        <v>38.103000000000002</v>
      </c>
      <c r="M8448">
        <v>83.194999999999993</v>
      </c>
      <c r="N8448">
        <v>6.7060000000000004</v>
      </c>
    </row>
    <row r="8449" spans="1:14" x14ac:dyDescent="0.45">
      <c r="A8449">
        <v>2019</v>
      </c>
      <c r="B8449" t="s">
        <v>217</v>
      </c>
      <c r="C8449">
        <v>0</v>
      </c>
      <c r="D8449">
        <v>0</v>
      </c>
      <c r="E8449">
        <v>0</v>
      </c>
      <c r="F8449">
        <v>0</v>
      </c>
      <c r="G8449">
        <v>0</v>
      </c>
      <c r="H8449">
        <v>1</v>
      </c>
      <c r="I8449">
        <v>1</v>
      </c>
      <c r="J8449">
        <v>113160.973779334</v>
      </c>
      <c r="K8449">
        <v>97714.258914378501</v>
      </c>
      <c r="L8449">
        <v>0.81199999999999795</v>
      </c>
      <c r="M8449">
        <v>82.944999999999993</v>
      </c>
      <c r="N8449">
        <v>6.2</v>
      </c>
    </row>
    <row r="8450" spans="1:14" x14ac:dyDescent="0.45">
      <c r="A8450">
        <v>2019</v>
      </c>
      <c r="B8450" t="s">
        <v>218</v>
      </c>
      <c r="C8450">
        <v>1</v>
      </c>
      <c r="D8450">
        <v>0</v>
      </c>
      <c r="E8450">
        <v>0</v>
      </c>
      <c r="F8450">
        <v>0</v>
      </c>
      <c r="G8450">
        <v>0</v>
      </c>
      <c r="H8450">
        <v>1</v>
      </c>
      <c r="I8450">
        <v>1</v>
      </c>
      <c r="J8450">
        <v>36633.362325920003</v>
      </c>
      <c r="K8450">
        <v>29776.918085678299</v>
      </c>
      <c r="L8450">
        <v>45.915999999999997</v>
      </c>
      <c r="M8450">
        <v>75.328999999999994</v>
      </c>
      <c r="N8450">
        <v>7.0220000000000002</v>
      </c>
    </row>
    <row r="8451" spans="1:14" x14ac:dyDescent="0.45">
      <c r="A8451">
        <v>2019</v>
      </c>
      <c r="B8451" t="s">
        <v>219</v>
      </c>
      <c r="C8451">
        <v>1</v>
      </c>
      <c r="D8451">
        <v>0</v>
      </c>
      <c r="E8451">
        <v>0</v>
      </c>
      <c r="F8451">
        <v>0</v>
      </c>
      <c r="G8451">
        <v>1</v>
      </c>
      <c r="H8451">
        <v>0</v>
      </c>
      <c r="I8451">
        <v>0</v>
      </c>
      <c r="J8451">
        <v>37319.3203125</v>
      </c>
      <c r="K8451">
        <v>27045.354808550801</v>
      </c>
      <c r="L8451">
        <v>25.413</v>
      </c>
      <c r="M8451">
        <v>73.066000000000003</v>
      </c>
      <c r="N8451">
        <v>5.8929999999999998</v>
      </c>
    </row>
    <row r="8452" spans="1:14" x14ac:dyDescent="0.45">
      <c r="A8452">
        <v>2019</v>
      </c>
      <c r="B8452" t="s">
        <v>220</v>
      </c>
      <c r="C8452">
        <v>0</v>
      </c>
      <c r="D8452">
        <v>0</v>
      </c>
      <c r="E8452">
        <v>1</v>
      </c>
      <c r="F8452">
        <v>0</v>
      </c>
      <c r="G8452">
        <v>0</v>
      </c>
      <c r="H8452">
        <v>0</v>
      </c>
      <c r="I8452">
        <v>0</v>
      </c>
      <c r="J8452">
        <v>2667.4645843661301</v>
      </c>
      <c r="K8452">
        <v>2232.2780260509599</v>
      </c>
      <c r="L8452">
        <v>82.686999999999998</v>
      </c>
      <c r="M8452">
        <v>66.691000000000003</v>
      </c>
      <c r="N8452">
        <v>41.783000000000001</v>
      </c>
    </row>
    <row r="8453" spans="1:14" x14ac:dyDescent="0.45">
      <c r="A8453">
        <v>2019</v>
      </c>
      <c r="B8453" t="s">
        <v>221</v>
      </c>
      <c r="C8453">
        <v>0</v>
      </c>
      <c r="D8453">
        <v>0</v>
      </c>
      <c r="E8453">
        <v>0</v>
      </c>
      <c r="F8453">
        <v>0</v>
      </c>
      <c r="G8453">
        <v>0</v>
      </c>
      <c r="H8453">
        <v>1</v>
      </c>
      <c r="I8453">
        <v>1</v>
      </c>
      <c r="J8453">
        <v>62647.714130052504</v>
      </c>
      <c r="K8453">
        <v>57434.048615339401</v>
      </c>
      <c r="L8453">
        <v>15.935</v>
      </c>
      <c r="M8453">
        <v>78.313000000000002</v>
      </c>
      <c r="N8453">
        <v>7.3849999999999998</v>
      </c>
    </row>
    <row r="8454" spans="1:14" x14ac:dyDescent="0.45">
      <c r="A8454">
        <v>2019</v>
      </c>
      <c r="B8454" t="s">
        <v>222</v>
      </c>
      <c r="C8454">
        <v>0</v>
      </c>
      <c r="D8454">
        <v>0</v>
      </c>
      <c r="E8454">
        <v>1</v>
      </c>
      <c r="F8454">
        <v>0</v>
      </c>
      <c r="G8454">
        <v>0</v>
      </c>
      <c r="H8454">
        <v>0</v>
      </c>
      <c r="I8454">
        <v>0</v>
      </c>
      <c r="J8454">
        <v>3625.52319335938</v>
      </c>
      <c r="K8454">
        <v>3796.4008966134602</v>
      </c>
      <c r="L8454">
        <v>65.063999999999993</v>
      </c>
      <c r="M8454">
        <v>65.802999999999997</v>
      </c>
      <c r="N8454">
        <v>57.168999999999997</v>
      </c>
    </row>
    <row r="8455" spans="1:14" x14ac:dyDescent="0.45">
      <c r="A8455">
        <v>2019</v>
      </c>
      <c r="B8455" t="s">
        <v>223</v>
      </c>
      <c r="C8455">
        <v>0</v>
      </c>
      <c r="D8455">
        <v>0</v>
      </c>
      <c r="E8455">
        <v>1</v>
      </c>
      <c r="F8455">
        <v>1</v>
      </c>
      <c r="G8455">
        <v>0</v>
      </c>
      <c r="H8455">
        <v>0</v>
      </c>
      <c r="I8455">
        <v>0</v>
      </c>
      <c r="J8455">
        <v>4070.6122705859402</v>
      </c>
      <c r="K8455">
        <v>3400.74828098428</v>
      </c>
      <c r="L8455">
        <v>52.347000000000001</v>
      </c>
      <c r="M8455">
        <v>67.668000000000006</v>
      </c>
      <c r="N8455">
        <v>42.042000000000002</v>
      </c>
    </row>
    <row r="8456" spans="1:14" x14ac:dyDescent="0.45">
      <c r="A8456">
        <v>2019</v>
      </c>
      <c r="B8456" t="s">
        <v>224</v>
      </c>
      <c r="C8456">
        <v>0</v>
      </c>
      <c r="D8456">
        <v>0</v>
      </c>
      <c r="E8456">
        <v>0</v>
      </c>
      <c r="F8456">
        <v>0</v>
      </c>
      <c r="G8456">
        <v>0</v>
      </c>
      <c r="H8456">
        <v>1</v>
      </c>
      <c r="I8456">
        <v>1</v>
      </c>
      <c r="J8456">
        <v>120114.133894235</v>
      </c>
      <c r="K8456">
        <v>98738.299899403806</v>
      </c>
      <c r="L8456">
        <v>0</v>
      </c>
      <c r="M8456">
        <v>83.662000000000006</v>
      </c>
      <c r="N8456">
        <v>2.4289999999999998</v>
      </c>
    </row>
    <row r="8457" spans="1:14" x14ac:dyDescent="0.45">
      <c r="A8457">
        <v>2019</v>
      </c>
      <c r="B8457" t="s">
        <v>225</v>
      </c>
      <c r="C8457">
        <v>0</v>
      </c>
      <c r="D8457">
        <v>0</v>
      </c>
      <c r="E8457">
        <v>0</v>
      </c>
      <c r="F8457">
        <v>1</v>
      </c>
      <c r="G8457">
        <v>0</v>
      </c>
      <c r="H8457">
        <v>0</v>
      </c>
      <c r="I8457">
        <v>0</v>
      </c>
      <c r="J8457">
        <v>2661.5997343436302</v>
      </c>
      <c r="K8457">
        <v>2407.61114984509</v>
      </c>
      <c r="L8457">
        <v>75.790000000000006</v>
      </c>
      <c r="M8457">
        <v>69.980999999999995</v>
      </c>
      <c r="N8457">
        <v>20.145</v>
      </c>
    </row>
    <row r="8458" spans="1:14" x14ac:dyDescent="0.45">
      <c r="A8458">
        <v>2019</v>
      </c>
      <c r="B8458" t="s">
        <v>226</v>
      </c>
      <c r="C8458">
        <v>0</v>
      </c>
      <c r="D8458">
        <v>0</v>
      </c>
      <c r="E8458">
        <v>1</v>
      </c>
      <c r="F8458">
        <v>0</v>
      </c>
      <c r="G8458">
        <v>0</v>
      </c>
      <c r="H8458">
        <v>0</v>
      </c>
      <c r="I8458">
        <v>0</v>
      </c>
      <c r="J8458">
        <v>2855.2290660683698</v>
      </c>
      <c r="K8458">
        <v>2591.6074240788398</v>
      </c>
      <c r="L8458">
        <v>57.515999999999998</v>
      </c>
      <c r="M8458">
        <v>59.593000000000004</v>
      </c>
      <c r="N8458">
        <v>112.38200000000001</v>
      </c>
    </row>
    <row r="8459" spans="1:14" x14ac:dyDescent="0.45">
      <c r="A8459">
        <v>2019</v>
      </c>
      <c r="B8459" t="s">
        <v>227</v>
      </c>
      <c r="C8459">
        <v>0</v>
      </c>
      <c r="D8459">
        <v>1</v>
      </c>
      <c r="E8459">
        <v>0</v>
      </c>
      <c r="F8459">
        <v>1</v>
      </c>
      <c r="G8459">
        <v>0</v>
      </c>
      <c r="H8459">
        <v>0</v>
      </c>
      <c r="I8459">
        <v>0</v>
      </c>
      <c r="J8459">
        <v>10543.938329131701</v>
      </c>
      <c r="K8459">
        <v>9392.0172355631294</v>
      </c>
      <c r="L8459">
        <v>27.254000000000001</v>
      </c>
      <c r="M8459">
        <v>71.724999999999994</v>
      </c>
      <c r="N8459">
        <v>13.214</v>
      </c>
    </row>
    <row r="8460" spans="1:14" x14ac:dyDescent="0.45">
      <c r="A8460">
        <v>2019</v>
      </c>
      <c r="B8460" t="s">
        <v>228</v>
      </c>
      <c r="C8460">
        <v>1</v>
      </c>
      <c r="D8460">
        <v>0</v>
      </c>
      <c r="E8460">
        <v>0</v>
      </c>
      <c r="F8460">
        <v>0</v>
      </c>
      <c r="G8460">
        <v>0</v>
      </c>
      <c r="H8460">
        <v>1</v>
      </c>
      <c r="I8460">
        <v>1</v>
      </c>
      <c r="J8460">
        <v>60171.0471344217</v>
      </c>
      <c r="K8460">
        <v>53033.216447995997</v>
      </c>
      <c r="L8460">
        <v>2.6320000000000099</v>
      </c>
      <c r="M8460">
        <v>85.257000000000005</v>
      </c>
      <c r="N8460">
        <v>1.6579999999999999</v>
      </c>
    </row>
    <row r="8461" spans="1:14" x14ac:dyDescent="0.45">
      <c r="A8461">
        <v>2019</v>
      </c>
      <c r="B8461" t="s">
        <v>229</v>
      </c>
      <c r="C8461">
        <v>0</v>
      </c>
      <c r="D8461">
        <v>0</v>
      </c>
      <c r="E8461">
        <v>1</v>
      </c>
      <c r="F8461">
        <v>0</v>
      </c>
      <c r="G8461">
        <v>0</v>
      </c>
      <c r="H8461">
        <v>0</v>
      </c>
      <c r="I8461">
        <v>0</v>
      </c>
      <c r="J8461">
        <v>1491.1076039950899</v>
      </c>
      <c r="K8461">
        <v>1383.0534227585699</v>
      </c>
      <c r="L8461">
        <v>54.445999999999998</v>
      </c>
      <c r="M8461">
        <v>57.249000000000002</v>
      </c>
      <c r="N8461">
        <v>117.58199999999999</v>
      </c>
    </row>
    <row r="8462" spans="1:14" x14ac:dyDescent="0.45">
      <c r="A8462">
        <v>2019</v>
      </c>
      <c r="B8462" t="s">
        <v>230</v>
      </c>
      <c r="C8462">
        <v>1</v>
      </c>
      <c r="D8462">
        <v>0</v>
      </c>
      <c r="E8462">
        <v>0</v>
      </c>
      <c r="F8462">
        <v>0</v>
      </c>
      <c r="G8462">
        <v>1</v>
      </c>
      <c r="H8462">
        <v>0</v>
      </c>
      <c r="I8462">
        <v>0</v>
      </c>
      <c r="J8462">
        <v>21539.921292801399</v>
      </c>
      <c r="K8462">
        <v>18940.564629612702</v>
      </c>
      <c r="L8462">
        <v>43.74</v>
      </c>
      <c r="M8462">
        <v>76.058000000000007</v>
      </c>
      <c r="N8462">
        <v>5.6970000000000001</v>
      </c>
    </row>
    <row r="8463" spans="1:14" x14ac:dyDescent="0.45">
      <c r="A8463">
        <v>2019</v>
      </c>
      <c r="B8463" t="s">
        <v>231</v>
      </c>
      <c r="C8463">
        <v>0</v>
      </c>
      <c r="D8463">
        <v>0</v>
      </c>
      <c r="E8463">
        <v>1</v>
      </c>
      <c r="F8463">
        <v>0</v>
      </c>
      <c r="G8463">
        <v>0</v>
      </c>
      <c r="H8463">
        <v>0</v>
      </c>
      <c r="I8463">
        <v>0</v>
      </c>
      <c r="L8463">
        <v>80.100999999999999</v>
      </c>
      <c r="M8463">
        <v>58.128999999999998</v>
      </c>
      <c r="N8463">
        <v>99.387</v>
      </c>
    </row>
    <row r="8464" spans="1:14" x14ac:dyDescent="0.45">
      <c r="A8464">
        <v>2019</v>
      </c>
      <c r="B8464" t="s">
        <v>232</v>
      </c>
      <c r="C8464">
        <v>0</v>
      </c>
      <c r="D8464">
        <v>0</v>
      </c>
      <c r="E8464">
        <v>1</v>
      </c>
      <c r="F8464">
        <v>1</v>
      </c>
      <c r="G8464">
        <v>0</v>
      </c>
      <c r="H8464">
        <v>0</v>
      </c>
      <c r="I8464">
        <v>0</v>
      </c>
      <c r="J8464">
        <v>5702.0834707123604</v>
      </c>
      <c r="K8464">
        <v>3548.8871249826302</v>
      </c>
      <c r="L8464">
        <v>26.402000000000001</v>
      </c>
      <c r="M8464">
        <v>68.043000000000006</v>
      </c>
      <c r="N8464">
        <v>17.266999999999999</v>
      </c>
    </row>
    <row r="8465" spans="1:14" x14ac:dyDescent="0.45">
      <c r="A8465">
        <v>2019</v>
      </c>
      <c r="B8465" t="s">
        <v>233</v>
      </c>
      <c r="C8465">
        <v>0</v>
      </c>
      <c r="D8465">
        <v>1</v>
      </c>
      <c r="E8465">
        <v>0</v>
      </c>
      <c r="F8465">
        <v>0</v>
      </c>
      <c r="G8465">
        <v>1</v>
      </c>
      <c r="H8465">
        <v>0</v>
      </c>
      <c r="I8465">
        <v>0</v>
      </c>
      <c r="J8465">
        <v>22966.740599912398</v>
      </c>
      <c r="K8465">
        <v>18281.057601704499</v>
      </c>
      <c r="L8465">
        <v>33.905000000000001</v>
      </c>
      <c r="M8465">
        <v>71.772999999999996</v>
      </c>
      <c r="N8465">
        <v>18.23</v>
      </c>
    </row>
    <row r="8466" spans="1:14" x14ac:dyDescent="0.45">
      <c r="A8466">
        <v>2019</v>
      </c>
      <c r="B8466" t="s">
        <v>234</v>
      </c>
      <c r="C8466">
        <v>1</v>
      </c>
      <c r="D8466">
        <v>0</v>
      </c>
      <c r="E8466">
        <v>0</v>
      </c>
      <c r="F8466">
        <v>0</v>
      </c>
      <c r="G8466">
        <v>0</v>
      </c>
      <c r="H8466">
        <v>1</v>
      </c>
      <c r="I8466">
        <v>1</v>
      </c>
      <c r="J8466">
        <v>37194.137592692699</v>
      </c>
      <c r="K8466">
        <v>32034.6722493862</v>
      </c>
      <c r="L8466">
        <v>46.271000000000001</v>
      </c>
      <c r="M8466">
        <v>77.686000000000007</v>
      </c>
      <c r="N8466">
        <v>6.0970000000000004</v>
      </c>
    </row>
    <row r="8467" spans="1:14" x14ac:dyDescent="0.45">
      <c r="A8467">
        <v>2019</v>
      </c>
      <c r="B8467" t="s">
        <v>235</v>
      </c>
      <c r="C8467">
        <v>1</v>
      </c>
      <c r="D8467">
        <v>0</v>
      </c>
      <c r="E8467">
        <v>0</v>
      </c>
      <c r="F8467">
        <v>0</v>
      </c>
      <c r="G8467">
        <v>0</v>
      </c>
      <c r="H8467">
        <v>1</v>
      </c>
      <c r="I8467">
        <v>1</v>
      </c>
      <c r="J8467">
        <v>44580.7777658794</v>
      </c>
      <c r="K8467">
        <v>38375.342648711601</v>
      </c>
      <c r="L8467">
        <v>45.177999999999997</v>
      </c>
      <c r="M8467">
        <v>81.007000000000005</v>
      </c>
      <c r="N8467">
        <v>2.52</v>
      </c>
    </row>
    <row r="8468" spans="1:14" x14ac:dyDescent="0.45">
      <c r="A8468">
        <v>2019</v>
      </c>
      <c r="B8468" t="s">
        <v>236</v>
      </c>
      <c r="C8468">
        <v>1</v>
      </c>
      <c r="D8468">
        <v>0</v>
      </c>
      <c r="E8468">
        <v>0</v>
      </c>
      <c r="F8468">
        <v>0</v>
      </c>
      <c r="G8468">
        <v>0</v>
      </c>
      <c r="H8468">
        <v>1</v>
      </c>
      <c r="I8468">
        <v>1</v>
      </c>
      <c r="J8468">
        <v>61232.484852731999</v>
      </c>
      <c r="K8468">
        <v>52305.918414355001</v>
      </c>
      <c r="L8468">
        <v>12.292</v>
      </c>
      <c r="M8468">
        <v>83.052000000000007</v>
      </c>
      <c r="N8468">
        <v>2.5030000000000001</v>
      </c>
    </row>
    <row r="8469" spans="1:14" x14ac:dyDescent="0.45">
      <c r="A8469">
        <v>2019</v>
      </c>
      <c r="B8469" t="s">
        <v>237</v>
      </c>
      <c r="C8469">
        <v>0</v>
      </c>
      <c r="D8469">
        <v>0</v>
      </c>
      <c r="E8469">
        <v>1</v>
      </c>
      <c r="F8469">
        <v>1</v>
      </c>
      <c r="G8469">
        <v>0</v>
      </c>
      <c r="H8469">
        <v>0</v>
      </c>
      <c r="I8469">
        <v>0</v>
      </c>
      <c r="J8469">
        <v>10123.3160187796</v>
      </c>
      <c r="K8469">
        <v>8964.1981892118802</v>
      </c>
      <c r="L8469">
        <v>76.019000000000005</v>
      </c>
      <c r="M8469">
        <v>59.85</v>
      </c>
      <c r="N8469">
        <v>56.451999999999998</v>
      </c>
    </row>
    <row r="8470" spans="1:14" x14ac:dyDescent="0.45">
      <c r="A8470">
        <v>2019</v>
      </c>
      <c r="B8470" t="s">
        <v>238</v>
      </c>
      <c r="C8470">
        <v>0</v>
      </c>
      <c r="D8470">
        <v>1</v>
      </c>
      <c r="E8470">
        <v>0</v>
      </c>
      <c r="F8470">
        <v>0</v>
      </c>
      <c r="G8470">
        <v>0</v>
      </c>
      <c r="H8470">
        <v>1</v>
      </c>
      <c r="I8470">
        <v>1</v>
      </c>
      <c r="J8470">
        <v>45996.791234692202</v>
      </c>
      <c r="K8470">
        <v>44390.927699117601</v>
      </c>
      <c r="L8470">
        <v>0</v>
      </c>
      <c r="M8470">
        <v>75.680000000000007</v>
      </c>
      <c r="N8470">
        <v>16.254000000000001</v>
      </c>
    </row>
    <row r="8471" spans="1:14" x14ac:dyDescent="0.45">
      <c r="A8471">
        <v>2019</v>
      </c>
      <c r="B8471" t="s">
        <v>239</v>
      </c>
      <c r="C8471">
        <v>0</v>
      </c>
      <c r="D8471">
        <v>0</v>
      </c>
      <c r="E8471">
        <v>1</v>
      </c>
      <c r="F8471">
        <v>0</v>
      </c>
      <c r="G8471">
        <v>0</v>
      </c>
      <c r="H8471">
        <v>1</v>
      </c>
      <c r="I8471">
        <v>1</v>
      </c>
      <c r="J8471">
        <v>34346.070892348303</v>
      </c>
      <c r="K8471">
        <v>33344.878803145097</v>
      </c>
      <c r="L8471">
        <v>42.881</v>
      </c>
      <c r="M8471">
        <v>72.123000000000005</v>
      </c>
      <c r="N8471">
        <v>14.708</v>
      </c>
    </row>
    <row r="8472" spans="1:14" x14ac:dyDescent="0.45">
      <c r="A8472">
        <v>2019</v>
      </c>
      <c r="B8472" t="s">
        <v>240</v>
      </c>
      <c r="C8472">
        <v>0</v>
      </c>
      <c r="D8472">
        <v>0</v>
      </c>
      <c r="E8472">
        <v>0</v>
      </c>
      <c r="F8472">
        <v>0</v>
      </c>
      <c r="G8472">
        <v>0</v>
      </c>
      <c r="H8472">
        <v>0</v>
      </c>
      <c r="I8472">
        <v>0</v>
      </c>
      <c r="J8472">
        <v>4825.4060205376099</v>
      </c>
      <c r="K8472">
        <v>3165.1161623746798</v>
      </c>
      <c r="L8472">
        <v>45.179000000000002</v>
      </c>
      <c r="M8472">
        <v>70.97</v>
      </c>
      <c r="N8472">
        <v>24.908999999999999</v>
      </c>
    </row>
    <row r="8473" spans="1:14" x14ac:dyDescent="0.45">
      <c r="A8473">
        <v>2019</v>
      </c>
      <c r="B8473" t="s">
        <v>241</v>
      </c>
      <c r="C8473">
        <v>0</v>
      </c>
      <c r="D8473">
        <v>1</v>
      </c>
      <c r="E8473">
        <v>0</v>
      </c>
      <c r="F8473">
        <v>0</v>
      </c>
      <c r="G8473">
        <v>0</v>
      </c>
      <c r="H8473">
        <v>1</v>
      </c>
      <c r="I8473">
        <v>1</v>
      </c>
      <c r="J8473">
        <v>30611.213023738099</v>
      </c>
      <c r="K8473">
        <v>47656.676285886002</v>
      </c>
      <c r="L8473">
        <v>6.64</v>
      </c>
      <c r="M8473">
        <v>77.691000000000003</v>
      </c>
      <c r="N8473">
        <v>6.3550000000000004</v>
      </c>
    </row>
    <row r="8474" spans="1:14" x14ac:dyDescent="0.45">
      <c r="A8474">
        <v>2019</v>
      </c>
      <c r="B8474" t="s">
        <v>242</v>
      </c>
      <c r="C8474">
        <v>0</v>
      </c>
      <c r="D8474">
        <v>0</v>
      </c>
      <c r="E8474">
        <v>1</v>
      </c>
      <c r="F8474">
        <v>0</v>
      </c>
      <c r="G8474">
        <v>0</v>
      </c>
      <c r="H8474">
        <v>0</v>
      </c>
      <c r="I8474">
        <v>0</v>
      </c>
      <c r="J8474">
        <v>2604.91636551989</v>
      </c>
      <c r="K8474">
        <v>2188.2239893189599</v>
      </c>
      <c r="L8474">
        <v>76.721000000000004</v>
      </c>
      <c r="M8474">
        <v>52.993000000000002</v>
      </c>
      <c r="N8474">
        <v>113.59399999999999</v>
      </c>
    </row>
    <row r="8475" spans="1:14" x14ac:dyDescent="0.45">
      <c r="A8475">
        <v>2019</v>
      </c>
      <c r="B8475" t="s">
        <v>243</v>
      </c>
      <c r="C8475">
        <v>0</v>
      </c>
      <c r="D8475">
        <v>0</v>
      </c>
      <c r="E8475">
        <v>1</v>
      </c>
      <c r="F8475">
        <v>0</v>
      </c>
      <c r="G8475">
        <v>0</v>
      </c>
      <c r="H8475">
        <v>0</v>
      </c>
      <c r="I8475">
        <v>0</v>
      </c>
      <c r="J8475">
        <v>2501.0308753624299</v>
      </c>
      <c r="K8475">
        <v>2078.4510540884598</v>
      </c>
      <c r="L8475">
        <v>57.752000000000002</v>
      </c>
      <c r="M8475">
        <v>61.055</v>
      </c>
      <c r="N8475">
        <v>66.572999999999993</v>
      </c>
    </row>
    <row r="8476" spans="1:14" x14ac:dyDescent="0.45">
      <c r="A8476">
        <v>2019</v>
      </c>
      <c r="B8476" t="s">
        <v>244</v>
      </c>
      <c r="C8476">
        <v>0</v>
      </c>
      <c r="D8476">
        <v>0</v>
      </c>
      <c r="E8476">
        <v>0</v>
      </c>
      <c r="F8476">
        <v>0</v>
      </c>
      <c r="G8476">
        <v>1</v>
      </c>
      <c r="H8476">
        <v>0</v>
      </c>
      <c r="I8476">
        <v>0</v>
      </c>
      <c r="J8476">
        <v>21277.8392684764</v>
      </c>
      <c r="K8476">
        <v>18608.0465369659</v>
      </c>
      <c r="L8476">
        <v>49.308</v>
      </c>
      <c r="M8476">
        <v>77.197000000000003</v>
      </c>
      <c r="N8476">
        <v>9.0370000000000008</v>
      </c>
    </row>
    <row r="8477" spans="1:14" x14ac:dyDescent="0.45">
      <c r="A8477">
        <v>2019</v>
      </c>
      <c r="B8477" t="s">
        <v>245</v>
      </c>
      <c r="C8477">
        <v>1</v>
      </c>
      <c r="D8477">
        <v>0</v>
      </c>
      <c r="E8477">
        <v>0</v>
      </c>
      <c r="F8477">
        <v>0</v>
      </c>
      <c r="G8477">
        <v>0</v>
      </c>
      <c r="H8477">
        <v>0</v>
      </c>
      <c r="I8477">
        <v>0</v>
      </c>
      <c r="J8477">
        <v>3649.8837551864599</v>
      </c>
      <c r="K8477">
        <v>3324.0776209589399</v>
      </c>
      <c r="L8477">
        <v>72.691000000000003</v>
      </c>
      <c r="M8477">
        <v>70.962000000000003</v>
      </c>
      <c r="N8477">
        <v>33.701999999999998</v>
      </c>
    </row>
    <row r="8478" spans="1:14" x14ac:dyDescent="0.45">
      <c r="A8478">
        <v>2019</v>
      </c>
      <c r="B8478" t="s">
        <v>246</v>
      </c>
      <c r="C8478">
        <v>1</v>
      </c>
      <c r="D8478">
        <v>0</v>
      </c>
      <c r="E8478">
        <v>0</v>
      </c>
      <c r="F8478">
        <v>0</v>
      </c>
      <c r="G8478">
        <v>1</v>
      </c>
      <c r="H8478">
        <v>0</v>
      </c>
      <c r="I8478">
        <v>0</v>
      </c>
      <c r="J8478">
        <v>15231.305617656501</v>
      </c>
      <c r="K8478">
        <v>14335.9930626285</v>
      </c>
      <c r="L8478">
        <v>47.951999999999998</v>
      </c>
      <c r="M8478">
        <v>69.405000000000001</v>
      </c>
      <c r="N8478">
        <v>42.29</v>
      </c>
    </row>
    <row r="8479" spans="1:14" x14ac:dyDescent="0.45">
      <c r="A8479">
        <v>2019</v>
      </c>
      <c r="B8479" t="s">
        <v>247</v>
      </c>
      <c r="C8479">
        <v>0</v>
      </c>
      <c r="D8479">
        <v>0</v>
      </c>
      <c r="E8479">
        <v>0</v>
      </c>
      <c r="F8479">
        <v>1</v>
      </c>
      <c r="G8479">
        <v>0</v>
      </c>
      <c r="H8479">
        <v>0</v>
      </c>
      <c r="I8479">
        <v>0</v>
      </c>
      <c r="J8479">
        <v>5096.4517112780004</v>
      </c>
      <c r="K8479">
        <v>4112.1365061898096</v>
      </c>
      <c r="L8479">
        <v>69.052999999999997</v>
      </c>
      <c r="M8479">
        <v>66.495999999999995</v>
      </c>
      <c r="N8479">
        <v>53.594999999999999</v>
      </c>
    </row>
    <row r="8480" spans="1:14" x14ac:dyDescent="0.45">
      <c r="A8480">
        <v>2019</v>
      </c>
      <c r="B8480" t="s">
        <v>248</v>
      </c>
      <c r="C8480">
        <v>0</v>
      </c>
      <c r="D8480">
        <v>0</v>
      </c>
      <c r="E8480">
        <v>0</v>
      </c>
      <c r="F8480">
        <v>0</v>
      </c>
      <c r="G8480">
        <v>1</v>
      </c>
      <c r="H8480">
        <v>0</v>
      </c>
      <c r="I8480">
        <v>0</v>
      </c>
      <c r="J8480">
        <v>6875.0253839669504</v>
      </c>
      <c r="K8480">
        <v>6223.4879628666504</v>
      </c>
      <c r="L8480">
        <v>76.893000000000001</v>
      </c>
      <c r="M8480">
        <v>72.292000000000002</v>
      </c>
      <c r="N8480">
        <v>11.654999999999999</v>
      </c>
    </row>
    <row r="8481" spans="1:14" x14ac:dyDescent="0.45">
      <c r="A8481">
        <v>2019</v>
      </c>
      <c r="B8481" t="s">
        <v>249</v>
      </c>
      <c r="C8481">
        <v>0</v>
      </c>
      <c r="D8481">
        <v>1</v>
      </c>
      <c r="E8481">
        <v>0</v>
      </c>
      <c r="F8481">
        <v>0</v>
      </c>
      <c r="G8481">
        <v>0</v>
      </c>
      <c r="H8481">
        <v>1</v>
      </c>
      <c r="I8481">
        <v>1</v>
      </c>
      <c r="J8481">
        <v>33793.705465114697</v>
      </c>
      <c r="K8481">
        <v>28203.990873698702</v>
      </c>
      <c r="L8481">
        <v>46.813000000000002</v>
      </c>
      <c r="M8481">
        <v>72.835999999999999</v>
      </c>
      <c r="N8481">
        <v>17.538</v>
      </c>
    </row>
    <row r="8482" spans="1:14" x14ac:dyDescent="0.45">
      <c r="A8482">
        <v>2019</v>
      </c>
      <c r="B8482" t="s">
        <v>250</v>
      </c>
      <c r="C8482">
        <v>0</v>
      </c>
      <c r="D8482">
        <v>0</v>
      </c>
      <c r="E8482">
        <v>0</v>
      </c>
      <c r="F8482">
        <v>1</v>
      </c>
      <c r="G8482">
        <v>0</v>
      </c>
      <c r="H8482">
        <v>0</v>
      </c>
      <c r="I8482">
        <v>0</v>
      </c>
      <c r="J8482">
        <v>13249.224090809899</v>
      </c>
      <c r="K8482">
        <v>11546.4774754789</v>
      </c>
      <c r="L8482">
        <v>30.745999999999999</v>
      </c>
      <c r="M8482">
        <v>75.599000000000004</v>
      </c>
      <c r="N8482">
        <v>14.218999999999999</v>
      </c>
    </row>
    <row r="8483" spans="1:14" x14ac:dyDescent="0.45">
      <c r="A8483">
        <v>2019</v>
      </c>
      <c r="B8483" t="s">
        <v>251</v>
      </c>
      <c r="C8483">
        <v>1</v>
      </c>
      <c r="D8483">
        <v>0</v>
      </c>
      <c r="E8483">
        <v>0</v>
      </c>
      <c r="F8483">
        <v>0</v>
      </c>
      <c r="G8483">
        <v>1</v>
      </c>
      <c r="H8483">
        <v>0</v>
      </c>
      <c r="I8483">
        <v>0</v>
      </c>
      <c r="J8483">
        <v>28132.053574535901</v>
      </c>
      <c r="K8483">
        <v>28207.311333027501</v>
      </c>
      <c r="L8483">
        <v>24.37</v>
      </c>
      <c r="M8483">
        <v>77.736999999999995</v>
      </c>
      <c r="N8483">
        <v>11.055999999999999</v>
      </c>
    </row>
    <row r="8484" spans="1:14" x14ac:dyDescent="0.45">
      <c r="A8484">
        <v>2019</v>
      </c>
      <c r="B8484" t="s">
        <v>252</v>
      </c>
      <c r="C8484">
        <v>0</v>
      </c>
      <c r="D8484">
        <v>0</v>
      </c>
      <c r="E8484">
        <v>0</v>
      </c>
      <c r="F8484">
        <v>0</v>
      </c>
      <c r="G8484">
        <v>1</v>
      </c>
      <c r="H8484">
        <v>0</v>
      </c>
      <c r="I8484">
        <v>0</v>
      </c>
      <c r="J8484">
        <v>5292.0302596942101</v>
      </c>
      <c r="K8484">
        <v>4787.4585434753099</v>
      </c>
      <c r="L8484">
        <v>36.784999999999997</v>
      </c>
      <c r="M8484">
        <v>66.108999999999995</v>
      </c>
      <c r="N8484">
        <v>22.539000000000001</v>
      </c>
    </row>
    <row r="8485" spans="1:14" x14ac:dyDescent="0.45">
      <c r="A8485">
        <v>2019</v>
      </c>
      <c r="B8485" t="s">
        <v>253</v>
      </c>
      <c r="C8485">
        <v>0</v>
      </c>
      <c r="D8485">
        <v>0</v>
      </c>
      <c r="E8485">
        <v>0</v>
      </c>
      <c r="F8485">
        <v>0</v>
      </c>
      <c r="G8485">
        <v>0</v>
      </c>
      <c r="H8485">
        <v>1</v>
      </c>
      <c r="I8485">
        <v>1</v>
      </c>
      <c r="L8485">
        <v>39.692</v>
      </c>
      <c r="M8485">
        <v>80.596000000000004</v>
      </c>
      <c r="N8485">
        <v>4.5640000000000001</v>
      </c>
    </row>
    <row r="8486" spans="1:14" x14ac:dyDescent="0.45">
      <c r="A8486">
        <v>2019</v>
      </c>
      <c r="B8486" t="s">
        <v>254</v>
      </c>
      <c r="C8486">
        <v>0</v>
      </c>
      <c r="D8486">
        <v>0</v>
      </c>
      <c r="E8486">
        <v>1</v>
      </c>
      <c r="F8486">
        <v>1</v>
      </c>
      <c r="G8486">
        <v>0</v>
      </c>
      <c r="H8486">
        <v>0</v>
      </c>
      <c r="I8486">
        <v>0</v>
      </c>
      <c r="J8486">
        <v>3484.63256835938</v>
      </c>
      <c r="K8486">
        <v>2595.5868903366299</v>
      </c>
      <c r="L8486">
        <v>65.5</v>
      </c>
      <c r="M8486">
        <v>66.007000000000005</v>
      </c>
      <c r="N8486">
        <v>45.478000000000002</v>
      </c>
    </row>
    <row r="8487" spans="1:14" x14ac:dyDescent="0.45">
      <c r="A8487">
        <v>2019</v>
      </c>
      <c r="B8487" t="s">
        <v>255</v>
      </c>
      <c r="C8487">
        <v>0</v>
      </c>
      <c r="D8487">
        <v>0</v>
      </c>
      <c r="E8487">
        <v>1</v>
      </c>
      <c r="F8487">
        <v>0</v>
      </c>
      <c r="G8487">
        <v>0</v>
      </c>
      <c r="H8487">
        <v>0</v>
      </c>
      <c r="I8487">
        <v>0</v>
      </c>
      <c r="J8487">
        <v>2689.4100914491901</v>
      </c>
      <c r="K8487">
        <v>2281.4388184879599</v>
      </c>
      <c r="L8487">
        <v>75.638999999999996</v>
      </c>
      <c r="M8487">
        <v>66.353999999999999</v>
      </c>
      <c r="N8487">
        <v>45.110999999999997</v>
      </c>
    </row>
    <row r="8488" spans="1:14" x14ac:dyDescent="0.45">
      <c r="A8488">
        <v>2019</v>
      </c>
      <c r="B8488" t="s">
        <v>256</v>
      </c>
      <c r="C8488">
        <v>1</v>
      </c>
      <c r="D8488">
        <v>0</v>
      </c>
      <c r="E8488">
        <v>0</v>
      </c>
      <c r="F8488">
        <v>1</v>
      </c>
      <c r="G8488">
        <v>0</v>
      </c>
      <c r="H8488">
        <v>0</v>
      </c>
      <c r="I8488">
        <v>0</v>
      </c>
      <c r="J8488">
        <v>17636.5546875</v>
      </c>
      <c r="K8488">
        <v>12474.079985767599</v>
      </c>
      <c r="L8488">
        <v>30.527000000000001</v>
      </c>
      <c r="M8488">
        <v>73.92</v>
      </c>
      <c r="N8488">
        <v>7.6769999999999996</v>
      </c>
    </row>
    <row r="8489" spans="1:14" x14ac:dyDescent="0.45">
      <c r="A8489">
        <v>2019</v>
      </c>
      <c r="B8489" t="s">
        <v>257</v>
      </c>
      <c r="C8489">
        <v>0</v>
      </c>
      <c r="D8489">
        <v>1</v>
      </c>
      <c r="E8489">
        <v>0</v>
      </c>
      <c r="F8489">
        <v>0</v>
      </c>
      <c r="G8489">
        <v>0</v>
      </c>
      <c r="H8489">
        <v>1</v>
      </c>
      <c r="I8489">
        <v>1</v>
      </c>
      <c r="J8489">
        <v>30010.574261579699</v>
      </c>
      <c r="K8489">
        <v>23803.444543047899</v>
      </c>
      <c r="L8489">
        <v>4.5739999999999998</v>
      </c>
      <c r="M8489">
        <v>77.503</v>
      </c>
      <c r="N8489">
        <v>8.0039999999999996</v>
      </c>
    </row>
    <row r="8490" spans="1:14" x14ac:dyDescent="0.45">
      <c r="A8490">
        <v>2019</v>
      </c>
      <c r="B8490" t="s">
        <v>258</v>
      </c>
      <c r="C8490">
        <v>0</v>
      </c>
      <c r="D8490">
        <v>0</v>
      </c>
      <c r="E8490">
        <v>0</v>
      </c>
      <c r="F8490">
        <v>0</v>
      </c>
      <c r="G8490">
        <v>0</v>
      </c>
      <c r="H8490">
        <v>1</v>
      </c>
      <c r="I8490">
        <v>1</v>
      </c>
      <c r="J8490">
        <v>69112.602687066596</v>
      </c>
      <c r="K8490">
        <v>62731.7545038842</v>
      </c>
      <c r="L8490">
        <v>17.541</v>
      </c>
      <c r="M8490">
        <v>78.915999999999997</v>
      </c>
      <c r="N8490">
        <v>6.4660000000000002</v>
      </c>
    </row>
    <row r="8491" spans="1:14" x14ac:dyDescent="0.45">
      <c r="A8491">
        <v>2019</v>
      </c>
      <c r="B8491" t="s">
        <v>259</v>
      </c>
      <c r="C8491">
        <v>1</v>
      </c>
      <c r="D8491">
        <v>0</v>
      </c>
      <c r="E8491">
        <v>0</v>
      </c>
      <c r="F8491">
        <v>1</v>
      </c>
      <c r="G8491">
        <v>0</v>
      </c>
      <c r="H8491">
        <v>0</v>
      </c>
      <c r="I8491">
        <v>0</v>
      </c>
      <c r="J8491">
        <v>8755.1259398494894</v>
      </c>
      <c r="K8491">
        <v>8505.9288068367005</v>
      </c>
      <c r="L8491">
        <v>49.567</v>
      </c>
      <c r="M8491">
        <v>72.093000000000004</v>
      </c>
      <c r="N8491">
        <v>15.613</v>
      </c>
    </row>
    <row r="8492" spans="1:14" x14ac:dyDescent="0.45">
      <c r="A8492">
        <v>2019</v>
      </c>
      <c r="B8492" t="s">
        <v>260</v>
      </c>
      <c r="C8492">
        <v>0</v>
      </c>
      <c r="D8492">
        <v>1</v>
      </c>
      <c r="E8492">
        <v>0</v>
      </c>
      <c r="F8492">
        <v>0</v>
      </c>
      <c r="G8492">
        <v>1</v>
      </c>
      <c r="H8492">
        <v>0</v>
      </c>
      <c r="I8492">
        <v>0</v>
      </c>
      <c r="J8492">
        <v>16365.3255785124</v>
      </c>
      <c r="K8492">
        <v>14302.6592280313</v>
      </c>
      <c r="L8492">
        <v>47.386000000000003</v>
      </c>
      <c r="M8492">
        <v>70.994</v>
      </c>
      <c r="N8492">
        <v>14.646000000000001</v>
      </c>
    </row>
    <row r="8493" spans="1:14" x14ac:dyDescent="0.45">
      <c r="A8493">
        <v>2019</v>
      </c>
      <c r="B8493" t="s">
        <v>261</v>
      </c>
      <c r="C8493">
        <v>0</v>
      </c>
      <c r="D8493">
        <v>1</v>
      </c>
      <c r="E8493">
        <v>0</v>
      </c>
      <c r="F8493">
        <v>0</v>
      </c>
      <c r="G8493">
        <v>1</v>
      </c>
      <c r="H8493">
        <v>0</v>
      </c>
      <c r="I8493">
        <v>0</v>
      </c>
      <c r="L8493">
        <v>11.76</v>
      </c>
      <c r="M8493">
        <v>72.766000000000005</v>
      </c>
      <c r="N8493">
        <v>18.765999999999998</v>
      </c>
    </row>
    <row r="8494" spans="1:14" x14ac:dyDescent="0.45">
      <c r="A8494">
        <v>2019</v>
      </c>
      <c r="B8494" t="s">
        <v>262</v>
      </c>
      <c r="C8494">
        <v>0</v>
      </c>
      <c r="D8494">
        <v>1</v>
      </c>
      <c r="E8494">
        <v>0</v>
      </c>
      <c r="F8494">
        <v>0</v>
      </c>
      <c r="G8494">
        <v>0</v>
      </c>
      <c r="H8494">
        <v>1</v>
      </c>
      <c r="I8494">
        <v>1</v>
      </c>
      <c r="L8494">
        <v>51.884</v>
      </c>
      <c r="M8494">
        <v>76.844999999999999</v>
      </c>
      <c r="N8494">
        <v>14.048</v>
      </c>
    </row>
    <row r="8495" spans="1:14" x14ac:dyDescent="0.45">
      <c r="A8495">
        <v>2019</v>
      </c>
      <c r="B8495" t="s">
        <v>263</v>
      </c>
      <c r="C8495">
        <v>0</v>
      </c>
      <c r="D8495">
        <v>1</v>
      </c>
      <c r="E8495">
        <v>0</v>
      </c>
      <c r="F8495">
        <v>0</v>
      </c>
      <c r="G8495">
        <v>0</v>
      </c>
      <c r="H8495">
        <v>1</v>
      </c>
      <c r="I8495">
        <v>1</v>
      </c>
      <c r="J8495">
        <v>45632.636471569298</v>
      </c>
      <c r="K8495">
        <v>35738.3042712389</v>
      </c>
      <c r="L8495">
        <v>4.1680000000000099</v>
      </c>
      <c r="M8495">
        <v>74.876000000000005</v>
      </c>
      <c r="N8495">
        <v>6.7050000000000001</v>
      </c>
    </row>
    <row r="8496" spans="1:14" x14ac:dyDescent="0.45">
      <c r="A8496">
        <v>2019</v>
      </c>
      <c r="B8496" t="s">
        <v>264</v>
      </c>
      <c r="C8496">
        <v>0</v>
      </c>
      <c r="D8496">
        <v>0</v>
      </c>
      <c r="E8496">
        <v>0</v>
      </c>
      <c r="F8496">
        <v>1</v>
      </c>
      <c r="G8496">
        <v>0</v>
      </c>
      <c r="H8496">
        <v>0</v>
      </c>
      <c r="I8496">
        <v>0</v>
      </c>
      <c r="J8496">
        <v>11628.613914745099</v>
      </c>
      <c r="K8496">
        <v>10362.0589060129</v>
      </c>
      <c r="L8496">
        <v>63.372</v>
      </c>
      <c r="M8496">
        <v>74.210999999999999</v>
      </c>
      <c r="N8496">
        <v>21.161999999999999</v>
      </c>
    </row>
    <row r="8497" spans="1:14" x14ac:dyDescent="0.45">
      <c r="A8497">
        <v>2019</v>
      </c>
      <c r="B8497" t="s">
        <v>265</v>
      </c>
      <c r="C8497">
        <v>0</v>
      </c>
      <c r="D8497">
        <v>0</v>
      </c>
      <c r="E8497">
        <v>0</v>
      </c>
      <c r="F8497">
        <v>1</v>
      </c>
      <c r="G8497">
        <v>0</v>
      </c>
      <c r="H8497">
        <v>0</v>
      </c>
      <c r="I8497">
        <v>0</v>
      </c>
      <c r="J8497">
        <v>3512.07197251667</v>
      </c>
      <c r="K8497">
        <v>3177.0250332789101</v>
      </c>
      <c r="L8497">
        <v>74.605999999999995</v>
      </c>
      <c r="M8497">
        <v>70.783000000000001</v>
      </c>
      <c r="N8497">
        <v>19.515000000000001</v>
      </c>
    </row>
    <row r="8498" spans="1:14" x14ac:dyDescent="0.45">
      <c r="A8498">
        <v>2019</v>
      </c>
      <c r="B8498" t="s">
        <v>266</v>
      </c>
      <c r="C8498">
        <v>0</v>
      </c>
      <c r="D8498">
        <v>0</v>
      </c>
      <c r="E8498">
        <v>0</v>
      </c>
      <c r="F8498">
        <v>0</v>
      </c>
      <c r="G8498">
        <v>1</v>
      </c>
      <c r="H8498">
        <v>0</v>
      </c>
      <c r="I8498">
        <v>0</v>
      </c>
      <c r="J8498">
        <v>7033.5211338454601</v>
      </c>
      <c r="K8498">
        <v>6362.5326841781298</v>
      </c>
      <c r="L8498">
        <v>81.944000000000003</v>
      </c>
      <c r="M8498">
        <v>70.269000000000005</v>
      </c>
      <c r="N8498">
        <v>20.189</v>
      </c>
    </row>
    <row r="8499" spans="1:14" x14ac:dyDescent="0.45">
      <c r="A8499">
        <v>2019</v>
      </c>
      <c r="B8499" t="s">
        <v>267</v>
      </c>
      <c r="C8499">
        <v>1</v>
      </c>
      <c r="D8499">
        <v>0</v>
      </c>
      <c r="E8499">
        <v>0</v>
      </c>
      <c r="F8499">
        <v>0</v>
      </c>
      <c r="G8499">
        <v>1</v>
      </c>
      <c r="H8499">
        <v>0</v>
      </c>
      <c r="I8499">
        <v>0</v>
      </c>
      <c r="J8499">
        <v>11774.117851090799</v>
      </c>
      <c r="K8499">
        <v>10687.049294889701</v>
      </c>
      <c r="L8499">
        <v>43.74</v>
      </c>
      <c r="M8499">
        <v>77.248999999999995</v>
      </c>
      <c r="N8499">
        <v>11.242000000000001</v>
      </c>
    </row>
    <row r="8500" spans="1:14" x14ac:dyDescent="0.45">
      <c r="A8500">
        <v>2019</v>
      </c>
      <c r="B8500" t="s">
        <v>268</v>
      </c>
      <c r="C8500">
        <v>0</v>
      </c>
      <c r="D8500">
        <v>0</v>
      </c>
      <c r="E8500">
        <v>0</v>
      </c>
      <c r="F8500">
        <v>0</v>
      </c>
      <c r="G8500">
        <v>0</v>
      </c>
      <c r="H8500">
        <v>0</v>
      </c>
      <c r="I8500">
        <v>0</v>
      </c>
      <c r="L8500">
        <v>62.726999999999997</v>
      </c>
      <c r="M8500">
        <v>66.566999999999993</v>
      </c>
      <c r="N8500">
        <v>46.21</v>
      </c>
    </row>
    <row r="8501" spans="1:14" x14ac:dyDescent="0.45">
      <c r="A8501">
        <v>2019</v>
      </c>
      <c r="B8501" t="s">
        <v>269</v>
      </c>
      <c r="C8501">
        <v>0</v>
      </c>
      <c r="D8501">
        <v>0</v>
      </c>
      <c r="E8501">
        <v>1</v>
      </c>
      <c r="F8501">
        <v>0</v>
      </c>
      <c r="G8501">
        <v>1</v>
      </c>
      <c r="H8501">
        <v>0</v>
      </c>
      <c r="I8501">
        <v>0</v>
      </c>
      <c r="J8501">
        <v>14370.238039015099</v>
      </c>
      <c r="K8501">
        <v>13530.1702077017</v>
      </c>
      <c r="L8501">
        <v>33.143999999999998</v>
      </c>
      <c r="M8501">
        <v>66.070999999999998</v>
      </c>
      <c r="N8501">
        <v>36.655000000000001</v>
      </c>
    </row>
    <row r="8502" spans="1:14" x14ac:dyDescent="0.45">
      <c r="A8502">
        <v>2019</v>
      </c>
      <c r="B8502" t="s">
        <v>270</v>
      </c>
      <c r="C8502">
        <v>0</v>
      </c>
      <c r="D8502">
        <v>0</v>
      </c>
      <c r="E8502">
        <v>1</v>
      </c>
      <c r="F8502">
        <v>1</v>
      </c>
      <c r="G8502">
        <v>0</v>
      </c>
      <c r="H8502">
        <v>0</v>
      </c>
      <c r="I8502">
        <v>0</v>
      </c>
      <c r="J8502">
        <v>3591.5641888310802</v>
      </c>
      <c r="K8502">
        <v>3371.9661385557902</v>
      </c>
      <c r="L8502">
        <v>55.927999999999997</v>
      </c>
      <c r="M8502">
        <v>62.914000000000001</v>
      </c>
      <c r="N8502">
        <v>60.88</v>
      </c>
    </row>
    <row r="8503" spans="1:14" x14ac:dyDescent="0.45">
      <c r="A8503">
        <v>2019</v>
      </c>
      <c r="B8503" t="s">
        <v>271</v>
      </c>
      <c r="C8503">
        <v>0</v>
      </c>
      <c r="D8503">
        <v>0</v>
      </c>
      <c r="E8503">
        <v>1</v>
      </c>
      <c r="F8503">
        <v>1</v>
      </c>
      <c r="G8503">
        <v>0</v>
      </c>
      <c r="H8503">
        <v>0</v>
      </c>
      <c r="I8503">
        <v>0</v>
      </c>
      <c r="J8503">
        <v>3294.8038916273799</v>
      </c>
      <c r="K8503">
        <v>2193.7986727217699</v>
      </c>
      <c r="L8503">
        <v>67.790000000000006</v>
      </c>
      <c r="M8503">
        <v>61.06</v>
      </c>
      <c r="N8503">
        <v>52.076000000000001</v>
      </c>
    </row>
    <row r="8504" spans="1:14" x14ac:dyDescent="0.45">
      <c r="A8504">
        <v>2020</v>
      </c>
      <c r="B8504" t="s">
        <v>54</v>
      </c>
      <c r="C8504">
        <v>0</v>
      </c>
      <c r="D8504">
        <v>1</v>
      </c>
      <c r="E8504">
        <v>0</v>
      </c>
      <c r="F8504">
        <v>0</v>
      </c>
      <c r="G8504">
        <v>0</v>
      </c>
      <c r="H8504">
        <v>1</v>
      </c>
      <c r="I8504">
        <v>1</v>
      </c>
      <c r="J8504">
        <v>28521.6888517757</v>
      </c>
      <c r="K8504">
        <v>27757.5157674162</v>
      </c>
      <c r="L8504">
        <v>56.302999999999997</v>
      </c>
      <c r="M8504">
        <v>75.406000000000006</v>
      </c>
      <c r="N8504">
        <v>15.095000000000001</v>
      </c>
    </row>
    <row r="8505" spans="1:14" x14ac:dyDescent="0.45">
      <c r="A8505">
        <v>2020</v>
      </c>
      <c r="B8505" t="s">
        <v>55</v>
      </c>
      <c r="C8505">
        <v>0</v>
      </c>
      <c r="D8505">
        <v>0</v>
      </c>
      <c r="E8505">
        <v>0</v>
      </c>
      <c r="F8505">
        <v>0</v>
      </c>
      <c r="G8505">
        <v>0</v>
      </c>
      <c r="H8505">
        <v>0</v>
      </c>
      <c r="I8505">
        <v>0</v>
      </c>
      <c r="J8505">
        <v>2769.68574507111</v>
      </c>
      <c r="K8505">
        <v>2190.7968420911702</v>
      </c>
      <c r="L8505">
        <v>73.974000000000004</v>
      </c>
      <c r="M8505">
        <v>61.454000000000001</v>
      </c>
      <c r="N8505">
        <v>62.877000000000002</v>
      </c>
    </row>
    <row r="8506" spans="1:14" x14ac:dyDescent="0.45">
      <c r="A8506">
        <v>2020</v>
      </c>
      <c r="B8506" t="s">
        <v>56</v>
      </c>
      <c r="C8506">
        <v>0</v>
      </c>
      <c r="D8506">
        <v>0</v>
      </c>
      <c r="E8506">
        <v>1</v>
      </c>
      <c r="F8506">
        <v>1</v>
      </c>
      <c r="G8506">
        <v>0</v>
      </c>
      <c r="H8506">
        <v>0</v>
      </c>
      <c r="I8506">
        <v>0</v>
      </c>
      <c r="J8506">
        <v>7556.9679277197602</v>
      </c>
      <c r="K8506">
        <v>5844.1871581826899</v>
      </c>
      <c r="L8506">
        <v>33.174999999999997</v>
      </c>
      <c r="M8506">
        <v>63.116</v>
      </c>
      <c r="N8506">
        <v>71.578999999999994</v>
      </c>
    </row>
    <row r="8507" spans="1:14" x14ac:dyDescent="0.45">
      <c r="A8507">
        <v>2020</v>
      </c>
      <c r="B8507" t="s">
        <v>57</v>
      </c>
      <c r="C8507">
        <v>1</v>
      </c>
      <c r="D8507">
        <v>0</v>
      </c>
      <c r="E8507">
        <v>0</v>
      </c>
      <c r="F8507">
        <v>0</v>
      </c>
      <c r="G8507">
        <v>1</v>
      </c>
      <c r="H8507">
        <v>0</v>
      </c>
      <c r="I8507">
        <v>0</v>
      </c>
      <c r="J8507">
        <v>14662.7955166094</v>
      </c>
      <c r="K8507">
        <v>13283.820189669999</v>
      </c>
      <c r="L8507">
        <v>37.887999999999998</v>
      </c>
      <c r="M8507">
        <v>77.823999999999998</v>
      </c>
      <c r="N8507">
        <v>9.4440000000000008</v>
      </c>
    </row>
    <row r="8508" spans="1:14" x14ac:dyDescent="0.45">
      <c r="A8508">
        <v>2020</v>
      </c>
      <c r="B8508" t="s">
        <v>58</v>
      </c>
      <c r="C8508">
        <v>1</v>
      </c>
      <c r="D8508">
        <v>0</v>
      </c>
      <c r="E8508">
        <v>0</v>
      </c>
      <c r="F8508">
        <v>0</v>
      </c>
      <c r="G8508">
        <v>0</v>
      </c>
      <c r="H8508">
        <v>1</v>
      </c>
      <c r="I8508">
        <v>1</v>
      </c>
      <c r="J8508">
        <v>55488.4902991095</v>
      </c>
      <c r="K8508">
        <v>46578.350146876699</v>
      </c>
      <c r="L8508">
        <v>12.084</v>
      </c>
      <c r="M8508">
        <v>79.418000000000006</v>
      </c>
      <c r="N8508">
        <v>6.49</v>
      </c>
    </row>
    <row r="8509" spans="1:14" x14ac:dyDescent="0.45">
      <c r="A8509">
        <v>2020</v>
      </c>
      <c r="B8509" t="s">
        <v>59</v>
      </c>
      <c r="C8509">
        <v>0</v>
      </c>
      <c r="D8509">
        <v>0</v>
      </c>
      <c r="E8509">
        <v>0</v>
      </c>
      <c r="F8509">
        <v>0</v>
      </c>
      <c r="G8509">
        <v>0</v>
      </c>
      <c r="H8509">
        <v>1</v>
      </c>
      <c r="I8509">
        <v>1</v>
      </c>
      <c r="J8509">
        <v>65784.676938467805</v>
      </c>
      <c r="K8509">
        <v>64993.201110836198</v>
      </c>
      <c r="L8509">
        <v>12.952</v>
      </c>
      <c r="M8509">
        <v>81.936000000000007</v>
      </c>
      <c r="N8509">
        <v>6.5149999999999997</v>
      </c>
    </row>
    <row r="8510" spans="1:14" x14ac:dyDescent="0.45">
      <c r="A8510">
        <v>2020</v>
      </c>
      <c r="B8510" t="s">
        <v>60</v>
      </c>
      <c r="C8510">
        <v>0</v>
      </c>
      <c r="D8510">
        <v>1</v>
      </c>
      <c r="E8510">
        <v>0</v>
      </c>
      <c r="F8510">
        <v>0</v>
      </c>
      <c r="G8510">
        <v>1</v>
      </c>
      <c r="H8510">
        <v>0</v>
      </c>
      <c r="I8510">
        <v>0</v>
      </c>
      <c r="J8510">
        <v>23877.0931404855</v>
      </c>
      <c r="K8510">
        <v>19705.998748254999</v>
      </c>
      <c r="L8510">
        <v>7.8890000000000002</v>
      </c>
      <c r="M8510">
        <v>75.878</v>
      </c>
      <c r="N8510">
        <v>11.199</v>
      </c>
    </row>
    <row r="8511" spans="1:14" x14ac:dyDescent="0.45">
      <c r="A8511">
        <v>2020</v>
      </c>
      <c r="B8511" t="s">
        <v>61</v>
      </c>
      <c r="C8511">
        <v>1</v>
      </c>
      <c r="D8511">
        <v>0</v>
      </c>
      <c r="E8511">
        <v>0</v>
      </c>
      <c r="F8511">
        <v>0</v>
      </c>
      <c r="G8511">
        <v>1</v>
      </c>
      <c r="H8511">
        <v>0</v>
      </c>
      <c r="I8511">
        <v>0</v>
      </c>
      <c r="J8511">
        <v>15052.935979113599</v>
      </c>
      <c r="K8511">
        <v>12751.360603466401</v>
      </c>
      <c r="L8511">
        <v>36.686999999999998</v>
      </c>
      <c r="M8511">
        <v>68.89</v>
      </c>
      <c r="N8511">
        <v>11.361000000000001</v>
      </c>
    </row>
    <row r="8512" spans="1:14" x14ac:dyDescent="0.45">
      <c r="A8512">
        <v>2020</v>
      </c>
      <c r="B8512" t="s">
        <v>62</v>
      </c>
      <c r="C8512">
        <v>0</v>
      </c>
      <c r="D8512">
        <v>0</v>
      </c>
      <c r="E8512">
        <v>0</v>
      </c>
      <c r="F8512">
        <v>0</v>
      </c>
      <c r="G8512">
        <v>1</v>
      </c>
      <c r="H8512">
        <v>0</v>
      </c>
      <c r="I8512">
        <v>0</v>
      </c>
      <c r="L8512">
        <v>12.847</v>
      </c>
      <c r="M8512">
        <v>72.671999999999997</v>
      </c>
      <c r="N8512">
        <v>10.859</v>
      </c>
    </row>
    <row r="8513" spans="1:14" x14ac:dyDescent="0.45">
      <c r="A8513">
        <v>2020</v>
      </c>
      <c r="B8513" t="s">
        <v>63</v>
      </c>
      <c r="C8513">
        <v>0</v>
      </c>
      <c r="D8513">
        <v>1</v>
      </c>
      <c r="E8513">
        <v>0</v>
      </c>
      <c r="F8513">
        <v>0</v>
      </c>
      <c r="G8513">
        <v>0</v>
      </c>
      <c r="H8513">
        <v>1</v>
      </c>
      <c r="I8513">
        <v>1</v>
      </c>
      <c r="J8513">
        <v>23930.6714995115</v>
      </c>
      <c r="K8513">
        <v>18847.721039129399</v>
      </c>
      <c r="L8513">
        <v>75.566999999999993</v>
      </c>
      <c r="M8513">
        <v>77.161000000000001</v>
      </c>
      <c r="N8513">
        <v>10.079000000000001</v>
      </c>
    </row>
    <row r="8514" spans="1:14" x14ac:dyDescent="0.45">
      <c r="A8514">
        <v>2020</v>
      </c>
      <c r="B8514" t="s">
        <v>64</v>
      </c>
      <c r="C8514">
        <v>0</v>
      </c>
      <c r="D8514">
        <v>0</v>
      </c>
      <c r="E8514">
        <v>0</v>
      </c>
      <c r="F8514">
        <v>0</v>
      </c>
      <c r="G8514">
        <v>0</v>
      </c>
      <c r="H8514">
        <v>1</v>
      </c>
      <c r="I8514">
        <v>1</v>
      </c>
      <c r="J8514">
        <v>57059.743644132403</v>
      </c>
      <c r="K8514">
        <v>49422.387736140903</v>
      </c>
      <c r="L8514">
        <v>13.759</v>
      </c>
      <c r="M8514">
        <v>83.664000000000001</v>
      </c>
      <c r="N8514">
        <v>3.5939999999999999</v>
      </c>
    </row>
    <row r="8515" spans="1:14" x14ac:dyDescent="0.45">
      <c r="A8515">
        <v>2020</v>
      </c>
      <c r="B8515" t="s">
        <v>65</v>
      </c>
      <c r="C8515">
        <v>1</v>
      </c>
      <c r="D8515">
        <v>0</v>
      </c>
      <c r="E8515">
        <v>0</v>
      </c>
      <c r="F8515">
        <v>0</v>
      </c>
      <c r="G8515">
        <v>0</v>
      </c>
      <c r="H8515">
        <v>1</v>
      </c>
      <c r="I8515">
        <v>1</v>
      </c>
      <c r="J8515">
        <v>60349.902278110399</v>
      </c>
      <c r="K8515">
        <v>51427.503210779898</v>
      </c>
      <c r="L8515">
        <v>41.252000000000002</v>
      </c>
      <c r="M8515">
        <v>81.804000000000002</v>
      </c>
      <c r="N8515">
        <v>3.72</v>
      </c>
    </row>
    <row r="8516" spans="1:14" x14ac:dyDescent="0.45">
      <c r="A8516">
        <v>2020</v>
      </c>
      <c r="B8516" t="s">
        <v>66</v>
      </c>
      <c r="C8516">
        <v>1</v>
      </c>
      <c r="D8516">
        <v>0</v>
      </c>
      <c r="E8516">
        <v>0</v>
      </c>
      <c r="F8516">
        <v>0</v>
      </c>
      <c r="G8516">
        <v>1</v>
      </c>
      <c r="H8516">
        <v>0</v>
      </c>
      <c r="I8516">
        <v>0</v>
      </c>
      <c r="J8516">
        <v>19126.096851651</v>
      </c>
      <c r="K8516">
        <v>13927.8600345463</v>
      </c>
      <c r="L8516">
        <v>43.603000000000002</v>
      </c>
      <c r="M8516">
        <v>70.311999999999998</v>
      </c>
      <c r="N8516">
        <v>20.007000000000001</v>
      </c>
    </row>
    <row r="8517" spans="1:14" x14ac:dyDescent="0.45">
      <c r="A8517">
        <v>2020</v>
      </c>
      <c r="B8517" t="s">
        <v>67</v>
      </c>
      <c r="C8517">
        <v>0</v>
      </c>
      <c r="D8517">
        <v>0</v>
      </c>
      <c r="E8517">
        <v>1</v>
      </c>
      <c r="F8517">
        <v>0</v>
      </c>
      <c r="G8517">
        <v>0</v>
      </c>
      <c r="H8517">
        <v>0</v>
      </c>
      <c r="I8517">
        <v>0</v>
      </c>
      <c r="J8517">
        <v>833.92025745801902</v>
      </c>
      <c r="K8517">
        <v>720.59319901502602</v>
      </c>
      <c r="L8517">
        <v>86.292000000000002</v>
      </c>
      <c r="M8517">
        <v>62.569000000000003</v>
      </c>
      <c r="N8517">
        <v>54.683999999999997</v>
      </c>
    </row>
    <row r="8518" spans="1:14" x14ac:dyDescent="0.45">
      <c r="A8518">
        <v>2020</v>
      </c>
      <c r="B8518" t="s">
        <v>68</v>
      </c>
      <c r="C8518">
        <v>1</v>
      </c>
      <c r="D8518">
        <v>0</v>
      </c>
      <c r="E8518">
        <v>0</v>
      </c>
      <c r="F8518">
        <v>0</v>
      </c>
      <c r="G8518">
        <v>0</v>
      </c>
      <c r="H8518">
        <v>1</v>
      </c>
      <c r="I8518">
        <v>1</v>
      </c>
      <c r="J8518">
        <v>57358.8370328069</v>
      </c>
      <c r="K8518">
        <v>48268.415038270803</v>
      </c>
      <c r="L8518">
        <v>1.92100000000001</v>
      </c>
      <c r="M8518">
        <v>80.798000000000002</v>
      </c>
      <c r="N8518">
        <v>3.6419999999999999</v>
      </c>
    </row>
    <row r="8519" spans="1:14" x14ac:dyDescent="0.45">
      <c r="A8519">
        <v>2020</v>
      </c>
      <c r="B8519" t="s">
        <v>69</v>
      </c>
      <c r="C8519">
        <v>0</v>
      </c>
      <c r="D8519">
        <v>0</v>
      </c>
      <c r="E8519">
        <v>1</v>
      </c>
      <c r="F8519">
        <v>1</v>
      </c>
      <c r="G8519">
        <v>0</v>
      </c>
      <c r="H8519">
        <v>0</v>
      </c>
      <c r="I8519">
        <v>0</v>
      </c>
      <c r="J8519">
        <v>3317.8597222557</v>
      </c>
      <c r="K8519">
        <v>3147.82566409424</v>
      </c>
      <c r="L8519">
        <v>51.585000000000001</v>
      </c>
      <c r="M8519">
        <v>60.154000000000003</v>
      </c>
      <c r="N8519">
        <v>85.62</v>
      </c>
    </row>
    <row r="8520" spans="1:14" x14ac:dyDescent="0.45">
      <c r="A8520">
        <v>2020</v>
      </c>
      <c r="B8520" t="s">
        <v>70</v>
      </c>
      <c r="C8520">
        <v>0</v>
      </c>
      <c r="D8520">
        <v>0</v>
      </c>
      <c r="E8520">
        <v>1</v>
      </c>
      <c r="F8520">
        <v>0</v>
      </c>
      <c r="G8520">
        <v>0</v>
      </c>
      <c r="H8520">
        <v>0</v>
      </c>
      <c r="I8520">
        <v>0</v>
      </c>
      <c r="J8520">
        <v>2380.9317182657401</v>
      </c>
      <c r="K8520">
        <v>2178.4027302258701</v>
      </c>
      <c r="L8520">
        <v>69.393000000000001</v>
      </c>
      <c r="M8520">
        <v>60.454000000000001</v>
      </c>
      <c r="N8520">
        <v>84.837000000000003</v>
      </c>
    </row>
    <row r="8521" spans="1:14" x14ac:dyDescent="0.45">
      <c r="A8521">
        <v>2020</v>
      </c>
      <c r="B8521" t="s">
        <v>71</v>
      </c>
      <c r="C8521">
        <v>0</v>
      </c>
      <c r="D8521">
        <v>0</v>
      </c>
      <c r="E8521">
        <v>0</v>
      </c>
      <c r="F8521">
        <v>1</v>
      </c>
      <c r="G8521">
        <v>0</v>
      </c>
      <c r="H8521">
        <v>0</v>
      </c>
      <c r="I8521">
        <v>0</v>
      </c>
      <c r="J8521">
        <v>7015.1979279705602</v>
      </c>
      <c r="K8521">
        <v>5703.3177872951401</v>
      </c>
      <c r="L8521">
        <v>61.823</v>
      </c>
      <c r="M8521">
        <v>71.421000000000006</v>
      </c>
      <c r="N8521">
        <v>31.31</v>
      </c>
    </row>
    <row r="8522" spans="1:14" x14ac:dyDescent="0.45">
      <c r="A8522">
        <v>2020</v>
      </c>
      <c r="B8522" t="s">
        <v>72</v>
      </c>
      <c r="C8522">
        <v>1</v>
      </c>
      <c r="D8522">
        <v>0</v>
      </c>
      <c r="E8522">
        <v>0</v>
      </c>
      <c r="F8522">
        <v>0</v>
      </c>
      <c r="G8522">
        <v>1</v>
      </c>
      <c r="H8522">
        <v>0</v>
      </c>
      <c r="I8522">
        <v>0</v>
      </c>
      <c r="J8522">
        <v>28545.708528343301</v>
      </c>
      <c r="K8522">
        <v>23687.213885742</v>
      </c>
      <c r="L8522">
        <v>24.314</v>
      </c>
      <c r="M8522">
        <v>73.599000000000004</v>
      </c>
      <c r="N8522">
        <v>5.9660000000000002</v>
      </c>
    </row>
    <row r="8523" spans="1:14" x14ac:dyDescent="0.45">
      <c r="A8523">
        <v>2020</v>
      </c>
      <c r="B8523" t="s">
        <v>73</v>
      </c>
      <c r="C8523">
        <v>0</v>
      </c>
      <c r="D8523">
        <v>0</v>
      </c>
      <c r="E8523">
        <v>0</v>
      </c>
      <c r="F8523">
        <v>0</v>
      </c>
      <c r="G8523">
        <v>0</v>
      </c>
      <c r="H8523">
        <v>1</v>
      </c>
      <c r="I8523">
        <v>1</v>
      </c>
      <c r="J8523">
        <v>53814.245259235802</v>
      </c>
      <c r="K8523">
        <v>50142.082143927197</v>
      </c>
      <c r="L8523">
        <v>10.494</v>
      </c>
      <c r="M8523">
        <v>78.683000000000007</v>
      </c>
      <c r="N8523">
        <v>9.1440000000000001</v>
      </c>
    </row>
    <row r="8524" spans="1:14" x14ac:dyDescent="0.45">
      <c r="A8524">
        <v>2020</v>
      </c>
      <c r="B8524" t="s">
        <v>74</v>
      </c>
      <c r="C8524">
        <v>0</v>
      </c>
      <c r="D8524">
        <v>1</v>
      </c>
      <c r="E8524">
        <v>0</v>
      </c>
      <c r="F8524">
        <v>0</v>
      </c>
      <c r="G8524">
        <v>0</v>
      </c>
      <c r="H8524">
        <v>1</v>
      </c>
      <c r="I8524">
        <v>1</v>
      </c>
      <c r="J8524">
        <v>26452.525156805001</v>
      </c>
      <c r="K8524">
        <v>27438.833609039899</v>
      </c>
      <c r="L8524">
        <v>16.754999999999999</v>
      </c>
      <c r="M8524">
        <v>72.994</v>
      </c>
      <c r="N8524">
        <v>13.234999999999999</v>
      </c>
    </row>
    <row r="8525" spans="1:14" x14ac:dyDescent="0.45">
      <c r="A8525">
        <v>2020</v>
      </c>
      <c r="B8525" t="s">
        <v>75</v>
      </c>
      <c r="C8525">
        <v>1</v>
      </c>
      <c r="D8525">
        <v>0</v>
      </c>
      <c r="E8525">
        <v>0</v>
      </c>
      <c r="F8525">
        <v>0</v>
      </c>
      <c r="G8525">
        <v>1</v>
      </c>
      <c r="H8525">
        <v>0</v>
      </c>
      <c r="I8525">
        <v>0</v>
      </c>
      <c r="J8525">
        <v>16746.390412009001</v>
      </c>
      <c r="K8525">
        <v>14466.5584461862</v>
      </c>
      <c r="L8525">
        <v>50.98</v>
      </c>
      <c r="M8525">
        <v>76.040000000000006</v>
      </c>
      <c r="N8525">
        <v>6.4349999999999996</v>
      </c>
    </row>
    <row r="8526" spans="1:14" x14ac:dyDescent="0.45">
      <c r="A8526">
        <v>2020</v>
      </c>
      <c r="B8526" t="s">
        <v>76</v>
      </c>
      <c r="C8526">
        <v>1</v>
      </c>
      <c r="D8526">
        <v>0</v>
      </c>
      <c r="E8526">
        <v>0</v>
      </c>
      <c r="F8526">
        <v>0</v>
      </c>
      <c r="G8526">
        <v>1</v>
      </c>
      <c r="H8526">
        <v>0</v>
      </c>
      <c r="I8526">
        <v>0</v>
      </c>
      <c r="J8526">
        <v>26731.4953813508</v>
      </c>
      <c r="K8526">
        <v>19300.007832920601</v>
      </c>
      <c r="L8526">
        <v>20.516999999999999</v>
      </c>
      <c r="M8526">
        <v>72.269000000000005</v>
      </c>
      <c r="N8526">
        <v>2.9449999999999998</v>
      </c>
    </row>
    <row r="8527" spans="1:14" x14ac:dyDescent="0.45">
      <c r="A8527">
        <v>2020</v>
      </c>
      <c r="B8527" t="s">
        <v>77</v>
      </c>
      <c r="C8527">
        <v>0</v>
      </c>
      <c r="D8527">
        <v>1</v>
      </c>
      <c r="E8527">
        <v>0</v>
      </c>
      <c r="F8527">
        <v>1</v>
      </c>
      <c r="G8527">
        <v>0</v>
      </c>
      <c r="H8527">
        <v>0</v>
      </c>
      <c r="I8527">
        <v>0</v>
      </c>
      <c r="J8527">
        <v>10032.544497569001</v>
      </c>
      <c r="K8527">
        <v>7906.5798692735098</v>
      </c>
      <c r="L8527">
        <v>53.975000000000001</v>
      </c>
      <c r="M8527">
        <v>71.58</v>
      </c>
      <c r="N8527">
        <v>12.856</v>
      </c>
    </row>
    <row r="8528" spans="1:14" x14ac:dyDescent="0.45">
      <c r="A8528">
        <v>2020</v>
      </c>
      <c r="B8528" t="s">
        <v>78</v>
      </c>
      <c r="C8528">
        <v>0</v>
      </c>
      <c r="D8528">
        <v>0</v>
      </c>
      <c r="E8528">
        <v>0</v>
      </c>
      <c r="F8528">
        <v>0</v>
      </c>
      <c r="G8528">
        <v>0</v>
      </c>
      <c r="H8528">
        <v>1</v>
      </c>
      <c r="I8528">
        <v>1</v>
      </c>
      <c r="J8528">
        <v>88618.083068225693</v>
      </c>
      <c r="K8528">
        <v>78733.969310475994</v>
      </c>
      <c r="L8528">
        <v>0</v>
      </c>
      <c r="M8528">
        <v>81.456000000000003</v>
      </c>
      <c r="N8528">
        <v>2.8090000000000002</v>
      </c>
    </row>
    <row r="8529" spans="1:14" x14ac:dyDescent="0.45">
      <c r="A8529">
        <v>2020</v>
      </c>
      <c r="B8529" t="s">
        <v>79</v>
      </c>
      <c r="C8529">
        <v>0</v>
      </c>
      <c r="D8529">
        <v>1</v>
      </c>
      <c r="E8529">
        <v>0</v>
      </c>
      <c r="F8529">
        <v>1</v>
      </c>
      <c r="G8529">
        <v>0</v>
      </c>
      <c r="H8529">
        <v>0</v>
      </c>
      <c r="I8529">
        <v>0</v>
      </c>
      <c r="J8529">
        <v>9000.9756520312803</v>
      </c>
      <c r="K8529">
        <v>7943.8129762968902</v>
      </c>
      <c r="L8529">
        <v>29.876999999999999</v>
      </c>
      <c r="M8529">
        <v>62.905999999999999</v>
      </c>
      <c r="N8529">
        <v>45.662999999999997</v>
      </c>
    </row>
    <row r="8530" spans="1:14" x14ac:dyDescent="0.45">
      <c r="A8530">
        <v>2020</v>
      </c>
      <c r="B8530" t="s">
        <v>80</v>
      </c>
      <c r="C8530">
        <v>0</v>
      </c>
      <c r="D8530">
        <v>1</v>
      </c>
      <c r="E8530">
        <v>0</v>
      </c>
      <c r="F8530">
        <v>0</v>
      </c>
      <c r="G8530">
        <v>1</v>
      </c>
      <c r="H8530">
        <v>0</v>
      </c>
      <c r="I8530">
        <v>0</v>
      </c>
      <c r="J8530">
        <v>17327.515724946599</v>
      </c>
      <c r="K8530">
        <v>14232.979813914801</v>
      </c>
      <c r="L8530">
        <v>12.927</v>
      </c>
      <c r="M8530">
        <v>74.506</v>
      </c>
      <c r="N8530">
        <v>14.497999999999999</v>
      </c>
    </row>
    <row r="8531" spans="1:14" x14ac:dyDescent="0.45">
      <c r="A8531">
        <v>2020</v>
      </c>
      <c r="B8531" t="s">
        <v>81</v>
      </c>
      <c r="C8531">
        <v>0</v>
      </c>
      <c r="D8531">
        <v>1</v>
      </c>
      <c r="E8531">
        <v>0</v>
      </c>
      <c r="F8531">
        <v>0</v>
      </c>
      <c r="G8531">
        <v>0</v>
      </c>
      <c r="H8531">
        <v>1</v>
      </c>
      <c r="I8531">
        <v>1</v>
      </c>
      <c r="J8531">
        <v>15749.038016790901</v>
      </c>
      <c r="K8531">
        <v>15041.899428741601</v>
      </c>
      <c r="L8531">
        <v>68.808999999999997</v>
      </c>
      <c r="M8531">
        <v>76.647000000000006</v>
      </c>
      <c r="N8531">
        <v>11.638</v>
      </c>
    </row>
    <row r="8532" spans="1:14" x14ac:dyDescent="0.45">
      <c r="A8532">
        <v>2020</v>
      </c>
      <c r="B8532" t="s">
        <v>82</v>
      </c>
      <c r="C8532">
        <v>0</v>
      </c>
      <c r="D8532">
        <v>0</v>
      </c>
      <c r="E8532">
        <v>0</v>
      </c>
      <c r="F8532">
        <v>0</v>
      </c>
      <c r="G8532">
        <v>0</v>
      </c>
      <c r="H8532">
        <v>1</v>
      </c>
      <c r="I8532">
        <v>1</v>
      </c>
      <c r="J8532">
        <v>80280.897948056896</v>
      </c>
      <c r="K8532">
        <v>62683.684274999898</v>
      </c>
      <c r="L8532">
        <v>21.75</v>
      </c>
      <c r="M8532">
        <v>75.114000000000004</v>
      </c>
      <c r="N8532">
        <v>9.8049999999999997</v>
      </c>
    </row>
    <row r="8533" spans="1:14" x14ac:dyDescent="0.45">
      <c r="A8533">
        <v>2020</v>
      </c>
      <c r="B8533" t="s">
        <v>83</v>
      </c>
      <c r="C8533">
        <v>0</v>
      </c>
      <c r="D8533">
        <v>0</v>
      </c>
      <c r="E8533">
        <v>0</v>
      </c>
      <c r="F8533">
        <v>1</v>
      </c>
      <c r="G8533">
        <v>0</v>
      </c>
      <c r="H8533">
        <v>0</v>
      </c>
      <c r="I8533">
        <v>0</v>
      </c>
      <c r="J8533">
        <v>12979.936948582401</v>
      </c>
      <c r="K8533">
        <v>11242.266853175401</v>
      </c>
      <c r="L8533">
        <v>57.683999999999997</v>
      </c>
      <c r="M8533">
        <v>72.253</v>
      </c>
      <c r="N8533">
        <v>25.067</v>
      </c>
    </row>
    <row r="8534" spans="1:14" x14ac:dyDescent="0.45">
      <c r="A8534">
        <v>2020</v>
      </c>
      <c r="B8534" t="s">
        <v>84</v>
      </c>
      <c r="C8534">
        <v>0</v>
      </c>
      <c r="D8534">
        <v>0</v>
      </c>
      <c r="E8534">
        <v>1</v>
      </c>
      <c r="F8534">
        <v>0</v>
      </c>
      <c r="G8534">
        <v>1</v>
      </c>
      <c r="H8534">
        <v>0</v>
      </c>
      <c r="I8534">
        <v>0</v>
      </c>
      <c r="J8534">
        <v>16289.391360350999</v>
      </c>
      <c r="K8534">
        <v>14738.420336736899</v>
      </c>
      <c r="L8534">
        <v>29.123000000000001</v>
      </c>
      <c r="M8534">
        <v>67.643000000000001</v>
      </c>
      <c r="N8534">
        <v>41.228000000000002</v>
      </c>
    </row>
    <row r="8535" spans="1:14" x14ac:dyDescent="0.45">
      <c r="A8535">
        <v>2020</v>
      </c>
      <c r="B8535" t="s">
        <v>85</v>
      </c>
      <c r="C8535">
        <v>0</v>
      </c>
      <c r="D8535">
        <v>0</v>
      </c>
      <c r="E8535">
        <v>1</v>
      </c>
      <c r="F8535">
        <v>0</v>
      </c>
      <c r="G8535">
        <v>0</v>
      </c>
      <c r="H8535">
        <v>0</v>
      </c>
      <c r="I8535">
        <v>0</v>
      </c>
      <c r="J8535">
        <v>1136.57052993758</v>
      </c>
      <c r="K8535">
        <v>909.99556276385101</v>
      </c>
      <c r="L8535">
        <v>57.802</v>
      </c>
      <c r="M8535">
        <v>50.595999999999997</v>
      </c>
      <c r="N8535">
        <v>122.114</v>
      </c>
    </row>
    <row r="8536" spans="1:14" x14ac:dyDescent="0.45">
      <c r="A8536">
        <v>2020</v>
      </c>
      <c r="B8536" t="s">
        <v>86</v>
      </c>
      <c r="C8536">
        <v>0</v>
      </c>
      <c r="D8536">
        <v>0</v>
      </c>
      <c r="E8536">
        <v>0</v>
      </c>
      <c r="F8536">
        <v>0</v>
      </c>
      <c r="G8536">
        <v>0</v>
      </c>
      <c r="H8536">
        <v>1</v>
      </c>
      <c r="I8536">
        <v>1</v>
      </c>
      <c r="J8536">
        <v>54092.879031779601</v>
      </c>
      <c r="K8536">
        <v>46823.692708680799</v>
      </c>
      <c r="L8536">
        <v>18.437999999999999</v>
      </c>
      <c r="M8536">
        <v>81.653999999999996</v>
      </c>
      <c r="N8536">
        <v>5.0819999999999999</v>
      </c>
    </row>
    <row r="8537" spans="1:14" x14ac:dyDescent="0.45">
      <c r="A8537">
        <v>2020</v>
      </c>
      <c r="B8537" t="s">
        <v>87</v>
      </c>
      <c r="C8537">
        <v>1</v>
      </c>
      <c r="D8537">
        <v>0</v>
      </c>
      <c r="E8537">
        <v>0</v>
      </c>
      <c r="F8537">
        <v>0</v>
      </c>
      <c r="G8537">
        <v>0</v>
      </c>
      <c r="H8537">
        <v>1</v>
      </c>
      <c r="I8537">
        <v>1</v>
      </c>
      <c r="J8537">
        <v>77324.887093400699</v>
      </c>
      <c r="K8537">
        <v>67270.092437218802</v>
      </c>
      <c r="L8537">
        <v>26.085000000000001</v>
      </c>
      <c r="M8537">
        <v>83.063000000000002</v>
      </c>
      <c r="N8537">
        <v>4.2460000000000004</v>
      </c>
    </row>
    <row r="8538" spans="1:14" x14ac:dyDescent="0.45">
      <c r="A8538">
        <v>2020</v>
      </c>
      <c r="B8538" t="s">
        <v>88</v>
      </c>
      <c r="C8538">
        <v>1</v>
      </c>
      <c r="D8538">
        <v>0</v>
      </c>
      <c r="E8538">
        <v>0</v>
      </c>
      <c r="F8538">
        <v>0</v>
      </c>
      <c r="G8538">
        <v>0</v>
      </c>
      <c r="H8538">
        <v>1</v>
      </c>
      <c r="I8538">
        <v>1</v>
      </c>
      <c r="L8538">
        <v>69.037000000000006</v>
      </c>
      <c r="M8538">
        <v>80.927111859716703</v>
      </c>
      <c r="N8538">
        <v>8.5818511444641601</v>
      </c>
    </row>
    <row r="8539" spans="1:14" x14ac:dyDescent="0.45">
      <c r="A8539">
        <v>2020</v>
      </c>
      <c r="B8539" t="s">
        <v>89</v>
      </c>
      <c r="C8539">
        <v>0</v>
      </c>
      <c r="D8539">
        <v>1</v>
      </c>
      <c r="E8539">
        <v>0</v>
      </c>
      <c r="F8539">
        <v>0</v>
      </c>
      <c r="G8539">
        <v>0</v>
      </c>
      <c r="H8539">
        <v>1</v>
      </c>
      <c r="I8539">
        <v>1</v>
      </c>
      <c r="J8539">
        <v>26248.561643282501</v>
      </c>
      <c r="K8539">
        <v>22864.648182265599</v>
      </c>
      <c r="L8539">
        <v>12.273</v>
      </c>
      <c r="M8539">
        <v>79.349000000000004</v>
      </c>
      <c r="N8539">
        <v>5.8620000000000001</v>
      </c>
    </row>
    <row r="8540" spans="1:14" x14ac:dyDescent="0.45">
      <c r="A8540">
        <v>2020</v>
      </c>
      <c r="B8540" t="s">
        <v>90</v>
      </c>
      <c r="C8540">
        <v>0</v>
      </c>
      <c r="D8540">
        <v>0</v>
      </c>
      <c r="E8540">
        <v>0</v>
      </c>
      <c r="F8540">
        <v>0</v>
      </c>
      <c r="G8540">
        <v>1</v>
      </c>
      <c r="H8540">
        <v>0</v>
      </c>
      <c r="I8540">
        <v>0</v>
      </c>
      <c r="J8540">
        <v>19215.154170346501</v>
      </c>
      <c r="K8540">
        <v>17225.141540008801</v>
      </c>
      <c r="L8540">
        <v>38.572000000000003</v>
      </c>
      <c r="M8540">
        <v>78.019000000000005</v>
      </c>
      <c r="N8540">
        <v>7.5720000000000001</v>
      </c>
    </row>
    <row r="8541" spans="1:14" x14ac:dyDescent="0.45">
      <c r="A8541">
        <v>2020</v>
      </c>
      <c r="B8541" t="s">
        <v>91</v>
      </c>
      <c r="C8541">
        <v>0</v>
      </c>
      <c r="D8541">
        <v>0</v>
      </c>
      <c r="E8541">
        <v>1</v>
      </c>
      <c r="F8541">
        <v>1</v>
      </c>
      <c r="G8541">
        <v>0</v>
      </c>
      <c r="H8541">
        <v>0</v>
      </c>
      <c r="I8541">
        <v>0</v>
      </c>
      <c r="J8541">
        <v>5787.8153330901796</v>
      </c>
      <c r="K8541">
        <v>4885.7685259621303</v>
      </c>
      <c r="L8541">
        <v>48.293999999999997</v>
      </c>
      <c r="M8541">
        <v>60.14</v>
      </c>
      <c r="N8541">
        <v>73.756</v>
      </c>
    </row>
    <row r="8542" spans="1:14" x14ac:dyDescent="0.45">
      <c r="A8542">
        <v>2020</v>
      </c>
      <c r="B8542" t="s">
        <v>92</v>
      </c>
      <c r="C8542">
        <v>0</v>
      </c>
      <c r="D8542">
        <v>0</v>
      </c>
      <c r="E8542">
        <v>1</v>
      </c>
      <c r="F8542">
        <v>1</v>
      </c>
      <c r="G8542">
        <v>0</v>
      </c>
      <c r="H8542">
        <v>0</v>
      </c>
      <c r="I8542">
        <v>0</v>
      </c>
      <c r="J8542">
        <v>4763.4819438806599</v>
      </c>
      <c r="K8542">
        <v>3740.3458749461602</v>
      </c>
      <c r="L8542">
        <v>42.44</v>
      </c>
      <c r="M8542">
        <v>61.673999999999999</v>
      </c>
      <c r="N8542">
        <v>74.814999999999998</v>
      </c>
    </row>
    <row r="8543" spans="1:14" x14ac:dyDescent="0.45">
      <c r="A8543">
        <v>2020</v>
      </c>
      <c r="B8543" t="s">
        <v>93</v>
      </c>
      <c r="C8543">
        <v>0</v>
      </c>
      <c r="D8543">
        <v>0</v>
      </c>
      <c r="E8543">
        <v>1</v>
      </c>
      <c r="F8543">
        <v>0</v>
      </c>
      <c r="G8543">
        <v>0</v>
      </c>
      <c r="H8543">
        <v>0</v>
      </c>
      <c r="I8543">
        <v>0</v>
      </c>
      <c r="J8543">
        <v>1277.63286345756</v>
      </c>
      <c r="K8543">
        <v>1022.82753431814</v>
      </c>
      <c r="L8543">
        <v>54.362000000000002</v>
      </c>
      <c r="M8543">
        <v>60.427999999999997</v>
      </c>
      <c r="N8543">
        <v>80.83</v>
      </c>
    </row>
    <row r="8544" spans="1:14" x14ac:dyDescent="0.45">
      <c r="A8544">
        <v>2020</v>
      </c>
      <c r="B8544" t="s">
        <v>94</v>
      </c>
      <c r="C8544">
        <v>0</v>
      </c>
      <c r="D8544">
        <v>0</v>
      </c>
      <c r="E8544">
        <v>1</v>
      </c>
      <c r="F8544">
        <v>1</v>
      </c>
      <c r="G8544">
        <v>0</v>
      </c>
      <c r="H8544">
        <v>0</v>
      </c>
      <c r="I8544">
        <v>0</v>
      </c>
      <c r="J8544">
        <v>6350.5091340972203</v>
      </c>
      <c r="K8544">
        <v>3828.37402313247</v>
      </c>
      <c r="L8544">
        <v>32.170999999999999</v>
      </c>
      <c r="M8544">
        <v>64.391000000000005</v>
      </c>
      <c r="N8544">
        <v>43.371000000000002</v>
      </c>
    </row>
    <row r="8545" spans="1:14" x14ac:dyDescent="0.45">
      <c r="A8545">
        <v>2020</v>
      </c>
      <c r="B8545" t="s">
        <v>95</v>
      </c>
      <c r="C8545">
        <v>0</v>
      </c>
      <c r="D8545">
        <v>1</v>
      </c>
      <c r="E8545">
        <v>0</v>
      </c>
      <c r="F8545">
        <v>0</v>
      </c>
      <c r="G8545">
        <v>1</v>
      </c>
      <c r="H8545">
        <v>0</v>
      </c>
      <c r="I8545">
        <v>0</v>
      </c>
      <c r="J8545">
        <v>15861.499929129501</v>
      </c>
      <c r="K8545">
        <v>13206.435283001199</v>
      </c>
      <c r="L8545">
        <v>18.574999999999999</v>
      </c>
      <c r="M8545">
        <v>74.757000000000005</v>
      </c>
      <c r="N8545">
        <v>13.22</v>
      </c>
    </row>
    <row r="8546" spans="1:14" x14ac:dyDescent="0.45">
      <c r="A8546">
        <v>2020</v>
      </c>
      <c r="B8546" t="s">
        <v>96</v>
      </c>
      <c r="C8546">
        <v>0</v>
      </c>
      <c r="D8546">
        <v>0</v>
      </c>
      <c r="E8546">
        <v>1</v>
      </c>
      <c r="F8546">
        <v>1</v>
      </c>
      <c r="G8546">
        <v>0</v>
      </c>
      <c r="H8546">
        <v>0</v>
      </c>
      <c r="I8546">
        <v>0</v>
      </c>
      <c r="J8546">
        <v>3424.5396885925802</v>
      </c>
      <c r="K8546">
        <v>3541.4110822320599</v>
      </c>
      <c r="L8546">
        <v>70.62</v>
      </c>
      <c r="M8546">
        <v>65.756</v>
      </c>
      <c r="N8546">
        <v>51.46</v>
      </c>
    </row>
    <row r="8547" spans="1:14" x14ac:dyDescent="0.45">
      <c r="A8547">
        <v>2020</v>
      </c>
      <c r="B8547" t="s">
        <v>97</v>
      </c>
      <c r="C8547">
        <v>0</v>
      </c>
      <c r="D8547">
        <v>0</v>
      </c>
      <c r="E8547">
        <v>1</v>
      </c>
      <c r="F8547">
        <v>1</v>
      </c>
      <c r="G8547">
        <v>0</v>
      </c>
      <c r="H8547">
        <v>0</v>
      </c>
      <c r="I8547">
        <v>0</v>
      </c>
      <c r="J8547">
        <v>7207.8685396204801</v>
      </c>
      <c r="K8547">
        <v>6946.3245891626202</v>
      </c>
      <c r="L8547">
        <v>33.347999999999999</v>
      </c>
      <c r="M8547">
        <v>73.817999999999998</v>
      </c>
      <c r="N8547">
        <v>13.587999999999999</v>
      </c>
    </row>
    <row r="8548" spans="1:14" x14ac:dyDescent="0.45">
      <c r="A8548">
        <v>2020</v>
      </c>
      <c r="B8548" t="s">
        <v>98</v>
      </c>
      <c r="C8548">
        <v>0</v>
      </c>
      <c r="D8548">
        <v>1</v>
      </c>
      <c r="E8548">
        <v>0</v>
      </c>
      <c r="F8548">
        <v>0</v>
      </c>
      <c r="G8548">
        <v>1</v>
      </c>
      <c r="H8548">
        <v>0</v>
      </c>
      <c r="I8548">
        <v>0</v>
      </c>
      <c r="J8548">
        <v>22211.861392183298</v>
      </c>
      <c r="K8548">
        <v>19887.488762916499</v>
      </c>
      <c r="L8548">
        <v>19.228999999999999</v>
      </c>
      <c r="M8548">
        <v>79.724999999999994</v>
      </c>
      <c r="N8548">
        <v>8.0909999999999993</v>
      </c>
    </row>
    <row r="8549" spans="1:14" x14ac:dyDescent="0.45">
      <c r="A8549">
        <v>2020</v>
      </c>
      <c r="B8549" t="s">
        <v>99</v>
      </c>
      <c r="C8549">
        <v>0</v>
      </c>
      <c r="D8549">
        <v>1</v>
      </c>
      <c r="E8549">
        <v>0</v>
      </c>
      <c r="F8549">
        <v>0</v>
      </c>
      <c r="G8549">
        <v>1</v>
      </c>
      <c r="H8549">
        <v>0</v>
      </c>
      <c r="I8549">
        <v>0</v>
      </c>
      <c r="L8549">
        <v>22.806000000000001</v>
      </c>
      <c r="M8549">
        <v>77.406999999999996</v>
      </c>
      <c r="N8549">
        <v>6.0129999999999999</v>
      </c>
    </row>
    <row r="8550" spans="1:14" x14ac:dyDescent="0.45">
      <c r="A8550">
        <v>2020</v>
      </c>
      <c r="B8550" t="s">
        <v>100</v>
      </c>
      <c r="C8550">
        <v>0</v>
      </c>
      <c r="D8550">
        <v>1</v>
      </c>
      <c r="E8550">
        <v>0</v>
      </c>
      <c r="F8550">
        <v>0</v>
      </c>
      <c r="G8550">
        <v>0</v>
      </c>
      <c r="H8550">
        <v>1</v>
      </c>
      <c r="I8550">
        <v>1</v>
      </c>
      <c r="J8550">
        <v>23751.497604823198</v>
      </c>
      <c r="K8550">
        <v>19431.394847825901</v>
      </c>
      <c r="L8550">
        <v>10.938000000000001</v>
      </c>
      <c r="M8550">
        <v>76.501000000000005</v>
      </c>
      <c r="N8550">
        <v>10.487</v>
      </c>
    </row>
    <row r="8551" spans="1:14" x14ac:dyDescent="0.45">
      <c r="A8551">
        <v>2020</v>
      </c>
      <c r="B8551" t="s">
        <v>101</v>
      </c>
      <c r="C8551">
        <v>0</v>
      </c>
      <c r="D8551">
        <v>1</v>
      </c>
      <c r="E8551">
        <v>0</v>
      </c>
      <c r="F8551">
        <v>0</v>
      </c>
      <c r="G8551">
        <v>0</v>
      </c>
      <c r="H8551">
        <v>1</v>
      </c>
      <c r="I8551">
        <v>1</v>
      </c>
      <c r="J8551">
        <v>72149.326888749798</v>
      </c>
      <c r="K8551">
        <v>65814.347012847895</v>
      </c>
      <c r="L8551">
        <v>0</v>
      </c>
      <c r="M8551">
        <v>79.23</v>
      </c>
      <c r="N8551">
        <v>2.1070000000000002</v>
      </c>
    </row>
    <row r="8552" spans="1:14" x14ac:dyDescent="0.45">
      <c r="A8552">
        <v>2020</v>
      </c>
      <c r="B8552" t="s">
        <v>102</v>
      </c>
      <c r="C8552">
        <v>1</v>
      </c>
      <c r="D8552">
        <v>0</v>
      </c>
      <c r="E8552">
        <v>0</v>
      </c>
      <c r="F8552">
        <v>0</v>
      </c>
      <c r="G8552">
        <v>0</v>
      </c>
      <c r="H8552">
        <v>1</v>
      </c>
      <c r="I8552">
        <v>1</v>
      </c>
      <c r="J8552">
        <v>44203.890625</v>
      </c>
      <c r="K8552">
        <v>39378.689062551101</v>
      </c>
      <c r="L8552">
        <v>33.179000000000002</v>
      </c>
      <c r="M8552">
        <v>81.23</v>
      </c>
      <c r="N8552">
        <v>3.3279999999999998</v>
      </c>
    </row>
    <row r="8553" spans="1:14" x14ac:dyDescent="0.45">
      <c r="A8553">
        <v>2020</v>
      </c>
      <c r="B8553" t="s">
        <v>103</v>
      </c>
      <c r="C8553">
        <v>1</v>
      </c>
      <c r="D8553">
        <v>0</v>
      </c>
      <c r="E8553">
        <v>0</v>
      </c>
      <c r="F8553">
        <v>0</v>
      </c>
      <c r="G8553">
        <v>0</v>
      </c>
      <c r="H8553">
        <v>1</v>
      </c>
      <c r="I8553">
        <v>1</v>
      </c>
      <c r="J8553">
        <v>45119.938730913898</v>
      </c>
      <c r="K8553">
        <v>37566.975726715602</v>
      </c>
      <c r="L8553">
        <v>25.939</v>
      </c>
      <c r="M8553">
        <v>78.236999999999995</v>
      </c>
      <c r="N8553">
        <v>2.782</v>
      </c>
    </row>
    <row r="8554" spans="1:14" x14ac:dyDescent="0.45">
      <c r="A8554">
        <v>2020</v>
      </c>
      <c r="B8554" t="s">
        <v>104</v>
      </c>
      <c r="C8554">
        <v>1</v>
      </c>
      <c r="D8554">
        <v>0</v>
      </c>
      <c r="E8554">
        <v>0</v>
      </c>
      <c r="F8554">
        <v>0</v>
      </c>
      <c r="G8554">
        <v>0</v>
      </c>
      <c r="H8554">
        <v>1</v>
      </c>
      <c r="I8554">
        <v>1</v>
      </c>
      <c r="J8554">
        <v>60342.662703739101</v>
      </c>
      <c r="K8554">
        <v>52320.234411442398</v>
      </c>
      <c r="L8554">
        <v>22.547000000000001</v>
      </c>
      <c r="M8554">
        <v>81.004000000000005</v>
      </c>
      <c r="N8554">
        <v>3.569</v>
      </c>
    </row>
    <row r="8555" spans="1:14" x14ac:dyDescent="0.45">
      <c r="A8555">
        <v>2020</v>
      </c>
      <c r="B8555" t="s">
        <v>105</v>
      </c>
      <c r="C8555">
        <v>0</v>
      </c>
      <c r="D8555">
        <v>0</v>
      </c>
      <c r="E8555">
        <v>0</v>
      </c>
      <c r="F8555">
        <v>1</v>
      </c>
      <c r="G8555">
        <v>0</v>
      </c>
      <c r="H8555">
        <v>0</v>
      </c>
      <c r="I8555">
        <v>0</v>
      </c>
      <c r="J8555">
        <v>5791.4776767987696</v>
      </c>
      <c r="K8555">
        <v>4995.4439651898902</v>
      </c>
      <c r="L8555">
        <v>21.937999999999999</v>
      </c>
      <c r="M8555">
        <v>64.2</v>
      </c>
      <c r="N8555">
        <v>55.564999999999998</v>
      </c>
    </row>
    <row r="8556" spans="1:14" x14ac:dyDescent="0.45">
      <c r="A8556">
        <v>2020</v>
      </c>
      <c r="B8556" t="s">
        <v>106</v>
      </c>
      <c r="C8556">
        <v>0</v>
      </c>
      <c r="D8556">
        <v>1</v>
      </c>
      <c r="E8556">
        <v>0</v>
      </c>
      <c r="F8556">
        <v>0</v>
      </c>
      <c r="G8556">
        <v>1</v>
      </c>
      <c r="H8556">
        <v>0</v>
      </c>
      <c r="I8556">
        <v>0</v>
      </c>
      <c r="J8556">
        <v>14919.530768671901</v>
      </c>
      <c r="K8556">
        <v>11610.801520081801</v>
      </c>
      <c r="L8556">
        <v>28.91</v>
      </c>
      <c r="M8556">
        <v>71.269000000000005</v>
      </c>
      <c r="N8556">
        <v>30.728000000000002</v>
      </c>
    </row>
    <row r="8557" spans="1:14" x14ac:dyDescent="0.45">
      <c r="A8557">
        <v>2020</v>
      </c>
      <c r="B8557" t="s">
        <v>107</v>
      </c>
      <c r="C8557">
        <v>1</v>
      </c>
      <c r="D8557">
        <v>0</v>
      </c>
      <c r="E8557">
        <v>0</v>
      </c>
      <c r="F8557">
        <v>0</v>
      </c>
      <c r="G8557">
        <v>0</v>
      </c>
      <c r="H8557">
        <v>1</v>
      </c>
      <c r="I8557">
        <v>1</v>
      </c>
      <c r="J8557">
        <v>65204.549320104103</v>
      </c>
      <c r="K8557">
        <v>55107.435018714699</v>
      </c>
      <c r="L8557">
        <v>11.884</v>
      </c>
      <c r="M8557">
        <v>81.546000000000006</v>
      </c>
      <c r="N8557">
        <v>3.496</v>
      </c>
    </row>
    <row r="8558" spans="1:14" x14ac:dyDescent="0.45">
      <c r="A8558">
        <v>2020</v>
      </c>
      <c r="B8558" t="s">
        <v>108</v>
      </c>
      <c r="C8558">
        <v>0</v>
      </c>
      <c r="D8558">
        <v>1</v>
      </c>
      <c r="E8558">
        <v>0</v>
      </c>
      <c r="F8558">
        <v>0</v>
      </c>
      <c r="G8558">
        <v>1</v>
      </c>
      <c r="H8558">
        <v>0</v>
      </c>
      <c r="I8558">
        <v>0</v>
      </c>
      <c r="J8558">
        <v>19545.409955294301</v>
      </c>
      <c r="K8558">
        <v>16883.813693647098</v>
      </c>
      <c r="L8558">
        <v>17.46</v>
      </c>
      <c r="M8558">
        <v>72.635999999999996</v>
      </c>
      <c r="N8558">
        <v>33.468000000000004</v>
      </c>
    </row>
    <row r="8559" spans="1:14" x14ac:dyDescent="0.45">
      <c r="A8559">
        <v>2020</v>
      </c>
      <c r="B8559" t="s">
        <v>109</v>
      </c>
      <c r="C8559">
        <v>0</v>
      </c>
      <c r="D8559">
        <v>0</v>
      </c>
      <c r="E8559">
        <v>0</v>
      </c>
      <c r="F8559">
        <v>1</v>
      </c>
      <c r="G8559">
        <v>0</v>
      </c>
      <c r="H8559">
        <v>0</v>
      </c>
      <c r="I8559">
        <v>0</v>
      </c>
      <c r="J8559">
        <v>14194.1557479619</v>
      </c>
      <c r="K8559">
        <v>12414.692961405</v>
      </c>
      <c r="L8559">
        <v>26.266999999999999</v>
      </c>
      <c r="M8559">
        <v>73.257000000000005</v>
      </c>
      <c r="N8559">
        <v>22.837</v>
      </c>
    </row>
    <row r="8560" spans="1:14" x14ac:dyDescent="0.45">
      <c r="A8560">
        <v>2020</v>
      </c>
      <c r="B8560" t="s">
        <v>110</v>
      </c>
      <c r="C8560">
        <v>0</v>
      </c>
      <c r="D8560">
        <v>1</v>
      </c>
      <c r="E8560">
        <v>0</v>
      </c>
      <c r="F8560">
        <v>0</v>
      </c>
      <c r="G8560">
        <v>1</v>
      </c>
      <c r="H8560">
        <v>0</v>
      </c>
      <c r="I8560">
        <v>0</v>
      </c>
      <c r="J8560">
        <v>12440.3263747814</v>
      </c>
      <c r="K8560">
        <v>10347.213797336801</v>
      </c>
      <c r="L8560">
        <v>35.834000000000003</v>
      </c>
      <c r="M8560">
        <v>72.004000000000005</v>
      </c>
      <c r="N8560">
        <v>12.986000000000001</v>
      </c>
    </row>
    <row r="8561" spans="1:14" x14ac:dyDescent="0.45">
      <c r="A8561">
        <v>2020</v>
      </c>
      <c r="B8561" t="s">
        <v>111</v>
      </c>
      <c r="C8561">
        <v>0</v>
      </c>
      <c r="D8561">
        <v>0</v>
      </c>
      <c r="E8561">
        <v>0</v>
      </c>
      <c r="F8561">
        <v>1</v>
      </c>
      <c r="G8561">
        <v>0</v>
      </c>
      <c r="H8561">
        <v>0</v>
      </c>
      <c r="I8561">
        <v>0</v>
      </c>
      <c r="J8561">
        <v>15309.2359881702</v>
      </c>
      <c r="K8561">
        <v>12149.151740610199</v>
      </c>
      <c r="L8561">
        <v>57.216999999999999</v>
      </c>
      <c r="M8561">
        <v>69.790000000000006</v>
      </c>
      <c r="N8561">
        <v>19.355</v>
      </c>
    </row>
    <row r="8562" spans="1:14" x14ac:dyDescent="0.45">
      <c r="A8562">
        <v>2020</v>
      </c>
      <c r="B8562" t="s">
        <v>112</v>
      </c>
      <c r="C8562">
        <v>0</v>
      </c>
      <c r="D8562">
        <v>0</v>
      </c>
      <c r="E8562">
        <v>1</v>
      </c>
      <c r="F8562">
        <v>0</v>
      </c>
      <c r="G8562">
        <v>0</v>
      </c>
      <c r="H8562">
        <v>0</v>
      </c>
      <c r="I8562">
        <v>0</v>
      </c>
      <c r="L8562">
        <v>58.652999999999999</v>
      </c>
      <c r="M8562">
        <v>66.98</v>
      </c>
      <c r="N8562">
        <v>39.186</v>
      </c>
    </row>
    <row r="8563" spans="1:14" x14ac:dyDescent="0.45">
      <c r="A8563">
        <v>2020</v>
      </c>
      <c r="B8563" t="s">
        <v>113</v>
      </c>
      <c r="C8563">
        <v>1</v>
      </c>
      <c r="D8563">
        <v>0</v>
      </c>
      <c r="E8563">
        <v>0</v>
      </c>
      <c r="F8563">
        <v>0</v>
      </c>
      <c r="G8563">
        <v>0</v>
      </c>
      <c r="H8563">
        <v>1</v>
      </c>
      <c r="I8563">
        <v>1</v>
      </c>
      <c r="J8563">
        <v>41553.447794567503</v>
      </c>
      <c r="K8563">
        <v>36568.139219295401</v>
      </c>
      <c r="L8563">
        <v>19.190000000000001</v>
      </c>
      <c r="M8563">
        <v>82.241</v>
      </c>
      <c r="N8563">
        <v>2.952</v>
      </c>
    </row>
    <row r="8564" spans="1:14" x14ac:dyDescent="0.45">
      <c r="A8564">
        <v>2020</v>
      </c>
      <c r="B8564" t="s">
        <v>114</v>
      </c>
      <c r="C8564">
        <v>1</v>
      </c>
      <c r="D8564">
        <v>0</v>
      </c>
      <c r="E8564">
        <v>0</v>
      </c>
      <c r="F8564">
        <v>0</v>
      </c>
      <c r="G8564">
        <v>0</v>
      </c>
      <c r="H8564">
        <v>1</v>
      </c>
      <c r="I8564">
        <v>1</v>
      </c>
      <c r="J8564">
        <v>41340.764650808698</v>
      </c>
      <c r="K8564">
        <v>35073.747612478102</v>
      </c>
      <c r="L8564">
        <v>30.771000000000001</v>
      </c>
      <c r="M8564">
        <v>78.893000000000001</v>
      </c>
      <c r="N8564">
        <v>1.998</v>
      </c>
    </row>
    <row r="8565" spans="1:14" x14ac:dyDescent="0.45">
      <c r="A8565">
        <v>2020</v>
      </c>
      <c r="B8565" t="s">
        <v>115</v>
      </c>
      <c r="C8565">
        <v>0</v>
      </c>
      <c r="D8565">
        <v>0</v>
      </c>
      <c r="E8565">
        <v>1</v>
      </c>
      <c r="F8565">
        <v>0</v>
      </c>
      <c r="G8565">
        <v>0</v>
      </c>
      <c r="H8565">
        <v>0</v>
      </c>
      <c r="I8565">
        <v>0</v>
      </c>
      <c r="J8565">
        <v>2516.54907642544</v>
      </c>
      <c r="K8565">
        <v>2269.6514604173799</v>
      </c>
      <c r="L8565">
        <v>78.305000000000007</v>
      </c>
      <c r="M8565">
        <v>65.968999999999994</v>
      </c>
      <c r="N8565">
        <v>50.365000000000002</v>
      </c>
    </row>
    <row r="8566" spans="1:14" x14ac:dyDescent="0.45">
      <c r="A8566">
        <v>2020</v>
      </c>
      <c r="B8566" t="s">
        <v>116</v>
      </c>
      <c r="C8566">
        <v>1</v>
      </c>
      <c r="D8566">
        <v>0</v>
      </c>
      <c r="E8566">
        <v>0</v>
      </c>
      <c r="F8566">
        <v>0</v>
      </c>
      <c r="G8566">
        <v>0</v>
      </c>
      <c r="H8566">
        <v>1</v>
      </c>
      <c r="I8566">
        <v>1</v>
      </c>
      <c r="J8566">
        <v>55424.857498920799</v>
      </c>
      <c r="K8566">
        <v>46594.725049029497</v>
      </c>
      <c r="L8566">
        <v>14.483000000000001</v>
      </c>
      <c r="M8566">
        <v>81.822000000000003</v>
      </c>
      <c r="N8566">
        <v>2.3239999999999998</v>
      </c>
    </row>
    <row r="8567" spans="1:14" x14ac:dyDescent="0.45">
      <c r="A8567">
        <v>2020</v>
      </c>
      <c r="B8567" t="s">
        <v>117</v>
      </c>
      <c r="C8567">
        <v>0</v>
      </c>
      <c r="D8567">
        <v>0</v>
      </c>
      <c r="E8567">
        <v>0</v>
      </c>
      <c r="F8567">
        <v>0</v>
      </c>
      <c r="G8567">
        <v>1</v>
      </c>
      <c r="H8567">
        <v>0</v>
      </c>
      <c r="I8567">
        <v>0</v>
      </c>
      <c r="J8567">
        <v>11254.969817286301</v>
      </c>
      <c r="K8567">
        <v>11022.022306012101</v>
      </c>
      <c r="L8567">
        <v>42.753</v>
      </c>
      <c r="M8567">
        <v>66.924000000000007</v>
      </c>
      <c r="N8567">
        <v>26.337</v>
      </c>
    </row>
    <row r="8568" spans="1:14" x14ac:dyDescent="0.45">
      <c r="A8568">
        <v>2020</v>
      </c>
      <c r="B8568" t="s">
        <v>118</v>
      </c>
      <c r="C8568">
        <v>1</v>
      </c>
      <c r="D8568">
        <v>0</v>
      </c>
      <c r="E8568">
        <v>0</v>
      </c>
      <c r="F8568">
        <v>0</v>
      </c>
      <c r="G8568">
        <v>0</v>
      </c>
      <c r="H8568">
        <v>1</v>
      </c>
      <c r="I8568">
        <v>1</v>
      </c>
      <c r="J8568">
        <v>49311.333409639003</v>
      </c>
      <c r="K8568">
        <v>41169.972488631698</v>
      </c>
      <c r="L8568">
        <v>19.024999999999999</v>
      </c>
      <c r="M8568">
        <v>82.198999999999998</v>
      </c>
      <c r="N8568">
        <v>4.0449999999999999</v>
      </c>
    </row>
    <row r="8569" spans="1:14" x14ac:dyDescent="0.45">
      <c r="A8569">
        <v>2020</v>
      </c>
      <c r="B8569" t="s">
        <v>119</v>
      </c>
      <c r="C8569">
        <v>1</v>
      </c>
      <c r="D8569">
        <v>0</v>
      </c>
      <c r="E8569">
        <v>0</v>
      </c>
      <c r="F8569">
        <v>0</v>
      </c>
      <c r="G8569">
        <v>0</v>
      </c>
      <c r="H8569">
        <v>1</v>
      </c>
      <c r="I8569">
        <v>1</v>
      </c>
      <c r="J8569">
        <v>65136.569459724902</v>
      </c>
      <c r="K8569">
        <v>56907.303381849597</v>
      </c>
      <c r="L8569">
        <v>57.601999999999997</v>
      </c>
      <c r="M8569">
        <v>79.981999999999999</v>
      </c>
      <c r="N8569">
        <v>7.8940000000000001</v>
      </c>
    </row>
    <row r="8570" spans="1:14" x14ac:dyDescent="0.45">
      <c r="A8570">
        <v>2020</v>
      </c>
      <c r="B8570" t="s">
        <v>120</v>
      </c>
      <c r="C8570">
        <v>0</v>
      </c>
      <c r="D8570">
        <v>0</v>
      </c>
      <c r="E8570">
        <v>0</v>
      </c>
      <c r="F8570">
        <v>1</v>
      </c>
      <c r="G8570">
        <v>0</v>
      </c>
      <c r="H8570">
        <v>0</v>
      </c>
      <c r="I8570">
        <v>0</v>
      </c>
      <c r="J8570">
        <v>3850.5305249193698</v>
      </c>
      <c r="K8570">
        <v>3485.2614621820799</v>
      </c>
      <c r="L8570">
        <v>77.066999999999993</v>
      </c>
      <c r="M8570">
        <v>65.878</v>
      </c>
      <c r="N8570">
        <v>25.155999999999999</v>
      </c>
    </row>
    <row r="8571" spans="1:14" x14ac:dyDescent="0.45">
      <c r="A8571">
        <v>2020</v>
      </c>
      <c r="B8571" t="s">
        <v>121</v>
      </c>
      <c r="C8571">
        <v>0</v>
      </c>
      <c r="D8571">
        <v>0</v>
      </c>
      <c r="E8571">
        <v>1</v>
      </c>
      <c r="F8571">
        <v>0</v>
      </c>
      <c r="G8571">
        <v>1</v>
      </c>
      <c r="H8571">
        <v>0</v>
      </c>
      <c r="I8571">
        <v>0</v>
      </c>
      <c r="J8571">
        <v>18681.484073854601</v>
      </c>
      <c r="K8571">
        <v>14135.156577735999</v>
      </c>
      <c r="L8571">
        <v>9.9079999999999995</v>
      </c>
      <c r="M8571">
        <v>67.072999999999993</v>
      </c>
      <c r="N8571">
        <v>41.216000000000001</v>
      </c>
    </row>
    <row r="8572" spans="1:14" x14ac:dyDescent="0.45">
      <c r="A8572">
        <v>2020</v>
      </c>
      <c r="B8572" t="s">
        <v>122</v>
      </c>
      <c r="C8572">
        <v>1</v>
      </c>
      <c r="D8572">
        <v>0</v>
      </c>
      <c r="E8572">
        <v>0</v>
      </c>
      <c r="F8572">
        <v>0</v>
      </c>
      <c r="G8572">
        <v>0</v>
      </c>
      <c r="H8572">
        <v>1</v>
      </c>
      <c r="I8572">
        <v>1</v>
      </c>
      <c r="J8572">
        <v>47144.722150281399</v>
      </c>
      <c r="K8572">
        <v>40616.599869468097</v>
      </c>
      <c r="L8572">
        <v>16.097000000000001</v>
      </c>
      <c r="M8572">
        <v>80.385000000000005</v>
      </c>
      <c r="N8572">
        <v>4.1669999999999998</v>
      </c>
    </row>
    <row r="8573" spans="1:14" x14ac:dyDescent="0.45">
      <c r="A8573">
        <v>2020</v>
      </c>
      <c r="B8573" t="s">
        <v>123</v>
      </c>
      <c r="C8573">
        <v>1</v>
      </c>
      <c r="D8573">
        <v>0</v>
      </c>
      <c r="E8573">
        <v>0</v>
      </c>
      <c r="F8573">
        <v>0</v>
      </c>
      <c r="G8573">
        <v>1</v>
      </c>
      <c r="H8573">
        <v>0</v>
      </c>
      <c r="I8573">
        <v>0</v>
      </c>
      <c r="J8573">
        <v>17031.144028342602</v>
      </c>
      <c r="K8573">
        <v>14389.369699860399</v>
      </c>
      <c r="L8573">
        <v>40.546999999999997</v>
      </c>
      <c r="M8573">
        <v>73.509</v>
      </c>
      <c r="N8573">
        <v>9.6159999999999997</v>
      </c>
    </row>
    <row r="8574" spans="1:14" x14ac:dyDescent="0.45">
      <c r="A8574">
        <v>2020</v>
      </c>
      <c r="B8574" t="s">
        <v>124</v>
      </c>
      <c r="C8574">
        <v>0</v>
      </c>
      <c r="D8574">
        <v>0</v>
      </c>
      <c r="E8574">
        <v>1</v>
      </c>
      <c r="F8574">
        <v>1</v>
      </c>
      <c r="G8574">
        <v>0</v>
      </c>
      <c r="H8574">
        <v>0</v>
      </c>
      <c r="I8574">
        <v>0</v>
      </c>
      <c r="J8574">
        <v>6412.6854176246898</v>
      </c>
      <c r="K8574">
        <v>5532.4977014499</v>
      </c>
      <c r="L8574">
        <v>42.651000000000003</v>
      </c>
      <c r="M8574">
        <v>64.308999999999997</v>
      </c>
      <c r="N8574">
        <v>45.540999999999997</v>
      </c>
    </row>
    <row r="8575" spans="1:14" x14ac:dyDescent="0.45">
      <c r="A8575">
        <v>2020</v>
      </c>
      <c r="B8575" t="s">
        <v>125</v>
      </c>
      <c r="C8575">
        <v>1</v>
      </c>
      <c r="D8575">
        <v>0</v>
      </c>
      <c r="E8575">
        <v>0</v>
      </c>
      <c r="F8575">
        <v>0</v>
      </c>
      <c r="G8575">
        <v>0</v>
      </c>
      <c r="H8575">
        <v>1</v>
      </c>
      <c r="I8575">
        <v>1</v>
      </c>
      <c r="L8575">
        <v>0</v>
      </c>
      <c r="M8575">
        <v>83.07</v>
      </c>
      <c r="N8575">
        <v>10.747999999999999</v>
      </c>
    </row>
    <row r="8576" spans="1:14" x14ac:dyDescent="0.45">
      <c r="A8576">
        <v>2020</v>
      </c>
      <c r="B8576" t="s">
        <v>126</v>
      </c>
      <c r="C8576">
        <v>0</v>
      </c>
      <c r="D8576">
        <v>0</v>
      </c>
      <c r="E8576">
        <v>1</v>
      </c>
      <c r="F8576">
        <v>0</v>
      </c>
      <c r="G8576">
        <v>0</v>
      </c>
      <c r="H8576">
        <v>0</v>
      </c>
      <c r="I8576">
        <v>0</v>
      </c>
      <c r="J8576">
        <v>3630.9933057767698</v>
      </c>
      <c r="K8576">
        <v>2927.5457639257402</v>
      </c>
      <c r="L8576">
        <v>63.125</v>
      </c>
      <c r="M8576">
        <v>59.35</v>
      </c>
      <c r="N8576">
        <v>100.289</v>
      </c>
    </row>
    <row r="8577" spans="1:14" x14ac:dyDescent="0.45">
      <c r="A8577">
        <v>2020</v>
      </c>
      <c r="B8577" t="s">
        <v>127</v>
      </c>
      <c r="C8577">
        <v>0</v>
      </c>
      <c r="D8577">
        <v>0</v>
      </c>
      <c r="E8577">
        <v>1</v>
      </c>
      <c r="F8577">
        <v>0</v>
      </c>
      <c r="G8577">
        <v>0</v>
      </c>
      <c r="H8577">
        <v>0</v>
      </c>
      <c r="I8577">
        <v>0</v>
      </c>
      <c r="J8577">
        <v>2702.3191947448199</v>
      </c>
      <c r="K8577">
        <v>2175.0885188724001</v>
      </c>
      <c r="L8577">
        <v>37.417999999999999</v>
      </c>
      <c r="M8577">
        <v>64.418000000000006</v>
      </c>
      <c r="N8577">
        <v>49.045000000000002</v>
      </c>
    </row>
    <row r="8578" spans="1:14" x14ac:dyDescent="0.45">
      <c r="A8578">
        <v>2020</v>
      </c>
      <c r="B8578" t="s">
        <v>128</v>
      </c>
      <c r="C8578">
        <v>0</v>
      </c>
      <c r="D8578">
        <v>0</v>
      </c>
      <c r="E8578">
        <v>1</v>
      </c>
      <c r="F8578">
        <v>0</v>
      </c>
      <c r="G8578">
        <v>0</v>
      </c>
      <c r="H8578">
        <v>0</v>
      </c>
      <c r="I8578">
        <v>0</v>
      </c>
      <c r="J8578">
        <v>2413.6790779174698</v>
      </c>
      <c r="K8578">
        <v>2171.3419541588801</v>
      </c>
      <c r="L8578">
        <v>55.804000000000002</v>
      </c>
      <c r="M8578">
        <v>61.343000000000004</v>
      </c>
      <c r="N8578">
        <v>77.043999999999997</v>
      </c>
    </row>
    <row r="8579" spans="1:14" x14ac:dyDescent="0.45">
      <c r="A8579">
        <v>2020</v>
      </c>
      <c r="B8579" t="s">
        <v>129</v>
      </c>
      <c r="C8579">
        <v>0</v>
      </c>
      <c r="D8579">
        <v>0</v>
      </c>
      <c r="E8579">
        <v>1</v>
      </c>
      <c r="F8579">
        <v>0</v>
      </c>
      <c r="G8579">
        <v>1</v>
      </c>
      <c r="H8579">
        <v>0</v>
      </c>
      <c r="I8579">
        <v>0</v>
      </c>
      <c r="J8579">
        <v>17089.153726379001</v>
      </c>
      <c r="K8579">
        <v>14158.5818942325</v>
      </c>
      <c r="L8579">
        <v>26.9</v>
      </c>
      <c r="M8579">
        <v>62.140999999999998</v>
      </c>
      <c r="N8579">
        <v>78.42</v>
      </c>
    </row>
    <row r="8580" spans="1:14" x14ac:dyDescent="0.45">
      <c r="A8580">
        <v>2020</v>
      </c>
      <c r="B8580" t="s">
        <v>130</v>
      </c>
      <c r="C8580">
        <v>1</v>
      </c>
      <c r="D8580">
        <v>0</v>
      </c>
      <c r="E8580">
        <v>0</v>
      </c>
      <c r="F8580">
        <v>0</v>
      </c>
      <c r="G8580">
        <v>0</v>
      </c>
      <c r="H8580">
        <v>1</v>
      </c>
      <c r="I8580">
        <v>1</v>
      </c>
      <c r="J8580">
        <v>30487.112933104501</v>
      </c>
      <c r="K8580">
        <v>27291.883995984099</v>
      </c>
      <c r="L8580">
        <v>20.285</v>
      </c>
      <c r="M8580">
        <v>81.536000000000001</v>
      </c>
      <c r="N8580">
        <v>3.7789999999999999</v>
      </c>
    </row>
    <row r="8581" spans="1:14" x14ac:dyDescent="0.45">
      <c r="A8581">
        <v>2020</v>
      </c>
      <c r="B8581" t="s">
        <v>131</v>
      </c>
      <c r="C8581">
        <v>0</v>
      </c>
      <c r="D8581">
        <v>1</v>
      </c>
      <c r="E8581">
        <v>0</v>
      </c>
      <c r="F8581">
        <v>0</v>
      </c>
      <c r="G8581">
        <v>1</v>
      </c>
      <c r="H8581">
        <v>0</v>
      </c>
      <c r="I8581">
        <v>0</v>
      </c>
      <c r="J8581">
        <v>14656.7208773809</v>
      </c>
      <c r="K8581">
        <v>13523.830695865299</v>
      </c>
      <c r="L8581">
        <v>63.463000000000001</v>
      </c>
      <c r="M8581">
        <v>75.019000000000005</v>
      </c>
      <c r="N8581">
        <v>15.8</v>
      </c>
    </row>
    <row r="8582" spans="1:14" x14ac:dyDescent="0.45">
      <c r="A8582">
        <v>2020</v>
      </c>
      <c r="B8582" t="s">
        <v>132</v>
      </c>
      <c r="C8582">
        <v>1</v>
      </c>
      <c r="D8582">
        <v>0</v>
      </c>
      <c r="E8582">
        <v>0</v>
      </c>
      <c r="F8582">
        <v>0</v>
      </c>
      <c r="G8582">
        <v>0</v>
      </c>
      <c r="H8582">
        <v>1</v>
      </c>
      <c r="I8582">
        <v>1</v>
      </c>
      <c r="J8582">
        <v>68533.733990296401</v>
      </c>
      <c r="K8582">
        <v>62034.5545910078</v>
      </c>
      <c r="L8582">
        <v>12.718</v>
      </c>
      <c r="M8582">
        <v>70.156000000000006</v>
      </c>
      <c r="N8582">
        <v>11.358000000000001</v>
      </c>
    </row>
    <row r="8583" spans="1:14" x14ac:dyDescent="0.45">
      <c r="A8583">
        <v>2020</v>
      </c>
      <c r="B8583" t="s">
        <v>133</v>
      </c>
      <c r="C8583">
        <v>0</v>
      </c>
      <c r="D8583">
        <v>1</v>
      </c>
      <c r="E8583">
        <v>0</v>
      </c>
      <c r="F8583">
        <v>0</v>
      </c>
      <c r="G8583">
        <v>1</v>
      </c>
      <c r="H8583">
        <v>0</v>
      </c>
      <c r="I8583">
        <v>0</v>
      </c>
      <c r="J8583">
        <v>11097.1500739277</v>
      </c>
      <c r="K8583">
        <v>9639.8241615734005</v>
      </c>
      <c r="L8583">
        <v>48.164000000000001</v>
      </c>
      <c r="M8583">
        <v>69.971000000000004</v>
      </c>
      <c r="N8583">
        <v>23.69</v>
      </c>
    </row>
    <row r="8584" spans="1:14" x14ac:dyDescent="0.45">
      <c r="A8584">
        <v>2020</v>
      </c>
      <c r="B8584" t="s">
        <v>134</v>
      </c>
      <c r="C8584">
        <v>0</v>
      </c>
      <c r="D8584">
        <v>0</v>
      </c>
      <c r="E8584">
        <v>0</v>
      </c>
      <c r="F8584">
        <v>0</v>
      </c>
      <c r="G8584">
        <v>0</v>
      </c>
      <c r="H8584">
        <v>1</v>
      </c>
      <c r="I8584">
        <v>1</v>
      </c>
      <c r="L8584">
        <v>5.0620000000000003</v>
      </c>
      <c r="M8584">
        <v>75.528999999999996</v>
      </c>
      <c r="N8584">
        <v>13.316000000000001</v>
      </c>
    </row>
    <row r="8585" spans="1:14" x14ac:dyDescent="0.45">
      <c r="A8585">
        <v>2020</v>
      </c>
      <c r="B8585" t="s">
        <v>135</v>
      </c>
      <c r="C8585">
        <v>0</v>
      </c>
      <c r="D8585">
        <v>1</v>
      </c>
      <c r="E8585">
        <v>0</v>
      </c>
      <c r="F8585">
        <v>0</v>
      </c>
      <c r="G8585">
        <v>1</v>
      </c>
      <c r="H8585">
        <v>0</v>
      </c>
      <c r="I8585">
        <v>0</v>
      </c>
      <c r="J8585">
        <v>19234.130197763701</v>
      </c>
      <c r="K8585">
        <v>18395.120864655699</v>
      </c>
      <c r="L8585">
        <v>73.213999999999999</v>
      </c>
      <c r="M8585">
        <v>67.751000000000005</v>
      </c>
      <c r="N8585">
        <v>28.283000000000001</v>
      </c>
    </row>
    <row r="8586" spans="1:14" x14ac:dyDescent="0.45">
      <c r="A8586">
        <v>2020</v>
      </c>
      <c r="B8586" t="s">
        <v>136</v>
      </c>
      <c r="C8586">
        <v>0</v>
      </c>
      <c r="D8586">
        <v>0</v>
      </c>
      <c r="E8586">
        <v>0</v>
      </c>
      <c r="F8586">
        <v>0</v>
      </c>
      <c r="G8586">
        <v>0</v>
      </c>
      <c r="H8586">
        <v>1</v>
      </c>
      <c r="I8586">
        <v>1</v>
      </c>
      <c r="J8586">
        <v>61328.539956836001</v>
      </c>
      <c r="K8586">
        <v>55349.218764969701</v>
      </c>
      <c r="L8586">
        <v>0</v>
      </c>
      <c r="M8586">
        <v>84.706999999999994</v>
      </c>
      <c r="N8586">
        <v>2.0059999999999998</v>
      </c>
    </row>
    <row r="8587" spans="1:14" x14ac:dyDescent="0.45">
      <c r="A8587">
        <v>2020</v>
      </c>
      <c r="B8587" t="s">
        <v>137</v>
      </c>
      <c r="C8587">
        <v>0</v>
      </c>
      <c r="D8587">
        <v>1</v>
      </c>
      <c r="E8587">
        <v>0</v>
      </c>
      <c r="F8587">
        <v>1</v>
      </c>
      <c r="G8587">
        <v>0</v>
      </c>
      <c r="H8587">
        <v>0</v>
      </c>
      <c r="I8587">
        <v>0</v>
      </c>
      <c r="J8587">
        <v>5603.2639837777697</v>
      </c>
      <c r="K8587">
        <v>5163.2846707542203</v>
      </c>
      <c r="L8587">
        <v>41.640999999999998</v>
      </c>
      <c r="M8587">
        <v>70.864000000000004</v>
      </c>
      <c r="N8587">
        <v>17.303999999999998</v>
      </c>
    </row>
    <row r="8588" spans="1:14" x14ac:dyDescent="0.45">
      <c r="A8588">
        <v>2020</v>
      </c>
      <c r="B8588" t="s">
        <v>138</v>
      </c>
      <c r="C8588">
        <v>1</v>
      </c>
      <c r="D8588">
        <v>0</v>
      </c>
      <c r="E8588">
        <v>0</v>
      </c>
      <c r="F8588">
        <v>0</v>
      </c>
      <c r="G8588">
        <v>0</v>
      </c>
      <c r="H8588">
        <v>1</v>
      </c>
      <c r="I8588">
        <v>1</v>
      </c>
      <c r="J8588">
        <v>32493.625431972501</v>
      </c>
      <c r="K8588">
        <v>28022.799573971999</v>
      </c>
      <c r="L8588">
        <v>42.447000000000003</v>
      </c>
      <c r="M8588">
        <v>77.497</v>
      </c>
      <c r="N8588">
        <v>4.6639999999999997</v>
      </c>
    </row>
    <row r="8589" spans="1:14" x14ac:dyDescent="0.45">
      <c r="A8589">
        <v>2020</v>
      </c>
      <c r="B8589" t="s">
        <v>139</v>
      </c>
      <c r="C8589">
        <v>0</v>
      </c>
      <c r="D8589">
        <v>1</v>
      </c>
      <c r="E8589">
        <v>0</v>
      </c>
      <c r="F8589">
        <v>1</v>
      </c>
      <c r="G8589">
        <v>0</v>
      </c>
      <c r="H8589">
        <v>0</v>
      </c>
      <c r="I8589">
        <v>0</v>
      </c>
      <c r="J8589">
        <v>3229.47554356606</v>
      </c>
      <c r="K8589">
        <v>3104.0290200980899</v>
      </c>
      <c r="L8589">
        <v>42.911999999999999</v>
      </c>
      <c r="M8589">
        <v>63.773000000000003</v>
      </c>
      <c r="N8589">
        <v>60.185000000000002</v>
      </c>
    </row>
    <row r="8590" spans="1:14" x14ac:dyDescent="0.45">
      <c r="A8590">
        <v>2020</v>
      </c>
      <c r="B8590" t="s">
        <v>140</v>
      </c>
      <c r="C8590">
        <v>1</v>
      </c>
      <c r="D8590">
        <v>0</v>
      </c>
      <c r="E8590">
        <v>0</v>
      </c>
      <c r="F8590">
        <v>0</v>
      </c>
      <c r="G8590">
        <v>0</v>
      </c>
      <c r="H8590">
        <v>1</v>
      </c>
      <c r="I8590">
        <v>1</v>
      </c>
      <c r="J8590">
        <v>36119.521173565197</v>
      </c>
      <c r="K8590">
        <v>31475.182116246098</v>
      </c>
      <c r="L8590">
        <v>28.058</v>
      </c>
      <c r="M8590">
        <v>75.73</v>
      </c>
      <c r="N8590">
        <v>4.0110000000000001</v>
      </c>
    </row>
    <row r="8591" spans="1:14" x14ac:dyDescent="0.45">
      <c r="A8591">
        <v>2020</v>
      </c>
      <c r="B8591" t="s">
        <v>141</v>
      </c>
      <c r="C8591">
        <v>0</v>
      </c>
      <c r="D8591">
        <v>0</v>
      </c>
      <c r="E8591">
        <v>0</v>
      </c>
      <c r="F8591">
        <v>1</v>
      </c>
      <c r="G8591">
        <v>0</v>
      </c>
      <c r="H8591">
        <v>0</v>
      </c>
      <c r="I8591">
        <v>0</v>
      </c>
      <c r="J8591">
        <v>12388.5449268131</v>
      </c>
      <c r="K8591">
        <v>11246.846194034501</v>
      </c>
      <c r="L8591">
        <v>43.359000000000002</v>
      </c>
      <c r="M8591">
        <v>68.816999999999993</v>
      </c>
      <c r="N8591">
        <v>22.849</v>
      </c>
    </row>
    <row r="8592" spans="1:14" x14ac:dyDescent="0.45">
      <c r="A8592">
        <v>2020</v>
      </c>
      <c r="B8592" t="s">
        <v>142</v>
      </c>
      <c r="C8592">
        <v>1</v>
      </c>
      <c r="D8592">
        <v>0</v>
      </c>
      <c r="E8592">
        <v>0</v>
      </c>
      <c r="F8592">
        <v>0</v>
      </c>
      <c r="G8592">
        <v>0</v>
      </c>
      <c r="H8592">
        <v>1</v>
      </c>
      <c r="I8592">
        <v>1</v>
      </c>
      <c r="L8592">
        <v>47.101999999999997</v>
      </c>
      <c r="M8592">
        <v>80.590999999999994</v>
      </c>
      <c r="N8592">
        <v>13.727</v>
      </c>
    </row>
    <row r="8593" spans="1:14" x14ac:dyDescent="0.45">
      <c r="A8593">
        <v>2020</v>
      </c>
      <c r="B8593" t="s">
        <v>143</v>
      </c>
      <c r="C8593">
        <v>0</v>
      </c>
      <c r="D8593">
        <v>0</v>
      </c>
      <c r="E8593">
        <v>0</v>
      </c>
      <c r="F8593">
        <v>1</v>
      </c>
      <c r="G8593">
        <v>0</v>
      </c>
      <c r="H8593">
        <v>0</v>
      </c>
      <c r="I8593">
        <v>0</v>
      </c>
      <c r="J8593">
        <v>7399.5306807904099</v>
      </c>
      <c r="K8593">
        <v>6205.8779568438204</v>
      </c>
      <c r="L8593">
        <v>65.073999999999998</v>
      </c>
      <c r="M8593">
        <v>70.156000000000006</v>
      </c>
      <c r="N8593">
        <v>32.604999999999997</v>
      </c>
    </row>
    <row r="8594" spans="1:14" x14ac:dyDescent="0.45">
      <c r="A8594">
        <v>2020</v>
      </c>
      <c r="B8594" t="s">
        <v>144</v>
      </c>
      <c r="C8594">
        <v>1</v>
      </c>
      <c r="D8594">
        <v>0</v>
      </c>
      <c r="E8594">
        <v>0</v>
      </c>
      <c r="F8594">
        <v>0</v>
      </c>
      <c r="G8594">
        <v>0</v>
      </c>
      <c r="H8594">
        <v>1</v>
      </c>
      <c r="I8594">
        <v>1</v>
      </c>
      <c r="J8594">
        <v>101970.81255381599</v>
      </c>
      <c r="K8594">
        <v>93756.842085149707</v>
      </c>
      <c r="L8594">
        <v>36.347000000000001</v>
      </c>
      <c r="M8594">
        <v>82.39</v>
      </c>
      <c r="N8594">
        <v>3.226</v>
      </c>
    </row>
    <row r="8595" spans="1:14" x14ac:dyDescent="0.45">
      <c r="A8595">
        <v>2020</v>
      </c>
      <c r="B8595" t="s">
        <v>145</v>
      </c>
      <c r="C8595">
        <v>0</v>
      </c>
      <c r="D8595">
        <v>0</v>
      </c>
      <c r="E8595">
        <v>0</v>
      </c>
      <c r="F8595">
        <v>1</v>
      </c>
      <c r="G8595">
        <v>0</v>
      </c>
      <c r="H8595">
        <v>0</v>
      </c>
      <c r="I8595">
        <v>0</v>
      </c>
      <c r="J8595">
        <v>14397.153570574799</v>
      </c>
      <c r="K8595">
        <v>14361.083977345699</v>
      </c>
      <c r="L8595">
        <v>24.126000000000001</v>
      </c>
      <c r="M8595">
        <v>74.141000000000005</v>
      </c>
      <c r="N8595">
        <v>13.051</v>
      </c>
    </row>
    <row r="8596" spans="1:14" x14ac:dyDescent="0.45">
      <c r="A8596">
        <v>2020</v>
      </c>
      <c r="B8596" t="s">
        <v>146</v>
      </c>
      <c r="C8596">
        <v>0</v>
      </c>
      <c r="D8596">
        <v>0</v>
      </c>
      <c r="E8596">
        <v>0</v>
      </c>
      <c r="F8596">
        <v>0</v>
      </c>
      <c r="G8596">
        <v>1</v>
      </c>
      <c r="H8596">
        <v>0</v>
      </c>
      <c r="I8596">
        <v>0</v>
      </c>
      <c r="J8596">
        <v>12827.6345392323</v>
      </c>
      <c r="K8596">
        <v>9067.71076465027</v>
      </c>
      <c r="L8596">
        <v>29.106999999999999</v>
      </c>
      <c r="M8596">
        <v>69.650999999999996</v>
      </c>
      <c r="N8596">
        <v>25.684000000000001</v>
      </c>
    </row>
    <row r="8597" spans="1:14" x14ac:dyDescent="0.45">
      <c r="A8597">
        <v>2020</v>
      </c>
      <c r="B8597" t="s">
        <v>147</v>
      </c>
      <c r="C8597">
        <v>1</v>
      </c>
      <c r="D8597">
        <v>0</v>
      </c>
      <c r="E8597">
        <v>0</v>
      </c>
      <c r="F8597">
        <v>0</v>
      </c>
      <c r="G8597">
        <v>0</v>
      </c>
      <c r="H8597">
        <v>1</v>
      </c>
      <c r="I8597">
        <v>1</v>
      </c>
      <c r="J8597">
        <v>59627.242341266101</v>
      </c>
      <c r="K8597">
        <v>51594.790088465299</v>
      </c>
      <c r="L8597">
        <v>6.1020000000000003</v>
      </c>
      <c r="M8597">
        <v>82.710999999999999</v>
      </c>
      <c r="N8597">
        <v>3.3759999999999999</v>
      </c>
    </row>
    <row r="8598" spans="1:14" x14ac:dyDescent="0.45">
      <c r="A8598">
        <v>2020</v>
      </c>
      <c r="B8598" t="s">
        <v>148</v>
      </c>
      <c r="C8598">
        <v>0</v>
      </c>
      <c r="D8598">
        <v>0</v>
      </c>
      <c r="E8598">
        <v>0</v>
      </c>
      <c r="F8598">
        <v>0</v>
      </c>
      <c r="G8598">
        <v>0</v>
      </c>
      <c r="H8598">
        <v>1</v>
      </c>
      <c r="I8598">
        <v>1</v>
      </c>
      <c r="J8598">
        <v>42915.941693972803</v>
      </c>
      <c r="K8598">
        <v>39365.8137403578</v>
      </c>
      <c r="L8598">
        <v>7.4130000000000003</v>
      </c>
      <c r="M8598">
        <v>82.7</v>
      </c>
      <c r="N8598">
        <v>2.8050000000000002</v>
      </c>
    </row>
    <row r="8599" spans="1:14" x14ac:dyDescent="0.45">
      <c r="A8599">
        <v>2020</v>
      </c>
      <c r="B8599" t="s">
        <v>149</v>
      </c>
      <c r="C8599">
        <v>1</v>
      </c>
      <c r="D8599">
        <v>0</v>
      </c>
      <c r="E8599">
        <v>0</v>
      </c>
      <c r="F8599">
        <v>0</v>
      </c>
      <c r="G8599">
        <v>0</v>
      </c>
      <c r="H8599">
        <v>1</v>
      </c>
      <c r="I8599">
        <v>1</v>
      </c>
      <c r="J8599">
        <v>45505.0688708956</v>
      </c>
      <c r="K8599">
        <v>38759.721277784098</v>
      </c>
      <c r="L8599">
        <v>28.960999999999999</v>
      </c>
      <c r="M8599">
        <v>82.180999999999997</v>
      </c>
      <c r="N8599">
        <v>2.86</v>
      </c>
    </row>
    <row r="8600" spans="1:14" x14ac:dyDescent="0.45">
      <c r="A8600">
        <v>2020</v>
      </c>
      <c r="B8600" t="s">
        <v>150</v>
      </c>
      <c r="C8600">
        <v>0</v>
      </c>
      <c r="D8600">
        <v>1</v>
      </c>
      <c r="E8600">
        <v>0</v>
      </c>
      <c r="F8600">
        <v>0</v>
      </c>
      <c r="G8600">
        <v>1</v>
      </c>
      <c r="H8600">
        <v>0</v>
      </c>
      <c r="I8600">
        <v>0</v>
      </c>
      <c r="J8600">
        <v>9178.3207781651799</v>
      </c>
      <c r="K8600">
        <v>9045.5119223450401</v>
      </c>
      <c r="L8600">
        <v>43.689</v>
      </c>
      <c r="M8600">
        <v>71.451999999999998</v>
      </c>
      <c r="N8600">
        <v>19.202999999999999</v>
      </c>
    </row>
    <row r="8601" spans="1:14" x14ac:dyDescent="0.45">
      <c r="A8601">
        <v>2020</v>
      </c>
      <c r="B8601" t="s">
        <v>151</v>
      </c>
      <c r="C8601">
        <v>0</v>
      </c>
      <c r="D8601">
        <v>0</v>
      </c>
      <c r="E8601">
        <v>0</v>
      </c>
      <c r="F8601">
        <v>0</v>
      </c>
      <c r="G8601">
        <v>1</v>
      </c>
      <c r="H8601">
        <v>0</v>
      </c>
      <c r="I8601">
        <v>0</v>
      </c>
      <c r="J8601">
        <v>9022.6393035676901</v>
      </c>
      <c r="K8601">
        <v>8950.8668346709092</v>
      </c>
      <c r="L8601">
        <v>8.5819999999999901</v>
      </c>
      <c r="M8601">
        <v>75.582999999999998</v>
      </c>
      <c r="N8601">
        <v>15.055</v>
      </c>
    </row>
    <row r="8602" spans="1:14" x14ac:dyDescent="0.45">
      <c r="A8602">
        <v>2020</v>
      </c>
      <c r="B8602" t="s">
        <v>152</v>
      </c>
      <c r="C8602">
        <v>0</v>
      </c>
      <c r="D8602">
        <v>0</v>
      </c>
      <c r="E8602">
        <v>0</v>
      </c>
      <c r="F8602">
        <v>0</v>
      </c>
      <c r="G8602">
        <v>0</v>
      </c>
      <c r="H8602">
        <v>1</v>
      </c>
      <c r="I8602">
        <v>1</v>
      </c>
      <c r="J8602">
        <v>42992.4796365328</v>
      </c>
      <c r="K8602">
        <v>39825.3235488961</v>
      </c>
      <c r="L8602">
        <v>8.218</v>
      </c>
      <c r="M8602">
        <v>84.67</v>
      </c>
      <c r="N8602">
        <v>2.31</v>
      </c>
    </row>
    <row r="8603" spans="1:14" x14ac:dyDescent="0.45">
      <c r="A8603">
        <v>2020</v>
      </c>
      <c r="B8603" t="s">
        <v>153</v>
      </c>
      <c r="C8603">
        <v>1</v>
      </c>
      <c r="D8603">
        <v>0</v>
      </c>
      <c r="E8603">
        <v>0</v>
      </c>
      <c r="F8603">
        <v>0</v>
      </c>
      <c r="G8603">
        <v>1</v>
      </c>
      <c r="H8603">
        <v>0</v>
      </c>
      <c r="I8603">
        <v>0</v>
      </c>
      <c r="J8603">
        <v>32011.549149900398</v>
      </c>
      <c r="K8603">
        <v>24343.483838439599</v>
      </c>
      <c r="L8603">
        <v>42.329000000000001</v>
      </c>
      <c r="M8603">
        <v>71.194999999999993</v>
      </c>
      <c r="N8603">
        <v>10.065</v>
      </c>
    </row>
    <row r="8604" spans="1:14" x14ac:dyDescent="0.45">
      <c r="A8604">
        <v>2020</v>
      </c>
      <c r="B8604" t="s">
        <v>154</v>
      </c>
      <c r="C8604">
        <v>0</v>
      </c>
      <c r="D8604">
        <v>0</v>
      </c>
      <c r="E8604">
        <v>1</v>
      </c>
      <c r="F8604">
        <v>1</v>
      </c>
      <c r="G8604">
        <v>0</v>
      </c>
      <c r="H8604">
        <v>0</v>
      </c>
      <c r="I8604">
        <v>0</v>
      </c>
      <c r="J8604">
        <v>5057.4011553742903</v>
      </c>
      <c r="K8604">
        <v>4358.7021658822796</v>
      </c>
      <c r="L8604">
        <v>72.004999999999995</v>
      </c>
      <c r="M8604">
        <v>61.595999999999997</v>
      </c>
      <c r="N8604">
        <v>48.31</v>
      </c>
    </row>
    <row r="8605" spans="1:14" x14ac:dyDescent="0.45">
      <c r="A8605">
        <v>2020</v>
      </c>
      <c r="B8605" t="s">
        <v>155</v>
      </c>
      <c r="C8605">
        <v>1</v>
      </c>
      <c r="D8605">
        <v>0</v>
      </c>
      <c r="E8605">
        <v>0</v>
      </c>
      <c r="F8605">
        <v>1</v>
      </c>
      <c r="G8605">
        <v>0</v>
      </c>
      <c r="H8605">
        <v>0</v>
      </c>
      <c r="I8605">
        <v>0</v>
      </c>
      <c r="J8605">
        <v>5537.7954731937698</v>
      </c>
      <c r="K8605">
        <v>4680.3677210717497</v>
      </c>
      <c r="L8605">
        <v>63.143999999999998</v>
      </c>
      <c r="M8605">
        <v>69.135999999999996</v>
      </c>
      <c r="N8605">
        <v>18.238</v>
      </c>
    </row>
    <row r="8606" spans="1:14" x14ac:dyDescent="0.45">
      <c r="A8606">
        <v>2020</v>
      </c>
      <c r="B8606" t="s">
        <v>156</v>
      </c>
      <c r="C8606">
        <v>0</v>
      </c>
      <c r="D8606">
        <v>0</v>
      </c>
      <c r="E8606">
        <v>0</v>
      </c>
      <c r="F8606">
        <v>1</v>
      </c>
      <c r="G8606">
        <v>0</v>
      </c>
      <c r="H8606">
        <v>0</v>
      </c>
      <c r="I8606">
        <v>0</v>
      </c>
      <c r="J8606">
        <v>6128.7824378313699</v>
      </c>
      <c r="K8606">
        <v>5495.48485076619</v>
      </c>
      <c r="L8606">
        <v>75.768000000000001</v>
      </c>
      <c r="M8606">
        <v>70.058999999999997</v>
      </c>
      <c r="N8606">
        <v>25.606000000000002</v>
      </c>
    </row>
    <row r="8607" spans="1:14" x14ac:dyDescent="0.45">
      <c r="A8607">
        <v>2020</v>
      </c>
      <c r="B8607" t="s">
        <v>157</v>
      </c>
      <c r="C8607">
        <v>0</v>
      </c>
      <c r="D8607">
        <v>0</v>
      </c>
      <c r="E8607">
        <v>0</v>
      </c>
      <c r="F8607">
        <v>1</v>
      </c>
      <c r="G8607">
        <v>0</v>
      </c>
      <c r="H8607">
        <v>0</v>
      </c>
      <c r="I8607">
        <v>0</v>
      </c>
      <c r="J8607">
        <v>2834.6858135436701</v>
      </c>
      <c r="K8607">
        <v>2564.2547952235</v>
      </c>
      <c r="L8607">
        <v>44.405999999999999</v>
      </c>
      <c r="M8607">
        <v>65.204999999999998</v>
      </c>
      <c r="N8607">
        <v>57.875</v>
      </c>
    </row>
    <row r="8608" spans="1:14" x14ac:dyDescent="0.45">
      <c r="A8608">
        <v>2020</v>
      </c>
      <c r="B8608" t="s">
        <v>158</v>
      </c>
      <c r="C8608">
        <v>0</v>
      </c>
      <c r="D8608">
        <v>1</v>
      </c>
      <c r="E8608">
        <v>0</v>
      </c>
      <c r="F8608">
        <v>0</v>
      </c>
      <c r="G8608">
        <v>0</v>
      </c>
      <c r="H8608">
        <v>1</v>
      </c>
      <c r="I8608">
        <v>1</v>
      </c>
      <c r="J8608">
        <v>26736.928356377099</v>
      </c>
      <c r="K8608">
        <v>26406.3534613829</v>
      </c>
      <c r="L8608">
        <v>69.156999999999996</v>
      </c>
      <c r="M8608">
        <v>71.180999999999997</v>
      </c>
      <c r="N8608">
        <v>16.239000000000001</v>
      </c>
    </row>
    <row r="8609" spans="1:14" x14ac:dyDescent="0.45">
      <c r="A8609">
        <v>2020</v>
      </c>
      <c r="B8609" t="s">
        <v>159</v>
      </c>
      <c r="C8609">
        <v>0</v>
      </c>
      <c r="D8609">
        <v>0</v>
      </c>
      <c r="E8609">
        <v>0</v>
      </c>
      <c r="F8609">
        <v>0</v>
      </c>
      <c r="G8609">
        <v>0</v>
      </c>
      <c r="H8609">
        <v>1</v>
      </c>
      <c r="I8609">
        <v>1</v>
      </c>
      <c r="J8609">
        <v>46361.595781171804</v>
      </c>
      <c r="K8609">
        <v>42264.273689350099</v>
      </c>
      <c r="L8609">
        <v>18.585999999999999</v>
      </c>
      <c r="M8609">
        <v>83.674999999999997</v>
      </c>
      <c r="N8609">
        <v>3.024</v>
      </c>
    </row>
    <row r="8610" spans="1:14" x14ac:dyDescent="0.45">
      <c r="A8610">
        <v>2020</v>
      </c>
      <c r="B8610" t="s">
        <v>160</v>
      </c>
      <c r="C8610">
        <v>0</v>
      </c>
      <c r="D8610">
        <v>0</v>
      </c>
      <c r="E8610">
        <v>0</v>
      </c>
      <c r="F8610">
        <v>0</v>
      </c>
      <c r="G8610">
        <v>0</v>
      </c>
      <c r="H8610">
        <v>1</v>
      </c>
      <c r="I8610">
        <v>1</v>
      </c>
      <c r="J8610">
        <v>49372.572947424997</v>
      </c>
      <c r="K8610">
        <v>43971.219649129504</v>
      </c>
      <c r="L8610">
        <v>0</v>
      </c>
      <c r="M8610">
        <v>78.248000000000005</v>
      </c>
      <c r="N8610">
        <v>8.74</v>
      </c>
    </row>
    <row r="8611" spans="1:14" x14ac:dyDescent="0.45">
      <c r="A8611">
        <v>2020</v>
      </c>
      <c r="B8611" t="s">
        <v>161</v>
      </c>
      <c r="C8611">
        <v>0</v>
      </c>
      <c r="D8611">
        <v>0</v>
      </c>
      <c r="E8611">
        <v>0</v>
      </c>
      <c r="F8611">
        <v>1</v>
      </c>
      <c r="G8611">
        <v>0</v>
      </c>
      <c r="H8611">
        <v>0</v>
      </c>
      <c r="I8611">
        <v>0</v>
      </c>
      <c r="J8611">
        <v>7995.5950252781804</v>
      </c>
      <c r="K8611">
        <v>7683.0279905117504</v>
      </c>
      <c r="L8611">
        <v>63.71</v>
      </c>
      <c r="M8611">
        <v>68.338999999999999</v>
      </c>
      <c r="N8611">
        <v>43.466000000000001</v>
      </c>
    </row>
    <row r="8612" spans="1:14" x14ac:dyDescent="0.45">
      <c r="A8612">
        <v>2020</v>
      </c>
      <c r="B8612" t="s">
        <v>162</v>
      </c>
      <c r="C8612">
        <v>0</v>
      </c>
      <c r="D8612">
        <v>0</v>
      </c>
      <c r="E8612">
        <v>0</v>
      </c>
      <c r="F8612">
        <v>0</v>
      </c>
      <c r="G8612">
        <v>1</v>
      </c>
      <c r="H8612">
        <v>0</v>
      </c>
      <c r="I8612">
        <v>0</v>
      </c>
      <c r="J8612">
        <v>12507.436636807801</v>
      </c>
      <c r="K8612">
        <v>16257.083698586201</v>
      </c>
      <c r="L8612">
        <v>11.074999999999999</v>
      </c>
      <c r="M8612">
        <v>76.299000000000007</v>
      </c>
      <c r="N8612">
        <v>20.29</v>
      </c>
    </row>
    <row r="8613" spans="1:14" x14ac:dyDescent="0.45">
      <c r="A8613">
        <v>2020</v>
      </c>
      <c r="B8613" t="s">
        <v>163</v>
      </c>
      <c r="C8613">
        <v>0</v>
      </c>
      <c r="D8613">
        <v>0</v>
      </c>
      <c r="E8613">
        <v>1</v>
      </c>
      <c r="F8613">
        <v>0</v>
      </c>
      <c r="G8613">
        <v>0</v>
      </c>
      <c r="H8613">
        <v>0</v>
      </c>
      <c r="I8613">
        <v>0</v>
      </c>
      <c r="J8613">
        <v>1497.37692436272</v>
      </c>
      <c r="K8613">
        <v>2212.2927209514301</v>
      </c>
      <c r="L8613">
        <v>47.911000000000001</v>
      </c>
      <c r="M8613">
        <v>61.267000000000003</v>
      </c>
      <c r="N8613">
        <v>77.164000000000001</v>
      </c>
    </row>
    <row r="8614" spans="1:14" x14ac:dyDescent="0.45">
      <c r="A8614">
        <v>2020</v>
      </c>
      <c r="B8614" t="s">
        <v>164</v>
      </c>
      <c r="C8614">
        <v>0</v>
      </c>
      <c r="D8614">
        <v>0</v>
      </c>
      <c r="E8614">
        <v>0</v>
      </c>
      <c r="F8614">
        <v>0</v>
      </c>
      <c r="G8614">
        <v>1</v>
      </c>
      <c r="H8614">
        <v>0</v>
      </c>
      <c r="I8614">
        <v>0</v>
      </c>
      <c r="J8614">
        <v>9976.0374027589096</v>
      </c>
      <c r="K8614">
        <v>11658.9464722061</v>
      </c>
      <c r="L8614">
        <v>19.309000000000001</v>
      </c>
      <c r="M8614">
        <v>72.388000000000005</v>
      </c>
      <c r="N8614">
        <v>11.907</v>
      </c>
    </row>
    <row r="8615" spans="1:14" x14ac:dyDescent="0.45">
      <c r="A8615">
        <v>2020</v>
      </c>
      <c r="B8615" t="s">
        <v>165</v>
      </c>
      <c r="C8615">
        <v>0</v>
      </c>
      <c r="D8615">
        <v>1</v>
      </c>
      <c r="E8615">
        <v>0</v>
      </c>
      <c r="F8615">
        <v>0</v>
      </c>
      <c r="G8615">
        <v>1</v>
      </c>
      <c r="H8615">
        <v>0</v>
      </c>
      <c r="I8615">
        <v>0</v>
      </c>
      <c r="J8615">
        <v>17142.044063191999</v>
      </c>
      <c r="K8615">
        <v>12332.1066193036</v>
      </c>
      <c r="L8615">
        <v>81.159000000000006</v>
      </c>
      <c r="M8615">
        <v>72.308000000000007</v>
      </c>
      <c r="N8615">
        <v>17.532</v>
      </c>
    </row>
    <row r="8616" spans="1:14" x14ac:dyDescent="0.45">
      <c r="A8616">
        <v>2020</v>
      </c>
      <c r="B8616" t="s">
        <v>166</v>
      </c>
      <c r="C8616">
        <v>1</v>
      </c>
      <c r="D8616">
        <v>0</v>
      </c>
      <c r="E8616">
        <v>0</v>
      </c>
      <c r="F8616">
        <v>0</v>
      </c>
      <c r="G8616">
        <v>0</v>
      </c>
      <c r="H8616">
        <v>1</v>
      </c>
      <c r="I8616">
        <v>1</v>
      </c>
      <c r="L8616">
        <v>85.584000000000003</v>
      </c>
      <c r="M8616">
        <v>82.037000000000006</v>
      </c>
      <c r="N8616">
        <v>6.6749999999999998</v>
      </c>
    </row>
    <row r="8617" spans="1:14" x14ac:dyDescent="0.45">
      <c r="A8617">
        <v>2020</v>
      </c>
      <c r="B8617" t="s">
        <v>167</v>
      </c>
      <c r="C8617">
        <v>0</v>
      </c>
      <c r="D8617">
        <v>0</v>
      </c>
      <c r="E8617">
        <v>0</v>
      </c>
      <c r="F8617">
        <v>1</v>
      </c>
      <c r="G8617">
        <v>0</v>
      </c>
      <c r="H8617">
        <v>0</v>
      </c>
      <c r="I8617">
        <v>0</v>
      </c>
      <c r="J8617">
        <v>13886.651372865101</v>
      </c>
      <c r="K8617">
        <v>12969.9129023356</v>
      </c>
      <c r="L8617">
        <v>81.287000000000006</v>
      </c>
      <c r="M8617">
        <v>76.927999999999997</v>
      </c>
      <c r="N8617">
        <v>7.0289999999999999</v>
      </c>
    </row>
    <row r="8618" spans="1:14" x14ac:dyDescent="0.45">
      <c r="A8618">
        <v>2020</v>
      </c>
      <c r="B8618" t="s">
        <v>168</v>
      </c>
      <c r="C8618">
        <v>0</v>
      </c>
      <c r="D8618">
        <v>0</v>
      </c>
      <c r="E8618">
        <v>1</v>
      </c>
      <c r="F8618">
        <v>1</v>
      </c>
      <c r="G8618">
        <v>0</v>
      </c>
      <c r="H8618">
        <v>0</v>
      </c>
      <c r="I8618">
        <v>0</v>
      </c>
      <c r="J8618">
        <v>2517.1104189794401</v>
      </c>
      <c r="K8618">
        <v>2253.8715040831398</v>
      </c>
      <c r="L8618">
        <v>70.971999999999994</v>
      </c>
      <c r="M8618">
        <v>55.133000000000003</v>
      </c>
      <c r="N8618">
        <v>76.314999999999998</v>
      </c>
    </row>
    <row r="8619" spans="1:14" x14ac:dyDescent="0.45">
      <c r="A8619">
        <v>2020</v>
      </c>
      <c r="B8619" t="s">
        <v>169</v>
      </c>
      <c r="C8619">
        <v>1</v>
      </c>
      <c r="D8619">
        <v>0</v>
      </c>
      <c r="E8619">
        <v>0</v>
      </c>
      <c r="F8619">
        <v>0</v>
      </c>
      <c r="G8619">
        <v>0</v>
      </c>
      <c r="H8619">
        <v>1</v>
      </c>
      <c r="I8619">
        <v>1</v>
      </c>
      <c r="J8619">
        <v>43091.797372352601</v>
      </c>
      <c r="K8619">
        <v>36867.9060372842</v>
      </c>
      <c r="L8619">
        <v>31.954000000000001</v>
      </c>
      <c r="M8619">
        <v>75.105000000000004</v>
      </c>
      <c r="N8619">
        <v>3.2149999999999999</v>
      </c>
    </row>
    <row r="8620" spans="1:14" x14ac:dyDescent="0.45">
      <c r="A8620">
        <v>2020</v>
      </c>
      <c r="B8620" t="s">
        <v>170</v>
      </c>
      <c r="C8620">
        <v>1</v>
      </c>
      <c r="D8620">
        <v>0</v>
      </c>
      <c r="E8620">
        <v>0</v>
      </c>
      <c r="F8620">
        <v>0</v>
      </c>
      <c r="G8620">
        <v>0</v>
      </c>
      <c r="H8620">
        <v>1</v>
      </c>
      <c r="I8620">
        <v>1</v>
      </c>
      <c r="J8620">
        <v>129865.629988164</v>
      </c>
      <c r="K8620">
        <v>110978.143299968</v>
      </c>
      <c r="L8620">
        <v>8.5470000000000006</v>
      </c>
      <c r="M8620">
        <v>81.411000000000001</v>
      </c>
      <c r="N8620">
        <v>6.54</v>
      </c>
    </row>
    <row r="8621" spans="1:14" x14ac:dyDescent="0.45">
      <c r="A8621">
        <v>2020</v>
      </c>
      <c r="B8621" t="s">
        <v>171</v>
      </c>
      <c r="C8621">
        <v>1</v>
      </c>
      <c r="D8621">
        <v>0</v>
      </c>
      <c r="E8621">
        <v>0</v>
      </c>
      <c r="F8621">
        <v>0</v>
      </c>
      <c r="G8621">
        <v>0</v>
      </c>
      <c r="H8621">
        <v>1</v>
      </c>
      <c r="I8621">
        <v>1</v>
      </c>
      <c r="J8621">
        <v>34225.8976044058</v>
      </c>
      <c r="K8621">
        <v>29694.021995486499</v>
      </c>
      <c r="L8621">
        <v>31.684999999999999</v>
      </c>
      <c r="M8621">
        <v>75.477999999999994</v>
      </c>
      <c r="N8621">
        <v>4.3179999999999996</v>
      </c>
    </row>
    <row r="8622" spans="1:14" x14ac:dyDescent="0.45">
      <c r="A8622">
        <v>2020</v>
      </c>
      <c r="B8622" t="s">
        <v>172</v>
      </c>
      <c r="C8622">
        <v>0</v>
      </c>
      <c r="D8622">
        <v>0</v>
      </c>
      <c r="E8622">
        <v>0</v>
      </c>
      <c r="F8622">
        <v>0</v>
      </c>
      <c r="G8622">
        <v>0</v>
      </c>
      <c r="H8622">
        <v>1</v>
      </c>
      <c r="I8622">
        <v>1</v>
      </c>
      <c r="J8622">
        <v>59791.472488475702</v>
      </c>
      <c r="K8622">
        <v>54185.512859918803</v>
      </c>
      <c r="L8622">
        <v>0</v>
      </c>
      <c r="M8622">
        <v>84.61</v>
      </c>
      <c r="N8622">
        <v>3.331</v>
      </c>
    </row>
    <row r="8623" spans="1:14" x14ac:dyDescent="0.45">
      <c r="A8623">
        <v>2020</v>
      </c>
      <c r="B8623" t="s">
        <v>173</v>
      </c>
      <c r="C8623">
        <v>0</v>
      </c>
      <c r="D8623">
        <v>1</v>
      </c>
      <c r="E8623">
        <v>0</v>
      </c>
      <c r="F8623">
        <v>0</v>
      </c>
      <c r="G8623">
        <v>0</v>
      </c>
      <c r="H8623">
        <v>1</v>
      </c>
      <c r="I8623">
        <v>1</v>
      </c>
      <c r="L8623">
        <v>0</v>
      </c>
      <c r="M8623">
        <v>80.084999999999994</v>
      </c>
      <c r="N8623">
        <v>9.7739999999999991</v>
      </c>
    </row>
    <row r="8624" spans="1:14" x14ac:dyDescent="0.45">
      <c r="A8624">
        <v>2020</v>
      </c>
      <c r="B8624" t="s">
        <v>174</v>
      </c>
      <c r="C8624">
        <v>0</v>
      </c>
      <c r="D8624">
        <v>0</v>
      </c>
      <c r="E8624">
        <v>0</v>
      </c>
      <c r="F8624">
        <v>1</v>
      </c>
      <c r="G8624">
        <v>0</v>
      </c>
      <c r="H8624">
        <v>0</v>
      </c>
      <c r="I8624">
        <v>0</v>
      </c>
      <c r="J8624">
        <v>8054.56298828125</v>
      </c>
      <c r="K8624">
        <v>7735.3480894369304</v>
      </c>
      <c r="L8624">
        <v>36.468000000000004</v>
      </c>
      <c r="M8624">
        <v>73.132999999999996</v>
      </c>
      <c r="N8624">
        <v>18.617999999999999</v>
      </c>
    </row>
    <row r="8625" spans="1:14" x14ac:dyDescent="0.45">
      <c r="A8625">
        <v>2020</v>
      </c>
      <c r="B8625" t="s">
        <v>175</v>
      </c>
      <c r="C8625">
        <v>1</v>
      </c>
      <c r="D8625">
        <v>0</v>
      </c>
      <c r="E8625">
        <v>0</v>
      </c>
      <c r="F8625">
        <v>0</v>
      </c>
      <c r="G8625">
        <v>0</v>
      </c>
      <c r="H8625">
        <v>1</v>
      </c>
      <c r="I8625">
        <v>1</v>
      </c>
      <c r="L8625">
        <v>0</v>
      </c>
      <c r="M8625">
        <v>86.088999999999999</v>
      </c>
      <c r="N8625">
        <v>4.6079999999999997</v>
      </c>
    </row>
    <row r="8626" spans="1:14" x14ac:dyDescent="0.45">
      <c r="A8626">
        <v>2020</v>
      </c>
      <c r="B8626" t="s">
        <v>176</v>
      </c>
      <c r="C8626">
        <v>1</v>
      </c>
      <c r="D8626">
        <v>0</v>
      </c>
      <c r="E8626">
        <v>0</v>
      </c>
      <c r="F8626">
        <v>0</v>
      </c>
      <c r="G8626">
        <v>1</v>
      </c>
      <c r="H8626">
        <v>0</v>
      </c>
      <c r="I8626">
        <v>0</v>
      </c>
      <c r="J8626">
        <v>13559.2600217483</v>
      </c>
      <c r="K8626">
        <v>11629.8808971452</v>
      </c>
      <c r="L8626">
        <v>57.151000000000003</v>
      </c>
      <c r="M8626">
        <v>69.914000000000001</v>
      </c>
      <c r="N8626">
        <v>14.535</v>
      </c>
    </row>
    <row r="8627" spans="1:14" x14ac:dyDescent="0.45">
      <c r="A8627">
        <v>2020</v>
      </c>
      <c r="B8627" t="s">
        <v>177</v>
      </c>
      <c r="C8627">
        <v>0</v>
      </c>
      <c r="D8627">
        <v>0</v>
      </c>
      <c r="E8627">
        <v>1</v>
      </c>
      <c r="F8627">
        <v>0</v>
      </c>
      <c r="G8627">
        <v>0</v>
      </c>
      <c r="H8627">
        <v>0</v>
      </c>
      <c r="I8627">
        <v>0</v>
      </c>
      <c r="J8627">
        <v>1545.72714378969</v>
      </c>
      <c r="K8627">
        <v>1432.0026562937501</v>
      </c>
      <c r="L8627">
        <v>61.466000000000001</v>
      </c>
      <c r="M8627">
        <v>62.706000000000003</v>
      </c>
      <c r="N8627">
        <v>66.004000000000005</v>
      </c>
    </row>
    <row r="8628" spans="1:14" x14ac:dyDescent="0.45">
      <c r="A8628">
        <v>2020</v>
      </c>
      <c r="B8628" t="s">
        <v>178</v>
      </c>
      <c r="C8628">
        <v>0</v>
      </c>
      <c r="D8628">
        <v>0</v>
      </c>
      <c r="E8628">
        <v>0</v>
      </c>
      <c r="F8628">
        <v>0</v>
      </c>
      <c r="G8628">
        <v>1</v>
      </c>
      <c r="H8628">
        <v>0</v>
      </c>
      <c r="I8628">
        <v>0</v>
      </c>
      <c r="J8628">
        <v>14242.9750825057</v>
      </c>
      <c r="K8628">
        <v>14051.881337368901</v>
      </c>
      <c r="L8628">
        <v>59.331000000000003</v>
      </c>
      <c r="M8628">
        <v>78.712999999999994</v>
      </c>
      <c r="N8628">
        <v>6.8339999999999996</v>
      </c>
    </row>
    <row r="8629" spans="1:14" x14ac:dyDescent="0.45">
      <c r="A8629">
        <v>2020</v>
      </c>
      <c r="B8629" t="s">
        <v>179</v>
      </c>
      <c r="C8629">
        <v>0</v>
      </c>
      <c r="D8629">
        <v>1</v>
      </c>
      <c r="E8629">
        <v>0</v>
      </c>
      <c r="F8629">
        <v>0</v>
      </c>
      <c r="G8629">
        <v>1</v>
      </c>
      <c r="H8629">
        <v>0</v>
      </c>
      <c r="I8629">
        <v>0</v>
      </c>
      <c r="J8629">
        <v>19728.4817839998</v>
      </c>
      <c r="K8629">
        <v>18341.080078499701</v>
      </c>
      <c r="L8629">
        <v>19.268999999999998</v>
      </c>
      <c r="M8629">
        <v>70.448999999999998</v>
      </c>
      <c r="N8629">
        <v>13.795999999999999</v>
      </c>
    </row>
    <row r="8630" spans="1:14" x14ac:dyDescent="0.45">
      <c r="A8630">
        <v>2020</v>
      </c>
      <c r="B8630" t="s">
        <v>180</v>
      </c>
      <c r="C8630">
        <v>0</v>
      </c>
      <c r="D8630">
        <v>0</v>
      </c>
      <c r="E8630">
        <v>0</v>
      </c>
      <c r="F8630">
        <v>0</v>
      </c>
      <c r="G8630">
        <v>1</v>
      </c>
      <c r="H8630">
        <v>0</v>
      </c>
      <c r="I8630">
        <v>0</v>
      </c>
      <c r="J8630">
        <v>6417.1844121772501</v>
      </c>
      <c r="K8630">
        <v>5804.2463174903696</v>
      </c>
      <c r="L8630">
        <v>22.206</v>
      </c>
      <c r="M8630">
        <v>65.387</v>
      </c>
      <c r="N8630">
        <v>30.596</v>
      </c>
    </row>
    <row r="8631" spans="1:14" x14ac:dyDescent="0.45">
      <c r="A8631">
        <v>2020</v>
      </c>
      <c r="B8631" t="s">
        <v>181</v>
      </c>
      <c r="C8631">
        <v>1</v>
      </c>
      <c r="D8631">
        <v>0</v>
      </c>
      <c r="E8631">
        <v>0</v>
      </c>
      <c r="F8631">
        <v>0</v>
      </c>
      <c r="G8631">
        <v>1</v>
      </c>
      <c r="H8631">
        <v>0</v>
      </c>
      <c r="I8631">
        <v>0</v>
      </c>
      <c r="J8631">
        <v>20970.287137415002</v>
      </c>
      <c r="K8631">
        <v>17702.862215761801</v>
      </c>
      <c r="L8631">
        <v>41.518000000000001</v>
      </c>
      <c r="M8631">
        <v>74.468999999999994</v>
      </c>
      <c r="N8631">
        <v>6.4050000000000002</v>
      </c>
    </row>
    <row r="8632" spans="1:14" x14ac:dyDescent="0.45">
      <c r="A8632">
        <v>2020</v>
      </c>
      <c r="B8632" t="s">
        <v>182</v>
      </c>
      <c r="C8632">
        <v>0</v>
      </c>
      <c r="D8632">
        <v>0</v>
      </c>
      <c r="E8632">
        <v>1</v>
      </c>
      <c r="F8632">
        <v>0</v>
      </c>
      <c r="G8632">
        <v>0</v>
      </c>
      <c r="H8632">
        <v>0</v>
      </c>
      <c r="I8632">
        <v>0</v>
      </c>
      <c r="J8632">
        <v>2796.41038445608</v>
      </c>
      <c r="K8632">
        <v>2588.3848057768701</v>
      </c>
      <c r="L8632">
        <v>56.091000000000001</v>
      </c>
      <c r="M8632">
        <v>58.857999999999997</v>
      </c>
      <c r="N8632">
        <v>100.062</v>
      </c>
    </row>
    <row r="8633" spans="1:14" x14ac:dyDescent="0.45">
      <c r="A8633">
        <v>2020</v>
      </c>
      <c r="B8633" t="s">
        <v>183</v>
      </c>
      <c r="C8633">
        <v>0</v>
      </c>
      <c r="D8633">
        <v>0</v>
      </c>
      <c r="E8633">
        <v>0</v>
      </c>
      <c r="F8633">
        <v>0</v>
      </c>
      <c r="G8633">
        <v>0</v>
      </c>
      <c r="H8633">
        <v>1</v>
      </c>
      <c r="I8633">
        <v>1</v>
      </c>
      <c r="J8633">
        <v>50392.959120254898</v>
      </c>
      <c r="K8633">
        <v>43592.376160929802</v>
      </c>
      <c r="L8633">
        <v>5.2560000000000002</v>
      </c>
      <c r="M8633">
        <v>82.335999999999999</v>
      </c>
      <c r="N8633">
        <v>4.6130000000000004</v>
      </c>
    </row>
    <row r="8634" spans="1:14" x14ac:dyDescent="0.45">
      <c r="A8634">
        <v>2020</v>
      </c>
      <c r="B8634" t="s">
        <v>184</v>
      </c>
      <c r="C8634">
        <v>0</v>
      </c>
      <c r="D8634">
        <v>0</v>
      </c>
      <c r="E8634">
        <v>0</v>
      </c>
      <c r="F8634">
        <v>1</v>
      </c>
      <c r="G8634">
        <v>0</v>
      </c>
      <c r="H8634">
        <v>0</v>
      </c>
      <c r="I8634">
        <v>0</v>
      </c>
      <c r="J8634">
        <v>5926.8345020668103</v>
      </c>
      <c r="K8634">
        <v>4745.6349492384197</v>
      </c>
      <c r="L8634">
        <v>68.858999999999995</v>
      </c>
      <c r="M8634">
        <v>66.611999999999995</v>
      </c>
      <c r="N8634">
        <v>43.045000000000002</v>
      </c>
    </row>
    <row r="8635" spans="1:14" x14ac:dyDescent="0.45">
      <c r="A8635">
        <v>2020</v>
      </c>
      <c r="B8635" t="s">
        <v>185</v>
      </c>
      <c r="C8635">
        <v>1</v>
      </c>
      <c r="D8635">
        <v>0</v>
      </c>
      <c r="E8635">
        <v>0</v>
      </c>
      <c r="F8635">
        <v>0</v>
      </c>
      <c r="G8635">
        <v>1</v>
      </c>
      <c r="H8635">
        <v>0</v>
      </c>
      <c r="I8635">
        <v>0</v>
      </c>
      <c r="J8635">
        <v>21039.321874895501</v>
      </c>
      <c r="K8635">
        <v>17776.942593674201</v>
      </c>
      <c r="L8635">
        <v>32.512</v>
      </c>
      <c r="M8635">
        <v>75.849999999999994</v>
      </c>
      <c r="N8635">
        <v>4.1609999999999996</v>
      </c>
    </row>
    <row r="8636" spans="1:14" x14ac:dyDescent="0.45">
      <c r="A8636">
        <v>2020</v>
      </c>
      <c r="B8636" t="s">
        <v>186</v>
      </c>
      <c r="C8636">
        <v>0</v>
      </c>
      <c r="D8636">
        <v>0</v>
      </c>
      <c r="E8636">
        <v>0</v>
      </c>
      <c r="F8636">
        <v>1</v>
      </c>
      <c r="G8636">
        <v>0</v>
      </c>
      <c r="H8636">
        <v>0</v>
      </c>
      <c r="I8636">
        <v>0</v>
      </c>
      <c r="J8636">
        <v>14801.3420829185</v>
      </c>
      <c r="K8636">
        <v>11404.077385471601</v>
      </c>
      <c r="L8636">
        <v>31.343</v>
      </c>
      <c r="M8636">
        <v>70.028999999999996</v>
      </c>
      <c r="N8636">
        <v>14.962</v>
      </c>
    </row>
    <row r="8637" spans="1:14" x14ac:dyDescent="0.45">
      <c r="A8637">
        <v>2020</v>
      </c>
      <c r="B8637" t="s">
        <v>187</v>
      </c>
      <c r="C8637">
        <v>0</v>
      </c>
      <c r="D8637">
        <v>0</v>
      </c>
      <c r="E8637">
        <v>0</v>
      </c>
      <c r="F8637">
        <v>0</v>
      </c>
      <c r="G8637">
        <v>0</v>
      </c>
      <c r="H8637">
        <v>1</v>
      </c>
      <c r="I8637">
        <v>1</v>
      </c>
      <c r="L8637">
        <v>8.202</v>
      </c>
      <c r="M8637">
        <v>78.03</v>
      </c>
      <c r="N8637">
        <v>7.2990000000000004</v>
      </c>
    </row>
    <row r="8638" spans="1:14" x14ac:dyDescent="0.45">
      <c r="A8638">
        <v>2020</v>
      </c>
      <c r="B8638" t="s">
        <v>188</v>
      </c>
      <c r="C8638">
        <v>0</v>
      </c>
      <c r="D8638">
        <v>0</v>
      </c>
      <c r="E8638">
        <v>1</v>
      </c>
      <c r="F8638">
        <v>0</v>
      </c>
      <c r="G8638">
        <v>0</v>
      </c>
      <c r="H8638">
        <v>0</v>
      </c>
      <c r="I8638">
        <v>0</v>
      </c>
      <c r="J8638">
        <v>1466.1247647447599</v>
      </c>
      <c r="K8638">
        <v>1227.5861269956599</v>
      </c>
      <c r="L8638">
        <v>62.926000000000002</v>
      </c>
      <c r="M8638">
        <v>61.39</v>
      </c>
      <c r="N8638">
        <v>70.543999999999997</v>
      </c>
    </row>
    <row r="8639" spans="1:14" x14ac:dyDescent="0.45">
      <c r="A8639">
        <v>2020</v>
      </c>
      <c r="B8639" t="s">
        <v>189</v>
      </c>
      <c r="C8639">
        <v>0</v>
      </c>
      <c r="D8639">
        <v>0</v>
      </c>
      <c r="E8639">
        <v>1</v>
      </c>
      <c r="F8639">
        <v>1</v>
      </c>
      <c r="G8639">
        <v>0</v>
      </c>
      <c r="H8639">
        <v>0</v>
      </c>
      <c r="I8639">
        <v>0</v>
      </c>
      <c r="J8639">
        <v>5963.2355033468402</v>
      </c>
      <c r="K8639">
        <v>5275.7541823891197</v>
      </c>
      <c r="L8639">
        <v>44.673000000000002</v>
      </c>
      <c r="M8639">
        <v>66.793999999999997</v>
      </c>
      <c r="N8639">
        <v>41.82</v>
      </c>
    </row>
    <row r="8640" spans="1:14" x14ac:dyDescent="0.45">
      <c r="A8640">
        <v>2020</v>
      </c>
      <c r="B8640" t="s">
        <v>190</v>
      </c>
      <c r="C8640">
        <v>0</v>
      </c>
      <c r="D8640">
        <v>0</v>
      </c>
      <c r="E8640">
        <v>1</v>
      </c>
      <c r="F8640">
        <v>0</v>
      </c>
      <c r="G8640">
        <v>1</v>
      </c>
      <c r="H8640">
        <v>0</v>
      </c>
      <c r="I8640">
        <v>0</v>
      </c>
      <c r="J8640">
        <v>21994.665984868101</v>
      </c>
      <c r="K8640">
        <v>20644.736394368399</v>
      </c>
      <c r="L8640">
        <v>59.24</v>
      </c>
      <c r="M8640">
        <v>74.656999999999996</v>
      </c>
      <c r="N8640">
        <v>15.805</v>
      </c>
    </row>
    <row r="8641" spans="1:14" x14ac:dyDescent="0.45">
      <c r="A8641">
        <v>2020</v>
      </c>
      <c r="B8641" t="s">
        <v>191</v>
      </c>
      <c r="C8641">
        <v>0</v>
      </c>
      <c r="D8641">
        <v>0</v>
      </c>
      <c r="E8641">
        <v>1</v>
      </c>
      <c r="F8641">
        <v>0</v>
      </c>
      <c r="G8641">
        <v>0</v>
      </c>
      <c r="H8641">
        <v>0</v>
      </c>
      <c r="I8641">
        <v>0</v>
      </c>
      <c r="J8641">
        <v>1656.43985192533</v>
      </c>
      <c r="K8641">
        <v>1417.3515908843401</v>
      </c>
      <c r="L8641">
        <v>82.572999999999993</v>
      </c>
      <c r="M8641">
        <v>65.215999999999994</v>
      </c>
      <c r="N8641">
        <v>43.73</v>
      </c>
    </row>
    <row r="8642" spans="1:14" x14ac:dyDescent="0.45">
      <c r="A8642">
        <v>2020</v>
      </c>
      <c r="B8642" t="s">
        <v>192</v>
      </c>
      <c r="C8642">
        <v>0</v>
      </c>
      <c r="D8642">
        <v>0</v>
      </c>
      <c r="E8642">
        <v>0</v>
      </c>
      <c r="F8642">
        <v>0</v>
      </c>
      <c r="G8642">
        <v>1</v>
      </c>
      <c r="H8642">
        <v>0</v>
      </c>
      <c r="I8642">
        <v>0</v>
      </c>
      <c r="J8642">
        <v>29200.452632126999</v>
      </c>
      <c r="K8642">
        <v>26101.759252812499</v>
      </c>
      <c r="L8642">
        <v>22.84</v>
      </c>
      <c r="M8642">
        <v>76.057000000000002</v>
      </c>
      <c r="N8642">
        <v>7.9729999999999999</v>
      </c>
    </row>
    <row r="8643" spans="1:14" x14ac:dyDescent="0.45">
      <c r="A8643">
        <v>2020</v>
      </c>
      <c r="B8643" t="s">
        <v>193</v>
      </c>
      <c r="C8643">
        <v>0</v>
      </c>
      <c r="D8643">
        <v>0</v>
      </c>
      <c r="E8643">
        <v>1</v>
      </c>
      <c r="F8643">
        <v>0</v>
      </c>
      <c r="G8643">
        <v>1</v>
      </c>
      <c r="H8643">
        <v>0</v>
      </c>
      <c r="I8643">
        <v>0</v>
      </c>
      <c r="J8643">
        <v>9652.2482721946308</v>
      </c>
      <c r="K8643">
        <v>8365.6016896030396</v>
      </c>
      <c r="L8643">
        <v>47.966999999999999</v>
      </c>
      <c r="M8643">
        <v>64.070999999999998</v>
      </c>
      <c r="N8643">
        <v>40.451000000000001</v>
      </c>
    </row>
    <row r="8644" spans="1:14" x14ac:dyDescent="0.45">
      <c r="A8644">
        <v>2020</v>
      </c>
      <c r="B8644" t="s">
        <v>194</v>
      </c>
      <c r="C8644">
        <v>0</v>
      </c>
      <c r="D8644">
        <v>0</v>
      </c>
      <c r="E8644">
        <v>0</v>
      </c>
      <c r="F8644">
        <v>0</v>
      </c>
      <c r="G8644">
        <v>0</v>
      </c>
      <c r="H8644">
        <v>1</v>
      </c>
      <c r="I8644">
        <v>1</v>
      </c>
      <c r="L8644">
        <v>28.481999999999999</v>
      </c>
      <c r="M8644">
        <v>77.049000000000007</v>
      </c>
      <c r="N8644">
        <v>12.571999999999999</v>
      </c>
    </row>
    <row r="8645" spans="1:14" x14ac:dyDescent="0.45">
      <c r="A8645">
        <v>2020</v>
      </c>
      <c r="B8645" t="s">
        <v>195</v>
      </c>
      <c r="C8645">
        <v>0</v>
      </c>
      <c r="D8645">
        <v>0</v>
      </c>
      <c r="E8645">
        <v>1</v>
      </c>
      <c r="F8645">
        <v>0</v>
      </c>
      <c r="G8645">
        <v>0</v>
      </c>
      <c r="H8645">
        <v>0</v>
      </c>
      <c r="I8645">
        <v>0</v>
      </c>
      <c r="J8645">
        <v>1615.69272448944</v>
      </c>
      <c r="K8645">
        <v>1284.20457677533</v>
      </c>
      <c r="L8645">
        <v>83.373999999999995</v>
      </c>
      <c r="M8645">
        <v>59.89</v>
      </c>
      <c r="N8645">
        <v>120.727</v>
      </c>
    </row>
    <row r="8646" spans="1:14" x14ac:dyDescent="0.45">
      <c r="A8646">
        <v>2020</v>
      </c>
      <c r="B8646" t="s">
        <v>196</v>
      </c>
      <c r="C8646">
        <v>0</v>
      </c>
      <c r="D8646">
        <v>0</v>
      </c>
      <c r="E8646">
        <v>1</v>
      </c>
      <c r="F8646">
        <v>1</v>
      </c>
      <c r="G8646">
        <v>0</v>
      </c>
      <c r="H8646">
        <v>0</v>
      </c>
      <c r="I8646">
        <v>0</v>
      </c>
      <c r="J8646">
        <v>5410.6935551772604</v>
      </c>
      <c r="K8646">
        <v>4783.7823451786398</v>
      </c>
      <c r="L8646">
        <v>48.042000000000002</v>
      </c>
      <c r="M8646">
        <v>53.072000000000003</v>
      </c>
      <c r="N8646">
        <v>113.74</v>
      </c>
    </row>
    <row r="8647" spans="1:14" x14ac:dyDescent="0.45">
      <c r="A8647">
        <v>2020</v>
      </c>
      <c r="B8647" t="s">
        <v>197</v>
      </c>
      <c r="C8647">
        <v>0</v>
      </c>
      <c r="D8647">
        <v>1</v>
      </c>
      <c r="E8647">
        <v>0</v>
      </c>
      <c r="F8647">
        <v>1</v>
      </c>
      <c r="G8647">
        <v>0</v>
      </c>
      <c r="H8647">
        <v>0</v>
      </c>
      <c r="I8647">
        <v>0</v>
      </c>
      <c r="J8647">
        <v>6523.3698502278003</v>
      </c>
      <c r="K8647">
        <v>5494.4070952964503</v>
      </c>
      <c r="L8647">
        <v>40.988</v>
      </c>
      <c r="M8647">
        <v>70.766000000000005</v>
      </c>
      <c r="N8647">
        <v>16.245000000000001</v>
      </c>
    </row>
    <row r="8648" spans="1:14" x14ac:dyDescent="0.45">
      <c r="A8648">
        <v>2020</v>
      </c>
      <c r="B8648" t="s">
        <v>198</v>
      </c>
      <c r="C8648">
        <v>1</v>
      </c>
      <c r="D8648">
        <v>0</v>
      </c>
      <c r="E8648">
        <v>0</v>
      </c>
      <c r="F8648">
        <v>0</v>
      </c>
      <c r="G8648">
        <v>0</v>
      </c>
      <c r="H8648">
        <v>1</v>
      </c>
      <c r="I8648">
        <v>1</v>
      </c>
      <c r="J8648">
        <v>64862.192249636602</v>
      </c>
      <c r="K8648">
        <v>54752.967172365003</v>
      </c>
      <c r="L8648">
        <v>7.7640000000000002</v>
      </c>
      <c r="M8648">
        <v>81.393000000000001</v>
      </c>
      <c r="N8648">
        <v>4.3</v>
      </c>
    </row>
    <row r="8649" spans="1:14" x14ac:dyDescent="0.45">
      <c r="A8649">
        <v>2020</v>
      </c>
      <c r="B8649" t="s">
        <v>199</v>
      </c>
      <c r="C8649">
        <v>1</v>
      </c>
      <c r="D8649">
        <v>0</v>
      </c>
      <c r="E8649">
        <v>0</v>
      </c>
      <c r="F8649">
        <v>0</v>
      </c>
      <c r="G8649">
        <v>0</v>
      </c>
      <c r="H8649">
        <v>1</v>
      </c>
      <c r="I8649">
        <v>1</v>
      </c>
      <c r="J8649">
        <v>86096.050894750602</v>
      </c>
      <c r="K8649">
        <v>63615.305042904598</v>
      </c>
      <c r="L8649">
        <v>17.026</v>
      </c>
      <c r="M8649">
        <v>83.194999999999993</v>
      </c>
      <c r="N8649">
        <v>2.0750000000000002</v>
      </c>
    </row>
    <row r="8650" spans="1:14" x14ac:dyDescent="0.45">
      <c r="A8650">
        <v>2020</v>
      </c>
      <c r="B8650" t="s">
        <v>200</v>
      </c>
      <c r="C8650">
        <v>0</v>
      </c>
      <c r="D8650">
        <v>0</v>
      </c>
      <c r="E8650">
        <v>0</v>
      </c>
      <c r="F8650">
        <v>1</v>
      </c>
      <c r="G8650">
        <v>0</v>
      </c>
      <c r="H8650">
        <v>0</v>
      </c>
      <c r="I8650">
        <v>0</v>
      </c>
      <c r="J8650">
        <v>4412.5420439395002</v>
      </c>
      <c r="K8650">
        <v>3906.45401810054</v>
      </c>
      <c r="L8650">
        <v>79.424000000000007</v>
      </c>
      <c r="M8650">
        <v>69.105999999999995</v>
      </c>
      <c r="N8650">
        <v>30.303000000000001</v>
      </c>
    </row>
    <row r="8651" spans="1:14" x14ac:dyDescent="0.45">
      <c r="A8651">
        <v>2020</v>
      </c>
      <c r="B8651" t="s">
        <v>201</v>
      </c>
      <c r="C8651">
        <v>0</v>
      </c>
      <c r="D8651">
        <v>0</v>
      </c>
      <c r="E8651">
        <v>0</v>
      </c>
      <c r="F8651">
        <v>0</v>
      </c>
      <c r="G8651">
        <v>0</v>
      </c>
      <c r="H8651">
        <v>1</v>
      </c>
      <c r="I8651">
        <v>1</v>
      </c>
      <c r="J8651">
        <v>11441.258449843101</v>
      </c>
      <c r="K8651">
        <v>10351.1407152966</v>
      </c>
      <c r="L8651">
        <v>0</v>
      </c>
      <c r="M8651">
        <v>61.527000000000001</v>
      </c>
      <c r="N8651">
        <v>28.334</v>
      </c>
    </row>
    <row r="8652" spans="1:14" x14ac:dyDescent="0.45">
      <c r="A8652">
        <v>2020</v>
      </c>
      <c r="B8652" t="s">
        <v>202</v>
      </c>
      <c r="C8652">
        <v>0</v>
      </c>
      <c r="D8652">
        <v>0</v>
      </c>
      <c r="E8652">
        <v>0</v>
      </c>
      <c r="F8652">
        <v>0</v>
      </c>
      <c r="G8652">
        <v>0</v>
      </c>
      <c r="H8652">
        <v>1</v>
      </c>
      <c r="I8652">
        <v>1</v>
      </c>
      <c r="J8652">
        <v>46104.605790875197</v>
      </c>
      <c r="K8652">
        <v>41934.536408141699</v>
      </c>
      <c r="L8652">
        <v>13.301</v>
      </c>
      <c r="M8652">
        <v>82.662999999999997</v>
      </c>
      <c r="N8652">
        <v>4.4130000000000003</v>
      </c>
    </row>
    <row r="8653" spans="1:14" x14ac:dyDescent="0.45">
      <c r="A8653">
        <v>2020</v>
      </c>
      <c r="B8653" t="s">
        <v>203</v>
      </c>
      <c r="C8653">
        <v>0</v>
      </c>
      <c r="D8653">
        <v>0</v>
      </c>
      <c r="E8653">
        <v>0</v>
      </c>
      <c r="F8653">
        <v>0</v>
      </c>
      <c r="G8653">
        <v>0</v>
      </c>
      <c r="H8653">
        <v>1</v>
      </c>
      <c r="I8653">
        <v>1</v>
      </c>
      <c r="J8653">
        <v>37560.599871495302</v>
      </c>
      <c r="K8653">
        <v>32637.178463313699</v>
      </c>
      <c r="L8653">
        <v>13.724</v>
      </c>
      <c r="M8653">
        <v>77.763000000000005</v>
      </c>
      <c r="N8653">
        <v>10.677</v>
      </c>
    </row>
    <row r="8654" spans="1:14" x14ac:dyDescent="0.45">
      <c r="A8654">
        <v>2020</v>
      </c>
      <c r="B8654" t="s">
        <v>204</v>
      </c>
      <c r="C8654">
        <v>0</v>
      </c>
      <c r="D8654">
        <v>0</v>
      </c>
      <c r="E8654">
        <v>0</v>
      </c>
      <c r="F8654">
        <v>1</v>
      </c>
      <c r="G8654">
        <v>0</v>
      </c>
      <c r="H8654">
        <v>0</v>
      </c>
      <c r="I8654">
        <v>0</v>
      </c>
      <c r="J8654">
        <v>5135.0145928883903</v>
      </c>
      <c r="K8654">
        <v>4888.0141269810301</v>
      </c>
      <c r="L8654">
        <v>62.835000000000001</v>
      </c>
      <c r="M8654">
        <v>65.700999999999993</v>
      </c>
      <c r="N8654">
        <v>65.164000000000001</v>
      </c>
    </row>
    <row r="8655" spans="1:14" x14ac:dyDescent="0.45">
      <c r="A8655">
        <v>2020</v>
      </c>
      <c r="B8655" t="s">
        <v>205</v>
      </c>
      <c r="C8655">
        <v>0</v>
      </c>
      <c r="D8655">
        <v>1</v>
      </c>
      <c r="E8655">
        <v>0</v>
      </c>
      <c r="F8655">
        <v>0</v>
      </c>
      <c r="G8655">
        <v>1</v>
      </c>
      <c r="H8655">
        <v>0</v>
      </c>
      <c r="I8655">
        <v>0</v>
      </c>
      <c r="J8655">
        <v>26881.798705398902</v>
      </c>
      <c r="K8655">
        <v>28187.6635729105</v>
      </c>
      <c r="L8655">
        <v>31.585999999999999</v>
      </c>
      <c r="M8655">
        <v>76.33</v>
      </c>
      <c r="N8655">
        <v>12.772</v>
      </c>
    </row>
    <row r="8656" spans="1:14" x14ac:dyDescent="0.45">
      <c r="A8656">
        <v>2020</v>
      </c>
      <c r="B8656" t="s">
        <v>206</v>
      </c>
      <c r="C8656">
        <v>0</v>
      </c>
      <c r="D8656">
        <v>1</v>
      </c>
      <c r="E8656">
        <v>0</v>
      </c>
      <c r="F8656">
        <v>0</v>
      </c>
      <c r="G8656">
        <v>1</v>
      </c>
      <c r="H8656">
        <v>0</v>
      </c>
      <c r="I8656">
        <v>0</v>
      </c>
      <c r="J8656">
        <v>13609.5999609595</v>
      </c>
      <c r="K8656">
        <v>11371.967016668001</v>
      </c>
      <c r="L8656">
        <v>21.702999999999999</v>
      </c>
      <c r="M8656">
        <v>73.831999999999994</v>
      </c>
      <c r="N8656">
        <v>15.721</v>
      </c>
    </row>
    <row r="8657" spans="1:14" x14ac:dyDescent="0.45">
      <c r="A8657">
        <v>2020</v>
      </c>
      <c r="B8657" t="s">
        <v>207</v>
      </c>
      <c r="C8657">
        <v>0</v>
      </c>
      <c r="D8657">
        <v>0</v>
      </c>
      <c r="E8657">
        <v>0</v>
      </c>
      <c r="F8657">
        <v>1</v>
      </c>
      <c r="G8657">
        <v>0</v>
      </c>
      <c r="H8657">
        <v>0</v>
      </c>
      <c r="I8657">
        <v>0</v>
      </c>
      <c r="J8657">
        <v>8455.1845713410603</v>
      </c>
      <c r="K8657">
        <v>7657.0199994567902</v>
      </c>
      <c r="L8657">
        <v>52.591999999999999</v>
      </c>
      <c r="M8657">
        <v>70.096999999999994</v>
      </c>
      <c r="N8657">
        <v>28.114000000000001</v>
      </c>
    </row>
    <row r="8658" spans="1:14" x14ac:dyDescent="0.45">
      <c r="A8658">
        <v>2020</v>
      </c>
      <c r="B8658" t="s">
        <v>208</v>
      </c>
      <c r="C8658">
        <v>0</v>
      </c>
      <c r="D8658">
        <v>0</v>
      </c>
      <c r="E8658">
        <v>0</v>
      </c>
      <c r="F8658">
        <v>0</v>
      </c>
      <c r="G8658">
        <v>0</v>
      </c>
      <c r="H8658">
        <v>1</v>
      </c>
      <c r="I8658">
        <v>1</v>
      </c>
      <c r="J8658">
        <v>18160.254566059299</v>
      </c>
      <c r="K8658">
        <v>16429.954035472801</v>
      </c>
      <c r="L8658">
        <v>19.012</v>
      </c>
      <c r="M8658">
        <v>68.688999999999993</v>
      </c>
      <c r="N8658">
        <v>22.657</v>
      </c>
    </row>
    <row r="8659" spans="1:14" x14ac:dyDescent="0.45">
      <c r="A8659">
        <v>2020</v>
      </c>
      <c r="B8659" t="s">
        <v>209</v>
      </c>
      <c r="C8659">
        <v>0</v>
      </c>
      <c r="D8659">
        <v>0</v>
      </c>
      <c r="E8659">
        <v>0</v>
      </c>
      <c r="F8659">
        <v>1</v>
      </c>
      <c r="G8659">
        <v>0</v>
      </c>
      <c r="H8659">
        <v>0</v>
      </c>
      <c r="I8659">
        <v>0</v>
      </c>
      <c r="J8659">
        <v>4077.6313216355402</v>
      </c>
      <c r="K8659">
        <v>3688.6307816850299</v>
      </c>
      <c r="L8659">
        <v>86.655000000000001</v>
      </c>
      <c r="M8659">
        <v>65.075000000000003</v>
      </c>
      <c r="N8659">
        <v>44.161000000000001</v>
      </c>
    </row>
    <row r="8660" spans="1:14" x14ac:dyDescent="0.45">
      <c r="A8660">
        <v>2020</v>
      </c>
      <c r="B8660" t="s">
        <v>210</v>
      </c>
      <c r="C8660">
        <v>1</v>
      </c>
      <c r="D8660">
        <v>0</v>
      </c>
      <c r="E8660">
        <v>0</v>
      </c>
      <c r="F8660">
        <v>0</v>
      </c>
      <c r="G8660">
        <v>0</v>
      </c>
      <c r="H8660">
        <v>1</v>
      </c>
      <c r="I8660">
        <v>1</v>
      </c>
      <c r="J8660">
        <v>37852.802131363896</v>
      </c>
      <c r="K8660">
        <v>32673.443472780698</v>
      </c>
      <c r="L8660">
        <v>39.957000000000001</v>
      </c>
      <c r="M8660">
        <v>76.594999999999999</v>
      </c>
      <c r="N8660">
        <v>4.0650000000000004</v>
      </c>
    </row>
    <row r="8661" spans="1:14" x14ac:dyDescent="0.45">
      <c r="A8661">
        <v>2020</v>
      </c>
      <c r="B8661" t="s">
        <v>211</v>
      </c>
      <c r="C8661">
        <v>0</v>
      </c>
      <c r="D8661">
        <v>1</v>
      </c>
      <c r="E8661">
        <v>0</v>
      </c>
      <c r="F8661">
        <v>0</v>
      </c>
      <c r="G8661">
        <v>0</v>
      </c>
      <c r="H8661">
        <v>1</v>
      </c>
      <c r="I8661">
        <v>1</v>
      </c>
      <c r="J8661">
        <v>40171.38668761</v>
      </c>
      <c r="K8661">
        <v>30861.295501664699</v>
      </c>
      <c r="L8661">
        <v>6.4189999999999996</v>
      </c>
      <c r="M8661">
        <v>80.009</v>
      </c>
      <c r="N8661">
        <v>6.2409999999999997</v>
      </c>
    </row>
    <row r="8662" spans="1:14" x14ac:dyDescent="0.45">
      <c r="A8662">
        <v>2020</v>
      </c>
      <c r="B8662" t="s">
        <v>212</v>
      </c>
      <c r="C8662">
        <v>0</v>
      </c>
      <c r="D8662">
        <v>0</v>
      </c>
      <c r="E8662">
        <v>0</v>
      </c>
      <c r="F8662">
        <v>0</v>
      </c>
      <c r="G8662">
        <v>0</v>
      </c>
      <c r="H8662">
        <v>0</v>
      </c>
      <c r="I8662">
        <v>0</v>
      </c>
      <c r="L8662">
        <v>37.619</v>
      </c>
      <c r="M8662">
        <v>72.783000000000001</v>
      </c>
      <c r="N8662">
        <v>17.497</v>
      </c>
    </row>
    <row r="8663" spans="1:14" x14ac:dyDescent="0.45">
      <c r="A8663">
        <v>2020</v>
      </c>
      <c r="B8663" t="s">
        <v>213</v>
      </c>
      <c r="C8663">
        <v>1</v>
      </c>
      <c r="D8663">
        <v>0</v>
      </c>
      <c r="E8663">
        <v>0</v>
      </c>
      <c r="F8663">
        <v>0</v>
      </c>
      <c r="G8663">
        <v>0</v>
      </c>
      <c r="H8663">
        <v>1</v>
      </c>
      <c r="I8663">
        <v>1</v>
      </c>
      <c r="J8663">
        <v>36852.228386487601</v>
      </c>
      <c r="K8663">
        <v>31854.443188315799</v>
      </c>
      <c r="L8663">
        <v>33.69</v>
      </c>
      <c r="M8663">
        <v>81.366</v>
      </c>
      <c r="N8663">
        <v>2.9660000000000002</v>
      </c>
    </row>
    <row r="8664" spans="1:14" x14ac:dyDescent="0.45">
      <c r="A8664">
        <v>2020</v>
      </c>
      <c r="B8664" t="s">
        <v>214</v>
      </c>
      <c r="C8664">
        <v>0</v>
      </c>
      <c r="D8664">
        <v>1</v>
      </c>
      <c r="E8664">
        <v>0</v>
      </c>
      <c r="F8664">
        <v>0</v>
      </c>
      <c r="G8664">
        <v>1</v>
      </c>
      <c r="H8664">
        <v>0</v>
      </c>
      <c r="I8664">
        <v>0</v>
      </c>
      <c r="J8664">
        <v>14991.6606201094</v>
      </c>
      <c r="K8664">
        <v>13677.4771816091</v>
      </c>
      <c r="L8664">
        <v>37.817</v>
      </c>
      <c r="M8664">
        <v>72.72</v>
      </c>
      <c r="N8664">
        <v>18.68</v>
      </c>
    </row>
    <row r="8665" spans="1:14" x14ac:dyDescent="0.45">
      <c r="A8665">
        <v>2020</v>
      </c>
      <c r="B8665" t="s">
        <v>215</v>
      </c>
      <c r="C8665">
        <v>0</v>
      </c>
      <c r="D8665">
        <v>0</v>
      </c>
      <c r="E8665">
        <v>0</v>
      </c>
      <c r="F8665">
        <v>1</v>
      </c>
      <c r="G8665">
        <v>0</v>
      </c>
      <c r="H8665">
        <v>0</v>
      </c>
      <c r="I8665">
        <v>0</v>
      </c>
      <c r="J8665">
        <v>5423.6825465312604</v>
      </c>
      <c r="K8665">
        <v>4624.6920371117203</v>
      </c>
      <c r="L8665">
        <v>23.280999999999999</v>
      </c>
      <c r="M8665">
        <v>74.998000000000005</v>
      </c>
      <c r="N8665">
        <v>15.226000000000001</v>
      </c>
    </row>
    <row r="8666" spans="1:14" x14ac:dyDescent="0.45">
      <c r="A8666">
        <v>2020</v>
      </c>
      <c r="B8666" t="s">
        <v>216</v>
      </c>
      <c r="C8666">
        <v>0</v>
      </c>
      <c r="D8666">
        <v>0</v>
      </c>
      <c r="E8666">
        <v>0</v>
      </c>
      <c r="F8666">
        <v>0</v>
      </c>
      <c r="G8666">
        <v>0</v>
      </c>
      <c r="H8666">
        <v>1</v>
      </c>
      <c r="I8666">
        <v>1</v>
      </c>
      <c r="L8666">
        <v>38.024999999999999</v>
      </c>
      <c r="M8666">
        <v>82.459000000000003</v>
      </c>
      <c r="N8666">
        <v>6.55</v>
      </c>
    </row>
    <row r="8667" spans="1:14" x14ac:dyDescent="0.45">
      <c r="A8667">
        <v>2020</v>
      </c>
      <c r="B8667" t="s">
        <v>217</v>
      </c>
      <c r="C8667">
        <v>0</v>
      </c>
      <c r="D8667">
        <v>0</v>
      </c>
      <c r="E8667">
        <v>0</v>
      </c>
      <c r="F8667">
        <v>0</v>
      </c>
      <c r="G8667">
        <v>0</v>
      </c>
      <c r="H8667">
        <v>1</v>
      </c>
      <c r="I8667">
        <v>1</v>
      </c>
      <c r="J8667">
        <v>103061.913422502</v>
      </c>
      <c r="K8667">
        <v>88993.741888573</v>
      </c>
      <c r="L8667">
        <v>0.76500000000000101</v>
      </c>
      <c r="M8667">
        <v>80.409000000000006</v>
      </c>
      <c r="N8667">
        <v>5.8620000000000001</v>
      </c>
    </row>
    <row r="8668" spans="1:14" x14ac:dyDescent="0.45">
      <c r="A8668">
        <v>2020</v>
      </c>
      <c r="B8668" t="s">
        <v>218</v>
      </c>
      <c r="C8668">
        <v>1</v>
      </c>
      <c r="D8668">
        <v>0</v>
      </c>
      <c r="E8668">
        <v>0</v>
      </c>
      <c r="F8668">
        <v>0</v>
      </c>
      <c r="G8668">
        <v>1</v>
      </c>
      <c r="H8668">
        <v>0</v>
      </c>
      <c r="I8668">
        <v>0</v>
      </c>
      <c r="J8668">
        <v>35482.196312797198</v>
      </c>
      <c r="K8668">
        <v>28841.208833254001</v>
      </c>
      <c r="L8668">
        <v>45.805999999999997</v>
      </c>
      <c r="M8668">
        <v>74.046000000000006</v>
      </c>
      <c r="N8668">
        <v>6.657</v>
      </c>
    </row>
    <row r="8669" spans="1:14" x14ac:dyDescent="0.45">
      <c r="A8669">
        <v>2020</v>
      </c>
      <c r="B8669" t="s">
        <v>219</v>
      </c>
      <c r="C8669">
        <v>1</v>
      </c>
      <c r="D8669">
        <v>0</v>
      </c>
      <c r="E8669">
        <v>0</v>
      </c>
      <c r="F8669">
        <v>0</v>
      </c>
      <c r="G8669">
        <v>1</v>
      </c>
      <c r="H8669">
        <v>0</v>
      </c>
      <c r="I8669">
        <v>0</v>
      </c>
      <c r="J8669">
        <v>36376.3359375</v>
      </c>
      <c r="K8669">
        <v>26361.972935911199</v>
      </c>
      <c r="L8669">
        <v>25.245999999999999</v>
      </c>
      <c r="M8669">
        <v>71.171000000000006</v>
      </c>
      <c r="N8669">
        <v>5.7249999999999996</v>
      </c>
    </row>
    <row r="8670" spans="1:14" x14ac:dyDescent="0.45">
      <c r="A8670">
        <v>2020</v>
      </c>
      <c r="B8670" t="s">
        <v>220</v>
      </c>
      <c r="C8670">
        <v>0</v>
      </c>
      <c r="D8670">
        <v>0</v>
      </c>
      <c r="E8670">
        <v>1</v>
      </c>
      <c r="F8670">
        <v>0</v>
      </c>
      <c r="G8670">
        <v>0</v>
      </c>
      <c r="H8670">
        <v>0</v>
      </c>
      <c r="I8670">
        <v>0</v>
      </c>
      <c r="J8670">
        <v>2520.3173942537301</v>
      </c>
      <c r="K8670">
        <v>2109.13733244693</v>
      </c>
      <c r="L8670">
        <v>82.567999999999998</v>
      </c>
      <c r="M8670">
        <v>66.953000000000003</v>
      </c>
      <c r="N8670">
        <v>40.709000000000003</v>
      </c>
    </row>
    <row r="8671" spans="1:14" x14ac:dyDescent="0.45">
      <c r="A8671">
        <v>2020</v>
      </c>
      <c r="B8671" t="s">
        <v>221</v>
      </c>
      <c r="C8671">
        <v>0</v>
      </c>
      <c r="D8671">
        <v>0</v>
      </c>
      <c r="E8671">
        <v>0</v>
      </c>
      <c r="F8671">
        <v>0</v>
      </c>
      <c r="G8671">
        <v>0</v>
      </c>
      <c r="H8671">
        <v>1</v>
      </c>
      <c r="I8671">
        <v>1</v>
      </c>
      <c r="J8671">
        <v>57420.733573642399</v>
      </c>
      <c r="K8671">
        <v>52642.067621985298</v>
      </c>
      <c r="L8671">
        <v>15.712999999999999</v>
      </c>
      <c r="M8671">
        <v>77.596000000000004</v>
      </c>
      <c r="N8671">
        <v>7.0469999999999997</v>
      </c>
    </row>
    <row r="8672" spans="1:14" x14ac:dyDescent="0.45">
      <c r="A8672">
        <v>2020</v>
      </c>
      <c r="B8672" t="s">
        <v>222</v>
      </c>
      <c r="C8672">
        <v>0</v>
      </c>
      <c r="D8672">
        <v>0</v>
      </c>
      <c r="E8672">
        <v>1</v>
      </c>
      <c r="F8672">
        <v>0</v>
      </c>
      <c r="G8672">
        <v>0</v>
      </c>
      <c r="H8672">
        <v>0</v>
      </c>
      <c r="I8672">
        <v>0</v>
      </c>
      <c r="J8672">
        <v>3401.24975585938</v>
      </c>
      <c r="K8672">
        <v>3561.55703165872</v>
      </c>
      <c r="L8672">
        <v>64.747</v>
      </c>
      <c r="M8672">
        <v>65.123999999999995</v>
      </c>
      <c r="N8672">
        <v>55.31</v>
      </c>
    </row>
    <row r="8673" spans="1:14" x14ac:dyDescent="0.45">
      <c r="A8673">
        <v>2020</v>
      </c>
      <c r="B8673" t="s">
        <v>223</v>
      </c>
      <c r="C8673">
        <v>0</v>
      </c>
      <c r="D8673">
        <v>0</v>
      </c>
      <c r="E8673">
        <v>1</v>
      </c>
      <c r="F8673">
        <v>1</v>
      </c>
      <c r="G8673">
        <v>0</v>
      </c>
      <c r="H8673">
        <v>0</v>
      </c>
      <c r="I8673">
        <v>0</v>
      </c>
      <c r="J8673">
        <v>4018.0412927735802</v>
      </c>
      <c r="K8673">
        <v>3356.8284353834401</v>
      </c>
      <c r="L8673">
        <v>51.878</v>
      </c>
      <c r="M8673">
        <v>67.495999999999995</v>
      </c>
      <c r="N8673">
        <v>40.238</v>
      </c>
    </row>
    <row r="8674" spans="1:14" x14ac:dyDescent="0.45">
      <c r="A8674">
        <v>2020</v>
      </c>
      <c r="B8674" t="s">
        <v>224</v>
      </c>
      <c r="C8674">
        <v>0</v>
      </c>
      <c r="D8674">
        <v>0</v>
      </c>
      <c r="E8674">
        <v>0</v>
      </c>
      <c r="F8674">
        <v>0</v>
      </c>
      <c r="G8674">
        <v>0</v>
      </c>
      <c r="H8674">
        <v>1</v>
      </c>
      <c r="I8674">
        <v>1</v>
      </c>
      <c r="J8674">
        <v>115893.042395938</v>
      </c>
      <c r="K8674">
        <v>95268.405185525597</v>
      </c>
      <c r="L8674">
        <v>0</v>
      </c>
      <c r="M8674">
        <v>83.661000000000001</v>
      </c>
      <c r="N8674">
        <v>2.6850000000000001</v>
      </c>
    </row>
    <row r="8675" spans="1:14" x14ac:dyDescent="0.45">
      <c r="A8675">
        <v>2020</v>
      </c>
      <c r="B8675" t="s">
        <v>225</v>
      </c>
      <c r="C8675">
        <v>0</v>
      </c>
      <c r="D8675">
        <v>0</v>
      </c>
      <c r="E8675">
        <v>0</v>
      </c>
      <c r="F8675">
        <v>1</v>
      </c>
      <c r="G8675">
        <v>0</v>
      </c>
      <c r="H8675">
        <v>0</v>
      </c>
      <c r="I8675">
        <v>0</v>
      </c>
      <c r="J8675">
        <v>2515.1283279199201</v>
      </c>
      <c r="K8675">
        <v>2275.1170761912299</v>
      </c>
      <c r="L8675">
        <v>75.33</v>
      </c>
      <c r="M8675">
        <v>69.257999999999996</v>
      </c>
      <c r="N8675">
        <v>20.332999999999998</v>
      </c>
    </row>
    <row r="8676" spans="1:14" x14ac:dyDescent="0.45">
      <c r="A8676">
        <v>2020</v>
      </c>
      <c r="B8676" t="s">
        <v>226</v>
      </c>
      <c r="C8676">
        <v>0</v>
      </c>
      <c r="D8676">
        <v>0</v>
      </c>
      <c r="E8676">
        <v>1</v>
      </c>
      <c r="F8676">
        <v>0</v>
      </c>
      <c r="G8676">
        <v>0</v>
      </c>
      <c r="H8676">
        <v>0</v>
      </c>
      <c r="I8676">
        <v>0</v>
      </c>
      <c r="J8676">
        <v>2755.1025245078699</v>
      </c>
      <c r="K8676">
        <v>2500.7255079694501</v>
      </c>
      <c r="L8676">
        <v>57.076999999999998</v>
      </c>
      <c r="M8676">
        <v>59.694000000000003</v>
      </c>
      <c r="N8676">
        <v>108.404</v>
      </c>
    </row>
    <row r="8677" spans="1:14" x14ac:dyDescent="0.45">
      <c r="A8677">
        <v>2020</v>
      </c>
      <c r="B8677" t="s">
        <v>227</v>
      </c>
      <c r="C8677">
        <v>0</v>
      </c>
      <c r="D8677">
        <v>1</v>
      </c>
      <c r="E8677">
        <v>0</v>
      </c>
      <c r="F8677">
        <v>1</v>
      </c>
      <c r="G8677">
        <v>0</v>
      </c>
      <c r="H8677">
        <v>0</v>
      </c>
      <c r="I8677">
        <v>0</v>
      </c>
      <c r="J8677">
        <v>9692.4493160579896</v>
      </c>
      <c r="K8677">
        <v>8633.5530605038402</v>
      </c>
      <c r="L8677">
        <v>26.556000000000001</v>
      </c>
      <c r="M8677">
        <v>70.244</v>
      </c>
      <c r="N8677">
        <v>12.84</v>
      </c>
    </row>
    <row r="8678" spans="1:14" x14ac:dyDescent="0.45">
      <c r="A8678">
        <v>2020</v>
      </c>
      <c r="B8678" t="s">
        <v>228</v>
      </c>
      <c r="C8678">
        <v>1</v>
      </c>
      <c r="D8678">
        <v>0</v>
      </c>
      <c r="E8678">
        <v>0</v>
      </c>
      <c r="F8678">
        <v>0</v>
      </c>
      <c r="G8678">
        <v>0</v>
      </c>
      <c r="H8678">
        <v>1</v>
      </c>
      <c r="I8678">
        <v>1</v>
      </c>
      <c r="J8678">
        <v>55998.071099456101</v>
      </c>
      <c r="K8678">
        <v>49355.2624845186</v>
      </c>
      <c r="L8678">
        <v>2.5009999999999999</v>
      </c>
      <c r="M8678">
        <v>82.65</v>
      </c>
      <c r="N8678">
        <v>1.587</v>
      </c>
    </row>
    <row r="8679" spans="1:14" x14ac:dyDescent="0.45">
      <c r="A8679">
        <v>2020</v>
      </c>
      <c r="B8679" t="s">
        <v>229</v>
      </c>
      <c r="C8679">
        <v>0</v>
      </c>
      <c r="D8679">
        <v>0</v>
      </c>
      <c r="E8679">
        <v>1</v>
      </c>
      <c r="F8679">
        <v>0</v>
      </c>
      <c r="G8679">
        <v>0</v>
      </c>
      <c r="H8679">
        <v>0</v>
      </c>
      <c r="I8679">
        <v>0</v>
      </c>
      <c r="J8679">
        <v>1396.0534334436099</v>
      </c>
      <c r="K8679">
        <v>1294.88742080374</v>
      </c>
      <c r="L8679">
        <v>53.859000000000002</v>
      </c>
      <c r="M8679">
        <v>57.094999999999999</v>
      </c>
      <c r="N8679">
        <v>113.476</v>
      </c>
    </row>
    <row r="8680" spans="1:14" x14ac:dyDescent="0.45">
      <c r="A8680">
        <v>2020</v>
      </c>
      <c r="B8680" t="s">
        <v>230</v>
      </c>
      <c r="C8680">
        <v>1</v>
      </c>
      <c r="D8680">
        <v>0</v>
      </c>
      <c r="E8680">
        <v>0</v>
      </c>
      <c r="F8680">
        <v>0</v>
      </c>
      <c r="G8680">
        <v>1</v>
      </c>
      <c r="H8680">
        <v>0</v>
      </c>
      <c r="I8680">
        <v>0</v>
      </c>
      <c r="J8680">
        <v>21477.8772156464</v>
      </c>
      <c r="K8680">
        <v>18886.007798263799</v>
      </c>
      <c r="L8680">
        <v>43.554000000000002</v>
      </c>
      <c r="M8680">
        <v>74.507000000000005</v>
      </c>
      <c r="N8680">
        <v>5.6280000000000001</v>
      </c>
    </row>
    <row r="8681" spans="1:14" x14ac:dyDescent="0.45">
      <c r="A8681">
        <v>2020</v>
      </c>
      <c r="B8681" t="s">
        <v>231</v>
      </c>
      <c r="C8681">
        <v>0</v>
      </c>
      <c r="D8681">
        <v>0</v>
      </c>
      <c r="E8681">
        <v>1</v>
      </c>
      <c r="F8681">
        <v>0</v>
      </c>
      <c r="G8681">
        <v>0</v>
      </c>
      <c r="H8681">
        <v>0</v>
      </c>
      <c r="I8681">
        <v>0</v>
      </c>
      <c r="L8681">
        <v>79.801000000000002</v>
      </c>
      <c r="M8681">
        <v>57.648000000000003</v>
      </c>
      <c r="N8681">
        <v>99.138999999999996</v>
      </c>
    </row>
    <row r="8682" spans="1:14" x14ac:dyDescent="0.45">
      <c r="A8682">
        <v>2020</v>
      </c>
      <c r="B8682" t="s">
        <v>232</v>
      </c>
      <c r="C8682">
        <v>0</v>
      </c>
      <c r="D8682">
        <v>0</v>
      </c>
      <c r="E8682">
        <v>1</v>
      </c>
      <c r="F8682">
        <v>1</v>
      </c>
      <c r="G8682">
        <v>0</v>
      </c>
      <c r="H8682">
        <v>0</v>
      </c>
      <c r="I8682">
        <v>0</v>
      </c>
      <c r="J8682">
        <v>5742.9472485882598</v>
      </c>
      <c r="K8682">
        <v>3574.3200980225301</v>
      </c>
      <c r="L8682">
        <v>25.646000000000001</v>
      </c>
      <c r="M8682">
        <v>67.978999999999999</v>
      </c>
      <c r="N8682">
        <v>16.224</v>
      </c>
    </row>
    <row r="8683" spans="1:14" x14ac:dyDescent="0.45">
      <c r="A8683">
        <v>2020</v>
      </c>
      <c r="B8683" t="s">
        <v>233</v>
      </c>
      <c r="C8683">
        <v>0</v>
      </c>
      <c r="D8683">
        <v>1</v>
      </c>
      <c r="E8683">
        <v>0</v>
      </c>
      <c r="F8683">
        <v>0</v>
      </c>
      <c r="G8683">
        <v>1</v>
      </c>
      <c r="H8683">
        <v>0</v>
      </c>
      <c r="I8683">
        <v>0</v>
      </c>
      <c r="J8683">
        <v>19091.361718422599</v>
      </c>
      <c r="K8683">
        <v>15196.334967565699</v>
      </c>
      <c r="L8683">
        <v>33.850999999999999</v>
      </c>
      <c r="M8683">
        <v>72.320999999999998</v>
      </c>
      <c r="N8683">
        <v>17.655999999999999</v>
      </c>
    </row>
    <row r="8684" spans="1:14" x14ac:dyDescent="0.45">
      <c r="A8684">
        <v>2020</v>
      </c>
      <c r="B8684" t="s">
        <v>234</v>
      </c>
      <c r="C8684">
        <v>1</v>
      </c>
      <c r="D8684">
        <v>0</v>
      </c>
      <c r="E8684">
        <v>0</v>
      </c>
      <c r="F8684">
        <v>0</v>
      </c>
      <c r="G8684">
        <v>0</v>
      </c>
      <c r="H8684">
        <v>1</v>
      </c>
      <c r="I8684">
        <v>1</v>
      </c>
      <c r="J8684">
        <v>36201.415463088502</v>
      </c>
      <c r="K8684">
        <v>31179.657719816099</v>
      </c>
      <c r="L8684">
        <v>46.24</v>
      </c>
      <c r="M8684">
        <v>76.864000000000004</v>
      </c>
      <c r="N8684">
        <v>5.9779999999999998</v>
      </c>
    </row>
    <row r="8685" spans="1:14" x14ac:dyDescent="0.45">
      <c r="A8685">
        <v>2020</v>
      </c>
      <c r="B8685" t="s">
        <v>235</v>
      </c>
      <c r="C8685">
        <v>1</v>
      </c>
      <c r="D8685">
        <v>0</v>
      </c>
      <c r="E8685">
        <v>0</v>
      </c>
      <c r="F8685">
        <v>0</v>
      </c>
      <c r="G8685">
        <v>0</v>
      </c>
      <c r="H8685">
        <v>1</v>
      </c>
      <c r="I8685">
        <v>1</v>
      </c>
      <c r="J8685">
        <v>42474.224706986599</v>
      </c>
      <c r="K8685">
        <v>36562.0118928589</v>
      </c>
      <c r="L8685">
        <v>44.881999999999998</v>
      </c>
      <c r="M8685">
        <v>80.364000000000004</v>
      </c>
      <c r="N8685">
        <v>2.3660000000000001</v>
      </c>
    </row>
    <row r="8686" spans="1:14" x14ac:dyDescent="0.45">
      <c r="A8686">
        <v>2020</v>
      </c>
      <c r="B8686" t="s">
        <v>236</v>
      </c>
      <c r="C8686">
        <v>1</v>
      </c>
      <c r="D8686">
        <v>0</v>
      </c>
      <c r="E8686">
        <v>0</v>
      </c>
      <c r="F8686">
        <v>0</v>
      </c>
      <c r="G8686">
        <v>0</v>
      </c>
      <c r="H8686">
        <v>1</v>
      </c>
      <c r="I8686">
        <v>1</v>
      </c>
      <c r="J8686">
        <v>59572.474759697601</v>
      </c>
      <c r="K8686">
        <v>50887.907162613497</v>
      </c>
      <c r="L8686">
        <v>12.023</v>
      </c>
      <c r="M8686">
        <v>82.427000000000007</v>
      </c>
      <c r="N8686">
        <v>2.7679999999999998</v>
      </c>
    </row>
    <row r="8687" spans="1:14" x14ac:dyDescent="0.45">
      <c r="A8687">
        <v>2020</v>
      </c>
      <c r="B8687" t="s">
        <v>237</v>
      </c>
      <c r="C8687">
        <v>0</v>
      </c>
      <c r="D8687">
        <v>0</v>
      </c>
      <c r="E8687">
        <v>1</v>
      </c>
      <c r="F8687">
        <v>1</v>
      </c>
      <c r="G8687">
        <v>0</v>
      </c>
      <c r="H8687">
        <v>0</v>
      </c>
      <c r="I8687">
        <v>0</v>
      </c>
      <c r="J8687">
        <v>9727.5139000252693</v>
      </c>
      <c r="K8687">
        <v>8613.7153405443205</v>
      </c>
      <c r="L8687">
        <v>75.828999999999994</v>
      </c>
      <c r="M8687">
        <v>59.862000000000002</v>
      </c>
      <c r="N8687">
        <v>54.66</v>
      </c>
    </row>
    <row r="8688" spans="1:14" x14ac:dyDescent="0.45">
      <c r="A8688">
        <v>2020</v>
      </c>
      <c r="B8688" t="s">
        <v>238</v>
      </c>
      <c r="C8688">
        <v>0</v>
      </c>
      <c r="D8688">
        <v>1</v>
      </c>
      <c r="E8688">
        <v>0</v>
      </c>
      <c r="F8688">
        <v>0</v>
      </c>
      <c r="G8688">
        <v>0</v>
      </c>
      <c r="H8688">
        <v>1</v>
      </c>
      <c r="I8688">
        <v>1</v>
      </c>
      <c r="J8688">
        <v>39265.761679056799</v>
      </c>
      <c r="K8688">
        <v>37894.895295025199</v>
      </c>
      <c r="L8688">
        <v>0</v>
      </c>
      <c r="M8688">
        <v>75.001999999999995</v>
      </c>
      <c r="N8688">
        <v>15.983000000000001</v>
      </c>
    </row>
    <row r="8689" spans="1:14" x14ac:dyDescent="0.45">
      <c r="A8689">
        <v>2020</v>
      </c>
      <c r="B8689" t="s">
        <v>239</v>
      </c>
      <c r="C8689">
        <v>0</v>
      </c>
      <c r="D8689">
        <v>0</v>
      </c>
      <c r="E8689">
        <v>1</v>
      </c>
      <c r="F8689">
        <v>0</v>
      </c>
      <c r="G8689">
        <v>0</v>
      </c>
      <c r="H8689">
        <v>1</v>
      </c>
      <c r="I8689">
        <v>1</v>
      </c>
      <c r="J8689">
        <v>30056.1994300968</v>
      </c>
      <c r="K8689">
        <v>29180.057608947998</v>
      </c>
      <c r="L8689">
        <v>42.454000000000001</v>
      </c>
      <c r="M8689">
        <v>74.090999999999994</v>
      </c>
      <c r="N8689">
        <v>14.651</v>
      </c>
    </row>
    <row r="8690" spans="1:14" x14ac:dyDescent="0.45">
      <c r="A8690">
        <v>2020</v>
      </c>
      <c r="B8690" t="s">
        <v>240</v>
      </c>
      <c r="C8690">
        <v>0</v>
      </c>
      <c r="D8690">
        <v>0</v>
      </c>
      <c r="E8690">
        <v>0</v>
      </c>
      <c r="F8690">
        <v>0</v>
      </c>
      <c r="G8690">
        <v>0</v>
      </c>
      <c r="H8690">
        <v>0</v>
      </c>
      <c r="I8690">
        <v>0</v>
      </c>
      <c r="J8690">
        <v>4633.3495184772801</v>
      </c>
      <c r="K8690">
        <v>3039.1410348573199</v>
      </c>
      <c r="L8690">
        <v>44.524999999999999</v>
      </c>
      <c r="M8690">
        <v>71.944000000000003</v>
      </c>
      <c r="N8690">
        <v>22.263000000000002</v>
      </c>
    </row>
    <row r="8691" spans="1:14" x14ac:dyDescent="0.45">
      <c r="A8691">
        <v>2020</v>
      </c>
      <c r="B8691" t="s">
        <v>241</v>
      </c>
      <c r="C8691">
        <v>0</v>
      </c>
      <c r="D8691">
        <v>1</v>
      </c>
      <c r="E8691">
        <v>0</v>
      </c>
      <c r="F8691">
        <v>0</v>
      </c>
      <c r="G8691">
        <v>0</v>
      </c>
      <c r="H8691">
        <v>1</v>
      </c>
      <c r="I8691">
        <v>1</v>
      </c>
      <c r="J8691">
        <v>19702.536819685502</v>
      </c>
      <c r="K8691">
        <v>30673.642971886398</v>
      </c>
      <c r="L8691">
        <v>6.3949999999999996</v>
      </c>
      <c r="M8691">
        <v>77.498999999999995</v>
      </c>
      <c r="N8691">
        <v>6.2229999999999999</v>
      </c>
    </row>
    <row r="8692" spans="1:14" x14ac:dyDescent="0.45">
      <c r="A8692">
        <v>2020</v>
      </c>
      <c r="B8692" t="s">
        <v>242</v>
      </c>
      <c r="C8692">
        <v>0</v>
      </c>
      <c r="D8692">
        <v>0</v>
      </c>
      <c r="E8692">
        <v>1</v>
      </c>
      <c r="F8692">
        <v>0</v>
      </c>
      <c r="G8692">
        <v>0</v>
      </c>
      <c r="H8692">
        <v>0</v>
      </c>
      <c r="I8692">
        <v>0</v>
      </c>
      <c r="J8692">
        <v>2513.0157840288898</v>
      </c>
      <c r="K8692">
        <v>2111.0241760302001</v>
      </c>
      <c r="L8692">
        <v>76.48</v>
      </c>
      <c r="M8692">
        <v>53.082000000000001</v>
      </c>
      <c r="N8692">
        <v>110.024</v>
      </c>
    </row>
    <row r="8693" spans="1:14" x14ac:dyDescent="0.45">
      <c r="A8693">
        <v>2020</v>
      </c>
      <c r="B8693" t="s">
        <v>243</v>
      </c>
      <c r="C8693">
        <v>0</v>
      </c>
      <c r="D8693">
        <v>0</v>
      </c>
      <c r="E8693">
        <v>1</v>
      </c>
      <c r="F8693">
        <v>0</v>
      </c>
      <c r="G8693">
        <v>0</v>
      </c>
      <c r="H8693">
        <v>0</v>
      </c>
      <c r="I8693">
        <v>0</v>
      </c>
      <c r="J8693">
        <v>2490.0529378086399</v>
      </c>
      <c r="K8693">
        <v>2069.3279736398499</v>
      </c>
      <c r="L8693">
        <v>57.2</v>
      </c>
      <c r="M8693">
        <v>61.122999999999998</v>
      </c>
      <c r="N8693">
        <v>64.433999999999997</v>
      </c>
    </row>
    <row r="8694" spans="1:14" x14ac:dyDescent="0.45">
      <c r="A8694">
        <v>2020</v>
      </c>
      <c r="B8694" t="s">
        <v>244</v>
      </c>
      <c r="C8694">
        <v>0</v>
      </c>
      <c r="D8694">
        <v>0</v>
      </c>
      <c r="E8694">
        <v>0</v>
      </c>
      <c r="F8694">
        <v>0</v>
      </c>
      <c r="G8694">
        <v>1</v>
      </c>
      <c r="H8694">
        <v>0</v>
      </c>
      <c r="I8694">
        <v>0</v>
      </c>
      <c r="J8694">
        <v>19957.257140917001</v>
      </c>
      <c r="K8694">
        <v>17453.161711704699</v>
      </c>
      <c r="L8694">
        <v>48.57</v>
      </c>
      <c r="M8694">
        <v>77.331000000000003</v>
      </c>
      <c r="N8694">
        <v>8.7319999999999993</v>
      </c>
    </row>
    <row r="8695" spans="1:14" x14ac:dyDescent="0.45">
      <c r="A8695">
        <v>2020</v>
      </c>
      <c r="B8695" t="s">
        <v>245</v>
      </c>
      <c r="C8695">
        <v>1</v>
      </c>
      <c r="D8695">
        <v>0</v>
      </c>
      <c r="E8695">
        <v>0</v>
      </c>
      <c r="F8695">
        <v>1</v>
      </c>
      <c r="G8695">
        <v>0</v>
      </c>
      <c r="H8695">
        <v>0</v>
      </c>
      <c r="I8695">
        <v>0</v>
      </c>
      <c r="J8695">
        <v>3724.7489591466001</v>
      </c>
      <c r="K8695">
        <v>3392.2599976493798</v>
      </c>
      <c r="L8695">
        <v>72.494</v>
      </c>
      <c r="M8695">
        <v>68.605000000000004</v>
      </c>
      <c r="N8695">
        <v>32.701000000000001</v>
      </c>
    </row>
    <row r="8696" spans="1:14" x14ac:dyDescent="0.45">
      <c r="A8696">
        <v>2020</v>
      </c>
      <c r="B8696" t="s">
        <v>246</v>
      </c>
      <c r="C8696">
        <v>1</v>
      </c>
      <c r="D8696">
        <v>0</v>
      </c>
      <c r="E8696">
        <v>0</v>
      </c>
      <c r="F8696">
        <v>0</v>
      </c>
      <c r="G8696">
        <v>1</v>
      </c>
      <c r="H8696">
        <v>0</v>
      </c>
      <c r="I8696">
        <v>0</v>
      </c>
      <c r="J8696">
        <v>15791.177585760101</v>
      </c>
      <c r="K8696">
        <v>14862.9551532184</v>
      </c>
      <c r="L8696">
        <v>47.484000000000002</v>
      </c>
      <c r="M8696">
        <v>68.846000000000004</v>
      </c>
      <c r="N8696">
        <v>41.753</v>
      </c>
    </row>
    <row r="8697" spans="1:14" x14ac:dyDescent="0.45">
      <c r="A8697">
        <v>2020</v>
      </c>
      <c r="B8697" t="s">
        <v>247</v>
      </c>
      <c r="C8697">
        <v>0</v>
      </c>
      <c r="D8697">
        <v>0</v>
      </c>
      <c r="E8697">
        <v>0</v>
      </c>
      <c r="F8697">
        <v>1</v>
      </c>
      <c r="G8697">
        <v>0</v>
      </c>
      <c r="H8697">
        <v>0</v>
      </c>
      <c r="I8697">
        <v>0</v>
      </c>
      <c r="J8697">
        <v>6598.0345988101899</v>
      </c>
      <c r="K8697">
        <v>5323.7076460137996</v>
      </c>
      <c r="L8697">
        <v>68.680000000000007</v>
      </c>
      <c r="M8697">
        <v>66.918999999999997</v>
      </c>
      <c r="N8697">
        <v>51.826000000000001</v>
      </c>
    </row>
    <row r="8698" spans="1:14" x14ac:dyDescent="0.45">
      <c r="A8698">
        <v>2020</v>
      </c>
      <c r="B8698" t="s">
        <v>248</v>
      </c>
      <c r="C8698">
        <v>0</v>
      </c>
      <c r="D8698">
        <v>0</v>
      </c>
      <c r="E8698">
        <v>0</v>
      </c>
      <c r="F8698">
        <v>0</v>
      </c>
      <c r="G8698">
        <v>1</v>
      </c>
      <c r="H8698">
        <v>0</v>
      </c>
      <c r="I8698">
        <v>0</v>
      </c>
      <c r="J8698">
        <v>6995.31729495122</v>
      </c>
      <c r="K8698">
        <v>6332.3799622746401</v>
      </c>
      <c r="L8698">
        <v>76.900999999999996</v>
      </c>
      <c r="M8698">
        <v>72.379000000000005</v>
      </c>
      <c r="N8698">
        <v>11.42</v>
      </c>
    </row>
    <row r="8699" spans="1:14" x14ac:dyDescent="0.45">
      <c r="A8699">
        <v>2020</v>
      </c>
      <c r="B8699" t="s">
        <v>249</v>
      </c>
      <c r="C8699">
        <v>0</v>
      </c>
      <c r="D8699">
        <v>1</v>
      </c>
      <c r="E8699">
        <v>0</v>
      </c>
      <c r="F8699">
        <v>0</v>
      </c>
      <c r="G8699">
        <v>0</v>
      </c>
      <c r="H8699">
        <v>1</v>
      </c>
      <c r="I8699">
        <v>1</v>
      </c>
      <c r="J8699">
        <v>30723.403547432899</v>
      </c>
      <c r="K8699">
        <v>25641.538308229399</v>
      </c>
      <c r="L8699">
        <v>46.786000000000001</v>
      </c>
      <c r="M8699">
        <v>72.644999999999996</v>
      </c>
      <c r="N8699">
        <v>16.928000000000001</v>
      </c>
    </row>
    <row r="8700" spans="1:14" x14ac:dyDescent="0.45">
      <c r="A8700">
        <v>2020</v>
      </c>
      <c r="B8700" t="s">
        <v>250</v>
      </c>
      <c r="C8700">
        <v>0</v>
      </c>
      <c r="D8700">
        <v>0</v>
      </c>
      <c r="E8700">
        <v>0</v>
      </c>
      <c r="F8700">
        <v>1</v>
      </c>
      <c r="G8700">
        <v>0</v>
      </c>
      <c r="H8700">
        <v>0</v>
      </c>
      <c r="I8700">
        <v>0</v>
      </c>
      <c r="J8700">
        <v>11955.5659209798</v>
      </c>
      <c r="K8700">
        <v>10419.0759901894</v>
      </c>
      <c r="L8700">
        <v>30.431999999999999</v>
      </c>
      <c r="M8700">
        <v>75.004000000000005</v>
      </c>
      <c r="N8700">
        <v>13.298999999999999</v>
      </c>
    </row>
    <row r="8701" spans="1:14" x14ac:dyDescent="0.45">
      <c r="A8701">
        <v>2020</v>
      </c>
      <c r="B8701" t="s">
        <v>251</v>
      </c>
      <c r="C8701">
        <v>1</v>
      </c>
      <c r="D8701">
        <v>0</v>
      </c>
      <c r="E8701">
        <v>0</v>
      </c>
      <c r="F8701">
        <v>0</v>
      </c>
      <c r="G8701">
        <v>1</v>
      </c>
      <c r="H8701">
        <v>0</v>
      </c>
      <c r="I8701">
        <v>0</v>
      </c>
      <c r="J8701">
        <v>28378.552084953899</v>
      </c>
      <c r="K8701">
        <v>28454.469266523702</v>
      </c>
      <c r="L8701">
        <v>23.895</v>
      </c>
      <c r="M8701">
        <v>76.525000000000006</v>
      </c>
      <c r="N8701">
        <v>10.569000000000001</v>
      </c>
    </row>
    <row r="8702" spans="1:14" x14ac:dyDescent="0.45">
      <c r="A8702">
        <v>2020</v>
      </c>
      <c r="B8702" t="s">
        <v>252</v>
      </c>
      <c r="C8702">
        <v>0</v>
      </c>
      <c r="D8702">
        <v>0</v>
      </c>
      <c r="E8702">
        <v>0</v>
      </c>
      <c r="F8702">
        <v>0</v>
      </c>
      <c r="G8702">
        <v>1</v>
      </c>
      <c r="H8702">
        <v>0</v>
      </c>
      <c r="I8702">
        <v>0</v>
      </c>
      <c r="J8702">
        <v>5154.4595783401501</v>
      </c>
      <c r="K8702">
        <v>4663.0046190908597</v>
      </c>
      <c r="L8702">
        <v>35.985999999999997</v>
      </c>
      <c r="M8702">
        <v>66.356999999999999</v>
      </c>
      <c r="N8702">
        <v>21.783000000000001</v>
      </c>
    </row>
    <row r="8703" spans="1:14" x14ac:dyDescent="0.45">
      <c r="A8703">
        <v>2020</v>
      </c>
      <c r="B8703" t="s">
        <v>253</v>
      </c>
      <c r="C8703">
        <v>0</v>
      </c>
      <c r="D8703">
        <v>0</v>
      </c>
      <c r="E8703">
        <v>0</v>
      </c>
      <c r="F8703">
        <v>0</v>
      </c>
      <c r="G8703">
        <v>0</v>
      </c>
      <c r="H8703">
        <v>1</v>
      </c>
      <c r="I8703">
        <v>1</v>
      </c>
      <c r="L8703">
        <v>38.572000000000003</v>
      </c>
      <c r="M8703">
        <v>81.106999999999999</v>
      </c>
      <c r="N8703">
        <v>4.4669999999999996</v>
      </c>
    </row>
    <row r="8704" spans="1:14" x14ac:dyDescent="0.45">
      <c r="A8704">
        <v>2020</v>
      </c>
      <c r="B8704" t="s">
        <v>254</v>
      </c>
      <c r="C8704">
        <v>0</v>
      </c>
      <c r="D8704">
        <v>0</v>
      </c>
      <c r="E8704">
        <v>1</v>
      </c>
      <c r="F8704">
        <v>1</v>
      </c>
      <c r="G8704">
        <v>0</v>
      </c>
      <c r="H8704">
        <v>0</v>
      </c>
      <c r="I8704">
        <v>0</v>
      </c>
      <c r="J8704">
        <v>3449.82153320313</v>
      </c>
      <c r="K8704">
        <v>2569.6573081731999</v>
      </c>
      <c r="L8704">
        <v>64.772999999999996</v>
      </c>
      <c r="M8704">
        <v>66.771000000000001</v>
      </c>
      <c r="N8704">
        <v>43.857999999999997</v>
      </c>
    </row>
    <row r="8705" spans="1:14" x14ac:dyDescent="0.45">
      <c r="A8705">
        <v>2020</v>
      </c>
      <c r="B8705" t="s">
        <v>255</v>
      </c>
      <c r="C8705">
        <v>0</v>
      </c>
      <c r="D8705">
        <v>0</v>
      </c>
      <c r="E8705">
        <v>1</v>
      </c>
      <c r="F8705">
        <v>0</v>
      </c>
      <c r="G8705">
        <v>0</v>
      </c>
      <c r="H8705">
        <v>0</v>
      </c>
      <c r="I8705">
        <v>0</v>
      </c>
      <c r="J8705">
        <v>2678.00907202293</v>
      </c>
      <c r="K8705">
        <v>2271.76728182938</v>
      </c>
      <c r="L8705">
        <v>75.046000000000006</v>
      </c>
      <c r="M8705">
        <v>66.41</v>
      </c>
      <c r="N8705">
        <v>43.472999999999999</v>
      </c>
    </row>
    <row r="8706" spans="1:14" x14ac:dyDescent="0.45">
      <c r="A8706">
        <v>2020</v>
      </c>
      <c r="B8706" t="s">
        <v>256</v>
      </c>
      <c r="C8706">
        <v>1</v>
      </c>
      <c r="D8706">
        <v>0</v>
      </c>
      <c r="E8706">
        <v>0</v>
      </c>
      <c r="F8706">
        <v>1</v>
      </c>
      <c r="G8706">
        <v>0</v>
      </c>
      <c r="H8706">
        <v>0</v>
      </c>
      <c r="I8706">
        <v>0</v>
      </c>
      <c r="J8706">
        <v>17092.5390625</v>
      </c>
      <c r="K8706">
        <v>12089.305604376301</v>
      </c>
      <c r="L8706">
        <v>30.391999999999999</v>
      </c>
      <c r="M8706">
        <v>73.283000000000001</v>
      </c>
      <c r="N8706">
        <v>7.1340000000000003</v>
      </c>
    </row>
    <row r="8707" spans="1:14" x14ac:dyDescent="0.45">
      <c r="A8707">
        <v>2020</v>
      </c>
      <c r="B8707" t="s">
        <v>257</v>
      </c>
      <c r="C8707">
        <v>0</v>
      </c>
      <c r="D8707">
        <v>1</v>
      </c>
      <c r="E8707">
        <v>0</v>
      </c>
      <c r="F8707">
        <v>0</v>
      </c>
      <c r="G8707">
        <v>0</v>
      </c>
      <c r="H8707">
        <v>1</v>
      </c>
      <c r="I8707">
        <v>1</v>
      </c>
      <c r="J8707">
        <v>27788.185496815298</v>
      </c>
      <c r="K8707">
        <v>22040.715604438901</v>
      </c>
      <c r="L8707">
        <v>4.4850000000000003</v>
      </c>
      <c r="M8707">
        <v>78.381</v>
      </c>
      <c r="N8707">
        <v>6.6970000000000001</v>
      </c>
    </row>
    <row r="8708" spans="1:14" x14ac:dyDescent="0.45">
      <c r="A8708">
        <v>2020</v>
      </c>
      <c r="B8708" t="s">
        <v>258</v>
      </c>
      <c r="C8708">
        <v>0</v>
      </c>
      <c r="D8708">
        <v>0</v>
      </c>
      <c r="E8708">
        <v>0</v>
      </c>
      <c r="F8708">
        <v>0</v>
      </c>
      <c r="G8708">
        <v>0</v>
      </c>
      <c r="H8708">
        <v>1</v>
      </c>
      <c r="I8708">
        <v>1</v>
      </c>
      <c r="J8708">
        <v>67342.0709283912</v>
      </c>
      <c r="K8708">
        <v>61124.687785105503</v>
      </c>
      <c r="L8708">
        <v>17.335999999999999</v>
      </c>
      <c r="M8708">
        <v>77.010999999999996</v>
      </c>
      <c r="N8708">
        <v>6.1790000000000003</v>
      </c>
    </row>
    <row r="8709" spans="1:14" x14ac:dyDescent="0.45">
      <c r="A8709">
        <v>2020</v>
      </c>
      <c r="B8709" t="s">
        <v>259</v>
      </c>
      <c r="C8709">
        <v>1</v>
      </c>
      <c r="D8709">
        <v>0</v>
      </c>
      <c r="E8709">
        <v>0</v>
      </c>
      <c r="F8709">
        <v>1</v>
      </c>
      <c r="G8709">
        <v>0</v>
      </c>
      <c r="H8709">
        <v>0</v>
      </c>
      <c r="I8709">
        <v>0</v>
      </c>
      <c r="J8709">
        <v>8727.4110493922308</v>
      </c>
      <c r="K8709">
        <v>8479.0027652539302</v>
      </c>
      <c r="L8709">
        <v>49.584000000000003</v>
      </c>
      <c r="M8709">
        <v>71.460999999999999</v>
      </c>
      <c r="N8709">
        <v>14.988</v>
      </c>
    </row>
    <row r="8710" spans="1:14" x14ac:dyDescent="0.45">
      <c r="A8710">
        <v>2020</v>
      </c>
      <c r="B8710" t="s">
        <v>260</v>
      </c>
      <c r="C8710">
        <v>0</v>
      </c>
      <c r="D8710">
        <v>1</v>
      </c>
      <c r="E8710">
        <v>0</v>
      </c>
      <c r="F8710">
        <v>0</v>
      </c>
      <c r="G8710">
        <v>1</v>
      </c>
      <c r="H8710">
        <v>0</v>
      </c>
      <c r="I8710">
        <v>0</v>
      </c>
      <c r="J8710">
        <v>15763.705438253901</v>
      </c>
      <c r="K8710">
        <v>13776.8665812821</v>
      </c>
      <c r="L8710">
        <v>46.968000000000004</v>
      </c>
      <c r="M8710">
        <v>69.605000000000004</v>
      </c>
      <c r="N8710">
        <v>17.722999999999999</v>
      </c>
    </row>
    <row r="8711" spans="1:14" x14ac:dyDescent="0.45">
      <c r="A8711">
        <v>2020</v>
      </c>
      <c r="B8711" t="s">
        <v>261</v>
      </c>
      <c r="C8711">
        <v>0</v>
      </c>
      <c r="D8711">
        <v>1</v>
      </c>
      <c r="E8711">
        <v>0</v>
      </c>
      <c r="F8711">
        <v>0</v>
      </c>
      <c r="G8711">
        <v>1</v>
      </c>
      <c r="H8711">
        <v>0</v>
      </c>
      <c r="I8711">
        <v>0</v>
      </c>
      <c r="L8711">
        <v>11.721</v>
      </c>
      <c r="M8711">
        <v>72.369</v>
      </c>
      <c r="N8711">
        <v>18.786999999999999</v>
      </c>
    </row>
    <row r="8712" spans="1:14" x14ac:dyDescent="0.45">
      <c r="A8712">
        <v>2020</v>
      </c>
      <c r="B8712" t="s">
        <v>262</v>
      </c>
      <c r="C8712">
        <v>0</v>
      </c>
      <c r="D8712">
        <v>1</v>
      </c>
      <c r="E8712">
        <v>0</v>
      </c>
      <c r="F8712">
        <v>0</v>
      </c>
      <c r="G8712">
        <v>0</v>
      </c>
      <c r="H8712">
        <v>1</v>
      </c>
      <c r="I8712">
        <v>1</v>
      </c>
      <c r="L8712">
        <v>51.484999999999999</v>
      </c>
      <c r="M8712">
        <v>76.894000000000005</v>
      </c>
      <c r="N8712">
        <v>13.709</v>
      </c>
    </row>
    <row r="8713" spans="1:14" x14ac:dyDescent="0.45">
      <c r="A8713">
        <v>2020</v>
      </c>
      <c r="B8713" t="s">
        <v>263</v>
      </c>
      <c r="C8713">
        <v>0</v>
      </c>
      <c r="D8713">
        <v>1</v>
      </c>
      <c r="E8713">
        <v>0</v>
      </c>
      <c r="F8713">
        <v>0</v>
      </c>
      <c r="G8713">
        <v>0</v>
      </c>
      <c r="H8713">
        <v>1</v>
      </c>
      <c r="I8713">
        <v>1</v>
      </c>
      <c r="J8713">
        <v>45055.782930352303</v>
      </c>
      <c r="K8713">
        <v>35286.527451619899</v>
      </c>
      <c r="L8713">
        <v>4.0610000000000097</v>
      </c>
      <c r="M8713">
        <v>74.713999999999999</v>
      </c>
      <c r="N8713">
        <v>6.4550000000000001</v>
      </c>
    </row>
    <row r="8714" spans="1:14" x14ac:dyDescent="0.45">
      <c r="A8714">
        <v>2020</v>
      </c>
      <c r="B8714" t="s">
        <v>264</v>
      </c>
      <c r="C8714">
        <v>0</v>
      </c>
      <c r="D8714">
        <v>0</v>
      </c>
      <c r="E8714">
        <v>0</v>
      </c>
      <c r="F8714">
        <v>1</v>
      </c>
      <c r="G8714">
        <v>0</v>
      </c>
      <c r="H8714">
        <v>0</v>
      </c>
      <c r="I8714">
        <v>0</v>
      </c>
      <c r="J8714">
        <v>11851.3965685649</v>
      </c>
      <c r="K8714">
        <v>10560.5767172536</v>
      </c>
      <c r="L8714">
        <v>62.66</v>
      </c>
      <c r="M8714">
        <v>75.382999999999996</v>
      </c>
      <c r="N8714">
        <v>20.975000000000001</v>
      </c>
    </row>
    <row r="8715" spans="1:14" x14ac:dyDescent="0.45">
      <c r="A8715">
        <v>2020</v>
      </c>
      <c r="B8715" t="s">
        <v>265</v>
      </c>
      <c r="C8715">
        <v>0</v>
      </c>
      <c r="D8715">
        <v>0</v>
      </c>
      <c r="E8715">
        <v>0</v>
      </c>
      <c r="F8715">
        <v>1</v>
      </c>
      <c r="G8715">
        <v>0</v>
      </c>
      <c r="H8715">
        <v>0</v>
      </c>
      <c r="I8715">
        <v>0</v>
      </c>
      <c r="J8715">
        <v>3259.9954375319999</v>
      </c>
      <c r="K8715">
        <v>2948.9962604589</v>
      </c>
      <c r="L8715">
        <v>74.474999999999994</v>
      </c>
      <c r="M8715">
        <v>70.385000000000005</v>
      </c>
      <c r="N8715">
        <v>19.172000000000001</v>
      </c>
    </row>
    <row r="8716" spans="1:14" x14ac:dyDescent="0.45">
      <c r="A8716">
        <v>2020</v>
      </c>
      <c r="B8716" t="s">
        <v>266</v>
      </c>
      <c r="C8716">
        <v>0</v>
      </c>
      <c r="D8716">
        <v>0</v>
      </c>
      <c r="E8716">
        <v>0</v>
      </c>
      <c r="F8716">
        <v>1</v>
      </c>
      <c r="G8716">
        <v>0</v>
      </c>
      <c r="H8716">
        <v>0</v>
      </c>
      <c r="I8716">
        <v>0</v>
      </c>
      <c r="J8716">
        <v>6745.3063959615401</v>
      </c>
      <c r="K8716">
        <v>6101.8132443766199</v>
      </c>
      <c r="L8716">
        <v>82.111000000000004</v>
      </c>
      <c r="M8716">
        <v>70.727000000000004</v>
      </c>
      <c r="N8716">
        <v>17.513000000000002</v>
      </c>
    </row>
    <row r="8717" spans="1:14" x14ac:dyDescent="0.45">
      <c r="A8717">
        <v>2020</v>
      </c>
      <c r="B8717" t="s">
        <v>267</v>
      </c>
      <c r="C8717">
        <v>1</v>
      </c>
      <c r="D8717">
        <v>0</v>
      </c>
      <c r="E8717">
        <v>0</v>
      </c>
      <c r="F8717">
        <v>0</v>
      </c>
      <c r="G8717">
        <v>1</v>
      </c>
      <c r="H8717">
        <v>0</v>
      </c>
      <c r="I8717">
        <v>0</v>
      </c>
      <c r="J8717">
        <v>11137.502856040401</v>
      </c>
      <c r="K8717">
        <v>10109.211029635801</v>
      </c>
      <c r="L8717">
        <v>43.554000000000002</v>
      </c>
      <c r="M8717">
        <v>74.212000000000003</v>
      </c>
      <c r="N8717">
        <v>10.625999999999999</v>
      </c>
    </row>
    <row r="8718" spans="1:14" x14ac:dyDescent="0.45">
      <c r="A8718">
        <v>2020</v>
      </c>
      <c r="B8718" t="s">
        <v>268</v>
      </c>
      <c r="C8718">
        <v>0</v>
      </c>
      <c r="D8718">
        <v>0</v>
      </c>
      <c r="E8718">
        <v>0</v>
      </c>
      <c r="F8718">
        <v>0</v>
      </c>
      <c r="G8718">
        <v>0</v>
      </c>
      <c r="H8718">
        <v>0</v>
      </c>
      <c r="I8718">
        <v>0</v>
      </c>
      <c r="L8718">
        <v>62.091999999999999</v>
      </c>
      <c r="M8718">
        <v>66.435000000000002</v>
      </c>
      <c r="N8718">
        <v>43.445999999999998</v>
      </c>
    </row>
    <row r="8719" spans="1:14" x14ac:dyDescent="0.45">
      <c r="A8719">
        <v>2020</v>
      </c>
      <c r="B8719" t="s">
        <v>269</v>
      </c>
      <c r="C8719">
        <v>0</v>
      </c>
      <c r="D8719">
        <v>0</v>
      </c>
      <c r="E8719">
        <v>1</v>
      </c>
      <c r="F8719">
        <v>0</v>
      </c>
      <c r="G8719">
        <v>1</v>
      </c>
      <c r="H8719">
        <v>0</v>
      </c>
      <c r="I8719">
        <v>0</v>
      </c>
      <c r="J8719">
        <v>13266.785814741001</v>
      </c>
      <c r="K8719">
        <v>12491.2245500194</v>
      </c>
      <c r="L8719">
        <v>32.646000000000001</v>
      </c>
      <c r="M8719">
        <v>65.150000000000006</v>
      </c>
      <c r="N8719">
        <v>29.29</v>
      </c>
    </row>
    <row r="8720" spans="1:14" x14ac:dyDescent="0.45">
      <c r="A8720">
        <v>2020</v>
      </c>
      <c r="B8720" t="s">
        <v>270</v>
      </c>
      <c r="C8720">
        <v>0</v>
      </c>
      <c r="D8720">
        <v>0</v>
      </c>
      <c r="E8720">
        <v>1</v>
      </c>
      <c r="F8720">
        <v>1</v>
      </c>
      <c r="G8720">
        <v>0</v>
      </c>
      <c r="H8720">
        <v>0</v>
      </c>
      <c r="I8720">
        <v>0</v>
      </c>
      <c r="J8720">
        <v>3391.5954115609502</v>
      </c>
      <c r="K8720">
        <v>3184.2239988440301</v>
      </c>
      <c r="L8720">
        <v>55.371000000000002</v>
      </c>
      <c r="M8720">
        <v>63.360999999999997</v>
      </c>
      <c r="N8720">
        <v>59.146999999999998</v>
      </c>
    </row>
    <row r="8721" spans="1:14" x14ac:dyDescent="0.45">
      <c r="A8721">
        <v>2020</v>
      </c>
      <c r="B8721" t="s">
        <v>271</v>
      </c>
      <c r="C8721">
        <v>0</v>
      </c>
      <c r="D8721">
        <v>0</v>
      </c>
      <c r="E8721">
        <v>1</v>
      </c>
      <c r="F8721">
        <v>1</v>
      </c>
      <c r="G8721">
        <v>0</v>
      </c>
      <c r="H8721">
        <v>0</v>
      </c>
      <c r="I8721">
        <v>0</v>
      </c>
      <c r="J8721">
        <v>2987.2684126563299</v>
      </c>
      <c r="K8721">
        <v>1989.0305141992001</v>
      </c>
      <c r="L8721">
        <v>67.757999999999996</v>
      </c>
      <c r="M8721">
        <v>61.53</v>
      </c>
      <c r="N8721">
        <v>49.991999999999997</v>
      </c>
    </row>
    <row r="8722" spans="1:14" x14ac:dyDescent="0.45">
      <c r="A8722">
        <v>2021</v>
      </c>
      <c r="B8722" t="s">
        <v>54</v>
      </c>
      <c r="C8722">
        <v>0</v>
      </c>
      <c r="D8722">
        <v>1</v>
      </c>
      <c r="E8722">
        <v>0</v>
      </c>
      <c r="F8722">
        <v>0</v>
      </c>
      <c r="G8722">
        <v>0</v>
      </c>
      <c r="H8722">
        <v>1</v>
      </c>
      <c r="I8722">
        <v>1</v>
      </c>
      <c r="J8722">
        <v>35696.309372292599</v>
      </c>
      <c r="K8722">
        <v>34739.908824799102</v>
      </c>
      <c r="L8722">
        <v>56.134</v>
      </c>
      <c r="M8722">
        <v>73.655000000000001</v>
      </c>
      <c r="N8722">
        <v>15.244999999999999</v>
      </c>
    </row>
    <row r="8723" spans="1:14" x14ac:dyDescent="0.45">
      <c r="A8723">
        <v>2021</v>
      </c>
      <c r="B8723" t="s">
        <v>55</v>
      </c>
      <c r="C8723">
        <v>0</v>
      </c>
      <c r="D8723">
        <v>0</v>
      </c>
      <c r="E8723">
        <v>0</v>
      </c>
      <c r="F8723">
        <v>0</v>
      </c>
      <c r="G8723">
        <v>0</v>
      </c>
      <c r="H8723">
        <v>0</v>
      </c>
      <c r="I8723">
        <v>0</v>
      </c>
      <c r="J8723">
        <v>2144.1665700281901</v>
      </c>
      <c r="K8723">
        <v>1696.01672640829</v>
      </c>
      <c r="L8723">
        <v>73.686000000000007</v>
      </c>
      <c r="M8723">
        <v>60.417000000000002</v>
      </c>
      <c r="N8723">
        <v>61.366999999999997</v>
      </c>
    </row>
    <row r="8724" spans="1:14" x14ac:dyDescent="0.45">
      <c r="A8724">
        <v>2021</v>
      </c>
      <c r="B8724" t="s">
        <v>56</v>
      </c>
      <c r="C8724">
        <v>0</v>
      </c>
      <c r="D8724">
        <v>0</v>
      </c>
      <c r="E8724">
        <v>1</v>
      </c>
      <c r="F8724">
        <v>1</v>
      </c>
      <c r="G8724">
        <v>0</v>
      </c>
      <c r="H8724">
        <v>0</v>
      </c>
      <c r="I8724">
        <v>0</v>
      </c>
      <c r="J8724">
        <v>7408.12659121059</v>
      </c>
      <c r="K8724">
        <v>5729.0805921957099</v>
      </c>
      <c r="L8724">
        <v>32.54</v>
      </c>
      <c r="M8724">
        <v>62.957999999999998</v>
      </c>
      <c r="N8724">
        <v>69.084999999999994</v>
      </c>
    </row>
    <row r="8725" spans="1:14" x14ac:dyDescent="0.45">
      <c r="A8725">
        <v>2021</v>
      </c>
      <c r="B8725" t="s">
        <v>57</v>
      </c>
      <c r="C8725">
        <v>1</v>
      </c>
      <c r="D8725">
        <v>0</v>
      </c>
      <c r="E8725">
        <v>0</v>
      </c>
      <c r="F8725">
        <v>0</v>
      </c>
      <c r="G8725">
        <v>1</v>
      </c>
      <c r="H8725">
        <v>0</v>
      </c>
      <c r="I8725">
        <v>0</v>
      </c>
      <c r="J8725">
        <v>16126.7774931931</v>
      </c>
      <c r="K8725">
        <v>14610.1207110014</v>
      </c>
      <c r="L8725">
        <v>37.030999999999999</v>
      </c>
      <c r="M8725">
        <v>76.843999999999994</v>
      </c>
      <c r="N8725">
        <v>9.4390000000000001</v>
      </c>
    </row>
    <row r="8726" spans="1:14" x14ac:dyDescent="0.45">
      <c r="A8726">
        <v>2021</v>
      </c>
      <c r="B8726" t="s">
        <v>58</v>
      </c>
      <c r="C8726">
        <v>1</v>
      </c>
      <c r="D8726">
        <v>0</v>
      </c>
      <c r="E8726">
        <v>0</v>
      </c>
      <c r="F8726">
        <v>0</v>
      </c>
      <c r="G8726">
        <v>0</v>
      </c>
      <c r="H8726">
        <v>1</v>
      </c>
      <c r="I8726">
        <v>1</v>
      </c>
      <c r="J8726">
        <v>59332.202910012697</v>
      </c>
      <c r="K8726">
        <v>49804.853353028797</v>
      </c>
      <c r="L8726">
        <v>12.141999999999999</v>
      </c>
      <c r="M8726">
        <v>82.331000000000003</v>
      </c>
      <c r="N8726">
        <v>6.165</v>
      </c>
    </row>
    <row r="8727" spans="1:14" x14ac:dyDescent="0.45">
      <c r="A8727">
        <v>2021</v>
      </c>
      <c r="B8727" t="s">
        <v>59</v>
      </c>
      <c r="C8727">
        <v>0</v>
      </c>
      <c r="D8727">
        <v>0</v>
      </c>
      <c r="E8727">
        <v>0</v>
      </c>
      <c r="F8727">
        <v>0</v>
      </c>
      <c r="G8727">
        <v>0</v>
      </c>
      <c r="H8727">
        <v>1</v>
      </c>
      <c r="I8727">
        <v>1</v>
      </c>
      <c r="J8727">
        <v>67401.121292925294</v>
      </c>
      <c r="K8727">
        <v>66590.197522508097</v>
      </c>
      <c r="L8727">
        <v>12.701000000000001</v>
      </c>
      <c r="M8727">
        <v>79.082999999999998</v>
      </c>
      <c r="N8727">
        <v>6.35</v>
      </c>
    </row>
    <row r="8728" spans="1:14" x14ac:dyDescent="0.45">
      <c r="A8728">
        <v>2021</v>
      </c>
      <c r="B8728" t="s">
        <v>60</v>
      </c>
      <c r="C8728">
        <v>0</v>
      </c>
      <c r="D8728">
        <v>1</v>
      </c>
      <c r="E8728">
        <v>0</v>
      </c>
      <c r="F8728">
        <v>0</v>
      </c>
      <c r="G8728">
        <v>1</v>
      </c>
      <c r="H8728">
        <v>0</v>
      </c>
      <c r="I8728">
        <v>0</v>
      </c>
      <c r="J8728">
        <v>26300.274261175</v>
      </c>
      <c r="K8728">
        <v>21705.8738524039</v>
      </c>
      <c r="L8728">
        <v>7.7709999999999999</v>
      </c>
      <c r="M8728">
        <v>73.947999999999993</v>
      </c>
      <c r="N8728">
        <v>10.885999999999999</v>
      </c>
    </row>
    <row r="8729" spans="1:14" x14ac:dyDescent="0.45">
      <c r="A8729">
        <v>2021</v>
      </c>
      <c r="B8729" t="s">
        <v>61</v>
      </c>
      <c r="C8729">
        <v>1</v>
      </c>
      <c r="D8729">
        <v>0</v>
      </c>
      <c r="E8729">
        <v>0</v>
      </c>
      <c r="F8729">
        <v>0</v>
      </c>
      <c r="G8729">
        <v>1</v>
      </c>
      <c r="H8729">
        <v>0</v>
      </c>
      <c r="I8729">
        <v>0</v>
      </c>
      <c r="J8729">
        <v>15921.705281963999</v>
      </c>
      <c r="K8729">
        <v>13487.296149677401</v>
      </c>
      <c r="L8729">
        <v>36.569000000000003</v>
      </c>
      <c r="M8729">
        <v>72.552000000000007</v>
      </c>
      <c r="N8729">
        <v>10.818</v>
      </c>
    </row>
    <row r="8730" spans="1:14" x14ac:dyDescent="0.45">
      <c r="A8730">
        <v>2021</v>
      </c>
      <c r="B8730" t="s">
        <v>62</v>
      </c>
      <c r="C8730">
        <v>0</v>
      </c>
      <c r="D8730">
        <v>0</v>
      </c>
      <c r="E8730">
        <v>0</v>
      </c>
      <c r="F8730">
        <v>0</v>
      </c>
      <c r="G8730">
        <v>1</v>
      </c>
      <c r="H8730">
        <v>0</v>
      </c>
      <c r="I8730">
        <v>0</v>
      </c>
      <c r="L8730">
        <v>12.831</v>
      </c>
      <c r="M8730">
        <v>72.707999999999998</v>
      </c>
      <c r="N8730">
        <v>10.776</v>
      </c>
    </row>
    <row r="8731" spans="1:14" x14ac:dyDescent="0.45">
      <c r="A8731">
        <v>2021</v>
      </c>
      <c r="B8731" t="s">
        <v>63</v>
      </c>
      <c r="C8731">
        <v>0</v>
      </c>
      <c r="D8731">
        <v>1</v>
      </c>
      <c r="E8731">
        <v>0</v>
      </c>
      <c r="F8731">
        <v>0</v>
      </c>
      <c r="G8731">
        <v>0</v>
      </c>
      <c r="H8731">
        <v>1</v>
      </c>
      <c r="I8731">
        <v>1</v>
      </c>
      <c r="J8731">
        <v>25745.495806774601</v>
      </c>
      <c r="K8731">
        <v>20277.070912534498</v>
      </c>
      <c r="L8731">
        <v>75.62</v>
      </c>
      <c r="M8731">
        <v>77.197000000000003</v>
      </c>
      <c r="N8731">
        <v>9.7200000000000006</v>
      </c>
    </row>
    <row r="8732" spans="1:14" x14ac:dyDescent="0.45">
      <c r="A8732">
        <v>2021</v>
      </c>
      <c r="B8732" t="s">
        <v>64</v>
      </c>
      <c r="C8732">
        <v>0</v>
      </c>
      <c r="D8732">
        <v>0</v>
      </c>
      <c r="E8732">
        <v>0</v>
      </c>
      <c r="F8732">
        <v>0</v>
      </c>
      <c r="G8732">
        <v>0</v>
      </c>
      <c r="H8732">
        <v>1</v>
      </c>
      <c r="I8732">
        <v>1</v>
      </c>
      <c r="J8732">
        <v>58182.336947750096</v>
      </c>
      <c r="K8732">
        <v>50394.723712050902</v>
      </c>
      <c r="L8732">
        <v>13.638</v>
      </c>
      <c r="M8732">
        <v>83.563999999999993</v>
      </c>
      <c r="N8732">
        <v>3.8580000000000001</v>
      </c>
    </row>
    <row r="8733" spans="1:14" x14ac:dyDescent="0.45">
      <c r="A8733">
        <v>2021</v>
      </c>
      <c r="B8733" t="s">
        <v>65</v>
      </c>
      <c r="C8733">
        <v>1</v>
      </c>
      <c r="D8733">
        <v>0</v>
      </c>
      <c r="E8733">
        <v>0</v>
      </c>
      <c r="F8733">
        <v>0</v>
      </c>
      <c r="G8733">
        <v>0</v>
      </c>
      <c r="H8733">
        <v>1</v>
      </c>
      <c r="I8733">
        <v>1</v>
      </c>
      <c r="J8733">
        <v>62968.942231189198</v>
      </c>
      <c r="K8733">
        <v>53659.332600915797</v>
      </c>
      <c r="L8733">
        <v>41.005000000000003</v>
      </c>
      <c r="M8733">
        <v>81.819999999999993</v>
      </c>
      <c r="N8733">
        <v>3.3340000000000001</v>
      </c>
    </row>
    <row r="8734" spans="1:14" x14ac:dyDescent="0.45">
      <c r="A8734">
        <v>2021</v>
      </c>
      <c r="B8734" t="s">
        <v>66</v>
      </c>
      <c r="C8734">
        <v>1</v>
      </c>
      <c r="D8734">
        <v>0</v>
      </c>
      <c r="E8734">
        <v>0</v>
      </c>
      <c r="F8734">
        <v>0</v>
      </c>
      <c r="G8734">
        <v>1</v>
      </c>
      <c r="H8734">
        <v>0</v>
      </c>
      <c r="I8734">
        <v>0</v>
      </c>
      <c r="J8734">
        <v>20111.3756952109</v>
      </c>
      <c r="K8734">
        <v>14645.3522617655</v>
      </c>
      <c r="L8734">
        <v>43.223999999999997</v>
      </c>
      <c r="M8734">
        <v>70.998999999999995</v>
      </c>
      <c r="N8734">
        <v>19.016999999999999</v>
      </c>
    </row>
    <row r="8735" spans="1:14" x14ac:dyDescent="0.45">
      <c r="A8735">
        <v>2021</v>
      </c>
      <c r="B8735" t="s">
        <v>67</v>
      </c>
      <c r="C8735">
        <v>0</v>
      </c>
      <c r="D8735">
        <v>0</v>
      </c>
      <c r="E8735">
        <v>1</v>
      </c>
      <c r="F8735">
        <v>0</v>
      </c>
      <c r="G8735">
        <v>0</v>
      </c>
      <c r="H8735">
        <v>0</v>
      </c>
      <c r="I8735">
        <v>0</v>
      </c>
      <c r="J8735">
        <v>836.66557133782896</v>
      </c>
      <c r="K8735">
        <v>722.96543364209106</v>
      </c>
      <c r="L8735">
        <v>85.941999999999993</v>
      </c>
      <c r="M8735">
        <v>62.100999999999999</v>
      </c>
      <c r="N8735">
        <v>52.680999999999997</v>
      </c>
    </row>
    <row r="8736" spans="1:14" x14ac:dyDescent="0.45">
      <c r="A8736">
        <v>2021</v>
      </c>
      <c r="B8736" t="s">
        <v>68</v>
      </c>
      <c r="C8736">
        <v>1</v>
      </c>
      <c r="D8736">
        <v>0</v>
      </c>
      <c r="E8736">
        <v>0</v>
      </c>
      <c r="F8736">
        <v>0</v>
      </c>
      <c r="G8736">
        <v>0</v>
      </c>
      <c r="H8736">
        <v>1</v>
      </c>
      <c r="I8736">
        <v>1</v>
      </c>
      <c r="J8736">
        <v>60669.213774653101</v>
      </c>
      <c r="K8736">
        <v>51054.152106424401</v>
      </c>
      <c r="L8736">
        <v>1.883</v>
      </c>
      <c r="M8736">
        <v>81.659000000000006</v>
      </c>
      <c r="N8736">
        <v>3.71</v>
      </c>
    </row>
    <row r="8737" spans="1:14" x14ac:dyDescent="0.45">
      <c r="A8737">
        <v>2021</v>
      </c>
      <c r="B8737" t="s">
        <v>69</v>
      </c>
      <c r="C8737">
        <v>0</v>
      </c>
      <c r="D8737">
        <v>0</v>
      </c>
      <c r="E8737">
        <v>1</v>
      </c>
      <c r="F8737">
        <v>1</v>
      </c>
      <c r="G8737">
        <v>0</v>
      </c>
      <c r="H8737">
        <v>0</v>
      </c>
      <c r="I8737">
        <v>0</v>
      </c>
      <c r="J8737">
        <v>3464.2886286745002</v>
      </c>
      <c r="K8737">
        <v>3286.7503650086501</v>
      </c>
      <c r="L8737">
        <v>51.027999999999999</v>
      </c>
      <c r="M8737">
        <v>59.61</v>
      </c>
      <c r="N8737">
        <v>83.266999999999996</v>
      </c>
    </row>
    <row r="8738" spans="1:14" x14ac:dyDescent="0.45">
      <c r="A8738">
        <v>2021</v>
      </c>
      <c r="B8738" t="s">
        <v>70</v>
      </c>
      <c r="C8738">
        <v>0</v>
      </c>
      <c r="D8738">
        <v>0</v>
      </c>
      <c r="E8738">
        <v>1</v>
      </c>
      <c r="F8738">
        <v>0</v>
      </c>
      <c r="G8738">
        <v>0</v>
      </c>
      <c r="H8738">
        <v>0</v>
      </c>
      <c r="I8738">
        <v>0</v>
      </c>
      <c r="J8738">
        <v>2486.4309314776201</v>
      </c>
      <c r="K8738">
        <v>2274.9278730236801</v>
      </c>
      <c r="L8738">
        <v>68.760000000000005</v>
      </c>
      <c r="M8738">
        <v>60.045999999999999</v>
      </c>
      <c r="N8738">
        <v>81.832999999999998</v>
      </c>
    </row>
    <row r="8739" spans="1:14" x14ac:dyDescent="0.45">
      <c r="A8739">
        <v>2021</v>
      </c>
      <c r="B8739" t="s">
        <v>71</v>
      </c>
      <c r="C8739">
        <v>0</v>
      </c>
      <c r="D8739">
        <v>0</v>
      </c>
      <c r="E8739">
        <v>0</v>
      </c>
      <c r="F8739">
        <v>1</v>
      </c>
      <c r="G8739">
        <v>0</v>
      </c>
      <c r="H8739">
        <v>0</v>
      </c>
      <c r="I8739">
        <v>0</v>
      </c>
      <c r="J8739">
        <v>7441.0691396125403</v>
      </c>
      <c r="K8739">
        <v>6049.5487677170004</v>
      </c>
      <c r="L8739">
        <v>61.054000000000002</v>
      </c>
      <c r="M8739">
        <v>71.102999999999994</v>
      </c>
      <c r="N8739">
        <v>30.041</v>
      </c>
    </row>
    <row r="8740" spans="1:14" x14ac:dyDescent="0.45">
      <c r="A8740">
        <v>2021</v>
      </c>
      <c r="B8740" t="s">
        <v>72</v>
      </c>
      <c r="C8740">
        <v>1</v>
      </c>
      <c r="D8740">
        <v>0</v>
      </c>
      <c r="E8740">
        <v>0</v>
      </c>
      <c r="F8740">
        <v>0</v>
      </c>
      <c r="G8740">
        <v>1</v>
      </c>
      <c r="H8740">
        <v>0</v>
      </c>
      <c r="I8740">
        <v>0</v>
      </c>
      <c r="J8740">
        <v>30971.913188834598</v>
      </c>
      <c r="K8740">
        <v>25700.4772337713</v>
      </c>
      <c r="L8740">
        <v>23.975000000000001</v>
      </c>
      <c r="M8740">
        <v>71.414000000000001</v>
      </c>
      <c r="N8740">
        <v>6.6909999999999998</v>
      </c>
    </row>
    <row r="8741" spans="1:14" x14ac:dyDescent="0.45">
      <c r="A8741">
        <v>2021</v>
      </c>
      <c r="B8741" t="s">
        <v>73</v>
      </c>
      <c r="C8741">
        <v>0</v>
      </c>
      <c r="D8741">
        <v>0</v>
      </c>
      <c r="E8741">
        <v>0</v>
      </c>
      <c r="F8741">
        <v>0</v>
      </c>
      <c r="G8741">
        <v>0</v>
      </c>
      <c r="H8741">
        <v>1</v>
      </c>
      <c r="I8741">
        <v>1</v>
      </c>
      <c r="J8741">
        <v>54954.675789553199</v>
      </c>
      <c r="K8741">
        <v>51204.692258686802</v>
      </c>
      <c r="L8741">
        <v>10.378</v>
      </c>
      <c r="M8741">
        <v>78.082999999999998</v>
      </c>
      <c r="N8741">
        <v>6.6559999999999997</v>
      </c>
    </row>
    <row r="8742" spans="1:14" x14ac:dyDescent="0.45">
      <c r="A8742">
        <v>2021</v>
      </c>
      <c r="B8742" t="s">
        <v>74</v>
      </c>
      <c r="C8742">
        <v>0</v>
      </c>
      <c r="D8742">
        <v>1</v>
      </c>
      <c r="E8742">
        <v>0</v>
      </c>
      <c r="F8742">
        <v>0</v>
      </c>
      <c r="G8742">
        <v>0</v>
      </c>
      <c r="H8742">
        <v>1</v>
      </c>
      <c r="I8742">
        <v>1</v>
      </c>
      <c r="J8742">
        <v>31064.6822166194</v>
      </c>
      <c r="K8742">
        <v>32222.9594871113</v>
      </c>
      <c r="L8742">
        <v>16.635000000000002</v>
      </c>
      <c r="M8742">
        <v>70.751999999999995</v>
      </c>
      <c r="N8742">
        <v>13.08</v>
      </c>
    </row>
    <row r="8743" spans="1:14" x14ac:dyDescent="0.45">
      <c r="A8743">
        <v>2021</v>
      </c>
      <c r="B8743" t="s">
        <v>75</v>
      </c>
      <c r="C8743">
        <v>1</v>
      </c>
      <c r="D8743">
        <v>0</v>
      </c>
      <c r="E8743">
        <v>0</v>
      </c>
      <c r="F8743">
        <v>0</v>
      </c>
      <c r="G8743">
        <v>1</v>
      </c>
      <c r="H8743">
        <v>0</v>
      </c>
      <c r="I8743">
        <v>0</v>
      </c>
      <c r="J8743">
        <v>18285.671124295299</v>
      </c>
      <c r="K8743">
        <v>15796.2834699984</v>
      </c>
      <c r="L8743">
        <v>50.575000000000003</v>
      </c>
      <c r="M8743">
        <v>74.566999999999993</v>
      </c>
      <c r="N8743">
        <v>4.8390000000000004</v>
      </c>
    </row>
    <row r="8744" spans="1:14" x14ac:dyDescent="0.45">
      <c r="A8744">
        <v>2021</v>
      </c>
      <c r="B8744" t="s">
        <v>76</v>
      </c>
      <c r="C8744">
        <v>1</v>
      </c>
      <c r="D8744">
        <v>0</v>
      </c>
      <c r="E8744">
        <v>0</v>
      </c>
      <c r="F8744">
        <v>0</v>
      </c>
      <c r="G8744">
        <v>1</v>
      </c>
      <c r="H8744">
        <v>0</v>
      </c>
      <c r="I8744">
        <v>0</v>
      </c>
      <c r="J8744">
        <v>27611.1801135157</v>
      </c>
      <c r="K8744">
        <v>19935.135871179398</v>
      </c>
      <c r="L8744">
        <v>20.09</v>
      </c>
      <c r="M8744">
        <v>72.221000000000004</v>
      </c>
      <c r="N8744">
        <v>2.758</v>
      </c>
    </row>
    <row r="8745" spans="1:14" x14ac:dyDescent="0.45">
      <c r="A8745">
        <v>2021</v>
      </c>
      <c r="B8745" t="s">
        <v>77</v>
      </c>
      <c r="C8745">
        <v>0</v>
      </c>
      <c r="D8745">
        <v>1</v>
      </c>
      <c r="E8745">
        <v>0</v>
      </c>
      <c r="F8745">
        <v>0</v>
      </c>
      <c r="G8745">
        <v>1</v>
      </c>
      <c r="H8745">
        <v>0</v>
      </c>
      <c r="I8745">
        <v>0</v>
      </c>
      <c r="J8745">
        <v>11677.461009517199</v>
      </c>
      <c r="K8745">
        <v>9202.9273495320394</v>
      </c>
      <c r="L8745">
        <v>53.798999999999999</v>
      </c>
      <c r="M8745">
        <v>70.917000000000002</v>
      </c>
      <c r="N8745">
        <v>11.731</v>
      </c>
    </row>
    <row r="8746" spans="1:14" x14ac:dyDescent="0.45">
      <c r="A8746">
        <v>2021</v>
      </c>
      <c r="B8746" t="s">
        <v>78</v>
      </c>
      <c r="C8746">
        <v>0</v>
      </c>
      <c r="D8746">
        <v>0</v>
      </c>
      <c r="E8746">
        <v>0</v>
      </c>
      <c r="F8746">
        <v>0</v>
      </c>
      <c r="G8746">
        <v>0</v>
      </c>
      <c r="H8746">
        <v>1</v>
      </c>
      <c r="I8746">
        <v>1</v>
      </c>
      <c r="J8746">
        <v>92319.671486121893</v>
      </c>
      <c r="K8746">
        <v>82022.697059983693</v>
      </c>
      <c r="L8746">
        <v>0</v>
      </c>
      <c r="M8746">
        <v>81.745000000000005</v>
      </c>
      <c r="N8746">
        <v>2.645</v>
      </c>
    </row>
    <row r="8747" spans="1:14" x14ac:dyDescent="0.45">
      <c r="A8747">
        <v>2021</v>
      </c>
      <c r="B8747" t="s">
        <v>79</v>
      </c>
      <c r="C8747">
        <v>0</v>
      </c>
      <c r="D8747">
        <v>1</v>
      </c>
      <c r="E8747">
        <v>0</v>
      </c>
      <c r="F8747">
        <v>1</v>
      </c>
      <c r="G8747">
        <v>0</v>
      </c>
      <c r="H8747">
        <v>0</v>
      </c>
      <c r="I8747">
        <v>0</v>
      </c>
      <c r="J8747">
        <v>9454.1981468000195</v>
      </c>
      <c r="K8747">
        <v>8343.8045854599604</v>
      </c>
      <c r="L8747">
        <v>29.524999999999999</v>
      </c>
      <c r="M8747">
        <v>61.427</v>
      </c>
      <c r="N8747">
        <v>43.881</v>
      </c>
    </row>
    <row r="8748" spans="1:14" x14ac:dyDescent="0.45">
      <c r="A8748">
        <v>2021</v>
      </c>
      <c r="B8748" t="s">
        <v>80</v>
      </c>
      <c r="C8748">
        <v>0</v>
      </c>
      <c r="D8748">
        <v>1</v>
      </c>
      <c r="E8748">
        <v>0</v>
      </c>
      <c r="F8748">
        <v>0</v>
      </c>
      <c r="G8748">
        <v>1</v>
      </c>
      <c r="H8748">
        <v>0</v>
      </c>
      <c r="I8748">
        <v>0</v>
      </c>
      <c r="J8748">
        <v>18075.706004906799</v>
      </c>
      <c r="K8748">
        <v>14847.5501493675</v>
      </c>
      <c r="L8748">
        <v>12.683</v>
      </c>
      <c r="M8748">
        <v>73.037999999999997</v>
      </c>
      <c r="N8748">
        <v>14.244</v>
      </c>
    </row>
    <row r="8749" spans="1:14" x14ac:dyDescent="0.45">
      <c r="A8749">
        <v>2021</v>
      </c>
      <c r="B8749" t="s">
        <v>81</v>
      </c>
      <c r="C8749">
        <v>0</v>
      </c>
      <c r="D8749">
        <v>1</v>
      </c>
      <c r="E8749">
        <v>0</v>
      </c>
      <c r="F8749">
        <v>0</v>
      </c>
      <c r="G8749">
        <v>0</v>
      </c>
      <c r="H8749">
        <v>1</v>
      </c>
      <c r="I8749">
        <v>1</v>
      </c>
      <c r="J8749">
        <v>15683.8847128096</v>
      </c>
      <c r="K8749">
        <v>14979.671536162199</v>
      </c>
      <c r="L8749">
        <v>68.754000000000005</v>
      </c>
      <c r="M8749">
        <v>76.58</v>
      </c>
      <c r="N8749">
        <v>11.236000000000001</v>
      </c>
    </row>
    <row r="8750" spans="1:14" x14ac:dyDescent="0.45">
      <c r="A8750">
        <v>2021</v>
      </c>
      <c r="B8750" t="s">
        <v>82</v>
      </c>
      <c r="C8750">
        <v>0</v>
      </c>
      <c r="D8750">
        <v>0</v>
      </c>
      <c r="E8750">
        <v>0</v>
      </c>
      <c r="F8750">
        <v>0</v>
      </c>
      <c r="G8750">
        <v>0</v>
      </c>
      <c r="H8750">
        <v>1</v>
      </c>
      <c r="I8750">
        <v>1</v>
      </c>
      <c r="J8750">
        <v>78248.797110145402</v>
      </c>
      <c r="K8750">
        <v>61097.010849635102</v>
      </c>
      <c r="L8750">
        <v>21.446000000000002</v>
      </c>
      <c r="M8750">
        <v>74.869</v>
      </c>
      <c r="N8750">
        <v>9.7639999999999993</v>
      </c>
    </row>
    <row r="8751" spans="1:14" x14ac:dyDescent="0.45">
      <c r="A8751">
        <v>2021</v>
      </c>
      <c r="B8751" t="s">
        <v>83</v>
      </c>
      <c r="C8751">
        <v>0</v>
      </c>
      <c r="D8751">
        <v>0</v>
      </c>
      <c r="E8751">
        <v>0</v>
      </c>
      <c r="F8751">
        <v>1</v>
      </c>
      <c r="G8751">
        <v>0</v>
      </c>
      <c r="H8751">
        <v>0</v>
      </c>
      <c r="I8751">
        <v>0</v>
      </c>
      <c r="J8751">
        <v>13458.812666743001</v>
      </c>
      <c r="K8751">
        <v>11657.033784200799</v>
      </c>
      <c r="L8751">
        <v>56.991999999999997</v>
      </c>
      <c r="M8751">
        <v>72.447999999999993</v>
      </c>
      <c r="N8751">
        <v>24.51</v>
      </c>
    </row>
    <row r="8752" spans="1:14" x14ac:dyDescent="0.45">
      <c r="A8752">
        <v>2021</v>
      </c>
      <c r="B8752" t="s">
        <v>84</v>
      </c>
      <c r="C8752">
        <v>0</v>
      </c>
      <c r="D8752">
        <v>0</v>
      </c>
      <c r="E8752">
        <v>1</v>
      </c>
      <c r="F8752">
        <v>0</v>
      </c>
      <c r="G8752">
        <v>1</v>
      </c>
      <c r="H8752">
        <v>0</v>
      </c>
      <c r="I8752">
        <v>0</v>
      </c>
      <c r="J8752">
        <v>17960.625443125598</v>
      </c>
      <c r="K8752">
        <v>16250.530264488099</v>
      </c>
      <c r="L8752">
        <v>28.44</v>
      </c>
      <c r="M8752">
        <v>63.302999999999997</v>
      </c>
      <c r="N8752">
        <v>39.966999999999999</v>
      </c>
    </row>
    <row r="8753" spans="1:14" x14ac:dyDescent="0.45">
      <c r="A8753">
        <v>2021</v>
      </c>
      <c r="B8753" t="s">
        <v>85</v>
      </c>
      <c r="C8753">
        <v>0</v>
      </c>
      <c r="D8753">
        <v>0</v>
      </c>
      <c r="E8753">
        <v>1</v>
      </c>
      <c r="F8753">
        <v>0</v>
      </c>
      <c r="G8753">
        <v>0</v>
      </c>
      <c r="H8753">
        <v>0</v>
      </c>
      <c r="I8753">
        <v>0</v>
      </c>
      <c r="J8753">
        <v>1128.55237996459</v>
      </c>
      <c r="K8753">
        <v>903.57582839206805</v>
      </c>
      <c r="L8753">
        <v>57.351999999999997</v>
      </c>
      <c r="M8753">
        <v>40.279000000000003</v>
      </c>
      <c r="N8753">
        <v>169.94399999999999</v>
      </c>
    </row>
    <row r="8754" spans="1:14" x14ac:dyDescent="0.45">
      <c r="A8754">
        <v>2021</v>
      </c>
      <c r="B8754" t="s">
        <v>86</v>
      </c>
      <c r="C8754">
        <v>0</v>
      </c>
      <c r="D8754">
        <v>0</v>
      </c>
      <c r="E8754">
        <v>0</v>
      </c>
      <c r="F8754">
        <v>0</v>
      </c>
      <c r="G8754">
        <v>0</v>
      </c>
      <c r="H8754">
        <v>1</v>
      </c>
      <c r="I8754">
        <v>1</v>
      </c>
      <c r="J8754">
        <v>56995.117678135102</v>
      </c>
      <c r="K8754">
        <v>49335.918587143897</v>
      </c>
      <c r="L8754">
        <v>18.347000000000001</v>
      </c>
      <c r="M8754">
        <v>81.975999999999999</v>
      </c>
      <c r="N8754">
        <v>5.07</v>
      </c>
    </row>
    <row r="8755" spans="1:14" x14ac:dyDescent="0.45">
      <c r="A8755">
        <v>2021</v>
      </c>
      <c r="B8755" t="s">
        <v>87</v>
      </c>
      <c r="C8755">
        <v>1</v>
      </c>
      <c r="D8755">
        <v>0</v>
      </c>
      <c r="E8755">
        <v>0</v>
      </c>
      <c r="F8755">
        <v>0</v>
      </c>
      <c r="G8755">
        <v>0</v>
      </c>
      <c r="H8755">
        <v>1</v>
      </c>
      <c r="I8755">
        <v>1</v>
      </c>
      <c r="J8755">
        <v>81001.411120611796</v>
      </c>
      <c r="K8755">
        <v>70468.546653639496</v>
      </c>
      <c r="L8755">
        <v>26.004000000000001</v>
      </c>
      <c r="M8755">
        <v>83.647999999999996</v>
      </c>
      <c r="N8755">
        <v>3.7</v>
      </c>
    </row>
    <row r="8756" spans="1:14" x14ac:dyDescent="0.45">
      <c r="A8756">
        <v>2021</v>
      </c>
      <c r="B8756" t="s">
        <v>88</v>
      </c>
      <c r="C8756">
        <v>1</v>
      </c>
      <c r="D8756">
        <v>0</v>
      </c>
      <c r="E8756">
        <v>0</v>
      </c>
      <c r="F8756">
        <v>0</v>
      </c>
      <c r="G8756">
        <v>0</v>
      </c>
      <c r="H8756">
        <v>1</v>
      </c>
      <c r="I8756">
        <v>1</v>
      </c>
      <c r="L8756">
        <v>68.988</v>
      </c>
      <c r="M8756">
        <v>80.329295979992906</v>
      </c>
      <c r="N8756">
        <v>9.0843177682753495</v>
      </c>
    </row>
    <row r="8757" spans="1:14" x14ac:dyDescent="0.45">
      <c r="A8757">
        <v>2021</v>
      </c>
      <c r="B8757" t="s">
        <v>89</v>
      </c>
      <c r="C8757">
        <v>0</v>
      </c>
      <c r="D8757">
        <v>1</v>
      </c>
      <c r="E8757">
        <v>0</v>
      </c>
      <c r="F8757">
        <v>0</v>
      </c>
      <c r="G8757">
        <v>0</v>
      </c>
      <c r="H8757">
        <v>1</v>
      </c>
      <c r="I8757">
        <v>1</v>
      </c>
      <c r="J8757">
        <v>29089.850459728001</v>
      </c>
      <c r="K8757">
        <v>25339.6435764936</v>
      </c>
      <c r="L8757">
        <v>12.183</v>
      </c>
      <c r="M8757">
        <v>78.876000000000005</v>
      </c>
      <c r="N8757">
        <v>5.6070000000000002</v>
      </c>
    </row>
    <row r="8758" spans="1:14" x14ac:dyDescent="0.45">
      <c r="A8758">
        <v>2021</v>
      </c>
      <c r="B8758" t="s">
        <v>90</v>
      </c>
      <c r="C8758">
        <v>0</v>
      </c>
      <c r="D8758">
        <v>0</v>
      </c>
      <c r="E8758">
        <v>0</v>
      </c>
      <c r="F8758">
        <v>0</v>
      </c>
      <c r="G8758">
        <v>1</v>
      </c>
      <c r="H8758">
        <v>0</v>
      </c>
      <c r="I8758">
        <v>0</v>
      </c>
      <c r="J8758">
        <v>20843.297834737699</v>
      </c>
      <c r="K8758">
        <v>18684.666913470901</v>
      </c>
      <c r="L8758">
        <v>37.488</v>
      </c>
      <c r="M8758">
        <v>78.117000000000004</v>
      </c>
      <c r="N8758">
        <v>7.0780000000000003</v>
      </c>
    </row>
    <row r="8759" spans="1:14" x14ac:dyDescent="0.45">
      <c r="A8759">
        <v>2021</v>
      </c>
      <c r="B8759" t="s">
        <v>91</v>
      </c>
      <c r="C8759">
        <v>0</v>
      </c>
      <c r="D8759">
        <v>0</v>
      </c>
      <c r="E8759">
        <v>1</v>
      </c>
      <c r="F8759">
        <v>1</v>
      </c>
      <c r="G8759">
        <v>0</v>
      </c>
      <c r="H8759">
        <v>0</v>
      </c>
      <c r="I8759">
        <v>0</v>
      </c>
      <c r="J8759">
        <v>6045.2048049087898</v>
      </c>
      <c r="K8759">
        <v>5103.0431465146803</v>
      </c>
      <c r="L8759">
        <v>47.82</v>
      </c>
      <c r="M8759">
        <v>60.29</v>
      </c>
      <c r="N8759">
        <v>71.313999999999993</v>
      </c>
    </row>
    <row r="8760" spans="1:14" x14ac:dyDescent="0.45">
      <c r="A8760">
        <v>2021</v>
      </c>
      <c r="B8760" t="s">
        <v>92</v>
      </c>
      <c r="C8760">
        <v>0</v>
      </c>
      <c r="D8760">
        <v>0</v>
      </c>
      <c r="E8760">
        <v>1</v>
      </c>
      <c r="F8760">
        <v>1</v>
      </c>
      <c r="G8760">
        <v>0</v>
      </c>
      <c r="H8760">
        <v>0</v>
      </c>
      <c r="I8760">
        <v>0</v>
      </c>
      <c r="J8760">
        <v>4793.5562820019604</v>
      </c>
      <c r="K8760">
        <v>3763.9606231196599</v>
      </c>
      <c r="L8760">
        <v>41.851999999999997</v>
      </c>
      <c r="M8760">
        <v>61.146000000000001</v>
      </c>
      <c r="N8760">
        <v>72.290000000000006</v>
      </c>
    </row>
    <row r="8761" spans="1:14" x14ac:dyDescent="0.45">
      <c r="A8761">
        <v>2021</v>
      </c>
      <c r="B8761" t="s">
        <v>93</v>
      </c>
      <c r="C8761">
        <v>0</v>
      </c>
      <c r="D8761">
        <v>0</v>
      </c>
      <c r="E8761">
        <v>1</v>
      </c>
      <c r="F8761">
        <v>0</v>
      </c>
      <c r="G8761">
        <v>0</v>
      </c>
      <c r="H8761">
        <v>0</v>
      </c>
      <c r="I8761">
        <v>0</v>
      </c>
      <c r="J8761">
        <v>1313.6182182908601</v>
      </c>
      <c r="K8761">
        <v>1051.63613247528</v>
      </c>
      <c r="L8761">
        <v>53.765000000000001</v>
      </c>
      <c r="M8761">
        <v>60.043999999999997</v>
      </c>
      <c r="N8761">
        <v>78.195999999999998</v>
      </c>
    </row>
    <row r="8762" spans="1:14" x14ac:dyDescent="0.45">
      <c r="A8762">
        <v>2021</v>
      </c>
      <c r="B8762" t="s">
        <v>94</v>
      </c>
      <c r="C8762">
        <v>0</v>
      </c>
      <c r="D8762">
        <v>0</v>
      </c>
      <c r="E8762">
        <v>1</v>
      </c>
      <c r="F8762">
        <v>1</v>
      </c>
      <c r="G8762">
        <v>0</v>
      </c>
      <c r="H8762">
        <v>0</v>
      </c>
      <c r="I8762">
        <v>0</v>
      </c>
      <c r="J8762">
        <v>6263.2116129263604</v>
      </c>
      <c r="K8762">
        <v>3775.7471305043</v>
      </c>
      <c r="L8762">
        <v>31.716999999999999</v>
      </c>
      <c r="M8762">
        <v>64.191999999999993</v>
      </c>
      <c r="N8762">
        <v>42.232999999999997</v>
      </c>
    </row>
    <row r="8763" spans="1:14" x14ac:dyDescent="0.45">
      <c r="A8763">
        <v>2021</v>
      </c>
      <c r="B8763" t="s">
        <v>95</v>
      </c>
      <c r="C8763">
        <v>0</v>
      </c>
      <c r="D8763">
        <v>1</v>
      </c>
      <c r="E8763">
        <v>0</v>
      </c>
      <c r="F8763">
        <v>0</v>
      </c>
      <c r="G8763">
        <v>1</v>
      </c>
      <c r="H8763">
        <v>0</v>
      </c>
      <c r="I8763">
        <v>0</v>
      </c>
      <c r="J8763">
        <v>17383.090172829499</v>
      </c>
      <c r="K8763">
        <v>14473.325751775001</v>
      </c>
      <c r="L8763">
        <v>18.260000000000002</v>
      </c>
      <c r="M8763">
        <v>72.697999999999993</v>
      </c>
      <c r="N8763">
        <v>12.79</v>
      </c>
    </row>
    <row r="8764" spans="1:14" x14ac:dyDescent="0.45">
      <c r="A8764">
        <v>2021</v>
      </c>
      <c r="B8764" t="s">
        <v>96</v>
      </c>
      <c r="C8764">
        <v>0</v>
      </c>
      <c r="D8764">
        <v>0</v>
      </c>
      <c r="E8764">
        <v>1</v>
      </c>
      <c r="F8764">
        <v>1</v>
      </c>
      <c r="G8764">
        <v>0</v>
      </c>
      <c r="H8764">
        <v>0</v>
      </c>
      <c r="I8764">
        <v>0</v>
      </c>
      <c r="J8764">
        <v>3449.04357453181</v>
      </c>
      <c r="K8764">
        <v>3566.7512275111399</v>
      </c>
      <c r="L8764">
        <v>70.387</v>
      </c>
      <c r="M8764">
        <v>65.200999999999993</v>
      </c>
      <c r="N8764">
        <v>49.764000000000003</v>
      </c>
    </row>
    <row r="8765" spans="1:14" x14ac:dyDescent="0.45">
      <c r="A8765">
        <v>2021</v>
      </c>
      <c r="B8765" t="s">
        <v>97</v>
      </c>
      <c r="C8765">
        <v>0</v>
      </c>
      <c r="D8765">
        <v>0</v>
      </c>
      <c r="E8765">
        <v>1</v>
      </c>
      <c r="F8765">
        <v>1</v>
      </c>
      <c r="G8765">
        <v>0</v>
      </c>
      <c r="H8765">
        <v>0</v>
      </c>
      <c r="I8765">
        <v>0</v>
      </c>
      <c r="J8765">
        <v>7685.4192139366896</v>
      </c>
      <c r="K8765">
        <v>7406.5469105520297</v>
      </c>
      <c r="L8765">
        <v>32.898000000000003</v>
      </c>
      <c r="M8765">
        <v>74.424000000000007</v>
      </c>
      <c r="N8765">
        <v>12.896000000000001</v>
      </c>
    </row>
    <row r="8766" spans="1:14" x14ac:dyDescent="0.45">
      <c r="A8766">
        <v>2021</v>
      </c>
      <c r="B8766" t="s">
        <v>98</v>
      </c>
      <c r="C8766">
        <v>0</v>
      </c>
      <c r="D8766">
        <v>1</v>
      </c>
      <c r="E8766">
        <v>0</v>
      </c>
      <c r="F8766">
        <v>0</v>
      </c>
      <c r="G8766">
        <v>1</v>
      </c>
      <c r="H8766">
        <v>0</v>
      </c>
      <c r="I8766">
        <v>0</v>
      </c>
      <c r="J8766">
        <v>23852.925302014701</v>
      </c>
      <c r="K8766">
        <v>21356.822624214801</v>
      </c>
      <c r="L8766">
        <v>18.574999999999999</v>
      </c>
      <c r="M8766">
        <v>78.05</v>
      </c>
      <c r="N8766">
        <v>7.9180000000000001</v>
      </c>
    </row>
    <row r="8767" spans="1:14" x14ac:dyDescent="0.45">
      <c r="A8767">
        <v>2021</v>
      </c>
      <c r="B8767" t="s">
        <v>99</v>
      </c>
      <c r="C8767">
        <v>0</v>
      </c>
      <c r="D8767">
        <v>1</v>
      </c>
      <c r="E8767">
        <v>0</v>
      </c>
      <c r="F8767">
        <v>0</v>
      </c>
      <c r="G8767">
        <v>1</v>
      </c>
      <c r="H8767">
        <v>0</v>
      </c>
      <c r="I8767">
        <v>0</v>
      </c>
      <c r="L8767">
        <v>22.707999999999998</v>
      </c>
      <c r="M8767">
        <v>73.200999999999993</v>
      </c>
      <c r="N8767">
        <v>8.6630000000000003</v>
      </c>
    </row>
    <row r="8768" spans="1:14" x14ac:dyDescent="0.45">
      <c r="A8768">
        <v>2021</v>
      </c>
      <c r="B8768" t="s">
        <v>100</v>
      </c>
      <c r="C8768">
        <v>0</v>
      </c>
      <c r="D8768">
        <v>1</v>
      </c>
      <c r="E8768">
        <v>0</v>
      </c>
      <c r="F8768">
        <v>0</v>
      </c>
      <c r="G8768">
        <v>0</v>
      </c>
      <c r="H8768">
        <v>1</v>
      </c>
      <c r="I8768">
        <v>1</v>
      </c>
      <c r="J8768">
        <v>25163.866932386602</v>
      </c>
      <c r="K8768">
        <v>20586.8717163359</v>
      </c>
      <c r="L8768">
        <v>10.962</v>
      </c>
      <c r="M8768">
        <v>75.686000000000007</v>
      </c>
      <c r="N8768">
        <v>10.528</v>
      </c>
    </row>
    <row r="8769" spans="1:14" x14ac:dyDescent="0.45">
      <c r="A8769">
        <v>2021</v>
      </c>
      <c r="B8769" t="s">
        <v>101</v>
      </c>
      <c r="C8769">
        <v>0</v>
      </c>
      <c r="D8769">
        <v>1</v>
      </c>
      <c r="E8769">
        <v>0</v>
      </c>
      <c r="F8769">
        <v>0</v>
      </c>
      <c r="G8769">
        <v>0</v>
      </c>
      <c r="H8769">
        <v>1</v>
      </c>
      <c r="I8769">
        <v>1</v>
      </c>
      <c r="J8769">
        <v>74150.858094969197</v>
      </c>
      <c r="K8769">
        <v>67640.136317386903</v>
      </c>
      <c r="L8769">
        <v>0</v>
      </c>
      <c r="M8769">
        <v>79.3</v>
      </c>
      <c r="N8769">
        <v>1.948</v>
      </c>
    </row>
    <row r="8770" spans="1:14" x14ac:dyDescent="0.45">
      <c r="A8770">
        <v>2021</v>
      </c>
      <c r="B8770" t="s">
        <v>102</v>
      </c>
      <c r="C8770">
        <v>1</v>
      </c>
      <c r="D8770">
        <v>0</v>
      </c>
      <c r="E8770">
        <v>0</v>
      </c>
      <c r="F8770">
        <v>0</v>
      </c>
      <c r="G8770">
        <v>0</v>
      </c>
      <c r="H8770">
        <v>1</v>
      </c>
      <c r="I8770">
        <v>1</v>
      </c>
      <c r="J8770">
        <v>48781.27734375</v>
      </c>
      <c r="K8770">
        <v>43456.418098799397</v>
      </c>
      <c r="L8770">
        <v>33.143999999999998</v>
      </c>
      <c r="M8770">
        <v>80.572999999999993</v>
      </c>
      <c r="N8770">
        <v>3.407</v>
      </c>
    </row>
    <row r="8771" spans="1:14" x14ac:dyDescent="0.45">
      <c r="A8771">
        <v>2021</v>
      </c>
      <c r="B8771" t="s">
        <v>103</v>
      </c>
      <c r="C8771">
        <v>1</v>
      </c>
      <c r="D8771">
        <v>0</v>
      </c>
      <c r="E8771">
        <v>0</v>
      </c>
      <c r="F8771">
        <v>0</v>
      </c>
      <c r="G8771">
        <v>0</v>
      </c>
      <c r="H8771">
        <v>1</v>
      </c>
      <c r="I8771">
        <v>1</v>
      </c>
      <c r="J8771">
        <v>47796.0337408466</v>
      </c>
      <c r="K8771">
        <v>39795.099237256698</v>
      </c>
      <c r="L8771">
        <v>25.786000000000001</v>
      </c>
      <c r="M8771">
        <v>77.233999999999995</v>
      </c>
      <c r="N8771">
        <v>2.6709999999999998</v>
      </c>
    </row>
    <row r="8772" spans="1:14" x14ac:dyDescent="0.45">
      <c r="A8772">
        <v>2021</v>
      </c>
      <c r="B8772" t="s">
        <v>104</v>
      </c>
      <c r="C8772">
        <v>1</v>
      </c>
      <c r="D8772">
        <v>0</v>
      </c>
      <c r="E8772">
        <v>0</v>
      </c>
      <c r="F8772">
        <v>0</v>
      </c>
      <c r="G8772">
        <v>0</v>
      </c>
      <c r="H8772">
        <v>1</v>
      </c>
      <c r="I8772">
        <v>1</v>
      </c>
      <c r="J8772">
        <v>62530.765319923899</v>
      </c>
      <c r="K8772">
        <v>54217.433452146703</v>
      </c>
      <c r="L8772">
        <v>22.456</v>
      </c>
      <c r="M8772">
        <v>81.105999999999995</v>
      </c>
      <c r="N8772">
        <v>3.5619999999999998</v>
      </c>
    </row>
    <row r="8773" spans="1:14" x14ac:dyDescent="0.45">
      <c r="A8773">
        <v>2021</v>
      </c>
      <c r="B8773" t="s">
        <v>105</v>
      </c>
      <c r="C8773">
        <v>0</v>
      </c>
      <c r="D8773">
        <v>0</v>
      </c>
      <c r="E8773">
        <v>0</v>
      </c>
      <c r="F8773">
        <v>1</v>
      </c>
      <c r="G8773">
        <v>0</v>
      </c>
      <c r="H8773">
        <v>0</v>
      </c>
      <c r="I8773">
        <v>0</v>
      </c>
      <c r="J8773">
        <v>5960.1080739682502</v>
      </c>
      <c r="K8773">
        <v>5140.8962567980498</v>
      </c>
      <c r="L8773">
        <v>21.783000000000001</v>
      </c>
      <c r="M8773">
        <v>63.83</v>
      </c>
      <c r="N8773">
        <v>53.628999999999998</v>
      </c>
    </row>
    <row r="8774" spans="1:14" x14ac:dyDescent="0.45">
      <c r="A8774">
        <v>2021</v>
      </c>
      <c r="B8774" t="s">
        <v>106</v>
      </c>
      <c r="C8774">
        <v>0</v>
      </c>
      <c r="D8774">
        <v>1</v>
      </c>
      <c r="E8774">
        <v>0</v>
      </c>
      <c r="F8774">
        <v>0</v>
      </c>
      <c r="G8774">
        <v>1</v>
      </c>
      <c r="H8774">
        <v>0</v>
      </c>
      <c r="I8774">
        <v>0</v>
      </c>
      <c r="J8774">
        <v>15808.974350394499</v>
      </c>
      <c r="K8774">
        <v>12302.9917136485</v>
      </c>
      <c r="L8774">
        <v>28.605</v>
      </c>
      <c r="M8774">
        <v>69.831999999999994</v>
      </c>
      <c r="N8774">
        <v>31.388999999999999</v>
      </c>
    </row>
    <row r="8775" spans="1:14" x14ac:dyDescent="0.45">
      <c r="A8775">
        <v>2021</v>
      </c>
      <c r="B8775" t="s">
        <v>107</v>
      </c>
      <c r="C8775">
        <v>1</v>
      </c>
      <c r="D8775">
        <v>0</v>
      </c>
      <c r="E8775">
        <v>0</v>
      </c>
      <c r="F8775">
        <v>0</v>
      </c>
      <c r="G8775">
        <v>0</v>
      </c>
      <c r="H8775">
        <v>1</v>
      </c>
      <c r="I8775">
        <v>1</v>
      </c>
      <c r="J8775">
        <v>69715.1809680929</v>
      </c>
      <c r="K8775">
        <v>58919.582223576399</v>
      </c>
      <c r="L8775">
        <v>11.76</v>
      </c>
      <c r="M8775">
        <v>81.436000000000007</v>
      </c>
      <c r="N8775">
        <v>3.7189999999999999</v>
      </c>
    </row>
    <row r="8776" spans="1:14" x14ac:dyDescent="0.45">
      <c r="A8776">
        <v>2021</v>
      </c>
      <c r="B8776" t="s">
        <v>108</v>
      </c>
      <c r="C8776">
        <v>0</v>
      </c>
      <c r="D8776">
        <v>1</v>
      </c>
      <c r="E8776">
        <v>0</v>
      </c>
      <c r="F8776">
        <v>0</v>
      </c>
      <c r="G8776">
        <v>1</v>
      </c>
      <c r="H8776">
        <v>0</v>
      </c>
      <c r="I8776">
        <v>0</v>
      </c>
      <c r="J8776">
        <v>22053.458986995502</v>
      </c>
      <c r="K8776">
        <v>19050.329140630802</v>
      </c>
      <c r="L8776">
        <v>16.786999999999999</v>
      </c>
      <c r="M8776">
        <v>71.757000000000005</v>
      </c>
      <c r="N8776">
        <v>32.893999999999998</v>
      </c>
    </row>
    <row r="8777" spans="1:14" x14ac:dyDescent="0.45">
      <c r="A8777">
        <v>2021</v>
      </c>
      <c r="B8777" t="s">
        <v>109</v>
      </c>
      <c r="C8777">
        <v>0</v>
      </c>
      <c r="D8777">
        <v>0</v>
      </c>
      <c r="E8777">
        <v>0</v>
      </c>
      <c r="F8777">
        <v>1</v>
      </c>
      <c r="G8777">
        <v>0</v>
      </c>
      <c r="H8777">
        <v>0</v>
      </c>
      <c r="I8777">
        <v>0</v>
      </c>
      <c r="J8777">
        <v>14496.865469729901</v>
      </c>
      <c r="K8777">
        <v>12679.453213364501</v>
      </c>
      <c r="L8777">
        <v>25.739000000000001</v>
      </c>
      <c r="M8777">
        <v>75.207999999999998</v>
      </c>
      <c r="N8777">
        <v>22.285</v>
      </c>
    </row>
    <row r="8778" spans="1:14" x14ac:dyDescent="0.45">
      <c r="A8778">
        <v>2021</v>
      </c>
      <c r="B8778" t="s">
        <v>110</v>
      </c>
      <c r="C8778">
        <v>0</v>
      </c>
      <c r="D8778">
        <v>1</v>
      </c>
      <c r="E8778">
        <v>0</v>
      </c>
      <c r="F8778">
        <v>0</v>
      </c>
      <c r="G8778">
        <v>1</v>
      </c>
      <c r="H8778">
        <v>0</v>
      </c>
      <c r="I8778">
        <v>0</v>
      </c>
      <c r="J8778">
        <v>13507.4445638375</v>
      </c>
      <c r="K8778">
        <v>11234.786978019099</v>
      </c>
      <c r="L8778">
        <v>35.639000000000003</v>
      </c>
      <c r="M8778">
        <v>72.745999999999995</v>
      </c>
      <c r="N8778">
        <v>12.563000000000001</v>
      </c>
    </row>
    <row r="8779" spans="1:14" x14ac:dyDescent="0.45">
      <c r="A8779">
        <v>2021</v>
      </c>
      <c r="B8779" t="s">
        <v>111</v>
      </c>
      <c r="C8779">
        <v>0</v>
      </c>
      <c r="D8779">
        <v>0</v>
      </c>
      <c r="E8779">
        <v>0</v>
      </c>
      <c r="F8779">
        <v>1</v>
      </c>
      <c r="G8779">
        <v>0</v>
      </c>
      <c r="H8779">
        <v>0</v>
      </c>
      <c r="I8779">
        <v>0</v>
      </c>
      <c r="J8779">
        <v>15579.016086155099</v>
      </c>
      <c r="K8779">
        <v>12363.2446809469</v>
      </c>
      <c r="L8779">
        <v>57.137999999999998</v>
      </c>
      <c r="M8779">
        <v>68.975999999999999</v>
      </c>
      <c r="N8779">
        <v>18.678999999999998</v>
      </c>
    </row>
    <row r="8780" spans="1:14" x14ac:dyDescent="0.45">
      <c r="A8780">
        <v>2021</v>
      </c>
      <c r="B8780" t="s">
        <v>112</v>
      </c>
      <c r="C8780">
        <v>0</v>
      </c>
      <c r="D8780">
        <v>0</v>
      </c>
      <c r="E8780">
        <v>1</v>
      </c>
      <c r="F8780">
        <v>0</v>
      </c>
      <c r="G8780">
        <v>0</v>
      </c>
      <c r="H8780">
        <v>0</v>
      </c>
      <c r="I8780">
        <v>0</v>
      </c>
      <c r="L8780">
        <v>58.015000000000001</v>
      </c>
      <c r="M8780">
        <v>66.94</v>
      </c>
      <c r="N8780">
        <v>37.838999999999999</v>
      </c>
    </row>
    <row r="8781" spans="1:14" x14ac:dyDescent="0.45">
      <c r="A8781">
        <v>2021</v>
      </c>
      <c r="B8781" t="s">
        <v>113</v>
      </c>
      <c r="C8781">
        <v>1</v>
      </c>
      <c r="D8781">
        <v>0</v>
      </c>
      <c r="E8781">
        <v>0</v>
      </c>
      <c r="F8781">
        <v>0</v>
      </c>
      <c r="G8781">
        <v>0</v>
      </c>
      <c r="H8781">
        <v>1</v>
      </c>
      <c r="I8781">
        <v>1</v>
      </c>
      <c r="J8781">
        <v>44251.665822262097</v>
      </c>
      <c r="K8781">
        <v>38942.642845770599</v>
      </c>
      <c r="L8781">
        <v>18.943999999999999</v>
      </c>
      <c r="M8781">
        <v>82.950999999999993</v>
      </c>
      <c r="N8781">
        <v>3.073</v>
      </c>
    </row>
    <row r="8782" spans="1:14" x14ac:dyDescent="0.45">
      <c r="A8782">
        <v>2021</v>
      </c>
      <c r="B8782" t="s">
        <v>114</v>
      </c>
      <c r="C8782">
        <v>1</v>
      </c>
      <c r="D8782">
        <v>0</v>
      </c>
      <c r="E8782">
        <v>0</v>
      </c>
      <c r="F8782">
        <v>0</v>
      </c>
      <c r="G8782">
        <v>0</v>
      </c>
      <c r="H8782">
        <v>1</v>
      </c>
      <c r="I8782">
        <v>1</v>
      </c>
      <c r="J8782">
        <v>44251.537498345497</v>
      </c>
      <c r="K8782">
        <v>37543.2643975229</v>
      </c>
      <c r="L8782">
        <v>30.585000000000001</v>
      </c>
      <c r="M8782">
        <v>77.409000000000006</v>
      </c>
      <c r="N8782">
        <v>2.907</v>
      </c>
    </row>
    <row r="8783" spans="1:14" x14ac:dyDescent="0.45">
      <c r="A8783">
        <v>2021</v>
      </c>
      <c r="B8783" t="s">
        <v>115</v>
      </c>
      <c r="C8783">
        <v>0</v>
      </c>
      <c r="D8783">
        <v>0</v>
      </c>
      <c r="E8783">
        <v>1</v>
      </c>
      <c r="F8783">
        <v>0</v>
      </c>
      <c r="G8783">
        <v>0</v>
      </c>
      <c r="H8783">
        <v>0</v>
      </c>
      <c r="I8783">
        <v>0</v>
      </c>
      <c r="J8783">
        <v>2588.41310215884</v>
      </c>
      <c r="K8783">
        <v>2334.4649355390202</v>
      </c>
      <c r="L8783">
        <v>77.825999999999993</v>
      </c>
      <c r="M8783">
        <v>65.33</v>
      </c>
      <c r="N8783">
        <v>48.414000000000001</v>
      </c>
    </row>
    <row r="8784" spans="1:14" x14ac:dyDescent="0.45">
      <c r="A8784">
        <v>2021</v>
      </c>
      <c r="B8784" t="s">
        <v>116</v>
      </c>
      <c r="C8784">
        <v>1</v>
      </c>
      <c r="D8784">
        <v>0</v>
      </c>
      <c r="E8784">
        <v>0</v>
      </c>
      <c r="F8784">
        <v>0</v>
      </c>
      <c r="G8784">
        <v>0</v>
      </c>
      <c r="H8784">
        <v>1</v>
      </c>
      <c r="I8784">
        <v>1</v>
      </c>
      <c r="J8784">
        <v>56790.376617769201</v>
      </c>
      <c r="K8784">
        <v>47742.693501508998</v>
      </c>
      <c r="L8784">
        <v>14.404</v>
      </c>
      <c r="M8784">
        <v>81.813999999999993</v>
      </c>
      <c r="N8784">
        <v>2.2080000000000002</v>
      </c>
    </row>
    <row r="8785" spans="1:14" x14ac:dyDescent="0.45">
      <c r="A8785">
        <v>2021</v>
      </c>
      <c r="B8785" t="s">
        <v>117</v>
      </c>
      <c r="C8785">
        <v>0</v>
      </c>
      <c r="D8785">
        <v>0</v>
      </c>
      <c r="E8785">
        <v>0</v>
      </c>
      <c r="F8785">
        <v>0</v>
      </c>
      <c r="G8785">
        <v>1</v>
      </c>
      <c r="H8785">
        <v>0</v>
      </c>
      <c r="I8785">
        <v>0</v>
      </c>
      <c r="J8785">
        <v>10685.1970276312</v>
      </c>
      <c r="K8785">
        <v>10464.0422759553</v>
      </c>
      <c r="L8785">
        <v>42.26</v>
      </c>
      <c r="M8785">
        <v>64.903999999999996</v>
      </c>
      <c r="N8785">
        <v>27.196000000000002</v>
      </c>
    </row>
    <row r="8786" spans="1:14" x14ac:dyDescent="0.45">
      <c r="A8786">
        <v>2021</v>
      </c>
      <c r="B8786" t="s">
        <v>118</v>
      </c>
      <c r="C8786">
        <v>1</v>
      </c>
      <c r="D8786">
        <v>0</v>
      </c>
      <c r="E8786">
        <v>0</v>
      </c>
      <c r="F8786">
        <v>0</v>
      </c>
      <c r="G8786">
        <v>0</v>
      </c>
      <c r="H8786">
        <v>1</v>
      </c>
      <c r="I8786">
        <v>1</v>
      </c>
      <c r="J8786">
        <v>52517.335490585501</v>
      </c>
      <c r="K8786">
        <v>43846.6597397062</v>
      </c>
      <c r="L8786">
        <v>18.757999999999999</v>
      </c>
      <c r="M8786">
        <v>82.322000000000003</v>
      </c>
      <c r="N8786">
        <v>4.2949999999999999</v>
      </c>
    </row>
    <row r="8787" spans="1:14" x14ac:dyDescent="0.45">
      <c r="A8787">
        <v>2021</v>
      </c>
      <c r="B8787" t="s">
        <v>119</v>
      </c>
      <c r="C8787">
        <v>1</v>
      </c>
      <c r="D8787">
        <v>0</v>
      </c>
      <c r="E8787">
        <v>0</v>
      </c>
      <c r="F8787">
        <v>0</v>
      </c>
      <c r="G8787">
        <v>0</v>
      </c>
      <c r="H8787">
        <v>1</v>
      </c>
      <c r="I8787">
        <v>1</v>
      </c>
      <c r="J8787">
        <v>67770.488658901202</v>
      </c>
      <c r="K8787">
        <v>59208.456792200501</v>
      </c>
      <c r="L8787">
        <v>57.417000000000002</v>
      </c>
      <c r="M8787">
        <v>79.792000000000002</v>
      </c>
      <c r="N8787">
        <v>7.8869999999999996</v>
      </c>
    </row>
    <row r="8788" spans="1:14" x14ac:dyDescent="0.45">
      <c r="A8788">
        <v>2021</v>
      </c>
      <c r="B8788" t="s">
        <v>120</v>
      </c>
      <c r="C8788">
        <v>0</v>
      </c>
      <c r="D8788">
        <v>0</v>
      </c>
      <c r="E8788">
        <v>0</v>
      </c>
      <c r="F8788">
        <v>1</v>
      </c>
      <c r="G8788">
        <v>0</v>
      </c>
      <c r="H8788">
        <v>0</v>
      </c>
      <c r="I8788">
        <v>0</v>
      </c>
      <c r="J8788">
        <v>3944.7057149955899</v>
      </c>
      <c r="K8788">
        <v>3570.5030044947998</v>
      </c>
      <c r="L8788">
        <v>76.932000000000002</v>
      </c>
      <c r="M8788">
        <v>66.152000000000001</v>
      </c>
      <c r="N8788">
        <v>24.35</v>
      </c>
    </row>
    <row r="8789" spans="1:14" x14ac:dyDescent="0.45">
      <c r="A8789">
        <v>2021</v>
      </c>
      <c r="B8789" t="s">
        <v>121</v>
      </c>
      <c r="C8789">
        <v>0</v>
      </c>
      <c r="D8789">
        <v>0</v>
      </c>
      <c r="E8789">
        <v>1</v>
      </c>
      <c r="F8789">
        <v>0</v>
      </c>
      <c r="G8789">
        <v>1</v>
      </c>
      <c r="H8789">
        <v>0</v>
      </c>
      <c r="I8789">
        <v>0</v>
      </c>
      <c r="J8789">
        <v>18523.579803213499</v>
      </c>
      <c r="K8789">
        <v>14015.679903346499</v>
      </c>
      <c r="L8789">
        <v>9.577</v>
      </c>
      <c r="M8789">
        <v>67.072000000000003</v>
      </c>
      <c r="N8789">
        <v>39.847999999999999</v>
      </c>
    </row>
    <row r="8790" spans="1:14" x14ac:dyDescent="0.45">
      <c r="A8790">
        <v>2021</v>
      </c>
      <c r="B8790" t="s">
        <v>122</v>
      </c>
      <c r="C8790">
        <v>1</v>
      </c>
      <c r="D8790">
        <v>0</v>
      </c>
      <c r="E8790">
        <v>0</v>
      </c>
      <c r="F8790">
        <v>0</v>
      </c>
      <c r="G8790">
        <v>0</v>
      </c>
      <c r="H8790">
        <v>1</v>
      </c>
      <c r="I8790">
        <v>1</v>
      </c>
      <c r="J8790">
        <v>51004.427171423798</v>
      </c>
      <c r="K8790">
        <v>43941.852141783798</v>
      </c>
      <c r="L8790">
        <v>15.848000000000001</v>
      </c>
      <c r="M8790">
        <v>80.707999999999998</v>
      </c>
      <c r="N8790">
        <v>4.452</v>
      </c>
    </row>
    <row r="8791" spans="1:14" x14ac:dyDescent="0.45">
      <c r="A8791">
        <v>2021</v>
      </c>
      <c r="B8791" t="s">
        <v>123</v>
      </c>
      <c r="C8791">
        <v>1</v>
      </c>
      <c r="D8791">
        <v>0</v>
      </c>
      <c r="E8791">
        <v>0</v>
      </c>
      <c r="F8791">
        <v>0</v>
      </c>
      <c r="G8791">
        <v>1</v>
      </c>
      <c r="H8791">
        <v>0</v>
      </c>
      <c r="I8791">
        <v>0</v>
      </c>
      <c r="J8791">
        <v>18915.653400526298</v>
      </c>
      <c r="K8791">
        <v>15981.564681834399</v>
      </c>
      <c r="L8791">
        <v>40.128</v>
      </c>
      <c r="M8791">
        <v>71.635000000000005</v>
      </c>
      <c r="N8791">
        <v>9.4710000000000001</v>
      </c>
    </row>
    <row r="8792" spans="1:14" x14ac:dyDescent="0.45">
      <c r="A8792">
        <v>2021</v>
      </c>
      <c r="B8792" t="s">
        <v>124</v>
      </c>
      <c r="C8792">
        <v>0</v>
      </c>
      <c r="D8792">
        <v>0</v>
      </c>
      <c r="E8792">
        <v>1</v>
      </c>
      <c r="F8792">
        <v>1</v>
      </c>
      <c r="G8792">
        <v>0</v>
      </c>
      <c r="H8792">
        <v>0</v>
      </c>
      <c r="I8792">
        <v>0</v>
      </c>
      <c r="J8792">
        <v>6607.5029737832101</v>
      </c>
      <c r="K8792">
        <v>5700.5751310220403</v>
      </c>
      <c r="L8792">
        <v>42.015000000000001</v>
      </c>
      <c r="M8792">
        <v>64.286000000000001</v>
      </c>
      <c r="N8792">
        <v>43.927</v>
      </c>
    </row>
    <row r="8793" spans="1:14" x14ac:dyDescent="0.45">
      <c r="A8793">
        <v>2021</v>
      </c>
      <c r="B8793" t="s">
        <v>125</v>
      </c>
      <c r="C8793">
        <v>1</v>
      </c>
      <c r="D8793">
        <v>0</v>
      </c>
      <c r="E8793">
        <v>0</v>
      </c>
      <c r="F8793">
        <v>0</v>
      </c>
      <c r="G8793">
        <v>0</v>
      </c>
      <c r="H8793">
        <v>1</v>
      </c>
      <c r="I8793">
        <v>1</v>
      </c>
      <c r="L8793">
        <v>0</v>
      </c>
      <c r="M8793">
        <v>80.274000000000001</v>
      </c>
      <c r="N8793">
        <v>10.62</v>
      </c>
    </row>
    <row r="8794" spans="1:14" x14ac:dyDescent="0.45">
      <c r="A8794">
        <v>2021</v>
      </c>
      <c r="B8794" t="s">
        <v>126</v>
      </c>
      <c r="C8794">
        <v>0</v>
      </c>
      <c r="D8794">
        <v>0</v>
      </c>
      <c r="E8794">
        <v>1</v>
      </c>
      <c r="F8794">
        <v>0</v>
      </c>
      <c r="G8794">
        <v>0</v>
      </c>
      <c r="H8794">
        <v>0</v>
      </c>
      <c r="I8794">
        <v>0</v>
      </c>
      <c r="J8794">
        <v>3738.8051255133</v>
      </c>
      <c r="K8794">
        <v>3014.4707482457802</v>
      </c>
      <c r="L8794">
        <v>62.735999999999997</v>
      </c>
      <c r="M8794">
        <v>59.372999999999998</v>
      </c>
      <c r="N8794">
        <v>97.843000000000004</v>
      </c>
    </row>
    <row r="8795" spans="1:14" x14ac:dyDescent="0.45">
      <c r="A8795">
        <v>2021</v>
      </c>
      <c r="B8795" t="s">
        <v>127</v>
      </c>
      <c r="C8795">
        <v>0</v>
      </c>
      <c r="D8795">
        <v>0</v>
      </c>
      <c r="E8795">
        <v>1</v>
      </c>
      <c r="F8795">
        <v>0</v>
      </c>
      <c r="G8795">
        <v>0</v>
      </c>
      <c r="H8795">
        <v>0</v>
      </c>
      <c r="I8795">
        <v>0</v>
      </c>
      <c r="J8795">
        <v>2777.7962097832401</v>
      </c>
      <c r="K8795">
        <v>2235.8397392197498</v>
      </c>
      <c r="L8795">
        <v>36.777999999999999</v>
      </c>
      <c r="M8795">
        <v>63.847000000000001</v>
      </c>
      <c r="N8795">
        <v>47.347000000000001</v>
      </c>
    </row>
    <row r="8796" spans="1:14" x14ac:dyDescent="0.45">
      <c r="A8796">
        <v>2021</v>
      </c>
      <c r="B8796" t="s">
        <v>128</v>
      </c>
      <c r="C8796">
        <v>0</v>
      </c>
      <c r="D8796">
        <v>0</v>
      </c>
      <c r="E8796">
        <v>1</v>
      </c>
      <c r="F8796">
        <v>0</v>
      </c>
      <c r="G8796">
        <v>0</v>
      </c>
      <c r="H8796">
        <v>0</v>
      </c>
      <c r="I8796">
        <v>0</v>
      </c>
      <c r="J8796">
        <v>2483.8506293464902</v>
      </c>
      <c r="K8796">
        <v>2234.4681729674398</v>
      </c>
      <c r="L8796">
        <v>55.383000000000003</v>
      </c>
      <c r="M8796">
        <v>61.652999999999999</v>
      </c>
      <c r="N8796">
        <v>74.415000000000006</v>
      </c>
    </row>
    <row r="8797" spans="1:14" x14ac:dyDescent="0.45">
      <c r="A8797">
        <v>2021</v>
      </c>
      <c r="B8797" t="s">
        <v>129</v>
      </c>
      <c r="C8797">
        <v>0</v>
      </c>
      <c r="D8797">
        <v>0</v>
      </c>
      <c r="E8797">
        <v>1</v>
      </c>
      <c r="F8797">
        <v>0</v>
      </c>
      <c r="G8797">
        <v>1</v>
      </c>
      <c r="H8797">
        <v>0</v>
      </c>
      <c r="I8797">
        <v>0</v>
      </c>
      <c r="J8797">
        <v>16821.448647041299</v>
      </c>
      <c r="K8797">
        <v>13936.7848204866</v>
      </c>
      <c r="L8797">
        <v>26.439</v>
      </c>
      <c r="M8797">
        <v>62.447000000000003</v>
      </c>
      <c r="N8797">
        <v>75.736999999999995</v>
      </c>
    </row>
    <row r="8798" spans="1:14" x14ac:dyDescent="0.45">
      <c r="A8798">
        <v>2021</v>
      </c>
      <c r="B8798" t="s">
        <v>130</v>
      </c>
      <c r="C8798">
        <v>1</v>
      </c>
      <c r="D8798">
        <v>0</v>
      </c>
      <c r="E8798">
        <v>0</v>
      </c>
      <c r="F8798">
        <v>0</v>
      </c>
      <c r="G8798">
        <v>0</v>
      </c>
      <c r="H8798">
        <v>1</v>
      </c>
      <c r="I8798">
        <v>1</v>
      </c>
      <c r="J8798">
        <v>33531.155112259999</v>
      </c>
      <c r="K8798">
        <v>30016.892632081701</v>
      </c>
      <c r="L8798">
        <v>19.962</v>
      </c>
      <c r="M8798">
        <v>80.531000000000006</v>
      </c>
      <c r="N8798">
        <v>4.0880000000000001</v>
      </c>
    </row>
    <row r="8799" spans="1:14" x14ac:dyDescent="0.45">
      <c r="A8799">
        <v>2021</v>
      </c>
      <c r="B8799" t="s">
        <v>131</v>
      </c>
      <c r="C8799">
        <v>0</v>
      </c>
      <c r="D8799">
        <v>1</v>
      </c>
      <c r="E8799">
        <v>0</v>
      </c>
      <c r="F8799">
        <v>0</v>
      </c>
      <c r="G8799">
        <v>1</v>
      </c>
      <c r="H8799">
        <v>0</v>
      </c>
      <c r="I8799">
        <v>0</v>
      </c>
      <c r="J8799">
        <v>15298.123111523701</v>
      </c>
      <c r="K8799">
        <v>14115.6557906505</v>
      </c>
      <c r="L8799">
        <v>63.305999999999997</v>
      </c>
      <c r="M8799">
        <v>74.522000000000006</v>
      </c>
      <c r="N8799">
        <v>15.906000000000001</v>
      </c>
    </row>
    <row r="8800" spans="1:14" x14ac:dyDescent="0.45">
      <c r="A8800">
        <v>2021</v>
      </c>
      <c r="B8800" t="s">
        <v>132</v>
      </c>
      <c r="C8800">
        <v>1</v>
      </c>
      <c r="D8800">
        <v>0</v>
      </c>
      <c r="E8800">
        <v>0</v>
      </c>
      <c r="F8800">
        <v>0</v>
      </c>
      <c r="G8800">
        <v>0</v>
      </c>
      <c r="H8800">
        <v>1</v>
      </c>
      <c r="I8800">
        <v>1</v>
      </c>
      <c r="J8800">
        <v>69302.008878823704</v>
      </c>
      <c r="K8800">
        <v>62729.9725660447</v>
      </c>
      <c r="L8800">
        <v>12.493</v>
      </c>
      <c r="M8800">
        <v>70.049000000000007</v>
      </c>
      <c r="N8800">
        <v>11.461</v>
      </c>
    </row>
    <row r="8801" spans="1:14" x14ac:dyDescent="0.45">
      <c r="A8801">
        <v>2021</v>
      </c>
      <c r="B8801" t="s">
        <v>133</v>
      </c>
      <c r="C8801">
        <v>0</v>
      </c>
      <c r="D8801">
        <v>1</v>
      </c>
      <c r="E8801">
        <v>0</v>
      </c>
      <c r="F8801">
        <v>0</v>
      </c>
      <c r="G8801">
        <v>1</v>
      </c>
      <c r="H8801">
        <v>0</v>
      </c>
      <c r="I8801">
        <v>0</v>
      </c>
      <c r="J8801">
        <v>11825.1409200782</v>
      </c>
      <c r="K8801">
        <v>10272.2120901294</v>
      </c>
      <c r="L8801">
        <v>47.755000000000003</v>
      </c>
      <c r="M8801">
        <v>67.858000000000004</v>
      </c>
      <c r="N8801">
        <v>22.917999999999999</v>
      </c>
    </row>
    <row r="8802" spans="1:14" x14ac:dyDescent="0.45">
      <c r="A8802">
        <v>2021</v>
      </c>
      <c r="B8802" t="s">
        <v>134</v>
      </c>
      <c r="C8802">
        <v>0</v>
      </c>
      <c r="D8802">
        <v>0</v>
      </c>
      <c r="E8802">
        <v>0</v>
      </c>
      <c r="F8802">
        <v>0</v>
      </c>
      <c r="G8802">
        <v>0</v>
      </c>
      <c r="H8802">
        <v>1</v>
      </c>
      <c r="I8802">
        <v>1</v>
      </c>
      <c r="L8802">
        <v>4.9850000000000003</v>
      </c>
      <c r="M8802">
        <v>75.433999999999997</v>
      </c>
      <c r="N8802">
        <v>13.260999999999999</v>
      </c>
    </row>
    <row r="8803" spans="1:14" x14ac:dyDescent="0.45">
      <c r="A8803">
        <v>2021</v>
      </c>
      <c r="B8803" t="s">
        <v>135</v>
      </c>
      <c r="C8803">
        <v>0</v>
      </c>
      <c r="D8803">
        <v>1</v>
      </c>
      <c r="E8803">
        <v>0</v>
      </c>
      <c r="F8803">
        <v>0</v>
      </c>
      <c r="G8803">
        <v>1</v>
      </c>
      <c r="H8803">
        <v>0</v>
      </c>
      <c r="I8803">
        <v>0</v>
      </c>
      <c r="J8803">
        <v>22865.927096888201</v>
      </c>
      <c r="K8803">
        <v>21868.4956535528</v>
      </c>
      <c r="L8803">
        <v>73.102999999999994</v>
      </c>
      <c r="M8803">
        <v>64.322999999999993</v>
      </c>
      <c r="N8803">
        <v>27.393999999999998</v>
      </c>
    </row>
    <row r="8804" spans="1:14" x14ac:dyDescent="0.45">
      <c r="A8804">
        <v>2021</v>
      </c>
      <c r="B8804" t="s">
        <v>136</v>
      </c>
      <c r="C8804">
        <v>0</v>
      </c>
      <c r="D8804">
        <v>0</v>
      </c>
      <c r="E8804">
        <v>0</v>
      </c>
      <c r="F8804">
        <v>0</v>
      </c>
      <c r="G8804">
        <v>0</v>
      </c>
      <c r="H8804">
        <v>1</v>
      </c>
      <c r="I8804">
        <v>1</v>
      </c>
      <c r="J8804">
        <v>65884.937626060302</v>
      </c>
      <c r="K8804">
        <v>59461.3833713926</v>
      </c>
      <c r="L8804">
        <v>0</v>
      </c>
      <c r="M8804">
        <v>85.081999999999994</v>
      </c>
      <c r="N8804">
        <v>1.9339999999999999</v>
      </c>
    </row>
    <row r="8805" spans="1:14" x14ac:dyDescent="0.45">
      <c r="A8805">
        <v>2021</v>
      </c>
      <c r="B8805" t="s">
        <v>137</v>
      </c>
      <c r="C8805">
        <v>0</v>
      </c>
      <c r="D8805">
        <v>1</v>
      </c>
      <c r="E8805">
        <v>0</v>
      </c>
      <c r="F8805">
        <v>1</v>
      </c>
      <c r="G8805">
        <v>0</v>
      </c>
      <c r="H8805">
        <v>0</v>
      </c>
      <c r="I8805">
        <v>0</v>
      </c>
      <c r="J8805">
        <v>6202.9807881203697</v>
      </c>
      <c r="K8805">
        <v>5715.9105316133</v>
      </c>
      <c r="L8805">
        <v>41.018000000000001</v>
      </c>
      <c r="M8805">
        <v>69.492000000000004</v>
      </c>
      <c r="N8805">
        <v>16.553000000000001</v>
      </c>
    </row>
    <row r="8806" spans="1:14" x14ac:dyDescent="0.45">
      <c r="A8806">
        <v>2021</v>
      </c>
      <c r="B8806" t="s">
        <v>138</v>
      </c>
      <c r="C8806">
        <v>1</v>
      </c>
      <c r="D8806">
        <v>0</v>
      </c>
      <c r="E8806">
        <v>0</v>
      </c>
      <c r="F8806">
        <v>0</v>
      </c>
      <c r="G8806">
        <v>0</v>
      </c>
      <c r="H8806">
        <v>1</v>
      </c>
      <c r="I8806">
        <v>1</v>
      </c>
      <c r="J8806">
        <v>36930.4701258567</v>
      </c>
      <c r="K8806">
        <v>31849.174992062999</v>
      </c>
      <c r="L8806">
        <v>42.122</v>
      </c>
      <c r="M8806">
        <v>77.141000000000005</v>
      </c>
      <c r="N8806">
        <v>4.7679999999999998</v>
      </c>
    </row>
    <row r="8807" spans="1:14" x14ac:dyDescent="0.45">
      <c r="A8807">
        <v>2021</v>
      </c>
      <c r="B8807" t="s">
        <v>139</v>
      </c>
      <c r="C8807">
        <v>0</v>
      </c>
      <c r="D8807">
        <v>1</v>
      </c>
      <c r="E8807">
        <v>0</v>
      </c>
      <c r="F8807">
        <v>1</v>
      </c>
      <c r="G8807">
        <v>0</v>
      </c>
      <c r="H8807">
        <v>0</v>
      </c>
      <c r="I8807">
        <v>0</v>
      </c>
      <c r="J8807">
        <v>3134.9501493841699</v>
      </c>
      <c r="K8807">
        <v>3013.1753930250002</v>
      </c>
      <c r="L8807">
        <v>42.036000000000001</v>
      </c>
      <c r="M8807">
        <v>62.613</v>
      </c>
      <c r="N8807">
        <v>60.069000000000003</v>
      </c>
    </row>
    <row r="8808" spans="1:14" x14ac:dyDescent="0.45">
      <c r="A8808">
        <v>2021</v>
      </c>
      <c r="B8808" t="s">
        <v>140</v>
      </c>
      <c r="C8808">
        <v>1</v>
      </c>
      <c r="D8808">
        <v>0</v>
      </c>
      <c r="E8808">
        <v>0</v>
      </c>
      <c r="F8808">
        <v>0</v>
      </c>
      <c r="G8808">
        <v>0</v>
      </c>
      <c r="H8808">
        <v>1</v>
      </c>
      <c r="I8808">
        <v>1</v>
      </c>
      <c r="J8808">
        <v>38887.190952715398</v>
      </c>
      <c r="K8808">
        <v>33886.977940387202</v>
      </c>
      <c r="L8808">
        <v>27.754999999999999</v>
      </c>
      <c r="M8808">
        <v>74.185000000000002</v>
      </c>
      <c r="N8808">
        <v>3.879</v>
      </c>
    </row>
    <row r="8809" spans="1:14" x14ac:dyDescent="0.45">
      <c r="A8809">
        <v>2021</v>
      </c>
      <c r="B8809" t="s">
        <v>141</v>
      </c>
      <c r="C8809">
        <v>0</v>
      </c>
      <c r="D8809">
        <v>0</v>
      </c>
      <c r="E8809">
        <v>0</v>
      </c>
      <c r="F8809">
        <v>1</v>
      </c>
      <c r="G8809">
        <v>0</v>
      </c>
      <c r="H8809">
        <v>0</v>
      </c>
      <c r="I8809">
        <v>0</v>
      </c>
      <c r="J8809">
        <v>12757.0746440204</v>
      </c>
      <c r="K8809">
        <v>11581.413092072</v>
      </c>
      <c r="L8809">
        <v>42.71</v>
      </c>
      <c r="M8809">
        <v>67.451999999999998</v>
      </c>
      <c r="N8809">
        <v>22.055</v>
      </c>
    </row>
    <row r="8810" spans="1:14" x14ac:dyDescent="0.45">
      <c r="A8810">
        <v>2021</v>
      </c>
      <c r="B8810" t="s">
        <v>142</v>
      </c>
      <c r="C8810">
        <v>1</v>
      </c>
      <c r="D8810">
        <v>0</v>
      </c>
      <c r="E8810">
        <v>0</v>
      </c>
      <c r="F8810">
        <v>0</v>
      </c>
      <c r="G8810">
        <v>0</v>
      </c>
      <c r="H8810">
        <v>1</v>
      </c>
      <c r="I8810">
        <v>1</v>
      </c>
      <c r="L8810">
        <v>46.923999999999999</v>
      </c>
      <c r="M8810">
        <v>80.42</v>
      </c>
      <c r="N8810">
        <v>13.689</v>
      </c>
    </row>
    <row r="8811" spans="1:14" x14ac:dyDescent="0.45">
      <c r="A8811">
        <v>2021</v>
      </c>
      <c r="B8811" t="s">
        <v>143</v>
      </c>
      <c r="C8811">
        <v>0</v>
      </c>
      <c r="D8811">
        <v>0</v>
      </c>
      <c r="E8811">
        <v>0</v>
      </c>
      <c r="F8811">
        <v>1</v>
      </c>
      <c r="G8811">
        <v>0</v>
      </c>
      <c r="H8811">
        <v>0</v>
      </c>
      <c r="I8811">
        <v>0</v>
      </c>
      <c r="J8811">
        <v>8050.0185745266399</v>
      </c>
      <c r="K8811">
        <v>6751.4326217378102</v>
      </c>
      <c r="L8811">
        <v>64.606999999999999</v>
      </c>
      <c r="M8811">
        <v>67.281999999999996</v>
      </c>
      <c r="N8811">
        <v>30.841000000000001</v>
      </c>
    </row>
    <row r="8812" spans="1:14" x14ac:dyDescent="0.45">
      <c r="A8812">
        <v>2021</v>
      </c>
      <c r="B8812" t="s">
        <v>144</v>
      </c>
      <c r="C8812">
        <v>1</v>
      </c>
      <c r="D8812">
        <v>0</v>
      </c>
      <c r="E8812">
        <v>0</v>
      </c>
      <c r="F8812">
        <v>0</v>
      </c>
      <c r="G8812">
        <v>0</v>
      </c>
      <c r="H8812">
        <v>1</v>
      </c>
      <c r="I8812">
        <v>1</v>
      </c>
      <c r="J8812">
        <v>116903.61243517</v>
      </c>
      <c r="K8812">
        <v>107486.772496623</v>
      </c>
      <c r="L8812">
        <v>36.088000000000001</v>
      </c>
      <c r="M8812">
        <v>81.861000000000004</v>
      </c>
      <c r="N8812">
        <v>3.5529999999999999</v>
      </c>
    </row>
    <row r="8813" spans="1:14" x14ac:dyDescent="0.45">
      <c r="A8813">
        <v>2021</v>
      </c>
      <c r="B8813" t="s">
        <v>145</v>
      </c>
      <c r="C8813">
        <v>0</v>
      </c>
      <c r="D8813">
        <v>0</v>
      </c>
      <c r="E8813">
        <v>0</v>
      </c>
      <c r="F8813">
        <v>1</v>
      </c>
      <c r="G8813">
        <v>0</v>
      </c>
      <c r="H8813">
        <v>0</v>
      </c>
      <c r="I8813">
        <v>0</v>
      </c>
      <c r="J8813">
        <v>14951.8948716503</v>
      </c>
      <c r="K8813">
        <v>14914.4354694579</v>
      </c>
      <c r="L8813">
        <v>23.655000000000001</v>
      </c>
      <c r="M8813">
        <v>73.751999999999995</v>
      </c>
      <c r="N8813">
        <v>12.847</v>
      </c>
    </row>
    <row r="8814" spans="1:14" x14ac:dyDescent="0.45">
      <c r="A8814">
        <v>2021</v>
      </c>
      <c r="B8814" t="s">
        <v>146</v>
      </c>
      <c r="C8814">
        <v>0</v>
      </c>
      <c r="D8814">
        <v>0</v>
      </c>
      <c r="E8814">
        <v>0</v>
      </c>
      <c r="F8814">
        <v>0</v>
      </c>
      <c r="G8814">
        <v>1</v>
      </c>
      <c r="H8814">
        <v>0</v>
      </c>
      <c r="I8814">
        <v>0</v>
      </c>
      <c r="J8814">
        <v>12731.753575512899</v>
      </c>
      <c r="K8814">
        <v>8999.9335884152897</v>
      </c>
      <c r="L8814">
        <v>28.881</v>
      </c>
      <c r="M8814">
        <v>70.703999999999994</v>
      </c>
      <c r="N8814">
        <v>24.527999999999999</v>
      </c>
    </row>
    <row r="8815" spans="1:14" x14ac:dyDescent="0.45">
      <c r="A8815">
        <v>2021</v>
      </c>
      <c r="B8815" t="s">
        <v>147</v>
      </c>
      <c r="C8815">
        <v>1</v>
      </c>
      <c r="D8815">
        <v>0</v>
      </c>
      <c r="E8815">
        <v>0</v>
      </c>
      <c r="F8815">
        <v>0</v>
      </c>
      <c r="G8815">
        <v>0</v>
      </c>
      <c r="H8815">
        <v>1</v>
      </c>
      <c r="I8815">
        <v>1</v>
      </c>
      <c r="J8815">
        <v>61610.213274071502</v>
      </c>
      <c r="K8815">
        <v>53310.632797475097</v>
      </c>
      <c r="L8815">
        <v>6.056</v>
      </c>
      <c r="M8815">
        <v>82.843000000000004</v>
      </c>
      <c r="N8815">
        <v>4.3470000000000004</v>
      </c>
    </row>
    <row r="8816" spans="1:14" x14ac:dyDescent="0.45">
      <c r="A8816">
        <v>2021</v>
      </c>
      <c r="B8816" t="s">
        <v>148</v>
      </c>
      <c r="C8816">
        <v>0</v>
      </c>
      <c r="D8816">
        <v>0</v>
      </c>
      <c r="E8816">
        <v>0</v>
      </c>
      <c r="F8816">
        <v>0</v>
      </c>
      <c r="G8816">
        <v>0</v>
      </c>
      <c r="H8816">
        <v>1</v>
      </c>
      <c r="I8816">
        <v>1</v>
      </c>
      <c r="J8816">
        <v>46162.082273024702</v>
      </c>
      <c r="K8816">
        <v>42343.424398914598</v>
      </c>
      <c r="L8816">
        <v>7.3259999999999899</v>
      </c>
      <c r="M8816">
        <v>82.516999999999996</v>
      </c>
      <c r="N8816">
        <v>3.569</v>
      </c>
    </row>
    <row r="8817" spans="1:14" x14ac:dyDescent="0.45">
      <c r="A8817">
        <v>2021</v>
      </c>
      <c r="B8817" t="s">
        <v>149</v>
      </c>
      <c r="C8817">
        <v>1</v>
      </c>
      <c r="D8817">
        <v>0</v>
      </c>
      <c r="E8817">
        <v>0</v>
      </c>
      <c r="F8817">
        <v>0</v>
      </c>
      <c r="G8817">
        <v>0</v>
      </c>
      <c r="H8817">
        <v>1</v>
      </c>
      <c r="I8817">
        <v>1</v>
      </c>
      <c r="J8817">
        <v>49825.393411184799</v>
      </c>
      <c r="K8817">
        <v>42439.631651862903</v>
      </c>
      <c r="L8817">
        <v>28.654</v>
      </c>
      <c r="M8817">
        <v>82.864999999999995</v>
      </c>
      <c r="N8817">
        <v>2.694</v>
      </c>
    </row>
    <row r="8818" spans="1:14" x14ac:dyDescent="0.45">
      <c r="A8818">
        <v>2021</v>
      </c>
      <c r="B8818" t="s">
        <v>150</v>
      </c>
      <c r="C8818">
        <v>0</v>
      </c>
      <c r="D8818">
        <v>1</v>
      </c>
      <c r="E8818">
        <v>0</v>
      </c>
      <c r="F8818">
        <v>0</v>
      </c>
      <c r="G8818">
        <v>1</v>
      </c>
      <c r="H8818">
        <v>0</v>
      </c>
      <c r="I8818">
        <v>0</v>
      </c>
      <c r="J8818">
        <v>9577.1642113407906</v>
      </c>
      <c r="K8818">
        <v>9438.5841538714903</v>
      </c>
      <c r="L8818">
        <v>43.347999999999999</v>
      </c>
      <c r="M8818">
        <v>69.084999999999994</v>
      </c>
      <c r="N8818">
        <v>19.28</v>
      </c>
    </row>
    <row r="8819" spans="1:14" x14ac:dyDescent="0.45">
      <c r="A8819">
        <v>2021</v>
      </c>
      <c r="B8819" t="s">
        <v>151</v>
      </c>
      <c r="C8819">
        <v>0</v>
      </c>
      <c r="D8819">
        <v>0</v>
      </c>
      <c r="E8819">
        <v>0</v>
      </c>
      <c r="F8819">
        <v>0</v>
      </c>
      <c r="G8819">
        <v>1</v>
      </c>
      <c r="H8819">
        <v>0</v>
      </c>
      <c r="I8819">
        <v>0</v>
      </c>
      <c r="J8819">
        <v>9182.4961612560001</v>
      </c>
      <c r="K8819">
        <v>9109.4520775954697</v>
      </c>
      <c r="L8819">
        <v>8.3740000000000006</v>
      </c>
      <c r="M8819">
        <v>74.203999999999994</v>
      </c>
      <c r="N8819">
        <v>14.603</v>
      </c>
    </row>
    <row r="8820" spans="1:14" x14ac:dyDescent="0.45">
      <c r="A8820">
        <v>2021</v>
      </c>
      <c r="B8820" t="s">
        <v>152</v>
      </c>
      <c r="C8820">
        <v>0</v>
      </c>
      <c r="D8820">
        <v>0</v>
      </c>
      <c r="E8820">
        <v>0</v>
      </c>
      <c r="F8820">
        <v>0</v>
      </c>
      <c r="G8820">
        <v>0</v>
      </c>
      <c r="H8820">
        <v>1</v>
      </c>
      <c r="I8820">
        <v>1</v>
      </c>
      <c r="J8820">
        <v>44355.3487163354</v>
      </c>
      <c r="K8820">
        <v>41087.793230030802</v>
      </c>
      <c r="L8820">
        <v>8.1329999999999991</v>
      </c>
      <c r="M8820">
        <v>84.55</v>
      </c>
      <c r="N8820">
        <v>2.29</v>
      </c>
    </row>
    <row r="8821" spans="1:14" x14ac:dyDescent="0.45">
      <c r="A8821">
        <v>2021</v>
      </c>
      <c r="B8821" t="s">
        <v>153</v>
      </c>
      <c r="C8821">
        <v>1</v>
      </c>
      <c r="D8821">
        <v>0</v>
      </c>
      <c r="E8821">
        <v>0</v>
      </c>
      <c r="F8821">
        <v>0</v>
      </c>
      <c r="G8821">
        <v>1</v>
      </c>
      <c r="H8821">
        <v>0</v>
      </c>
      <c r="I8821">
        <v>0</v>
      </c>
      <c r="J8821">
        <v>32945.851572582302</v>
      </c>
      <c r="K8821">
        <v>25053.982909267699</v>
      </c>
      <c r="L8821">
        <v>42.179000000000002</v>
      </c>
      <c r="M8821">
        <v>70.131</v>
      </c>
      <c r="N8821">
        <v>9.8729999999999993</v>
      </c>
    </row>
    <row r="8822" spans="1:14" x14ac:dyDescent="0.45">
      <c r="A8822">
        <v>2021</v>
      </c>
      <c r="B8822" t="s">
        <v>154</v>
      </c>
      <c r="C8822">
        <v>0</v>
      </c>
      <c r="D8822">
        <v>0</v>
      </c>
      <c r="E8822">
        <v>1</v>
      </c>
      <c r="F8822">
        <v>1</v>
      </c>
      <c r="G8822">
        <v>0</v>
      </c>
      <c r="H8822">
        <v>0</v>
      </c>
      <c r="I8822">
        <v>0</v>
      </c>
      <c r="J8822">
        <v>5338.8524338278103</v>
      </c>
      <c r="K8822">
        <v>4601.26989173533</v>
      </c>
      <c r="L8822">
        <v>71.507000000000005</v>
      </c>
      <c r="M8822">
        <v>61.225000000000001</v>
      </c>
      <c r="N8822">
        <v>48.165999999999997</v>
      </c>
    </row>
    <row r="8823" spans="1:14" x14ac:dyDescent="0.45">
      <c r="A8823">
        <v>2021</v>
      </c>
      <c r="B8823" t="s">
        <v>155</v>
      </c>
      <c r="C8823">
        <v>1</v>
      </c>
      <c r="D8823">
        <v>0</v>
      </c>
      <c r="E8823">
        <v>0</v>
      </c>
      <c r="F8823">
        <v>1</v>
      </c>
      <c r="G8823">
        <v>0</v>
      </c>
      <c r="H8823">
        <v>0</v>
      </c>
      <c r="I8823">
        <v>0</v>
      </c>
      <c r="J8823">
        <v>5736.4788341515396</v>
      </c>
      <c r="K8823">
        <v>4848.2885469386702</v>
      </c>
      <c r="L8823">
        <v>62.853999999999999</v>
      </c>
      <c r="M8823">
        <v>69.290000000000006</v>
      </c>
      <c r="N8823">
        <v>17.853999999999999</v>
      </c>
    </row>
    <row r="8824" spans="1:14" x14ac:dyDescent="0.45">
      <c r="A8824">
        <v>2021</v>
      </c>
      <c r="B8824" t="s">
        <v>156</v>
      </c>
      <c r="C8824">
        <v>0</v>
      </c>
      <c r="D8824">
        <v>0</v>
      </c>
      <c r="E8824">
        <v>0</v>
      </c>
      <c r="F8824">
        <v>1</v>
      </c>
      <c r="G8824">
        <v>0</v>
      </c>
      <c r="H8824">
        <v>0</v>
      </c>
      <c r="I8824">
        <v>0</v>
      </c>
      <c r="J8824">
        <v>6225.5326547474097</v>
      </c>
      <c r="K8824">
        <v>5582.23770204844</v>
      </c>
      <c r="L8824">
        <v>75.331999999999994</v>
      </c>
      <c r="M8824">
        <v>69.301000000000002</v>
      </c>
      <c r="N8824">
        <v>24.628</v>
      </c>
    </row>
    <row r="8825" spans="1:14" x14ac:dyDescent="0.45">
      <c r="A8825">
        <v>2021</v>
      </c>
      <c r="B8825" t="s">
        <v>157</v>
      </c>
      <c r="C8825">
        <v>0</v>
      </c>
      <c r="D8825">
        <v>0</v>
      </c>
      <c r="E8825">
        <v>0</v>
      </c>
      <c r="F8825">
        <v>1</v>
      </c>
      <c r="G8825">
        <v>0</v>
      </c>
      <c r="H8825">
        <v>0</v>
      </c>
      <c r="I8825">
        <v>0</v>
      </c>
      <c r="J8825">
        <v>3020.4939993569601</v>
      </c>
      <c r="K8825">
        <v>2732.3367495575799</v>
      </c>
      <c r="L8825">
        <v>43.664999999999999</v>
      </c>
      <c r="M8825">
        <v>64.147999999999996</v>
      </c>
      <c r="N8825">
        <v>57.161000000000001</v>
      </c>
    </row>
    <row r="8826" spans="1:14" x14ac:dyDescent="0.45">
      <c r="A8826">
        <v>2021</v>
      </c>
      <c r="B8826" t="s">
        <v>158</v>
      </c>
      <c r="C8826">
        <v>0</v>
      </c>
      <c r="D8826">
        <v>1</v>
      </c>
      <c r="E8826">
        <v>0</v>
      </c>
      <c r="F8826">
        <v>0</v>
      </c>
      <c r="G8826">
        <v>0</v>
      </c>
      <c r="H8826">
        <v>1</v>
      </c>
      <c r="I8826">
        <v>1</v>
      </c>
      <c r="J8826">
        <v>26896.617706597801</v>
      </c>
      <c r="K8826">
        <v>26564.068415387399</v>
      </c>
      <c r="L8826">
        <v>69.093999999999994</v>
      </c>
      <c r="M8826">
        <v>69.271000000000001</v>
      </c>
      <c r="N8826">
        <v>15.798999999999999</v>
      </c>
    </row>
    <row r="8827" spans="1:14" x14ac:dyDescent="0.45">
      <c r="A8827">
        <v>2021</v>
      </c>
      <c r="B8827" t="s">
        <v>159</v>
      </c>
      <c r="C8827">
        <v>0</v>
      </c>
      <c r="D8827">
        <v>0</v>
      </c>
      <c r="E8827">
        <v>0</v>
      </c>
      <c r="F8827">
        <v>0</v>
      </c>
      <c r="G8827">
        <v>0</v>
      </c>
      <c r="H8827">
        <v>1</v>
      </c>
      <c r="I8827">
        <v>1</v>
      </c>
      <c r="J8827">
        <v>48419.643251350899</v>
      </c>
      <c r="K8827">
        <v>44140.436062100998</v>
      </c>
      <c r="L8827">
        <v>18.585999999999999</v>
      </c>
      <c r="M8827">
        <v>83.852000000000004</v>
      </c>
      <c r="N8827">
        <v>2.9089999999999998</v>
      </c>
    </row>
    <row r="8828" spans="1:14" x14ac:dyDescent="0.45">
      <c r="A8828">
        <v>2021</v>
      </c>
      <c r="B8828" t="s">
        <v>160</v>
      </c>
      <c r="C8828">
        <v>0</v>
      </c>
      <c r="D8828">
        <v>0</v>
      </c>
      <c r="E8828">
        <v>0</v>
      </c>
      <c r="F8828">
        <v>0</v>
      </c>
      <c r="G8828">
        <v>0</v>
      </c>
      <c r="H8828">
        <v>1</v>
      </c>
      <c r="I8828">
        <v>1</v>
      </c>
      <c r="J8828">
        <v>50651.957576402499</v>
      </c>
      <c r="K8828">
        <v>45110.639759894097</v>
      </c>
      <c r="L8828">
        <v>0</v>
      </c>
      <c r="M8828">
        <v>77.625</v>
      </c>
      <c r="N8828">
        <v>8.6660000000000004</v>
      </c>
    </row>
    <row r="8829" spans="1:14" x14ac:dyDescent="0.45">
      <c r="A8829">
        <v>2021</v>
      </c>
      <c r="B8829" t="s">
        <v>161</v>
      </c>
      <c r="C8829">
        <v>0</v>
      </c>
      <c r="D8829">
        <v>0</v>
      </c>
      <c r="E8829">
        <v>0</v>
      </c>
      <c r="F8829">
        <v>1</v>
      </c>
      <c r="G8829">
        <v>0</v>
      </c>
      <c r="H8829">
        <v>0</v>
      </c>
      <c r="I8829">
        <v>0</v>
      </c>
      <c r="J8829">
        <v>8080.4355324992302</v>
      </c>
      <c r="K8829">
        <v>7764.5518783084399</v>
      </c>
      <c r="L8829">
        <v>63.061</v>
      </c>
      <c r="M8829">
        <v>67.807000000000002</v>
      </c>
      <c r="N8829">
        <v>41.884999999999998</v>
      </c>
    </row>
    <row r="8830" spans="1:14" x14ac:dyDescent="0.45">
      <c r="A8830">
        <v>2021</v>
      </c>
      <c r="B8830" t="s">
        <v>162</v>
      </c>
      <c r="C8830">
        <v>0</v>
      </c>
      <c r="D8830">
        <v>0</v>
      </c>
      <c r="E8830">
        <v>0</v>
      </c>
      <c r="F8830">
        <v>1</v>
      </c>
      <c r="G8830">
        <v>0</v>
      </c>
      <c r="H8830">
        <v>0</v>
      </c>
      <c r="I8830">
        <v>0</v>
      </c>
      <c r="J8830">
        <v>11599.775508376501</v>
      </c>
      <c r="K8830">
        <v>15077.3117466391</v>
      </c>
      <c r="L8830">
        <v>10.907</v>
      </c>
      <c r="M8830">
        <v>73.650000000000006</v>
      </c>
      <c r="N8830">
        <v>17.231000000000002</v>
      </c>
    </row>
    <row r="8831" spans="1:14" x14ac:dyDescent="0.45">
      <c r="A8831">
        <v>2021</v>
      </c>
      <c r="B8831" t="s">
        <v>163</v>
      </c>
      <c r="C8831">
        <v>0</v>
      </c>
      <c r="D8831">
        <v>0</v>
      </c>
      <c r="E8831">
        <v>1</v>
      </c>
      <c r="F8831">
        <v>0</v>
      </c>
      <c r="G8831">
        <v>0</v>
      </c>
      <c r="H8831">
        <v>0</v>
      </c>
      <c r="I8831">
        <v>0</v>
      </c>
      <c r="J8831">
        <v>1539.20892304674</v>
      </c>
      <c r="K8831">
        <v>2274.0972169909901</v>
      </c>
      <c r="L8831">
        <v>47.427</v>
      </c>
      <c r="M8831">
        <v>61.165999999999997</v>
      </c>
      <c r="N8831">
        <v>74.938000000000002</v>
      </c>
    </row>
    <row r="8832" spans="1:14" x14ac:dyDescent="0.45">
      <c r="A8832">
        <v>2021</v>
      </c>
      <c r="B8832" t="s">
        <v>164</v>
      </c>
      <c r="C8832">
        <v>0</v>
      </c>
      <c r="D8832">
        <v>0</v>
      </c>
      <c r="E8832">
        <v>0</v>
      </c>
      <c r="F8832">
        <v>0</v>
      </c>
      <c r="G8832">
        <v>1</v>
      </c>
      <c r="H8832">
        <v>0</v>
      </c>
      <c r="I8832">
        <v>0</v>
      </c>
      <c r="J8832">
        <v>12641.5097714075</v>
      </c>
      <c r="K8832">
        <v>14774.0710867774</v>
      </c>
      <c r="L8832">
        <v>19.006</v>
      </c>
      <c r="M8832">
        <v>72.061999999999998</v>
      </c>
      <c r="N8832">
        <v>10.776</v>
      </c>
    </row>
    <row r="8833" spans="1:14" x14ac:dyDescent="0.45">
      <c r="A8833">
        <v>2021</v>
      </c>
      <c r="B8833" t="s">
        <v>165</v>
      </c>
      <c r="C8833">
        <v>0</v>
      </c>
      <c r="D8833">
        <v>1</v>
      </c>
      <c r="E8833">
        <v>0</v>
      </c>
      <c r="F8833">
        <v>0</v>
      </c>
      <c r="G8833">
        <v>1</v>
      </c>
      <c r="H8833">
        <v>0</v>
      </c>
      <c r="I8833">
        <v>0</v>
      </c>
      <c r="J8833">
        <v>19101.165295667499</v>
      </c>
      <c r="K8833">
        <v>13741.512162187801</v>
      </c>
      <c r="L8833">
        <v>81.06</v>
      </c>
      <c r="M8833">
        <v>69.119</v>
      </c>
      <c r="N8833">
        <v>17.443000000000001</v>
      </c>
    </row>
    <row r="8834" spans="1:14" x14ac:dyDescent="0.45">
      <c r="A8834">
        <v>2021</v>
      </c>
      <c r="B8834" t="s">
        <v>166</v>
      </c>
      <c r="C8834">
        <v>1</v>
      </c>
      <c r="D8834">
        <v>0</v>
      </c>
      <c r="E8834">
        <v>0</v>
      </c>
      <c r="F8834">
        <v>0</v>
      </c>
      <c r="G8834">
        <v>0</v>
      </c>
      <c r="H8834">
        <v>1</v>
      </c>
      <c r="I8834">
        <v>1</v>
      </c>
      <c r="L8834">
        <v>85.528999999999996</v>
      </c>
      <c r="M8834">
        <v>82.787999999999997</v>
      </c>
      <c r="N8834">
        <v>6.5490000000000004</v>
      </c>
    </row>
    <row r="8835" spans="1:14" x14ac:dyDescent="0.45">
      <c r="A8835">
        <v>2021</v>
      </c>
      <c r="B8835" t="s">
        <v>167</v>
      </c>
      <c r="C8835">
        <v>0</v>
      </c>
      <c r="D8835">
        <v>0</v>
      </c>
      <c r="E8835">
        <v>0</v>
      </c>
      <c r="F8835">
        <v>1</v>
      </c>
      <c r="G8835">
        <v>0</v>
      </c>
      <c r="H8835">
        <v>0</v>
      </c>
      <c r="I8835">
        <v>0</v>
      </c>
      <c r="J8835">
        <v>14316.1352225683</v>
      </c>
      <c r="K8835">
        <v>13371.044029922999</v>
      </c>
      <c r="L8835">
        <v>81.14</v>
      </c>
      <c r="M8835">
        <v>76.278000000000006</v>
      </c>
      <c r="N8835">
        <v>6.7830000000000004</v>
      </c>
    </row>
    <row r="8836" spans="1:14" x14ac:dyDescent="0.45">
      <c r="A8836">
        <v>2021</v>
      </c>
      <c r="B8836" t="s">
        <v>168</v>
      </c>
      <c r="C8836">
        <v>0</v>
      </c>
      <c r="D8836">
        <v>0</v>
      </c>
      <c r="E8836">
        <v>1</v>
      </c>
      <c r="F8836">
        <v>1</v>
      </c>
      <c r="G8836">
        <v>0</v>
      </c>
      <c r="H8836">
        <v>0</v>
      </c>
      <c r="I8836">
        <v>0</v>
      </c>
      <c r="J8836">
        <v>2544.78249551214</v>
      </c>
      <c r="K8836">
        <v>2278.6496402688199</v>
      </c>
      <c r="L8836">
        <v>70.52</v>
      </c>
      <c r="M8836">
        <v>54.209000000000003</v>
      </c>
      <c r="N8836">
        <v>74.120999999999995</v>
      </c>
    </row>
    <row r="8837" spans="1:14" x14ac:dyDescent="0.45">
      <c r="A8837">
        <v>2021</v>
      </c>
      <c r="B8837" t="s">
        <v>169</v>
      </c>
      <c r="C8837">
        <v>1</v>
      </c>
      <c r="D8837">
        <v>0</v>
      </c>
      <c r="E8837">
        <v>0</v>
      </c>
      <c r="F8837">
        <v>0</v>
      </c>
      <c r="G8837">
        <v>0</v>
      </c>
      <c r="H8837">
        <v>1</v>
      </c>
      <c r="I8837">
        <v>1</v>
      </c>
      <c r="J8837">
        <v>45873.527323948598</v>
      </c>
      <c r="K8837">
        <v>39247.861498189202</v>
      </c>
      <c r="L8837">
        <v>31.751000000000001</v>
      </c>
      <c r="M8837">
        <v>74.296999999999997</v>
      </c>
      <c r="N8837">
        <v>3.633</v>
      </c>
    </row>
    <row r="8838" spans="1:14" x14ac:dyDescent="0.45">
      <c r="A8838">
        <v>2021</v>
      </c>
      <c r="B8838" t="s">
        <v>170</v>
      </c>
      <c r="C8838">
        <v>1</v>
      </c>
      <c r="D8838">
        <v>0</v>
      </c>
      <c r="E8838">
        <v>0</v>
      </c>
      <c r="F8838">
        <v>0</v>
      </c>
      <c r="G8838">
        <v>0</v>
      </c>
      <c r="H8838">
        <v>1</v>
      </c>
      <c r="I8838">
        <v>1</v>
      </c>
      <c r="J8838">
        <v>136772.443753292</v>
      </c>
      <c r="K8838">
        <v>116880.439141004</v>
      </c>
      <c r="L8838">
        <v>8.3279999999999994</v>
      </c>
      <c r="M8838">
        <v>81.838999999999999</v>
      </c>
      <c r="N8838">
        <v>5.3520000000000003</v>
      </c>
    </row>
    <row r="8839" spans="1:14" x14ac:dyDescent="0.45">
      <c r="A8839">
        <v>2021</v>
      </c>
      <c r="B8839" t="s">
        <v>171</v>
      </c>
      <c r="C8839">
        <v>1</v>
      </c>
      <c r="D8839">
        <v>0</v>
      </c>
      <c r="E8839">
        <v>0</v>
      </c>
      <c r="F8839">
        <v>0</v>
      </c>
      <c r="G8839">
        <v>0</v>
      </c>
      <c r="H8839">
        <v>1</v>
      </c>
      <c r="I8839">
        <v>1</v>
      </c>
      <c r="J8839">
        <v>36912.013060216101</v>
      </c>
      <c r="K8839">
        <v>32024.466980426201</v>
      </c>
      <c r="L8839">
        <v>31.579000000000001</v>
      </c>
      <c r="M8839">
        <v>73.180999999999997</v>
      </c>
      <c r="N8839">
        <v>3.585</v>
      </c>
    </row>
    <row r="8840" spans="1:14" x14ac:dyDescent="0.45">
      <c r="A8840">
        <v>2021</v>
      </c>
      <c r="B8840" t="s">
        <v>172</v>
      </c>
      <c r="C8840">
        <v>0</v>
      </c>
      <c r="D8840">
        <v>0</v>
      </c>
      <c r="E8840">
        <v>0</v>
      </c>
      <c r="F8840">
        <v>0</v>
      </c>
      <c r="G8840">
        <v>0</v>
      </c>
      <c r="H8840">
        <v>1</v>
      </c>
      <c r="I8840">
        <v>1</v>
      </c>
      <c r="J8840">
        <v>74177.782524827693</v>
      </c>
      <c r="K8840">
        <v>67222.983840948393</v>
      </c>
      <c r="L8840">
        <v>0</v>
      </c>
      <c r="M8840">
        <v>83.817999999999998</v>
      </c>
      <c r="N8840">
        <v>3.2050000000000001</v>
      </c>
    </row>
    <row r="8841" spans="1:14" x14ac:dyDescent="0.45">
      <c r="A8841">
        <v>2021</v>
      </c>
      <c r="B8841" t="s">
        <v>173</v>
      </c>
      <c r="C8841">
        <v>0</v>
      </c>
      <c r="D8841">
        <v>1</v>
      </c>
      <c r="E8841">
        <v>0</v>
      </c>
      <c r="F8841">
        <v>0</v>
      </c>
      <c r="G8841">
        <v>0</v>
      </c>
      <c r="H8841">
        <v>1</v>
      </c>
      <c r="I8841">
        <v>1</v>
      </c>
      <c r="L8841">
        <v>0</v>
      </c>
      <c r="M8841">
        <v>80.206000000000003</v>
      </c>
      <c r="N8841">
        <v>9.6679999999999993</v>
      </c>
    </row>
    <row r="8842" spans="1:14" x14ac:dyDescent="0.45">
      <c r="A8842">
        <v>2021</v>
      </c>
      <c r="B8842" t="s">
        <v>174</v>
      </c>
      <c r="C8842">
        <v>0</v>
      </c>
      <c r="D8842">
        <v>0</v>
      </c>
      <c r="E8842">
        <v>0</v>
      </c>
      <c r="F8842">
        <v>1</v>
      </c>
      <c r="G8842">
        <v>0</v>
      </c>
      <c r="H8842">
        <v>0</v>
      </c>
      <c r="I8842">
        <v>0</v>
      </c>
      <c r="J8842">
        <v>8623.265625</v>
      </c>
      <c r="K8842">
        <v>8281.51215330985</v>
      </c>
      <c r="L8842">
        <v>35.935000000000002</v>
      </c>
      <c r="M8842">
        <v>73.385000000000005</v>
      </c>
      <c r="N8842">
        <v>17.873000000000001</v>
      </c>
    </row>
    <row r="8843" spans="1:14" x14ac:dyDescent="0.45">
      <c r="A8843">
        <v>2021</v>
      </c>
      <c r="B8843" t="s">
        <v>175</v>
      </c>
      <c r="C8843">
        <v>1</v>
      </c>
      <c r="D8843">
        <v>0</v>
      </c>
      <c r="E8843">
        <v>0</v>
      </c>
      <c r="F8843">
        <v>0</v>
      </c>
      <c r="G8843">
        <v>0</v>
      </c>
      <c r="H8843">
        <v>1</v>
      </c>
      <c r="I8843">
        <v>1</v>
      </c>
      <c r="L8843">
        <v>0</v>
      </c>
      <c r="M8843">
        <v>85.113</v>
      </c>
      <c r="N8843">
        <v>4.577</v>
      </c>
    </row>
    <row r="8844" spans="1:14" x14ac:dyDescent="0.45">
      <c r="A8844">
        <v>2021</v>
      </c>
      <c r="B8844" t="s">
        <v>176</v>
      </c>
      <c r="C8844">
        <v>1</v>
      </c>
      <c r="D8844">
        <v>0</v>
      </c>
      <c r="E8844">
        <v>0</v>
      </c>
      <c r="F8844">
        <v>0</v>
      </c>
      <c r="G8844">
        <v>1</v>
      </c>
      <c r="H8844">
        <v>0</v>
      </c>
      <c r="I8844">
        <v>0</v>
      </c>
      <c r="J8844">
        <v>15682.070328465299</v>
      </c>
      <c r="K8844">
        <v>13450.6315129423</v>
      </c>
      <c r="L8844">
        <v>57.002000000000002</v>
      </c>
      <c r="M8844">
        <v>68.991</v>
      </c>
      <c r="N8844">
        <v>14.302</v>
      </c>
    </row>
    <row r="8845" spans="1:14" x14ac:dyDescent="0.45">
      <c r="A8845">
        <v>2021</v>
      </c>
      <c r="B8845" t="s">
        <v>177</v>
      </c>
      <c r="C8845">
        <v>0</v>
      </c>
      <c r="D8845">
        <v>0</v>
      </c>
      <c r="E8845">
        <v>1</v>
      </c>
      <c r="F8845">
        <v>0</v>
      </c>
      <c r="G8845">
        <v>0</v>
      </c>
      <c r="H8845">
        <v>0</v>
      </c>
      <c r="I8845">
        <v>0</v>
      </c>
      <c r="J8845">
        <v>1577.4324605658601</v>
      </c>
      <c r="K8845">
        <v>1461.3753033515</v>
      </c>
      <c r="L8845">
        <v>60.792999999999999</v>
      </c>
      <c r="M8845">
        <v>62.515999999999998</v>
      </c>
      <c r="N8845">
        <v>65.869</v>
      </c>
    </row>
    <row r="8846" spans="1:14" x14ac:dyDescent="0.45">
      <c r="A8846">
        <v>2021</v>
      </c>
      <c r="B8846" t="s">
        <v>178</v>
      </c>
      <c r="C8846">
        <v>0</v>
      </c>
      <c r="D8846">
        <v>0</v>
      </c>
      <c r="E8846">
        <v>0</v>
      </c>
      <c r="F8846">
        <v>0</v>
      </c>
      <c r="G8846">
        <v>1</v>
      </c>
      <c r="H8846">
        <v>0</v>
      </c>
      <c r="I8846">
        <v>0</v>
      </c>
      <c r="J8846">
        <v>19052.622490431098</v>
      </c>
      <c r="K8846">
        <v>18796.9991417077</v>
      </c>
      <c r="L8846">
        <v>58.898000000000003</v>
      </c>
      <c r="M8846">
        <v>78.052000000000007</v>
      </c>
      <c r="N8846">
        <v>6.032</v>
      </c>
    </row>
    <row r="8847" spans="1:14" x14ac:dyDescent="0.45">
      <c r="A8847">
        <v>2021</v>
      </c>
      <c r="B8847" t="s">
        <v>179</v>
      </c>
      <c r="C8847">
        <v>0</v>
      </c>
      <c r="D8847">
        <v>1</v>
      </c>
      <c r="E8847">
        <v>0</v>
      </c>
      <c r="F8847">
        <v>0</v>
      </c>
      <c r="G8847">
        <v>1</v>
      </c>
      <c r="H8847">
        <v>0</v>
      </c>
      <c r="I8847">
        <v>0</v>
      </c>
      <c r="J8847">
        <v>20782.587742533098</v>
      </c>
      <c r="K8847">
        <v>19321.056237251101</v>
      </c>
      <c r="L8847">
        <v>18.984000000000002</v>
      </c>
      <c r="M8847">
        <v>69.75</v>
      </c>
      <c r="N8847">
        <v>13.356</v>
      </c>
    </row>
    <row r="8848" spans="1:14" x14ac:dyDescent="0.45">
      <c r="A8848">
        <v>2021</v>
      </c>
      <c r="B8848" t="s">
        <v>180</v>
      </c>
      <c r="C8848">
        <v>0</v>
      </c>
      <c r="D8848">
        <v>0</v>
      </c>
      <c r="E8848">
        <v>0</v>
      </c>
      <c r="F8848">
        <v>0</v>
      </c>
      <c r="G8848">
        <v>1</v>
      </c>
      <c r="H8848">
        <v>0</v>
      </c>
      <c r="I8848">
        <v>0</v>
      </c>
      <c r="J8848">
        <v>6705.8752916323601</v>
      </c>
      <c r="K8848">
        <v>6065.3628549535397</v>
      </c>
      <c r="L8848">
        <v>21.838000000000001</v>
      </c>
      <c r="M8848">
        <v>65.421000000000006</v>
      </c>
      <c r="N8848">
        <v>29.64</v>
      </c>
    </row>
    <row r="8849" spans="1:14" x14ac:dyDescent="0.45">
      <c r="A8849">
        <v>2021</v>
      </c>
      <c r="B8849" t="s">
        <v>181</v>
      </c>
      <c r="C8849">
        <v>1</v>
      </c>
      <c r="D8849">
        <v>0</v>
      </c>
      <c r="E8849">
        <v>0</v>
      </c>
      <c r="F8849">
        <v>0</v>
      </c>
      <c r="G8849">
        <v>1</v>
      </c>
      <c r="H8849">
        <v>0</v>
      </c>
      <c r="I8849">
        <v>0</v>
      </c>
      <c r="J8849">
        <v>22142.9728721309</v>
      </c>
      <c r="K8849">
        <v>18692.8292986171</v>
      </c>
      <c r="L8849">
        <v>41.213999999999999</v>
      </c>
      <c r="M8849">
        <v>73.292000000000002</v>
      </c>
      <c r="N8849">
        <v>5.3540000000000001</v>
      </c>
    </row>
    <row r="8850" spans="1:14" x14ac:dyDescent="0.45">
      <c r="A8850">
        <v>2021</v>
      </c>
      <c r="B8850" t="s">
        <v>182</v>
      </c>
      <c r="C8850">
        <v>0</v>
      </c>
      <c r="D8850">
        <v>0</v>
      </c>
      <c r="E8850">
        <v>1</v>
      </c>
      <c r="F8850">
        <v>0</v>
      </c>
      <c r="G8850">
        <v>0</v>
      </c>
      <c r="H8850">
        <v>0</v>
      </c>
      <c r="I8850">
        <v>0</v>
      </c>
      <c r="J8850">
        <v>2796.2279379543102</v>
      </c>
      <c r="K8850">
        <v>2588.2159315101699</v>
      </c>
      <c r="L8850">
        <v>55.323</v>
      </c>
      <c r="M8850">
        <v>59.116</v>
      </c>
      <c r="N8850">
        <v>96.927000000000007</v>
      </c>
    </row>
    <row r="8851" spans="1:14" x14ac:dyDescent="0.45">
      <c r="A8851">
        <v>2021</v>
      </c>
      <c r="B8851" t="s">
        <v>183</v>
      </c>
      <c r="C8851">
        <v>0</v>
      </c>
      <c r="D8851">
        <v>0</v>
      </c>
      <c r="E8851">
        <v>0</v>
      </c>
      <c r="F8851">
        <v>0</v>
      </c>
      <c r="G8851">
        <v>0</v>
      </c>
      <c r="H8851">
        <v>1</v>
      </c>
      <c r="I8851">
        <v>1</v>
      </c>
      <c r="J8851">
        <v>56802.010253314598</v>
      </c>
      <c r="K8851">
        <v>49136.519086933899</v>
      </c>
      <c r="L8851">
        <v>5.19</v>
      </c>
      <c r="M8851">
        <v>82.316000000000003</v>
      </c>
      <c r="N8851">
        <v>4.3819999999999997</v>
      </c>
    </row>
    <row r="8852" spans="1:14" x14ac:dyDescent="0.45">
      <c r="A8852">
        <v>2021</v>
      </c>
      <c r="B8852" t="s">
        <v>184</v>
      </c>
      <c r="C8852">
        <v>0</v>
      </c>
      <c r="D8852">
        <v>0</v>
      </c>
      <c r="E8852">
        <v>0</v>
      </c>
      <c r="F8852">
        <v>1</v>
      </c>
      <c r="G8852">
        <v>0</v>
      </c>
      <c r="H8852">
        <v>0</v>
      </c>
      <c r="I8852">
        <v>0</v>
      </c>
      <c r="J8852">
        <v>5178.4471821716397</v>
      </c>
      <c r="K8852">
        <v>4146.3988781750404</v>
      </c>
      <c r="L8852">
        <v>68.552000000000007</v>
      </c>
      <c r="M8852">
        <v>65.552999999999997</v>
      </c>
      <c r="N8852">
        <v>42.110999999999997</v>
      </c>
    </row>
    <row r="8853" spans="1:14" x14ac:dyDescent="0.45">
      <c r="A8853">
        <v>2021</v>
      </c>
      <c r="B8853" t="s">
        <v>185</v>
      </c>
      <c r="C8853">
        <v>1</v>
      </c>
      <c r="D8853">
        <v>0</v>
      </c>
      <c r="E8853">
        <v>0</v>
      </c>
      <c r="F8853">
        <v>0</v>
      </c>
      <c r="G8853">
        <v>1</v>
      </c>
      <c r="H8853">
        <v>0</v>
      </c>
      <c r="I8853">
        <v>0</v>
      </c>
      <c r="J8853">
        <v>23842.061918894298</v>
      </c>
      <c r="K8853">
        <v>20145.086831564699</v>
      </c>
      <c r="L8853">
        <v>32.173999999999999</v>
      </c>
      <c r="M8853">
        <v>73.789000000000001</v>
      </c>
      <c r="N8853">
        <v>3.3559999999999999</v>
      </c>
    </row>
    <row r="8854" spans="1:14" x14ac:dyDescent="0.45">
      <c r="A8854">
        <v>2021</v>
      </c>
      <c r="B8854" t="s">
        <v>186</v>
      </c>
      <c r="C8854">
        <v>0</v>
      </c>
      <c r="D8854">
        <v>0</v>
      </c>
      <c r="E8854">
        <v>0</v>
      </c>
      <c r="F8854">
        <v>1</v>
      </c>
      <c r="G8854">
        <v>0</v>
      </c>
      <c r="H8854">
        <v>0</v>
      </c>
      <c r="I8854">
        <v>0</v>
      </c>
      <c r="J8854">
        <v>14792.2509086422</v>
      </c>
      <c r="K8854">
        <v>11397.0728547749</v>
      </c>
      <c r="L8854">
        <v>31.215</v>
      </c>
      <c r="M8854">
        <v>68.564999999999998</v>
      </c>
      <c r="N8854">
        <v>14.188000000000001</v>
      </c>
    </row>
    <row r="8855" spans="1:14" x14ac:dyDescent="0.45">
      <c r="A8855">
        <v>2021</v>
      </c>
      <c r="B8855" t="s">
        <v>187</v>
      </c>
      <c r="C8855">
        <v>0</v>
      </c>
      <c r="D8855">
        <v>0</v>
      </c>
      <c r="E8855">
        <v>0</v>
      </c>
      <c r="F8855">
        <v>0</v>
      </c>
      <c r="G8855">
        <v>0</v>
      </c>
      <c r="H8855">
        <v>1</v>
      </c>
      <c r="I8855">
        <v>1</v>
      </c>
      <c r="L8855">
        <v>8.11</v>
      </c>
      <c r="M8855">
        <v>78.16</v>
      </c>
      <c r="N8855">
        <v>6.9180000000000001</v>
      </c>
    </row>
    <row r="8856" spans="1:14" x14ac:dyDescent="0.45">
      <c r="A8856">
        <v>2021</v>
      </c>
      <c r="B8856" t="s">
        <v>188</v>
      </c>
      <c r="C8856">
        <v>0</v>
      </c>
      <c r="D8856">
        <v>0</v>
      </c>
      <c r="E8856">
        <v>1</v>
      </c>
      <c r="F8856">
        <v>0</v>
      </c>
      <c r="G8856">
        <v>0</v>
      </c>
      <c r="H8856">
        <v>0</v>
      </c>
      <c r="I8856">
        <v>0</v>
      </c>
      <c r="J8856">
        <v>1457.2354093092199</v>
      </c>
      <c r="K8856">
        <v>1220.1430705293801</v>
      </c>
      <c r="L8856">
        <v>62.372</v>
      </c>
      <c r="M8856">
        <v>60.268000000000001</v>
      </c>
      <c r="N8856">
        <v>68.286000000000001</v>
      </c>
    </row>
    <row r="8857" spans="1:14" x14ac:dyDescent="0.45">
      <c r="A8857">
        <v>2021</v>
      </c>
      <c r="B8857" t="s">
        <v>189</v>
      </c>
      <c r="C8857">
        <v>0</v>
      </c>
      <c r="D8857">
        <v>0</v>
      </c>
      <c r="E8857">
        <v>1</v>
      </c>
      <c r="F8857">
        <v>1</v>
      </c>
      <c r="G8857">
        <v>0</v>
      </c>
      <c r="H8857">
        <v>0</v>
      </c>
      <c r="I8857">
        <v>0</v>
      </c>
      <c r="J8857">
        <v>5836.5658082189702</v>
      </c>
      <c r="K8857">
        <v>5163.6878094481699</v>
      </c>
      <c r="L8857">
        <v>43.866999999999997</v>
      </c>
      <c r="M8857">
        <v>66.762</v>
      </c>
      <c r="N8857">
        <v>40.475000000000001</v>
      </c>
    </row>
    <row r="8858" spans="1:14" x14ac:dyDescent="0.45">
      <c r="A8858">
        <v>2021</v>
      </c>
      <c r="B8858" t="s">
        <v>190</v>
      </c>
      <c r="C8858">
        <v>0</v>
      </c>
      <c r="D8858">
        <v>0</v>
      </c>
      <c r="E8858">
        <v>1</v>
      </c>
      <c r="F8858">
        <v>0</v>
      </c>
      <c r="G8858">
        <v>1</v>
      </c>
      <c r="H8858">
        <v>0</v>
      </c>
      <c r="I8858">
        <v>0</v>
      </c>
      <c r="J8858">
        <v>22737.572941054299</v>
      </c>
      <c r="K8858">
        <v>21342.047200841102</v>
      </c>
      <c r="L8858">
        <v>59.225000000000001</v>
      </c>
      <c r="M8858">
        <v>72.903000000000006</v>
      </c>
      <c r="N8858">
        <v>14.794</v>
      </c>
    </row>
    <row r="8859" spans="1:14" x14ac:dyDescent="0.45">
      <c r="A8859">
        <v>2021</v>
      </c>
      <c r="B8859" t="s">
        <v>191</v>
      </c>
      <c r="C8859">
        <v>0</v>
      </c>
      <c r="D8859">
        <v>0</v>
      </c>
      <c r="E8859">
        <v>1</v>
      </c>
      <c r="F8859">
        <v>0</v>
      </c>
      <c r="G8859">
        <v>0</v>
      </c>
      <c r="H8859">
        <v>0</v>
      </c>
      <c r="I8859">
        <v>0</v>
      </c>
      <c r="J8859">
        <v>1687.5935817965101</v>
      </c>
      <c r="K8859">
        <v>1444.0086340263399</v>
      </c>
      <c r="L8859">
        <v>82.305000000000007</v>
      </c>
      <c r="M8859">
        <v>64.781999999999996</v>
      </c>
      <c r="N8859">
        <v>41.688000000000002</v>
      </c>
    </row>
    <row r="8860" spans="1:14" x14ac:dyDescent="0.45">
      <c r="A8860">
        <v>2021</v>
      </c>
      <c r="B8860" t="s">
        <v>192</v>
      </c>
      <c r="C8860">
        <v>0</v>
      </c>
      <c r="D8860">
        <v>0</v>
      </c>
      <c r="E8860">
        <v>0</v>
      </c>
      <c r="F8860">
        <v>0</v>
      </c>
      <c r="G8860">
        <v>1</v>
      </c>
      <c r="H8860">
        <v>0</v>
      </c>
      <c r="I8860">
        <v>0</v>
      </c>
      <c r="J8860">
        <v>29822.849183161801</v>
      </c>
      <c r="K8860">
        <v>26658.108332039301</v>
      </c>
      <c r="L8860">
        <v>22.303999999999998</v>
      </c>
      <c r="M8860">
        <v>73.917000000000002</v>
      </c>
      <c r="N8860">
        <v>7.9450000000000003</v>
      </c>
    </row>
    <row r="8861" spans="1:14" x14ac:dyDescent="0.45">
      <c r="A8861">
        <v>2021</v>
      </c>
      <c r="B8861" t="s">
        <v>193</v>
      </c>
      <c r="C8861">
        <v>0</v>
      </c>
      <c r="D8861">
        <v>0</v>
      </c>
      <c r="E8861">
        <v>1</v>
      </c>
      <c r="F8861">
        <v>0</v>
      </c>
      <c r="G8861">
        <v>1</v>
      </c>
      <c r="H8861">
        <v>0</v>
      </c>
      <c r="I8861">
        <v>0</v>
      </c>
      <c r="J8861">
        <v>9709.0993064677095</v>
      </c>
      <c r="K8861">
        <v>8414.87446988788</v>
      </c>
      <c r="L8861">
        <v>46.994999999999997</v>
      </c>
      <c r="M8861">
        <v>60.85</v>
      </c>
      <c r="N8861">
        <v>39.284999999999997</v>
      </c>
    </row>
    <row r="8862" spans="1:14" x14ac:dyDescent="0.45">
      <c r="A8862">
        <v>2021</v>
      </c>
      <c r="B8862" t="s">
        <v>194</v>
      </c>
      <c r="C8862">
        <v>0</v>
      </c>
      <c r="D8862">
        <v>0</v>
      </c>
      <c r="E8862">
        <v>0</v>
      </c>
      <c r="F8862">
        <v>0</v>
      </c>
      <c r="G8862">
        <v>0</v>
      </c>
      <c r="H8862">
        <v>1</v>
      </c>
      <c r="I8862">
        <v>1</v>
      </c>
      <c r="L8862">
        <v>28.074999999999999</v>
      </c>
      <c r="M8862">
        <v>77.113</v>
      </c>
      <c r="N8862">
        <v>12.225</v>
      </c>
    </row>
    <row r="8863" spans="1:14" x14ac:dyDescent="0.45">
      <c r="A8863">
        <v>2021</v>
      </c>
      <c r="B8863" t="s">
        <v>195</v>
      </c>
      <c r="C8863">
        <v>0</v>
      </c>
      <c r="D8863">
        <v>0</v>
      </c>
      <c r="E8863">
        <v>1</v>
      </c>
      <c r="F8863">
        <v>0</v>
      </c>
      <c r="G8863">
        <v>0</v>
      </c>
      <c r="H8863">
        <v>0</v>
      </c>
      <c r="I8863">
        <v>0</v>
      </c>
      <c r="J8863">
        <v>1585.59922021188</v>
      </c>
      <c r="K8863">
        <v>1260.2852910481099</v>
      </c>
      <c r="L8863">
        <v>83.248999999999995</v>
      </c>
      <c r="M8863">
        <v>59.542000000000002</v>
      </c>
      <c r="N8863">
        <v>119.363</v>
      </c>
    </row>
    <row r="8864" spans="1:14" x14ac:dyDescent="0.45">
      <c r="A8864">
        <v>2021</v>
      </c>
      <c r="B8864" t="s">
        <v>196</v>
      </c>
      <c r="C8864">
        <v>0</v>
      </c>
      <c r="D8864">
        <v>0</v>
      </c>
      <c r="E8864">
        <v>1</v>
      </c>
      <c r="F8864">
        <v>1</v>
      </c>
      <c r="G8864">
        <v>0</v>
      </c>
      <c r="H8864">
        <v>0</v>
      </c>
      <c r="I8864">
        <v>0</v>
      </c>
      <c r="J8864">
        <v>5491.7003406829699</v>
      </c>
      <c r="K8864">
        <v>4855.4032614974103</v>
      </c>
      <c r="L8864">
        <v>47.253999999999998</v>
      </c>
      <c r="M8864">
        <v>53.454999999999998</v>
      </c>
      <c r="N8864">
        <v>110.658</v>
      </c>
    </row>
    <row r="8865" spans="1:14" x14ac:dyDescent="0.45">
      <c r="A8865">
        <v>2021</v>
      </c>
      <c r="B8865" t="s">
        <v>197</v>
      </c>
      <c r="C8865">
        <v>0</v>
      </c>
      <c r="D8865">
        <v>1</v>
      </c>
      <c r="E8865">
        <v>0</v>
      </c>
      <c r="F8865">
        <v>1</v>
      </c>
      <c r="G8865">
        <v>0</v>
      </c>
      <c r="H8865">
        <v>0</v>
      </c>
      <c r="I8865">
        <v>0</v>
      </c>
      <c r="J8865">
        <v>7119.1692336004198</v>
      </c>
      <c r="K8865">
        <v>5996.2281532058796</v>
      </c>
      <c r="L8865">
        <v>40.722999999999999</v>
      </c>
      <c r="M8865">
        <v>70.477999999999994</v>
      </c>
      <c r="N8865">
        <v>15.704000000000001</v>
      </c>
    </row>
    <row r="8866" spans="1:14" x14ac:dyDescent="0.45">
      <c r="A8866">
        <v>2021</v>
      </c>
      <c r="B8866" t="s">
        <v>198</v>
      </c>
      <c r="C8866">
        <v>1</v>
      </c>
      <c r="D8866">
        <v>0</v>
      </c>
      <c r="E8866">
        <v>0</v>
      </c>
      <c r="F8866">
        <v>0</v>
      </c>
      <c r="G8866">
        <v>0</v>
      </c>
      <c r="H8866">
        <v>1</v>
      </c>
      <c r="I8866">
        <v>1</v>
      </c>
      <c r="J8866">
        <v>68573.564878644596</v>
      </c>
      <c r="K8866">
        <v>57885.8964902394</v>
      </c>
      <c r="L8866">
        <v>7.4279999999999999</v>
      </c>
      <c r="M8866">
        <v>81.355999999999995</v>
      </c>
      <c r="N8866">
        <v>3.8719999999999999</v>
      </c>
    </row>
    <row r="8867" spans="1:14" x14ac:dyDescent="0.45">
      <c r="A8867">
        <v>2021</v>
      </c>
      <c r="B8867" t="s">
        <v>199</v>
      </c>
      <c r="C8867">
        <v>1</v>
      </c>
      <c r="D8867">
        <v>0</v>
      </c>
      <c r="E8867">
        <v>0</v>
      </c>
      <c r="F8867">
        <v>0</v>
      </c>
      <c r="G8867">
        <v>0</v>
      </c>
      <c r="H8867">
        <v>1</v>
      </c>
      <c r="I8867">
        <v>1</v>
      </c>
      <c r="J8867">
        <v>88984.138673651498</v>
      </c>
      <c r="K8867">
        <v>65749.277311505706</v>
      </c>
      <c r="L8867">
        <v>16.677</v>
      </c>
      <c r="M8867">
        <v>83.165999999999997</v>
      </c>
      <c r="N8867">
        <v>2.2090000000000001</v>
      </c>
    </row>
    <row r="8868" spans="1:14" x14ac:dyDescent="0.45">
      <c r="A8868">
        <v>2021</v>
      </c>
      <c r="B8868" t="s">
        <v>200</v>
      </c>
      <c r="C8868">
        <v>0</v>
      </c>
      <c r="D8868">
        <v>0</v>
      </c>
      <c r="E8868">
        <v>0</v>
      </c>
      <c r="F8868">
        <v>1</v>
      </c>
      <c r="G8868">
        <v>0</v>
      </c>
      <c r="H8868">
        <v>0</v>
      </c>
      <c r="I8868">
        <v>0</v>
      </c>
      <c r="J8868">
        <v>4546.2297000628896</v>
      </c>
      <c r="K8868">
        <v>4024.8086255429598</v>
      </c>
      <c r="L8868">
        <v>78.992000000000004</v>
      </c>
      <c r="M8868">
        <v>68.385000000000005</v>
      </c>
      <c r="N8868">
        <v>28.834</v>
      </c>
    </row>
    <row r="8869" spans="1:14" x14ac:dyDescent="0.45">
      <c r="A8869">
        <v>2021</v>
      </c>
      <c r="B8869" t="s">
        <v>201</v>
      </c>
      <c r="C8869">
        <v>0</v>
      </c>
      <c r="D8869">
        <v>0</v>
      </c>
      <c r="E8869">
        <v>0</v>
      </c>
      <c r="F8869">
        <v>0</v>
      </c>
      <c r="G8869">
        <v>0</v>
      </c>
      <c r="H8869">
        <v>1</v>
      </c>
      <c r="I8869">
        <v>1</v>
      </c>
      <c r="J8869">
        <v>12196.645154768699</v>
      </c>
      <c r="K8869">
        <v>11034.554529557199</v>
      </c>
      <c r="L8869">
        <v>0</v>
      </c>
      <c r="M8869">
        <v>61.331000000000003</v>
      </c>
      <c r="N8869">
        <v>27.427</v>
      </c>
    </row>
    <row r="8870" spans="1:14" x14ac:dyDescent="0.45">
      <c r="A8870">
        <v>2021</v>
      </c>
      <c r="B8870" t="s">
        <v>202</v>
      </c>
      <c r="C8870">
        <v>0</v>
      </c>
      <c r="D8870">
        <v>0</v>
      </c>
      <c r="E8870">
        <v>0</v>
      </c>
      <c r="F8870">
        <v>0</v>
      </c>
      <c r="G8870">
        <v>0</v>
      </c>
      <c r="H8870">
        <v>1</v>
      </c>
      <c r="I8870">
        <v>1</v>
      </c>
      <c r="J8870">
        <v>47996.679881846299</v>
      </c>
      <c r="K8870">
        <v>43655.476181808197</v>
      </c>
      <c r="L8870">
        <v>13.211</v>
      </c>
      <c r="M8870">
        <v>82.3</v>
      </c>
      <c r="N8870">
        <v>5.4390000000000001</v>
      </c>
    </row>
    <row r="8871" spans="1:14" x14ac:dyDescent="0.45">
      <c r="A8871">
        <v>2021</v>
      </c>
      <c r="B8871" t="s">
        <v>203</v>
      </c>
      <c r="C8871">
        <v>0</v>
      </c>
      <c r="D8871">
        <v>0</v>
      </c>
      <c r="E8871">
        <v>0</v>
      </c>
      <c r="F8871">
        <v>0</v>
      </c>
      <c r="G8871">
        <v>0</v>
      </c>
      <c r="H8871">
        <v>1</v>
      </c>
      <c r="I8871">
        <v>1</v>
      </c>
      <c r="J8871">
        <v>38719.458768204902</v>
      </c>
      <c r="K8871">
        <v>33644.134815318401</v>
      </c>
      <c r="L8871">
        <v>12.956</v>
      </c>
      <c r="M8871">
        <v>75.968999999999994</v>
      </c>
      <c r="N8871">
        <v>10.577</v>
      </c>
    </row>
    <row r="8872" spans="1:14" x14ac:dyDescent="0.45">
      <c r="A8872">
        <v>2021</v>
      </c>
      <c r="B8872" t="s">
        <v>204</v>
      </c>
      <c r="C8872">
        <v>0</v>
      </c>
      <c r="D8872">
        <v>0</v>
      </c>
      <c r="E8872">
        <v>0</v>
      </c>
      <c r="F8872">
        <v>1</v>
      </c>
      <c r="G8872">
        <v>0</v>
      </c>
      <c r="H8872">
        <v>0</v>
      </c>
      <c r="I8872">
        <v>0</v>
      </c>
      <c r="J8872">
        <v>5367.2736471476201</v>
      </c>
      <c r="K8872">
        <v>5109.1012374072898</v>
      </c>
      <c r="L8872">
        <v>62.56</v>
      </c>
      <c r="M8872">
        <v>65.772999999999996</v>
      </c>
      <c r="N8872">
        <v>63.085000000000001</v>
      </c>
    </row>
    <row r="8873" spans="1:14" x14ac:dyDescent="0.45">
      <c r="A8873">
        <v>2021</v>
      </c>
      <c r="B8873" t="s">
        <v>205</v>
      </c>
      <c r="C8873">
        <v>0</v>
      </c>
      <c r="D8873">
        <v>1</v>
      </c>
      <c r="E8873">
        <v>0</v>
      </c>
      <c r="F8873">
        <v>0</v>
      </c>
      <c r="G8873">
        <v>0</v>
      </c>
      <c r="H8873">
        <v>1</v>
      </c>
      <c r="I8873">
        <v>1</v>
      </c>
      <c r="J8873">
        <v>30932.762778051601</v>
      </c>
      <c r="K8873">
        <v>32435.415506375801</v>
      </c>
      <c r="L8873">
        <v>31.225000000000001</v>
      </c>
      <c r="M8873">
        <v>77.004000000000005</v>
      </c>
      <c r="N8873">
        <v>13.644</v>
      </c>
    </row>
    <row r="8874" spans="1:14" x14ac:dyDescent="0.45">
      <c r="A8874">
        <v>2021</v>
      </c>
      <c r="B8874" t="s">
        <v>206</v>
      </c>
      <c r="C8874">
        <v>0</v>
      </c>
      <c r="D8874">
        <v>1</v>
      </c>
      <c r="E8874">
        <v>0</v>
      </c>
      <c r="F8874">
        <v>0</v>
      </c>
      <c r="G8874">
        <v>1</v>
      </c>
      <c r="H8874">
        <v>0</v>
      </c>
      <c r="I8874">
        <v>0</v>
      </c>
      <c r="J8874">
        <v>15280.5512106486</v>
      </c>
      <c r="K8874">
        <v>12768.187519286301</v>
      </c>
      <c r="L8874">
        <v>21.5</v>
      </c>
      <c r="M8874">
        <v>71.596000000000004</v>
      </c>
      <c r="N8874">
        <v>15.507999999999999</v>
      </c>
    </row>
    <row r="8875" spans="1:14" x14ac:dyDescent="0.45">
      <c r="A8875">
        <v>2021</v>
      </c>
      <c r="B8875" t="s">
        <v>207</v>
      </c>
      <c r="C8875">
        <v>0</v>
      </c>
      <c r="D8875">
        <v>0</v>
      </c>
      <c r="E8875">
        <v>0</v>
      </c>
      <c r="F8875">
        <v>1</v>
      </c>
      <c r="G8875">
        <v>0</v>
      </c>
      <c r="H8875">
        <v>0</v>
      </c>
      <c r="I8875">
        <v>0</v>
      </c>
      <c r="J8875">
        <v>8857.7899511551404</v>
      </c>
      <c r="K8875">
        <v>8021.6196624345002</v>
      </c>
      <c r="L8875">
        <v>52.316000000000003</v>
      </c>
      <c r="M8875">
        <v>66.674999999999997</v>
      </c>
      <c r="N8875">
        <v>27.986999999999998</v>
      </c>
    </row>
    <row r="8876" spans="1:14" x14ac:dyDescent="0.45">
      <c r="A8876">
        <v>2021</v>
      </c>
      <c r="B8876" t="s">
        <v>208</v>
      </c>
      <c r="C8876">
        <v>0</v>
      </c>
      <c r="D8876">
        <v>0</v>
      </c>
      <c r="E8876">
        <v>0</v>
      </c>
      <c r="F8876">
        <v>0</v>
      </c>
      <c r="G8876">
        <v>1</v>
      </c>
      <c r="H8876">
        <v>0</v>
      </c>
      <c r="I8876">
        <v>0</v>
      </c>
      <c r="J8876">
        <v>15663.1715850087</v>
      </c>
      <c r="K8876">
        <v>14170.7919487199</v>
      </c>
      <c r="L8876">
        <v>18.516999999999999</v>
      </c>
      <c r="M8876">
        <v>68.563000000000002</v>
      </c>
      <c r="N8876">
        <v>22.492000000000001</v>
      </c>
    </row>
    <row r="8877" spans="1:14" x14ac:dyDescent="0.45">
      <c r="A8877">
        <v>2021</v>
      </c>
      <c r="B8877" t="s">
        <v>209</v>
      </c>
      <c r="C8877">
        <v>0</v>
      </c>
      <c r="D8877">
        <v>0</v>
      </c>
      <c r="E8877">
        <v>0</v>
      </c>
      <c r="F8877">
        <v>1</v>
      </c>
      <c r="G8877">
        <v>0</v>
      </c>
      <c r="H8877">
        <v>0</v>
      </c>
      <c r="I8877">
        <v>0</v>
      </c>
      <c r="J8877">
        <v>3976.9038011695602</v>
      </c>
      <c r="K8877">
        <v>3597.5125311011202</v>
      </c>
      <c r="L8877">
        <v>86.543999999999997</v>
      </c>
      <c r="M8877">
        <v>64.358000000000004</v>
      </c>
      <c r="N8877">
        <v>42.64</v>
      </c>
    </row>
    <row r="8878" spans="1:14" x14ac:dyDescent="0.45">
      <c r="A8878">
        <v>2021</v>
      </c>
      <c r="B8878" t="s">
        <v>210</v>
      </c>
      <c r="C8878">
        <v>1</v>
      </c>
      <c r="D8878">
        <v>0</v>
      </c>
      <c r="E8878">
        <v>0</v>
      </c>
      <c r="F8878">
        <v>0</v>
      </c>
      <c r="G8878">
        <v>0</v>
      </c>
      <c r="H8878">
        <v>1</v>
      </c>
      <c r="I8878">
        <v>1</v>
      </c>
      <c r="J8878">
        <v>41059.584782968202</v>
      </c>
      <c r="K8878">
        <v>35441.445464629804</v>
      </c>
      <c r="L8878">
        <v>39.924999999999997</v>
      </c>
      <c r="M8878">
        <v>75.638999999999996</v>
      </c>
      <c r="N8878">
        <v>4.5529999999999999</v>
      </c>
    </row>
    <row r="8879" spans="1:14" x14ac:dyDescent="0.45">
      <c r="A8879">
        <v>2021</v>
      </c>
      <c r="B8879" t="s">
        <v>211</v>
      </c>
      <c r="C8879">
        <v>0</v>
      </c>
      <c r="D8879">
        <v>1</v>
      </c>
      <c r="E8879">
        <v>0</v>
      </c>
      <c r="F8879">
        <v>0</v>
      </c>
      <c r="G8879">
        <v>0</v>
      </c>
      <c r="H8879">
        <v>1</v>
      </c>
      <c r="I8879">
        <v>1</v>
      </c>
      <c r="J8879">
        <v>40559.474811811997</v>
      </c>
      <c r="K8879">
        <v>31159.440606159598</v>
      </c>
      <c r="L8879">
        <v>6.4080000000000004</v>
      </c>
      <c r="M8879">
        <v>79.77</v>
      </c>
      <c r="N8879">
        <v>6.3630000000000004</v>
      </c>
    </row>
    <row r="8880" spans="1:14" x14ac:dyDescent="0.45">
      <c r="A8880">
        <v>2021</v>
      </c>
      <c r="B8880" t="s">
        <v>212</v>
      </c>
      <c r="C8880">
        <v>0</v>
      </c>
      <c r="D8880">
        <v>0</v>
      </c>
      <c r="E8880">
        <v>0</v>
      </c>
      <c r="F8880">
        <v>0</v>
      </c>
      <c r="G8880">
        <v>0</v>
      </c>
      <c r="H8880">
        <v>0</v>
      </c>
      <c r="I8880">
        <v>0</v>
      </c>
      <c r="L8880">
        <v>37.357999999999997</v>
      </c>
      <c r="M8880">
        <v>73.436999999999998</v>
      </c>
      <c r="N8880">
        <v>17.494</v>
      </c>
    </row>
    <row r="8881" spans="1:14" x14ac:dyDescent="0.45">
      <c r="A8881">
        <v>2021</v>
      </c>
      <c r="B8881" t="s">
        <v>213</v>
      </c>
      <c r="C8881">
        <v>1</v>
      </c>
      <c r="D8881">
        <v>0</v>
      </c>
      <c r="E8881">
        <v>0</v>
      </c>
      <c r="F8881">
        <v>0</v>
      </c>
      <c r="G8881">
        <v>0</v>
      </c>
      <c r="H8881">
        <v>1</v>
      </c>
      <c r="I8881">
        <v>1</v>
      </c>
      <c r="J8881">
        <v>38657.667722342499</v>
      </c>
      <c r="K8881">
        <v>33415.034427217099</v>
      </c>
      <c r="L8881">
        <v>33.151000000000003</v>
      </c>
      <c r="M8881">
        <v>81.397999999999996</v>
      </c>
      <c r="N8881">
        <v>2.9780000000000002</v>
      </c>
    </row>
    <row r="8882" spans="1:14" x14ac:dyDescent="0.45">
      <c r="A8882">
        <v>2021</v>
      </c>
      <c r="B8882" t="s">
        <v>214</v>
      </c>
      <c r="C8882">
        <v>0</v>
      </c>
      <c r="D8882">
        <v>1</v>
      </c>
      <c r="E8882">
        <v>0</v>
      </c>
      <c r="F8882">
        <v>0</v>
      </c>
      <c r="G8882">
        <v>1</v>
      </c>
      <c r="H8882">
        <v>0</v>
      </c>
      <c r="I8882">
        <v>0</v>
      </c>
      <c r="J8882">
        <v>15406.1670646579</v>
      </c>
      <c r="K8882">
        <v>14055.6475911858</v>
      </c>
      <c r="L8882">
        <v>37.503999999999998</v>
      </c>
      <c r="M8882">
        <v>68.108000000000004</v>
      </c>
      <c r="N8882">
        <v>18.053000000000001</v>
      </c>
    </row>
    <row r="8883" spans="1:14" x14ac:dyDescent="0.45">
      <c r="A8883">
        <v>2021</v>
      </c>
      <c r="B8883" t="s">
        <v>215</v>
      </c>
      <c r="C8883">
        <v>0</v>
      </c>
      <c r="D8883">
        <v>0</v>
      </c>
      <c r="E8883">
        <v>0</v>
      </c>
      <c r="F8883">
        <v>1</v>
      </c>
      <c r="G8883">
        <v>0</v>
      </c>
      <c r="H8883">
        <v>0</v>
      </c>
      <c r="I8883">
        <v>0</v>
      </c>
      <c r="J8883">
        <v>5663.1216074358399</v>
      </c>
      <c r="K8883">
        <v>4828.8581011906599</v>
      </c>
      <c r="L8883">
        <v>22.997</v>
      </c>
      <c r="M8883">
        <v>73.89</v>
      </c>
      <c r="N8883">
        <v>15.086</v>
      </c>
    </row>
    <row r="8884" spans="1:14" x14ac:dyDescent="0.45">
      <c r="A8884">
        <v>2021</v>
      </c>
      <c r="B8884" t="s">
        <v>216</v>
      </c>
      <c r="C8884">
        <v>0</v>
      </c>
      <c r="D8884">
        <v>0</v>
      </c>
      <c r="E8884">
        <v>0</v>
      </c>
      <c r="F8884">
        <v>0</v>
      </c>
      <c r="G8884">
        <v>0</v>
      </c>
      <c r="H8884">
        <v>1</v>
      </c>
      <c r="I8884">
        <v>1</v>
      </c>
      <c r="L8884">
        <v>37.933999999999997</v>
      </c>
      <c r="M8884">
        <v>79.570999999999998</v>
      </c>
      <c r="N8884">
        <v>6.3879999999999999</v>
      </c>
    </row>
    <row r="8885" spans="1:14" x14ac:dyDescent="0.45">
      <c r="A8885">
        <v>2021</v>
      </c>
      <c r="B8885" t="s">
        <v>217</v>
      </c>
      <c r="C8885">
        <v>0</v>
      </c>
      <c r="D8885">
        <v>0</v>
      </c>
      <c r="E8885">
        <v>0</v>
      </c>
      <c r="F8885">
        <v>0</v>
      </c>
      <c r="G8885">
        <v>0</v>
      </c>
      <c r="H8885">
        <v>1</v>
      </c>
      <c r="I8885">
        <v>1</v>
      </c>
      <c r="J8885">
        <v>116832.570294098</v>
      </c>
      <c r="K8885">
        <v>100884.674654812</v>
      </c>
      <c r="L8885">
        <v>0.72199999999999398</v>
      </c>
      <c r="M8885">
        <v>81.082999999999998</v>
      </c>
      <c r="N8885">
        <v>5.5430000000000001</v>
      </c>
    </row>
    <row r="8886" spans="1:14" x14ac:dyDescent="0.45">
      <c r="A8886">
        <v>2021</v>
      </c>
      <c r="B8886" t="s">
        <v>218</v>
      </c>
      <c r="C8886">
        <v>1</v>
      </c>
      <c r="D8886">
        <v>0</v>
      </c>
      <c r="E8886">
        <v>0</v>
      </c>
      <c r="F8886">
        <v>0</v>
      </c>
      <c r="G8886">
        <v>0</v>
      </c>
      <c r="H8886">
        <v>1</v>
      </c>
      <c r="I8886">
        <v>1</v>
      </c>
      <c r="J8886">
        <v>37730.3708449693</v>
      </c>
      <c r="K8886">
        <v>30668.606173722299</v>
      </c>
      <c r="L8886">
        <v>45.670999999999999</v>
      </c>
      <c r="M8886">
        <v>72.739999999999995</v>
      </c>
      <c r="N8886">
        <v>6.5540000000000003</v>
      </c>
    </row>
    <row r="8887" spans="1:14" x14ac:dyDescent="0.45">
      <c r="A8887">
        <v>2021</v>
      </c>
      <c r="B8887" t="s">
        <v>219</v>
      </c>
      <c r="C8887">
        <v>1</v>
      </c>
      <c r="D8887">
        <v>0</v>
      </c>
      <c r="E8887">
        <v>0</v>
      </c>
      <c r="F8887">
        <v>0</v>
      </c>
      <c r="G8887">
        <v>1</v>
      </c>
      <c r="H8887">
        <v>0</v>
      </c>
      <c r="I8887">
        <v>0</v>
      </c>
      <c r="J8887">
        <v>38638.4296875</v>
      </c>
      <c r="K8887">
        <v>28001.314905879</v>
      </c>
      <c r="L8887">
        <v>25.065999999999999</v>
      </c>
      <c r="M8887">
        <v>69.807000000000002</v>
      </c>
      <c r="N8887">
        <v>5.7619999999999996</v>
      </c>
    </row>
    <row r="8888" spans="1:14" x14ac:dyDescent="0.45">
      <c r="A8888">
        <v>2021</v>
      </c>
      <c r="B8888" t="s">
        <v>220</v>
      </c>
      <c r="C8888">
        <v>0</v>
      </c>
      <c r="D8888">
        <v>0</v>
      </c>
      <c r="E8888">
        <v>1</v>
      </c>
      <c r="F8888">
        <v>0</v>
      </c>
      <c r="G8888">
        <v>0</v>
      </c>
      <c r="H8888">
        <v>0</v>
      </c>
      <c r="I8888">
        <v>0</v>
      </c>
      <c r="J8888">
        <v>2733.4356676244702</v>
      </c>
      <c r="K8888">
        <v>2287.4861815314498</v>
      </c>
      <c r="L8888">
        <v>82.432000000000002</v>
      </c>
      <c r="M8888">
        <v>66.849999999999994</v>
      </c>
      <c r="N8888">
        <v>39.277000000000001</v>
      </c>
    </row>
    <row r="8889" spans="1:14" x14ac:dyDescent="0.45">
      <c r="A8889">
        <v>2021</v>
      </c>
      <c r="B8889" t="s">
        <v>221</v>
      </c>
      <c r="C8889">
        <v>0</v>
      </c>
      <c r="D8889">
        <v>0</v>
      </c>
      <c r="E8889">
        <v>0</v>
      </c>
      <c r="F8889">
        <v>0</v>
      </c>
      <c r="G8889">
        <v>0</v>
      </c>
      <c r="H8889">
        <v>1</v>
      </c>
      <c r="I8889">
        <v>1</v>
      </c>
      <c r="J8889">
        <v>62690.496664592902</v>
      </c>
      <c r="K8889">
        <v>57473.2707035321</v>
      </c>
      <c r="L8889">
        <v>15.492000000000001</v>
      </c>
      <c r="M8889">
        <v>77.088999999999999</v>
      </c>
      <c r="N8889">
        <v>6.7350000000000003</v>
      </c>
    </row>
    <row r="8890" spans="1:14" x14ac:dyDescent="0.45">
      <c r="A8890">
        <v>2021</v>
      </c>
      <c r="B8890" t="s">
        <v>222</v>
      </c>
      <c r="C8890">
        <v>0</v>
      </c>
      <c r="D8890">
        <v>0</v>
      </c>
      <c r="E8890">
        <v>1</v>
      </c>
      <c r="F8890">
        <v>0</v>
      </c>
      <c r="G8890">
        <v>0</v>
      </c>
      <c r="H8890">
        <v>0</v>
      </c>
      <c r="I8890">
        <v>0</v>
      </c>
      <c r="J8890">
        <v>3248.9755859375</v>
      </c>
      <c r="K8890">
        <v>3402.10589470796</v>
      </c>
      <c r="L8890">
        <v>64.406999999999996</v>
      </c>
      <c r="M8890">
        <v>64.459999999999994</v>
      </c>
      <c r="N8890">
        <v>53.460999999999999</v>
      </c>
    </row>
    <row r="8891" spans="1:14" x14ac:dyDescent="0.45">
      <c r="A8891">
        <v>2021</v>
      </c>
      <c r="B8891" t="s">
        <v>223</v>
      </c>
      <c r="C8891">
        <v>0</v>
      </c>
      <c r="D8891">
        <v>0</v>
      </c>
      <c r="E8891">
        <v>1</v>
      </c>
      <c r="F8891">
        <v>1</v>
      </c>
      <c r="G8891">
        <v>0</v>
      </c>
      <c r="H8891">
        <v>0</v>
      </c>
      <c r="I8891">
        <v>0</v>
      </c>
      <c r="J8891">
        <v>4173.6774139961899</v>
      </c>
      <c r="K8891">
        <v>3486.8529222478301</v>
      </c>
      <c r="L8891">
        <v>51.4</v>
      </c>
      <c r="M8891">
        <v>66.867999999999995</v>
      </c>
      <c r="N8891">
        <v>38.558999999999997</v>
      </c>
    </row>
    <row r="8892" spans="1:14" x14ac:dyDescent="0.45">
      <c r="A8892">
        <v>2021</v>
      </c>
      <c r="B8892" t="s">
        <v>224</v>
      </c>
      <c r="C8892">
        <v>0</v>
      </c>
      <c r="D8892">
        <v>0</v>
      </c>
      <c r="E8892">
        <v>0</v>
      </c>
      <c r="F8892">
        <v>0</v>
      </c>
      <c r="G8892">
        <v>0</v>
      </c>
      <c r="H8892">
        <v>1</v>
      </c>
      <c r="I8892">
        <v>1</v>
      </c>
      <c r="J8892">
        <v>132617.354020876</v>
      </c>
      <c r="K8892">
        <v>109016.41337820201</v>
      </c>
      <c r="L8892">
        <v>0</v>
      </c>
      <c r="M8892">
        <v>83.484999999999999</v>
      </c>
      <c r="N8892">
        <v>2.3570000000000002</v>
      </c>
    </row>
    <row r="8893" spans="1:14" x14ac:dyDescent="0.45">
      <c r="A8893">
        <v>2021</v>
      </c>
      <c r="B8893" t="s">
        <v>225</v>
      </c>
      <c r="C8893">
        <v>0</v>
      </c>
      <c r="D8893">
        <v>0</v>
      </c>
      <c r="E8893">
        <v>0</v>
      </c>
      <c r="F8893">
        <v>1</v>
      </c>
      <c r="G8893">
        <v>0</v>
      </c>
      <c r="H8893">
        <v>0</v>
      </c>
      <c r="I8893">
        <v>0</v>
      </c>
      <c r="J8893">
        <v>2518.4216236854099</v>
      </c>
      <c r="K8893">
        <v>2278.0961024897501</v>
      </c>
      <c r="L8893">
        <v>74.872</v>
      </c>
      <c r="M8893">
        <v>68.89</v>
      </c>
      <c r="N8893">
        <v>18.98</v>
      </c>
    </row>
    <row r="8894" spans="1:14" x14ac:dyDescent="0.45">
      <c r="A8894">
        <v>2021</v>
      </c>
      <c r="B8894" t="s">
        <v>226</v>
      </c>
      <c r="C8894">
        <v>0</v>
      </c>
      <c r="D8894">
        <v>0</v>
      </c>
      <c r="E8894">
        <v>1</v>
      </c>
      <c r="F8894">
        <v>0</v>
      </c>
      <c r="G8894">
        <v>0</v>
      </c>
      <c r="H8894">
        <v>0</v>
      </c>
      <c r="I8894">
        <v>0</v>
      </c>
      <c r="J8894">
        <v>2851.9520807034801</v>
      </c>
      <c r="K8894">
        <v>2588.6330008701502</v>
      </c>
      <c r="L8894">
        <v>56.628</v>
      </c>
      <c r="M8894">
        <v>60.26</v>
      </c>
      <c r="N8894">
        <v>104.504</v>
      </c>
    </row>
    <row r="8895" spans="1:14" x14ac:dyDescent="0.45">
      <c r="A8895">
        <v>2021</v>
      </c>
      <c r="B8895" t="s">
        <v>227</v>
      </c>
      <c r="C8895">
        <v>0</v>
      </c>
      <c r="D8895">
        <v>1</v>
      </c>
      <c r="E8895">
        <v>0</v>
      </c>
      <c r="F8895">
        <v>1</v>
      </c>
      <c r="G8895">
        <v>0</v>
      </c>
      <c r="H8895">
        <v>0</v>
      </c>
      <c r="I8895">
        <v>0</v>
      </c>
      <c r="J8895">
        <v>10809.713399517999</v>
      </c>
      <c r="K8895">
        <v>9628.7564845925499</v>
      </c>
      <c r="L8895">
        <v>25.882000000000001</v>
      </c>
      <c r="M8895">
        <v>69.941000000000003</v>
      </c>
      <c r="N8895">
        <v>12.295999999999999</v>
      </c>
    </row>
    <row r="8896" spans="1:14" x14ac:dyDescent="0.45">
      <c r="A8896">
        <v>2021</v>
      </c>
      <c r="B8896" t="s">
        <v>228</v>
      </c>
      <c r="C8896">
        <v>1</v>
      </c>
      <c r="D8896">
        <v>0</v>
      </c>
      <c r="E8896">
        <v>0</v>
      </c>
      <c r="F8896">
        <v>0</v>
      </c>
      <c r="G8896">
        <v>0</v>
      </c>
      <c r="H8896">
        <v>1</v>
      </c>
      <c r="I8896">
        <v>1</v>
      </c>
      <c r="J8896">
        <v>64745.131678070102</v>
      </c>
      <c r="K8896">
        <v>57064.697155200898</v>
      </c>
      <c r="L8896">
        <v>2.38</v>
      </c>
      <c r="M8896">
        <v>83.539000000000001</v>
      </c>
      <c r="N8896">
        <v>1.522</v>
      </c>
    </row>
    <row r="8897" spans="1:14" x14ac:dyDescent="0.45">
      <c r="A8897">
        <v>2021</v>
      </c>
      <c r="B8897" t="s">
        <v>229</v>
      </c>
      <c r="C8897">
        <v>0</v>
      </c>
      <c r="D8897">
        <v>0</v>
      </c>
      <c r="E8897">
        <v>1</v>
      </c>
      <c r="F8897">
        <v>0</v>
      </c>
      <c r="G8897">
        <v>0</v>
      </c>
      <c r="H8897">
        <v>0</v>
      </c>
      <c r="I8897">
        <v>0</v>
      </c>
      <c r="J8897">
        <v>1392.46425983265</v>
      </c>
      <c r="K8897">
        <v>1291.55833923094</v>
      </c>
      <c r="L8897">
        <v>53.268999999999998</v>
      </c>
      <c r="M8897">
        <v>55.703000000000003</v>
      </c>
      <c r="N8897">
        <v>109.785</v>
      </c>
    </row>
    <row r="8898" spans="1:14" x14ac:dyDescent="0.45">
      <c r="A8898">
        <v>2021</v>
      </c>
      <c r="B8898" t="s">
        <v>230</v>
      </c>
      <c r="C8898">
        <v>1</v>
      </c>
      <c r="D8898">
        <v>0</v>
      </c>
      <c r="E8898">
        <v>0</v>
      </c>
      <c r="F8898">
        <v>0</v>
      </c>
      <c r="G8898">
        <v>1</v>
      </c>
      <c r="H8898">
        <v>0</v>
      </c>
      <c r="I8898">
        <v>0</v>
      </c>
      <c r="J8898">
        <v>23404.997107931202</v>
      </c>
      <c r="K8898">
        <v>20580.5701122418</v>
      </c>
      <c r="L8898">
        <v>43.348999999999997</v>
      </c>
      <c r="M8898">
        <v>72.852999999999994</v>
      </c>
      <c r="N8898">
        <v>5.48</v>
      </c>
    </row>
    <row r="8899" spans="1:14" x14ac:dyDescent="0.45">
      <c r="A8899">
        <v>2021</v>
      </c>
      <c r="B8899" t="s">
        <v>231</v>
      </c>
      <c r="C8899">
        <v>0</v>
      </c>
      <c r="D8899">
        <v>0</v>
      </c>
      <c r="E8899">
        <v>1</v>
      </c>
      <c r="F8899">
        <v>0</v>
      </c>
      <c r="G8899">
        <v>0</v>
      </c>
      <c r="H8899">
        <v>0</v>
      </c>
      <c r="I8899">
        <v>0</v>
      </c>
      <c r="L8899">
        <v>79.486000000000004</v>
      </c>
      <c r="M8899">
        <v>57.046999999999997</v>
      </c>
      <c r="N8899">
        <v>99.358000000000004</v>
      </c>
    </row>
    <row r="8900" spans="1:14" x14ac:dyDescent="0.45">
      <c r="A8900">
        <v>2021</v>
      </c>
      <c r="B8900" t="s">
        <v>232</v>
      </c>
      <c r="C8900">
        <v>0</v>
      </c>
      <c r="D8900">
        <v>0</v>
      </c>
      <c r="E8900">
        <v>1</v>
      </c>
      <c r="F8900">
        <v>1</v>
      </c>
      <c r="G8900">
        <v>0</v>
      </c>
      <c r="H8900">
        <v>0</v>
      </c>
      <c r="I8900">
        <v>0</v>
      </c>
      <c r="J8900">
        <v>5732.6945606153604</v>
      </c>
      <c r="K8900">
        <v>3567.9389861832601</v>
      </c>
      <c r="L8900">
        <v>24.927</v>
      </c>
      <c r="M8900">
        <v>68.025999999999996</v>
      </c>
      <c r="N8900">
        <v>16.085999999999999</v>
      </c>
    </row>
    <row r="8901" spans="1:14" x14ac:dyDescent="0.45">
      <c r="A8901">
        <v>2021</v>
      </c>
      <c r="B8901" t="s">
        <v>233</v>
      </c>
      <c r="C8901">
        <v>0</v>
      </c>
      <c r="D8901">
        <v>1</v>
      </c>
      <c r="E8901">
        <v>0</v>
      </c>
      <c r="F8901">
        <v>0</v>
      </c>
      <c r="G8901">
        <v>1</v>
      </c>
      <c r="H8901">
        <v>0</v>
      </c>
      <c r="I8901">
        <v>0</v>
      </c>
      <c r="J8901">
        <v>18458.234999681001</v>
      </c>
      <c r="K8901">
        <v>14692.3789985355</v>
      </c>
      <c r="L8901">
        <v>33.780999999999999</v>
      </c>
      <c r="M8901">
        <v>68.942999999999998</v>
      </c>
      <c r="N8901">
        <v>17.14</v>
      </c>
    </row>
    <row r="8902" spans="1:14" x14ac:dyDescent="0.45">
      <c r="A8902">
        <v>2021</v>
      </c>
      <c r="B8902" t="s">
        <v>234</v>
      </c>
      <c r="C8902">
        <v>1</v>
      </c>
      <c r="D8902">
        <v>0</v>
      </c>
      <c r="E8902">
        <v>0</v>
      </c>
      <c r="F8902">
        <v>0</v>
      </c>
      <c r="G8902">
        <v>0</v>
      </c>
      <c r="H8902">
        <v>1</v>
      </c>
      <c r="I8902">
        <v>1</v>
      </c>
      <c r="J8902">
        <v>38346.093576817701</v>
      </c>
      <c r="K8902">
        <v>33026.832164512598</v>
      </c>
      <c r="L8902">
        <v>46.18</v>
      </c>
      <c r="M8902">
        <v>74.59</v>
      </c>
      <c r="N8902">
        <v>5.5919999999999996</v>
      </c>
    </row>
    <row r="8903" spans="1:14" x14ac:dyDescent="0.45">
      <c r="A8903">
        <v>2021</v>
      </c>
      <c r="B8903" t="s">
        <v>235</v>
      </c>
      <c r="C8903">
        <v>1</v>
      </c>
      <c r="D8903">
        <v>0</v>
      </c>
      <c r="E8903">
        <v>0</v>
      </c>
      <c r="F8903">
        <v>0</v>
      </c>
      <c r="G8903">
        <v>0</v>
      </c>
      <c r="H8903">
        <v>1</v>
      </c>
      <c r="I8903">
        <v>1</v>
      </c>
      <c r="J8903">
        <v>45914.057239240603</v>
      </c>
      <c r="K8903">
        <v>39523.035874375499</v>
      </c>
      <c r="L8903">
        <v>44.573</v>
      </c>
      <c r="M8903">
        <v>80.433999999999997</v>
      </c>
      <c r="N8903">
        <v>2.25</v>
      </c>
    </row>
    <row r="8904" spans="1:14" x14ac:dyDescent="0.45">
      <c r="A8904">
        <v>2021</v>
      </c>
      <c r="B8904" t="s">
        <v>236</v>
      </c>
      <c r="C8904">
        <v>1</v>
      </c>
      <c r="D8904">
        <v>0</v>
      </c>
      <c r="E8904">
        <v>0</v>
      </c>
      <c r="F8904">
        <v>0</v>
      </c>
      <c r="G8904">
        <v>0</v>
      </c>
      <c r="H8904">
        <v>1</v>
      </c>
      <c r="I8904">
        <v>1</v>
      </c>
      <c r="J8904">
        <v>62731.700616292997</v>
      </c>
      <c r="K8904">
        <v>53586.576182905999</v>
      </c>
      <c r="L8904">
        <v>11.762</v>
      </c>
      <c r="M8904">
        <v>83.02</v>
      </c>
      <c r="N8904">
        <v>2.3340000000000001</v>
      </c>
    </row>
    <row r="8905" spans="1:14" x14ac:dyDescent="0.45">
      <c r="A8905">
        <v>2021</v>
      </c>
      <c r="B8905" t="s">
        <v>237</v>
      </c>
      <c r="C8905">
        <v>0</v>
      </c>
      <c r="D8905">
        <v>0</v>
      </c>
      <c r="E8905">
        <v>1</v>
      </c>
      <c r="F8905">
        <v>1</v>
      </c>
      <c r="G8905">
        <v>0</v>
      </c>
      <c r="H8905">
        <v>0</v>
      </c>
      <c r="I8905">
        <v>0</v>
      </c>
      <c r="J8905">
        <v>9946.0405537033294</v>
      </c>
      <c r="K8905">
        <v>8807.2207324101291</v>
      </c>
      <c r="L8905">
        <v>75.631</v>
      </c>
      <c r="M8905">
        <v>58.228000000000002</v>
      </c>
      <c r="N8905">
        <v>53.12</v>
      </c>
    </row>
    <row r="8906" spans="1:14" x14ac:dyDescent="0.45">
      <c r="A8906">
        <v>2021</v>
      </c>
      <c r="B8906" t="s">
        <v>238</v>
      </c>
      <c r="C8906">
        <v>0</v>
      </c>
      <c r="D8906">
        <v>1</v>
      </c>
      <c r="E8906">
        <v>0</v>
      </c>
      <c r="F8906">
        <v>0</v>
      </c>
      <c r="G8906">
        <v>0</v>
      </c>
      <c r="H8906">
        <v>1</v>
      </c>
      <c r="I8906">
        <v>1</v>
      </c>
      <c r="J8906">
        <v>40507.067241171702</v>
      </c>
      <c r="K8906">
        <v>39092.863761547102</v>
      </c>
      <c r="L8906">
        <v>0</v>
      </c>
      <c r="M8906">
        <v>74.504999999999995</v>
      </c>
      <c r="N8906">
        <v>15.775</v>
      </c>
    </row>
    <row r="8907" spans="1:14" x14ac:dyDescent="0.45">
      <c r="A8907">
        <v>2021</v>
      </c>
      <c r="B8907" t="s">
        <v>239</v>
      </c>
      <c r="C8907">
        <v>0</v>
      </c>
      <c r="D8907">
        <v>0</v>
      </c>
      <c r="E8907">
        <v>1</v>
      </c>
      <c r="F8907">
        <v>0</v>
      </c>
      <c r="G8907">
        <v>0</v>
      </c>
      <c r="H8907">
        <v>1</v>
      </c>
      <c r="I8907">
        <v>1</v>
      </c>
      <c r="J8907">
        <v>29979.8272686091</v>
      </c>
      <c r="K8907">
        <v>29105.911705134899</v>
      </c>
      <c r="L8907">
        <v>42.027999999999999</v>
      </c>
      <c r="M8907">
        <v>71.22</v>
      </c>
      <c r="N8907">
        <v>15.529</v>
      </c>
    </row>
    <row r="8908" spans="1:14" x14ac:dyDescent="0.45">
      <c r="A8908">
        <v>2021</v>
      </c>
      <c r="B8908" t="s">
        <v>240</v>
      </c>
      <c r="C8908">
        <v>0</v>
      </c>
      <c r="D8908">
        <v>0</v>
      </c>
      <c r="E8908">
        <v>0</v>
      </c>
      <c r="F8908">
        <v>0</v>
      </c>
      <c r="G8908">
        <v>0</v>
      </c>
      <c r="H8908">
        <v>0</v>
      </c>
      <c r="I8908">
        <v>0</v>
      </c>
      <c r="J8908">
        <v>4592.8386010087397</v>
      </c>
      <c r="K8908">
        <v>3012.5688129372202</v>
      </c>
      <c r="L8908">
        <v>43.875999999999998</v>
      </c>
      <c r="M8908">
        <v>72.418000000000006</v>
      </c>
      <c r="N8908">
        <v>21.030999999999999</v>
      </c>
    </row>
    <row r="8909" spans="1:14" x14ac:dyDescent="0.45">
      <c r="A8909">
        <v>2021</v>
      </c>
      <c r="B8909" t="s">
        <v>241</v>
      </c>
      <c r="C8909">
        <v>0</v>
      </c>
      <c r="D8909">
        <v>1</v>
      </c>
      <c r="E8909">
        <v>0</v>
      </c>
      <c r="F8909">
        <v>0</v>
      </c>
      <c r="G8909">
        <v>0</v>
      </c>
      <c r="H8909">
        <v>1</v>
      </c>
      <c r="I8909">
        <v>1</v>
      </c>
      <c r="J8909">
        <v>25056.488051556898</v>
      </c>
      <c r="K8909">
        <v>39008.873611386203</v>
      </c>
      <c r="L8909">
        <v>6.1660000000000004</v>
      </c>
      <c r="M8909">
        <v>77.233999999999995</v>
      </c>
      <c r="N8909">
        <v>6.157</v>
      </c>
    </row>
    <row r="8910" spans="1:14" x14ac:dyDescent="0.45">
      <c r="A8910">
        <v>2021</v>
      </c>
      <c r="B8910" t="s">
        <v>242</v>
      </c>
      <c r="C8910">
        <v>0</v>
      </c>
      <c r="D8910">
        <v>0</v>
      </c>
      <c r="E8910">
        <v>1</v>
      </c>
      <c r="F8910">
        <v>0</v>
      </c>
      <c r="G8910">
        <v>0</v>
      </c>
      <c r="H8910">
        <v>0</v>
      </c>
      <c r="I8910">
        <v>0</v>
      </c>
      <c r="J8910">
        <v>2435.0727465109999</v>
      </c>
      <c r="K8910">
        <v>2045.54920464355</v>
      </c>
      <c r="L8910">
        <v>76.218999999999994</v>
      </c>
      <c r="M8910">
        <v>53.136000000000003</v>
      </c>
      <c r="N8910">
        <v>106.46</v>
      </c>
    </row>
    <row r="8911" spans="1:14" x14ac:dyDescent="0.45">
      <c r="A8911">
        <v>2021</v>
      </c>
      <c r="B8911" t="s">
        <v>243</v>
      </c>
      <c r="C8911">
        <v>0</v>
      </c>
      <c r="D8911">
        <v>0</v>
      </c>
      <c r="E8911">
        <v>1</v>
      </c>
      <c r="F8911">
        <v>0</v>
      </c>
      <c r="G8911">
        <v>0</v>
      </c>
      <c r="H8911">
        <v>0</v>
      </c>
      <c r="I8911">
        <v>0</v>
      </c>
      <c r="J8911">
        <v>2577.2019632206898</v>
      </c>
      <c r="K8911">
        <v>2141.7521030317798</v>
      </c>
      <c r="L8911">
        <v>56.642000000000003</v>
      </c>
      <c r="M8911">
        <v>61.328000000000003</v>
      </c>
      <c r="N8911">
        <v>62.31</v>
      </c>
    </row>
    <row r="8912" spans="1:14" x14ac:dyDescent="0.45">
      <c r="A8912">
        <v>2021</v>
      </c>
      <c r="B8912" t="s">
        <v>244</v>
      </c>
      <c r="C8912">
        <v>0</v>
      </c>
      <c r="D8912">
        <v>0</v>
      </c>
      <c r="E8912">
        <v>0</v>
      </c>
      <c r="F8912">
        <v>0</v>
      </c>
      <c r="G8912">
        <v>1</v>
      </c>
      <c r="H8912">
        <v>0</v>
      </c>
      <c r="I8912">
        <v>0</v>
      </c>
      <c r="J8912">
        <v>20242.770003565602</v>
      </c>
      <c r="K8912">
        <v>17702.850440340699</v>
      </c>
      <c r="L8912">
        <v>47.837000000000003</v>
      </c>
      <c r="M8912">
        <v>77.605999999999995</v>
      </c>
      <c r="N8912">
        <v>8.4290000000000003</v>
      </c>
    </row>
    <row r="8913" spans="1:14" x14ac:dyDescent="0.45">
      <c r="A8913">
        <v>2021</v>
      </c>
      <c r="B8913" t="s">
        <v>245</v>
      </c>
      <c r="C8913">
        <v>1</v>
      </c>
      <c r="D8913">
        <v>0</v>
      </c>
      <c r="E8913">
        <v>0</v>
      </c>
      <c r="F8913">
        <v>1</v>
      </c>
      <c r="G8913">
        <v>0</v>
      </c>
      <c r="H8913">
        <v>0</v>
      </c>
      <c r="I8913">
        <v>0</v>
      </c>
      <c r="J8913">
        <v>3985.9124761121898</v>
      </c>
      <c r="K8913">
        <v>3630.1108061642099</v>
      </c>
      <c r="L8913">
        <v>72.274000000000001</v>
      </c>
      <c r="M8913">
        <v>69.593999999999994</v>
      </c>
      <c r="N8913">
        <v>31.734000000000002</v>
      </c>
    </row>
    <row r="8914" spans="1:14" x14ac:dyDescent="0.45">
      <c r="A8914">
        <v>2021</v>
      </c>
      <c r="B8914" t="s">
        <v>246</v>
      </c>
      <c r="C8914">
        <v>1</v>
      </c>
      <c r="D8914">
        <v>0</v>
      </c>
      <c r="E8914">
        <v>0</v>
      </c>
      <c r="F8914">
        <v>0</v>
      </c>
      <c r="G8914">
        <v>1</v>
      </c>
      <c r="H8914">
        <v>0</v>
      </c>
      <c r="I8914">
        <v>0</v>
      </c>
      <c r="J8914">
        <v>16434.1399060353</v>
      </c>
      <c r="K8914">
        <v>15468.1234555543</v>
      </c>
      <c r="L8914">
        <v>47.002000000000002</v>
      </c>
      <c r="M8914">
        <v>69.352999999999994</v>
      </c>
      <c r="N8914">
        <v>41.064</v>
      </c>
    </row>
    <row r="8915" spans="1:14" x14ac:dyDescent="0.45">
      <c r="A8915">
        <v>2021</v>
      </c>
      <c r="B8915" t="s">
        <v>247</v>
      </c>
      <c r="C8915">
        <v>0</v>
      </c>
      <c r="D8915">
        <v>0</v>
      </c>
      <c r="E8915">
        <v>0</v>
      </c>
      <c r="F8915">
        <v>1</v>
      </c>
      <c r="G8915">
        <v>0</v>
      </c>
      <c r="H8915">
        <v>0</v>
      </c>
      <c r="I8915">
        <v>0</v>
      </c>
      <c r="J8915">
        <v>6824.79233858928</v>
      </c>
      <c r="K8915">
        <v>5506.6699956311304</v>
      </c>
      <c r="L8915">
        <v>68.305000000000007</v>
      </c>
      <c r="M8915">
        <v>66.198999999999998</v>
      </c>
      <c r="N8915">
        <v>50.323</v>
      </c>
    </row>
    <row r="8916" spans="1:14" x14ac:dyDescent="0.45">
      <c r="A8916">
        <v>2021</v>
      </c>
      <c r="B8916" t="s">
        <v>248</v>
      </c>
      <c r="C8916">
        <v>0</v>
      </c>
      <c r="D8916">
        <v>0</v>
      </c>
      <c r="E8916">
        <v>0</v>
      </c>
      <c r="F8916">
        <v>0</v>
      </c>
      <c r="G8916">
        <v>1</v>
      </c>
      <c r="H8916">
        <v>0</v>
      </c>
      <c r="I8916">
        <v>0</v>
      </c>
      <c r="J8916">
        <v>7034.9249698523199</v>
      </c>
      <c r="K8916">
        <v>6368.23406814587</v>
      </c>
      <c r="L8916">
        <v>76.896000000000001</v>
      </c>
      <c r="M8916">
        <v>72.13</v>
      </c>
      <c r="N8916">
        <v>11.18</v>
      </c>
    </row>
    <row r="8917" spans="1:14" x14ac:dyDescent="0.45">
      <c r="A8917">
        <v>2021</v>
      </c>
      <c r="B8917" t="s">
        <v>249</v>
      </c>
      <c r="C8917">
        <v>0</v>
      </c>
      <c r="D8917">
        <v>1</v>
      </c>
      <c r="E8917">
        <v>0</v>
      </c>
      <c r="F8917">
        <v>0</v>
      </c>
      <c r="G8917">
        <v>0</v>
      </c>
      <c r="H8917">
        <v>1</v>
      </c>
      <c r="I8917">
        <v>1</v>
      </c>
      <c r="J8917">
        <v>30424.664885828701</v>
      </c>
      <c r="K8917">
        <v>25392.213104924798</v>
      </c>
      <c r="L8917">
        <v>46.734999999999999</v>
      </c>
      <c r="M8917">
        <v>71.111000000000004</v>
      </c>
      <c r="N8917">
        <v>16.545999999999999</v>
      </c>
    </row>
    <row r="8918" spans="1:14" x14ac:dyDescent="0.45">
      <c r="A8918">
        <v>2021</v>
      </c>
      <c r="B8918" t="s">
        <v>250</v>
      </c>
      <c r="C8918">
        <v>0</v>
      </c>
      <c r="D8918">
        <v>0</v>
      </c>
      <c r="E8918">
        <v>0</v>
      </c>
      <c r="F8918">
        <v>1</v>
      </c>
      <c r="G8918">
        <v>0</v>
      </c>
      <c r="H8918">
        <v>0</v>
      </c>
      <c r="I8918">
        <v>0</v>
      </c>
      <c r="J8918">
        <v>12444.326402688701</v>
      </c>
      <c r="K8918">
        <v>10845.022585573101</v>
      </c>
      <c r="L8918">
        <v>30.111999999999998</v>
      </c>
      <c r="M8918">
        <v>72.893000000000001</v>
      </c>
      <c r="N8918">
        <v>12.387</v>
      </c>
    </row>
    <row r="8919" spans="1:14" x14ac:dyDescent="0.45">
      <c r="A8919">
        <v>2021</v>
      </c>
      <c r="B8919" t="s">
        <v>251</v>
      </c>
      <c r="C8919">
        <v>1</v>
      </c>
      <c r="D8919">
        <v>0</v>
      </c>
      <c r="E8919">
        <v>0</v>
      </c>
      <c r="F8919">
        <v>0</v>
      </c>
      <c r="G8919">
        <v>1</v>
      </c>
      <c r="H8919">
        <v>0</v>
      </c>
      <c r="I8919">
        <v>0</v>
      </c>
      <c r="J8919">
        <v>31338.266519024601</v>
      </c>
      <c r="K8919">
        <v>31422.1014117382</v>
      </c>
      <c r="L8919">
        <v>23.431000000000001</v>
      </c>
      <c r="M8919">
        <v>75.721999999999994</v>
      </c>
      <c r="N8919">
        <v>10.079000000000001</v>
      </c>
    </row>
    <row r="8920" spans="1:14" x14ac:dyDescent="0.45">
      <c r="A8920">
        <v>2021</v>
      </c>
      <c r="B8920" t="s">
        <v>252</v>
      </c>
      <c r="C8920">
        <v>0</v>
      </c>
      <c r="D8920">
        <v>0</v>
      </c>
      <c r="E8920">
        <v>0</v>
      </c>
      <c r="F8920">
        <v>0</v>
      </c>
      <c r="G8920">
        <v>1</v>
      </c>
      <c r="H8920">
        <v>0</v>
      </c>
      <c r="I8920">
        <v>0</v>
      </c>
      <c r="J8920">
        <v>5352.9786253789698</v>
      </c>
      <c r="K8920">
        <v>4842.5957516335302</v>
      </c>
      <c r="L8920">
        <v>35.215000000000003</v>
      </c>
      <c r="M8920">
        <v>65.823999999999998</v>
      </c>
      <c r="N8920">
        <v>21.08</v>
      </c>
    </row>
    <row r="8921" spans="1:14" x14ac:dyDescent="0.45">
      <c r="A8921">
        <v>2021</v>
      </c>
      <c r="B8921" t="s">
        <v>253</v>
      </c>
      <c r="C8921">
        <v>0</v>
      </c>
      <c r="D8921">
        <v>0</v>
      </c>
      <c r="E8921">
        <v>0</v>
      </c>
      <c r="F8921">
        <v>0</v>
      </c>
      <c r="G8921">
        <v>0</v>
      </c>
      <c r="H8921">
        <v>1</v>
      </c>
      <c r="I8921">
        <v>1</v>
      </c>
      <c r="L8921">
        <v>37.488</v>
      </c>
      <c r="M8921">
        <v>80.784999999999997</v>
      </c>
      <c r="N8921">
        <v>4.3719999999999999</v>
      </c>
    </row>
    <row r="8922" spans="1:14" x14ac:dyDescent="0.45">
      <c r="A8922">
        <v>2021</v>
      </c>
      <c r="B8922" t="s">
        <v>254</v>
      </c>
      <c r="C8922">
        <v>0</v>
      </c>
      <c r="D8922">
        <v>0</v>
      </c>
      <c r="E8922">
        <v>1</v>
      </c>
      <c r="F8922">
        <v>1</v>
      </c>
      <c r="G8922">
        <v>0</v>
      </c>
      <c r="H8922">
        <v>0</v>
      </c>
      <c r="I8922">
        <v>0</v>
      </c>
      <c r="J8922">
        <v>3493.0830078125</v>
      </c>
      <c r="K8922">
        <v>2601.8813415970699</v>
      </c>
      <c r="L8922">
        <v>64.046000000000006</v>
      </c>
      <c r="M8922">
        <v>66.131</v>
      </c>
      <c r="N8922">
        <v>42.040999999999997</v>
      </c>
    </row>
    <row r="8923" spans="1:14" x14ac:dyDescent="0.45">
      <c r="A8923">
        <v>2021</v>
      </c>
      <c r="B8923" t="s">
        <v>255</v>
      </c>
      <c r="C8923">
        <v>0</v>
      </c>
      <c r="D8923">
        <v>0</v>
      </c>
      <c r="E8923">
        <v>1</v>
      </c>
      <c r="F8923">
        <v>0</v>
      </c>
      <c r="G8923">
        <v>0</v>
      </c>
      <c r="H8923">
        <v>0</v>
      </c>
      <c r="I8923">
        <v>0</v>
      </c>
      <c r="J8923">
        <v>2684.9203593974398</v>
      </c>
      <c r="K8923">
        <v>2277.6301583583499</v>
      </c>
      <c r="L8923">
        <v>74.447000000000003</v>
      </c>
      <c r="M8923">
        <v>66.45</v>
      </c>
      <c r="N8923">
        <v>42.03</v>
      </c>
    </row>
    <row r="8924" spans="1:14" x14ac:dyDescent="0.45">
      <c r="A8924">
        <v>2021</v>
      </c>
      <c r="B8924" t="s">
        <v>256</v>
      </c>
      <c r="C8924">
        <v>1</v>
      </c>
      <c r="D8924">
        <v>0</v>
      </c>
      <c r="E8924">
        <v>0</v>
      </c>
      <c r="F8924">
        <v>1</v>
      </c>
      <c r="G8924">
        <v>0</v>
      </c>
      <c r="H8924">
        <v>0</v>
      </c>
      <c r="I8924">
        <v>0</v>
      </c>
      <c r="J8924">
        <v>17846.408203125</v>
      </c>
      <c r="K8924">
        <v>12622.5063414581</v>
      </c>
      <c r="L8924">
        <v>30.242999999999999</v>
      </c>
      <c r="M8924">
        <v>71.631</v>
      </c>
      <c r="N8924">
        <v>7.0339999999999998</v>
      </c>
    </row>
    <row r="8925" spans="1:14" x14ac:dyDescent="0.45">
      <c r="A8925">
        <v>2021</v>
      </c>
      <c r="B8925" t="s">
        <v>257</v>
      </c>
      <c r="C8925">
        <v>0</v>
      </c>
      <c r="D8925">
        <v>1</v>
      </c>
      <c r="E8925">
        <v>0</v>
      </c>
      <c r="F8925">
        <v>0</v>
      </c>
      <c r="G8925">
        <v>0</v>
      </c>
      <c r="H8925">
        <v>1</v>
      </c>
      <c r="I8925">
        <v>1</v>
      </c>
      <c r="J8925">
        <v>29431.8850087471</v>
      </c>
      <c r="K8925">
        <v>23344.446410676501</v>
      </c>
      <c r="L8925">
        <v>4.39700000000001</v>
      </c>
      <c r="M8925">
        <v>75.433999999999997</v>
      </c>
      <c r="N8925">
        <v>7.0960000000000001</v>
      </c>
    </row>
    <row r="8926" spans="1:14" x14ac:dyDescent="0.45">
      <c r="A8926">
        <v>2021</v>
      </c>
      <c r="B8926" t="s">
        <v>258</v>
      </c>
      <c r="C8926">
        <v>0</v>
      </c>
      <c r="D8926">
        <v>0</v>
      </c>
      <c r="E8926">
        <v>0</v>
      </c>
      <c r="F8926">
        <v>0</v>
      </c>
      <c r="G8926">
        <v>0</v>
      </c>
      <c r="H8926">
        <v>1</v>
      </c>
      <c r="I8926">
        <v>1</v>
      </c>
      <c r="J8926">
        <v>71307.401727721794</v>
      </c>
      <c r="K8926">
        <v>64723.917861226597</v>
      </c>
      <c r="L8926">
        <v>17.126999999999999</v>
      </c>
      <c r="M8926">
        <v>76.384</v>
      </c>
      <c r="N8926">
        <v>6.5380000000000003</v>
      </c>
    </row>
    <row r="8927" spans="1:14" x14ac:dyDescent="0.45">
      <c r="A8927">
        <v>2021</v>
      </c>
      <c r="B8927" t="s">
        <v>259</v>
      </c>
      <c r="C8927">
        <v>1</v>
      </c>
      <c r="D8927">
        <v>0</v>
      </c>
      <c r="E8927">
        <v>0</v>
      </c>
      <c r="F8927">
        <v>1</v>
      </c>
      <c r="G8927">
        <v>0</v>
      </c>
      <c r="H8927">
        <v>0</v>
      </c>
      <c r="I8927">
        <v>0</v>
      </c>
      <c r="J8927">
        <v>9247.64382703929</v>
      </c>
      <c r="K8927">
        <v>8984.4281583379798</v>
      </c>
      <c r="L8927">
        <v>49.573</v>
      </c>
      <c r="M8927">
        <v>71.680999999999997</v>
      </c>
      <c r="N8927">
        <v>14.321999999999999</v>
      </c>
    </row>
    <row r="8928" spans="1:14" x14ac:dyDescent="0.45">
      <c r="A8928">
        <v>2021</v>
      </c>
      <c r="B8928" t="s">
        <v>260</v>
      </c>
      <c r="C8928">
        <v>0</v>
      </c>
      <c r="D8928">
        <v>1</v>
      </c>
      <c r="E8928">
        <v>0</v>
      </c>
      <c r="F8928">
        <v>0</v>
      </c>
      <c r="G8928">
        <v>1</v>
      </c>
      <c r="H8928">
        <v>0</v>
      </c>
      <c r="I8928">
        <v>0</v>
      </c>
      <c r="J8928">
        <v>16200.899459784499</v>
      </c>
      <c r="K8928">
        <v>14158.9571835427</v>
      </c>
      <c r="L8928">
        <v>46.548000000000002</v>
      </c>
      <c r="M8928">
        <v>69.132000000000005</v>
      </c>
      <c r="N8928">
        <v>18.901</v>
      </c>
    </row>
    <row r="8929" spans="1:14" x14ac:dyDescent="0.45">
      <c r="A8929">
        <v>2021</v>
      </c>
      <c r="B8929" t="s">
        <v>261</v>
      </c>
      <c r="C8929">
        <v>0</v>
      </c>
      <c r="D8929">
        <v>1</v>
      </c>
      <c r="E8929">
        <v>0</v>
      </c>
      <c r="F8929">
        <v>0</v>
      </c>
      <c r="G8929">
        <v>1</v>
      </c>
      <c r="H8929">
        <v>0</v>
      </c>
      <c r="I8929">
        <v>0</v>
      </c>
      <c r="L8929">
        <v>11.675000000000001</v>
      </c>
      <c r="M8929">
        <v>71.536000000000001</v>
      </c>
      <c r="N8929">
        <v>18.841999999999999</v>
      </c>
    </row>
    <row r="8930" spans="1:14" x14ac:dyDescent="0.45">
      <c r="A8930">
        <v>2021</v>
      </c>
      <c r="B8930" t="s">
        <v>262</v>
      </c>
      <c r="C8930">
        <v>0</v>
      </c>
      <c r="D8930">
        <v>1</v>
      </c>
      <c r="E8930">
        <v>0</v>
      </c>
      <c r="F8930">
        <v>0</v>
      </c>
      <c r="G8930">
        <v>0</v>
      </c>
      <c r="H8930">
        <v>1</v>
      </c>
      <c r="I8930">
        <v>1</v>
      </c>
      <c r="L8930">
        <v>51.08</v>
      </c>
      <c r="M8930">
        <v>75.296999999999997</v>
      </c>
      <c r="N8930">
        <v>13.619</v>
      </c>
    </row>
    <row r="8931" spans="1:14" x14ac:dyDescent="0.45">
      <c r="A8931">
        <v>2021</v>
      </c>
      <c r="B8931" t="s">
        <v>263</v>
      </c>
      <c r="C8931">
        <v>0</v>
      </c>
      <c r="D8931">
        <v>1</v>
      </c>
      <c r="E8931">
        <v>0</v>
      </c>
      <c r="F8931">
        <v>0</v>
      </c>
      <c r="G8931">
        <v>0</v>
      </c>
      <c r="H8931">
        <v>1</v>
      </c>
      <c r="I8931">
        <v>1</v>
      </c>
      <c r="J8931">
        <v>46893.5496988741</v>
      </c>
      <c r="K8931">
        <v>36725.8189988862</v>
      </c>
      <c r="L8931">
        <v>3.9599999999999902</v>
      </c>
      <c r="M8931">
        <v>74.613</v>
      </c>
      <c r="N8931">
        <v>6.2859999999999996</v>
      </c>
    </row>
    <row r="8932" spans="1:14" x14ac:dyDescent="0.45">
      <c r="A8932">
        <v>2021</v>
      </c>
      <c r="B8932" t="s">
        <v>264</v>
      </c>
      <c r="C8932">
        <v>0</v>
      </c>
      <c r="D8932">
        <v>0</v>
      </c>
      <c r="E8932">
        <v>0</v>
      </c>
      <c r="F8932">
        <v>1</v>
      </c>
      <c r="G8932">
        <v>0</v>
      </c>
      <c r="H8932">
        <v>0</v>
      </c>
      <c r="I8932">
        <v>0</v>
      </c>
      <c r="J8932">
        <v>12048.9019935536</v>
      </c>
      <c r="K8932">
        <v>10736.5704223499</v>
      </c>
      <c r="L8932">
        <v>61.948</v>
      </c>
      <c r="M8932">
        <v>74.144999999999996</v>
      </c>
      <c r="N8932">
        <v>20.706</v>
      </c>
    </row>
    <row r="8933" spans="1:14" x14ac:dyDescent="0.45">
      <c r="A8933">
        <v>2021</v>
      </c>
      <c r="B8933" t="s">
        <v>265</v>
      </c>
      <c r="C8933">
        <v>0</v>
      </c>
      <c r="D8933">
        <v>0</v>
      </c>
      <c r="E8933">
        <v>0</v>
      </c>
      <c r="F8933">
        <v>1</v>
      </c>
      <c r="G8933">
        <v>0</v>
      </c>
      <c r="H8933">
        <v>0</v>
      </c>
      <c r="I8933">
        <v>0</v>
      </c>
      <c r="J8933">
        <v>3135.8366494567999</v>
      </c>
      <c r="K8933">
        <v>2836.68205365926</v>
      </c>
      <c r="L8933">
        <v>74.334999999999994</v>
      </c>
      <c r="M8933">
        <v>69.951999999999998</v>
      </c>
      <c r="N8933">
        <v>18.591000000000001</v>
      </c>
    </row>
    <row r="8934" spans="1:14" x14ac:dyDescent="0.45">
      <c r="A8934">
        <v>2021</v>
      </c>
      <c r="B8934" t="s">
        <v>266</v>
      </c>
      <c r="C8934">
        <v>0</v>
      </c>
      <c r="D8934">
        <v>0</v>
      </c>
      <c r="E8934">
        <v>0</v>
      </c>
      <c r="F8934">
        <v>1</v>
      </c>
      <c r="G8934">
        <v>0</v>
      </c>
      <c r="H8934">
        <v>0</v>
      </c>
      <c r="I8934">
        <v>0</v>
      </c>
      <c r="J8934">
        <v>6214.0169280141399</v>
      </c>
      <c r="K8934">
        <v>5621.2080766024501</v>
      </c>
      <c r="L8934">
        <v>82.257999999999996</v>
      </c>
      <c r="M8934">
        <v>71.096000000000004</v>
      </c>
      <c r="N8934">
        <v>16.521000000000001</v>
      </c>
    </row>
    <row r="8935" spans="1:14" x14ac:dyDescent="0.45">
      <c r="A8935">
        <v>2021</v>
      </c>
      <c r="B8935" t="s">
        <v>267</v>
      </c>
      <c r="C8935">
        <v>1</v>
      </c>
      <c r="D8935">
        <v>0</v>
      </c>
      <c r="E8935">
        <v>0</v>
      </c>
      <c r="F8935">
        <v>0</v>
      </c>
      <c r="G8935">
        <v>1</v>
      </c>
      <c r="H8935">
        <v>0</v>
      </c>
      <c r="I8935">
        <v>0</v>
      </c>
      <c r="J8935">
        <v>12362.4210181213</v>
      </c>
      <c r="K8935">
        <v>11221.0362165351</v>
      </c>
      <c r="L8935">
        <v>43.348999999999997</v>
      </c>
      <c r="M8935">
        <v>74.980999999999995</v>
      </c>
      <c r="N8935">
        <v>10.061</v>
      </c>
    </row>
    <row r="8936" spans="1:14" x14ac:dyDescent="0.45">
      <c r="A8936">
        <v>2021</v>
      </c>
      <c r="B8936" t="s">
        <v>268</v>
      </c>
      <c r="C8936">
        <v>0</v>
      </c>
      <c r="D8936">
        <v>0</v>
      </c>
      <c r="E8936">
        <v>0</v>
      </c>
      <c r="F8936">
        <v>0</v>
      </c>
      <c r="G8936">
        <v>0</v>
      </c>
      <c r="H8936">
        <v>0</v>
      </c>
      <c r="I8936">
        <v>0</v>
      </c>
      <c r="L8936">
        <v>61.454000000000001</v>
      </c>
      <c r="M8936">
        <v>66.019000000000005</v>
      </c>
      <c r="N8936">
        <v>42.670999999999999</v>
      </c>
    </row>
    <row r="8937" spans="1:14" x14ac:dyDescent="0.45">
      <c r="A8937">
        <v>2021</v>
      </c>
      <c r="B8937" t="s">
        <v>269</v>
      </c>
      <c r="C8937">
        <v>0</v>
      </c>
      <c r="D8937">
        <v>0</v>
      </c>
      <c r="E8937">
        <v>1</v>
      </c>
      <c r="F8937">
        <v>0</v>
      </c>
      <c r="G8937">
        <v>1</v>
      </c>
      <c r="H8937">
        <v>0</v>
      </c>
      <c r="I8937">
        <v>0</v>
      </c>
      <c r="J8937">
        <v>13711.2935730474</v>
      </c>
      <c r="K8937">
        <v>12909.746888494299</v>
      </c>
      <c r="L8937">
        <v>32.152999999999999</v>
      </c>
      <c r="M8937">
        <v>62.01</v>
      </c>
      <c r="N8937">
        <v>36.347000000000001</v>
      </c>
    </row>
    <row r="8938" spans="1:14" x14ac:dyDescent="0.45">
      <c r="A8938">
        <v>2021</v>
      </c>
      <c r="B8938" t="s">
        <v>270</v>
      </c>
      <c r="C8938">
        <v>0</v>
      </c>
      <c r="D8938">
        <v>0</v>
      </c>
      <c r="E8938">
        <v>1</v>
      </c>
      <c r="F8938">
        <v>0</v>
      </c>
      <c r="G8938">
        <v>0</v>
      </c>
      <c r="H8938">
        <v>0</v>
      </c>
      <c r="I8938">
        <v>0</v>
      </c>
      <c r="J8938">
        <v>3503.03491418372</v>
      </c>
      <c r="K8938">
        <v>3288.8497857114999</v>
      </c>
      <c r="L8938">
        <v>54.808</v>
      </c>
      <c r="M8938">
        <v>62.363</v>
      </c>
      <c r="N8938">
        <v>57.424999999999997</v>
      </c>
    </row>
    <row r="8939" spans="1:14" x14ac:dyDescent="0.45">
      <c r="A8939">
        <v>2021</v>
      </c>
      <c r="B8939" t="s">
        <v>271</v>
      </c>
      <c r="C8939">
        <v>0</v>
      </c>
      <c r="D8939">
        <v>0</v>
      </c>
      <c r="E8939">
        <v>1</v>
      </c>
      <c r="F8939">
        <v>1</v>
      </c>
      <c r="G8939">
        <v>0</v>
      </c>
      <c r="H8939">
        <v>0</v>
      </c>
      <c r="I8939">
        <v>0</v>
      </c>
      <c r="J8939">
        <v>3184.78460176113</v>
      </c>
      <c r="K8939">
        <v>2120.5438812315401</v>
      </c>
      <c r="L8939">
        <v>67.697000000000003</v>
      </c>
      <c r="M8939">
        <v>60.134999999999998</v>
      </c>
      <c r="N8939">
        <v>48.488999999999997</v>
      </c>
    </row>
    <row r="8940" spans="1:14" x14ac:dyDescent="0.45">
      <c r="A8940">
        <v>2022</v>
      </c>
      <c r="B8940" t="s">
        <v>54</v>
      </c>
      <c r="C8940">
        <v>0</v>
      </c>
      <c r="D8940">
        <v>1</v>
      </c>
      <c r="E8940">
        <v>0</v>
      </c>
      <c r="F8940">
        <v>0</v>
      </c>
      <c r="G8940">
        <v>0</v>
      </c>
      <c r="H8940">
        <v>1</v>
      </c>
      <c r="I8940">
        <v>1</v>
      </c>
      <c r="J8940">
        <v>38877.6744362842</v>
      </c>
      <c r="K8940">
        <v>37836.036525531599</v>
      </c>
      <c r="L8940">
        <v>55.948</v>
      </c>
      <c r="M8940">
        <v>76.225999999999999</v>
      </c>
      <c r="N8940">
        <v>14.568</v>
      </c>
    </row>
    <row r="8941" spans="1:14" x14ac:dyDescent="0.45">
      <c r="A8941">
        <v>2022</v>
      </c>
      <c r="B8941" t="s">
        <v>55</v>
      </c>
      <c r="C8941">
        <v>0</v>
      </c>
      <c r="D8941">
        <v>0</v>
      </c>
      <c r="E8941">
        <v>0</v>
      </c>
      <c r="F8941">
        <v>0</v>
      </c>
      <c r="G8941">
        <v>0</v>
      </c>
      <c r="H8941">
        <v>0</v>
      </c>
      <c r="I8941">
        <v>0</v>
      </c>
      <c r="J8941">
        <v>1981.7101681056099</v>
      </c>
      <c r="K8941">
        <v>1567.5151543643001</v>
      </c>
      <c r="L8941">
        <v>73.384</v>
      </c>
      <c r="M8941">
        <v>65.617000000000004</v>
      </c>
      <c r="N8941">
        <v>58.039000000000001</v>
      </c>
    </row>
    <row r="8942" spans="1:14" x14ac:dyDescent="0.45">
      <c r="A8942">
        <v>2022</v>
      </c>
      <c r="B8942" t="s">
        <v>56</v>
      </c>
      <c r="C8942">
        <v>0</v>
      </c>
      <c r="D8942">
        <v>0</v>
      </c>
      <c r="E8942">
        <v>1</v>
      </c>
      <c r="F8942">
        <v>1</v>
      </c>
      <c r="G8942">
        <v>0</v>
      </c>
      <c r="H8942">
        <v>0</v>
      </c>
      <c r="I8942">
        <v>0</v>
      </c>
      <c r="J8942">
        <v>7397.4864273110497</v>
      </c>
      <c r="K8942">
        <v>5720.85201298015</v>
      </c>
      <c r="L8942">
        <v>31.919</v>
      </c>
      <c r="M8942">
        <v>64.245999999999995</v>
      </c>
      <c r="N8942">
        <v>66.587999999999994</v>
      </c>
    </row>
    <row r="8943" spans="1:14" x14ac:dyDescent="0.45">
      <c r="A8943">
        <v>2022</v>
      </c>
      <c r="B8943" t="s">
        <v>57</v>
      </c>
      <c r="C8943">
        <v>1</v>
      </c>
      <c r="D8943">
        <v>0</v>
      </c>
      <c r="E8943">
        <v>0</v>
      </c>
      <c r="F8943">
        <v>0</v>
      </c>
      <c r="G8943">
        <v>1</v>
      </c>
      <c r="H8943">
        <v>0</v>
      </c>
      <c r="I8943">
        <v>0</v>
      </c>
      <c r="J8943">
        <v>17111.953927451101</v>
      </c>
      <c r="K8943">
        <v>15502.645372684099</v>
      </c>
      <c r="L8943">
        <v>36.201000000000001</v>
      </c>
      <c r="M8943">
        <v>78.769000000000005</v>
      </c>
      <c r="N8943">
        <v>9.9789999999999992</v>
      </c>
    </row>
    <row r="8944" spans="1:14" x14ac:dyDescent="0.45">
      <c r="A8944">
        <v>2022</v>
      </c>
      <c r="B8944" t="s">
        <v>58</v>
      </c>
      <c r="C8944">
        <v>1</v>
      </c>
      <c r="D8944">
        <v>0</v>
      </c>
      <c r="E8944">
        <v>0</v>
      </c>
      <c r="F8944">
        <v>0</v>
      </c>
      <c r="G8944">
        <v>0</v>
      </c>
      <c r="H8944">
        <v>1</v>
      </c>
      <c r="I8944">
        <v>1</v>
      </c>
      <c r="J8944">
        <v>63913.383507910497</v>
      </c>
      <c r="K8944">
        <v>53650.4046164479</v>
      </c>
      <c r="L8944">
        <v>12.189</v>
      </c>
      <c r="M8944">
        <v>84.016000000000005</v>
      </c>
      <c r="N8944">
        <v>6.1379999999999999</v>
      </c>
    </row>
    <row r="8945" spans="1:14" x14ac:dyDescent="0.45">
      <c r="A8945">
        <v>2022</v>
      </c>
      <c r="B8945" t="s">
        <v>59</v>
      </c>
      <c r="C8945">
        <v>0</v>
      </c>
      <c r="D8945">
        <v>0</v>
      </c>
      <c r="E8945">
        <v>0</v>
      </c>
      <c r="F8945">
        <v>0</v>
      </c>
      <c r="G8945">
        <v>0</v>
      </c>
      <c r="H8945">
        <v>1</v>
      </c>
      <c r="I8945">
        <v>1</v>
      </c>
      <c r="J8945">
        <v>68867.825930126099</v>
      </c>
      <c r="K8945">
        <v>68039.255781849395</v>
      </c>
      <c r="L8945">
        <v>12.457000000000001</v>
      </c>
      <c r="M8945">
        <v>80.486999999999995</v>
      </c>
      <c r="N8945">
        <v>6.1539999999999999</v>
      </c>
    </row>
    <row r="8946" spans="1:14" x14ac:dyDescent="0.45">
      <c r="A8946">
        <v>2022</v>
      </c>
      <c r="B8946" t="s">
        <v>60</v>
      </c>
      <c r="C8946">
        <v>0</v>
      </c>
      <c r="D8946">
        <v>1</v>
      </c>
      <c r="E8946">
        <v>0</v>
      </c>
      <c r="F8946">
        <v>0</v>
      </c>
      <c r="G8946">
        <v>1</v>
      </c>
      <c r="H8946">
        <v>0</v>
      </c>
      <c r="I8946">
        <v>0</v>
      </c>
      <c r="J8946">
        <v>27627.963476463599</v>
      </c>
      <c r="K8946">
        <v>22801.628761119598</v>
      </c>
      <c r="L8946">
        <v>7.6530000000000102</v>
      </c>
      <c r="M8946">
        <v>75.805999999999997</v>
      </c>
      <c r="N8946">
        <v>10.59</v>
      </c>
    </row>
    <row r="8947" spans="1:14" x14ac:dyDescent="0.45">
      <c r="A8947">
        <v>2022</v>
      </c>
      <c r="B8947" t="s">
        <v>61</v>
      </c>
      <c r="C8947">
        <v>1</v>
      </c>
      <c r="D8947">
        <v>0</v>
      </c>
      <c r="E8947">
        <v>0</v>
      </c>
      <c r="F8947">
        <v>0</v>
      </c>
      <c r="G8947">
        <v>1</v>
      </c>
      <c r="H8947">
        <v>0</v>
      </c>
      <c r="I8947">
        <v>0</v>
      </c>
      <c r="J8947">
        <v>17886.178387716802</v>
      </c>
      <c r="K8947">
        <v>15151.4037365311</v>
      </c>
      <c r="L8947">
        <v>36.427</v>
      </c>
      <c r="M8947">
        <v>74.632999999999996</v>
      </c>
      <c r="N8947">
        <v>10.3</v>
      </c>
    </row>
    <row r="8948" spans="1:14" x14ac:dyDescent="0.45">
      <c r="A8948">
        <v>2022</v>
      </c>
      <c r="B8948" t="s">
        <v>62</v>
      </c>
      <c r="C8948">
        <v>0</v>
      </c>
      <c r="D8948">
        <v>0</v>
      </c>
      <c r="E8948">
        <v>0</v>
      </c>
      <c r="F8948">
        <v>0</v>
      </c>
      <c r="G8948">
        <v>0</v>
      </c>
      <c r="H8948">
        <v>1</v>
      </c>
      <c r="I8948">
        <v>1</v>
      </c>
      <c r="L8948">
        <v>12.804</v>
      </c>
      <c r="M8948">
        <v>72.751999999999995</v>
      </c>
      <c r="N8948">
        <v>10.68</v>
      </c>
    </row>
    <row r="8949" spans="1:14" x14ac:dyDescent="0.45">
      <c r="A8949">
        <v>2022</v>
      </c>
      <c r="B8949" t="s">
        <v>63</v>
      </c>
      <c r="C8949">
        <v>0</v>
      </c>
      <c r="D8949">
        <v>1</v>
      </c>
      <c r="E8949">
        <v>0</v>
      </c>
      <c r="F8949">
        <v>0</v>
      </c>
      <c r="G8949">
        <v>0</v>
      </c>
      <c r="H8949">
        <v>1</v>
      </c>
      <c r="I8949">
        <v>1</v>
      </c>
      <c r="J8949">
        <v>27941.785147476199</v>
      </c>
      <c r="K8949">
        <v>22006.8614374516</v>
      </c>
      <c r="L8949">
        <v>75.653999999999996</v>
      </c>
      <c r="M8949">
        <v>77.483000000000004</v>
      </c>
      <c r="N8949">
        <v>9.49</v>
      </c>
    </row>
    <row r="8950" spans="1:14" x14ac:dyDescent="0.45">
      <c r="A8950">
        <v>2022</v>
      </c>
      <c r="B8950" t="s">
        <v>64</v>
      </c>
      <c r="C8950">
        <v>0</v>
      </c>
      <c r="D8950">
        <v>0</v>
      </c>
      <c r="E8950">
        <v>0</v>
      </c>
      <c r="F8950">
        <v>0</v>
      </c>
      <c r="G8950">
        <v>0</v>
      </c>
      <c r="H8950">
        <v>1</v>
      </c>
      <c r="I8950">
        <v>1</v>
      </c>
      <c r="J8950">
        <v>59883.647035607297</v>
      </c>
      <c r="K8950">
        <v>51868.316151334999</v>
      </c>
      <c r="L8950">
        <v>13.512</v>
      </c>
      <c r="M8950">
        <v>82.766000000000005</v>
      </c>
      <c r="N8950">
        <v>4.508</v>
      </c>
    </row>
    <row r="8951" spans="1:14" x14ac:dyDescent="0.45">
      <c r="A8951">
        <v>2022</v>
      </c>
      <c r="B8951" t="s">
        <v>65</v>
      </c>
      <c r="C8951">
        <v>1</v>
      </c>
      <c r="D8951">
        <v>0</v>
      </c>
      <c r="E8951">
        <v>0</v>
      </c>
      <c r="F8951">
        <v>0</v>
      </c>
      <c r="G8951">
        <v>0</v>
      </c>
      <c r="H8951">
        <v>1</v>
      </c>
      <c r="I8951">
        <v>1</v>
      </c>
      <c r="J8951">
        <v>65661.452187757299</v>
      </c>
      <c r="K8951">
        <v>55953.769861118097</v>
      </c>
      <c r="L8951">
        <v>40.744</v>
      </c>
      <c r="M8951">
        <v>81.296000000000006</v>
      </c>
      <c r="N8951">
        <v>3.794</v>
      </c>
    </row>
    <row r="8952" spans="1:14" x14ac:dyDescent="0.45">
      <c r="A8952">
        <v>2022</v>
      </c>
      <c r="B8952" t="s">
        <v>66</v>
      </c>
      <c r="C8952">
        <v>1</v>
      </c>
      <c r="D8952">
        <v>0</v>
      </c>
      <c r="E8952">
        <v>0</v>
      </c>
      <c r="F8952">
        <v>0</v>
      </c>
      <c r="G8952">
        <v>1</v>
      </c>
      <c r="H8952">
        <v>0</v>
      </c>
      <c r="I8952">
        <v>0</v>
      </c>
      <c r="J8952">
        <v>21051.244238428699</v>
      </c>
      <c r="K8952">
        <v>15329.776147221301</v>
      </c>
      <c r="L8952">
        <v>42.83</v>
      </c>
      <c r="M8952">
        <v>74.125</v>
      </c>
      <c r="N8952">
        <v>18.167999999999999</v>
      </c>
    </row>
    <row r="8953" spans="1:14" x14ac:dyDescent="0.45">
      <c r="A8953">
        <v>2022</v>
      </c>
      <c r="B8953" t="s">
        <v>67</v>
      </c>
      <c r="C8953">
        <v>0</v>
      </c>
      <c r="D8953">
        <v>0</v>
      </c>
      <c r="E8953">
        <v>1</v>
      </c>
      <c r="F8953">
        <v>0</v>
      </c>
      <c r="G8953">
        <v>0</v>
      </c>
      <c r="H8953">
        <v>0</v>
      </c>
      <c r="I8953">
        <v>0</v>
      </c>
      <c r="J8953">
        <v>829.38715963357004</v>
      </c>
      <c r="K8953">
        <v>716.67613448331099</v>
      </c>
      <c r="L8953">
        <v>85.582999999999998</v>
      </c>
      <c r="M8953">
        <v>62.881999999999998</v>
      </c>
      <c r="N8953">
        <v>50.655000000000001</v>
      </c>
    </row>
    <row r="8954" spans="1:14" x14ac:dyDescent="0.45">
      <c r="A8954">
        <v>2022</v>
      </c>
      <c r="B8954" t="s">
        <v>68</v>
      </c>
      <c r="C8954">
        <v>1</v>
      </c>
      <c r="D8954">
        <v>0</v>
      </c>
      <c r="E8954">
        <v>0</v>
      </c>
      <c r="F8954">
        <v>0</v>
      </c>
      <c r="G8954">
        <v>0</v>
      </c>
      <c r="H8954">
        <v>1</v>
      </c>
      <c r="I8954">
        <v>1</v>
      </c>
      <c r="J8954">
        <v>62744.2029966767</v>
      </c>
      <c r="K8954">
        <v>52800.290036509803</v>
      </c>
      <c r="L8954">
        <v>1.84699999999999</v>
      </c>
      <c r="M8954">
        <v>81.159000000000006</v>
      </c>
      <c r="N8954">
        <v>4.2939999999999996</v>
      </c>
    </row>
    <row r="8955" spans="1:14" x14ac:dyDescent="0.45">
      <c r="A8955">
        <v>2022</v>
      </c>
      <c r="B8955" t="s">
        <v>69</v>
      </c>
      <c r="C8955">
        <v>0</v>
      </c>
      <c r="D8955">
        <v>0</v>
      </c>
      <c r="E8955">
        <v>1</v>
      </c>
      <c r="F8955">
        <v>1</v>
      </c>
      <c r="G8955">
        <v>0</v>
      </c>
      <c r="H8955">
        <v>0</v>
      </c>
      <c r="I8955">
        <v>0</v>
      </c>
      <c r="J8955">
        <v>3588.3251993814702</v>
      </c>
      <c r="K8955">
        <v>3404.4302952174498</v>
      </c>
      <c r="L8955">
        <v>50.466000000000001</v>
      </c>
      <c r="M8955">
        <v>60.475000000000001</v>
      </c>
      <c r="N8955">
        <v>80.984999999999999</v>
      </c>
    </row>
    <row r="8956" spans="1:14" x14ac:dyDescent="0.45">
      <c r="A8956">
        <v>2022</v>
      </c>
      <c r="B8956" t="s">
        <v>70</v>
      </c>
      <c r="C8956">
        <v>0</v>
      </c>
      <c r="D8956">
        <v>0</v>
      </c>
      <c r="E8956">
        <v>1</v>
      </c>
      <c r="F8956">
        <v>0</v>
      </c>
      <c r="G8956">
        <v>0</v>
      </c>
      <c r="H8956">
        <v>0</v>
      </c>
      <c r="I8956">
        <v>0</v>
      </c>
      <c r="J8956">
        <v>2466.0533139005402</v>
      </c>
      <c r="K8956">
        <v>2256.2836349613899</v>
      </c>
      <c r="L8956">
        <v>68.123000000000005</v>
      </c>
      <c r="M8956">
        <v>60.7</v>
      </c>
      <c r="N8956">
        <v>79.385999999999996</v>
      </c>
    </row>
    <row r="8957" spans="1:14" x14ac:dyDescent="0.45">
      <c r="A8957">
        <v>2022</v>
      </c>
      <c r="B8957" t="s">
        <v>71</v>
      </c>
      <c r="C8957">
        <v>0</v>
      </c>
      <c r="D8957">
        <v>0</v>
      </c>
      <c r="E8957">
        <v>0</v>
      </c>
      <c r="F8957">
        <v>1</v>
      </c>
      <c r="G8957">
        <v>0</v>
      </c>
      <c r="H8957">
        <v>0</v>
      </c>
      <c r="I8957">
        <v>0</v>
      </c>
      <c r="J8957">
        <v>7888.1638909830399</v>
      </c>
      <c r="K8957">
        <v>6413.0343705865598</v>
      </c>
      <c r="L8957">
        <v>60.289000000000001</v>
      </c>
      <c r="M8957">
        <v>74.265000000000001</v>
      </c>
      <c r="N8957">
        <v>28.852</v>
      </c>
    </row>
    <row r="8958" spans="1:14" x14ac:dyDescent="0.45">
      <c r="A8958">
        <v>2022</v>
      </c>
      <c r="B8958" t="s">
        <v>72</v>
      </c>
      <c r="C8958">
        <v>1</v>
      </c>
      <c r="D8958">
        <v>0</v>
      </c>
      <c r="E8958">
        <v>0</v>
      </c>
      <c r="F8958">
        <v>0</v>
      </c>
      <c r="G8958">
        <v>1</v>
      </c>
      <c r="H8958">
        <v>0</v>
      </c>
      <c r="I8958">
        <v>0</v>
      </c>
      <c r="J8958">
        <v>32433.149549679001</v>
      </c>
      <c r="K8958">
        <v>26913.010395545101</v>
      </c>
      <c r="L8958">
        <v>23.637</v>
      </c>
      <c r="M8958">
        <v>74.034000000000006</v>
      </c>
      <c r="N8958">
        <v>6.6820000000000004</v>
      </c>
    </row>
    <row r="8959" spans="1:14" x14ac:dyDescent="0.45">
      <c r="A8959">
        <v>2022</v>
      </c>
      <c r="B8959" t="s">
        <v>73</v>
      </c>
      <c r="C8959">
        <v>0</v>
      </c>
      <c r="D8959">
        <v>0</v>
      </c>
      <c r="E8959">
        <v>0</v>
      </c>
      <c r="F8959">
        <v>0</v>
      </c>
      <c r="G8959">
        <v>0</v>
      </c>
      <c r="H8959">
        <v>1</v>
      </c>
      <c r="I8959">
        <v>1</v>
      </c>
      <c r="J8959">
        <v>57572.997981018001</v>
      </c>
      <c r="K8959">
        <v>53644.346030123197</v>
      </c>
      <c r="L8959">
        <v>10.257</v>
      </c>
      <c r="M8959">
        <v>80.992000000000004</v>
      </c>
      <c r="N8959">
        <v>6.4930000000000003</v>
      </c>
    </row>
    <row r="8960" spans="1:14" x14ac:dyDescent="0.45">
      <c r="A8960">
        <v>2022</v>
      </c>
      <c r="B8960" t="s">
        <v>74</v>
      </c>
      <c r="C8960">
        <v>0</v>
      </c>
      <c r="D8960">
        <v>1</v>
      </c>
      <c r="E8960">
        <v>0</v>
      </c>
      <c r="F8960">
        <v>0</v>
      </c>
      <c r="G8960">
        <v>0</v>
      </c>
      <c r="H8960">
        <v>1</v>
      </c>
      <c r="I8960">
        <v>1</v>
      </c>
      <c r="J8960">
        <v>34342.7904119831</v>
      </c>
      <c r="K8960">
        <v>35623.295174983199</v>
      </c>
      <c r="L8960">
        <v>16.507999999999999</v>
      </c>
      <c r="M8960">
        <v>74.491</v>
      </c>
      <c r="N8960">
        <v>12.87</v>
      </c>
    </row>
    <row r="8961" spans="1:14" x14ac:dyDescent="0.45">
      <c r="A8961">
        <v>2022</v>
      </c>
      <c r="B8961" t="s">
        <v>75</v>
      </c>
      <c r="C8961">
        <v>1</v>
      </c>
      <c r="D8961">
        <v>0</v>
      </c>
      <c r="E8961">
        <v>0</v>
      </c>
      <c r="F8961">
        <v>0</v>
      </c>
      <c r="G8961">
        <v>1</v>
      </c>
      <c r="H8961">
        <v>0</v>
      </c>
      <c r="I8961">
        <v>0</v>
      </c>
      <c r="J8961">
        <v>19297.071494277599</v>
      </c>
      <c r="K8961">
        <v>16669.993099648</v>
      </c>
      <c r="L8961">
        <v>50.158999999999999</v>
      </c>
      <c r="M8961">
        <v>76.777000000000001</v>
      </c>
      <c r="N8961">
        <v>6.0369999999999999</v>
      </c>
    </row>
    <row r="8962" spans="1:14" x14ac:dyDescent="0.45">
      <c r="A8962">
        <v>2022</v>
      </c>
      <c r="B8962" t="s">
        <v>76</v>
      </c>
      <c r="C8962">
        <v>1</v>
      </c>
      <c r="D8962">
        <v>0</v>
      </c>
      <c r="E8962">
        <v>0</v>
      </c>
      <c r="F8962">
        <v>0</v>
      </c>
      <c r="G8962">
        <v>1</v>
      </c>
      <c r="H8962">
        <v>0</v>
      </c>
      <c r="I8962">
        <v>0</v>
      </c>
      <c r="J8962">
        <v>26537.5083074867</v>
      </c>
      <c r="K8962">
        <v>19159.9501222818</v>
      </c>
      <c r="L8962">
        <v>19.673999999999999</v>
      </c>
      <c r="M8962">
        <v>74.361000000000004</v>
      </c>
      <c r="N8962">
        <v>2.5840000000000001</v>
      </c>
    </row>
    <row r="8963" spans="1:14" x14ac:dyDescent="0.45">
      <c r="A8963">
        <v>2022</v>
      </c>
      <c r="B8963" t="s">
        <v>77</v>
      </c>
      <c r="C8963">
        <v>0</v>
      </c>
      <c r="D8963">
        <v>1</v>
      </c>
      <c r="E8963">
        <v>0</v>
      </c>
      <c r="F8963">
        <v>0</v>
      </c>
      <c r="G8963">
        <v>1</v>
      </c>
      <c r="H8963">
        <v>0</v>
      </c>
      <c r="I8963">
        <v>0</v>
      </c>
      <c r="J8963">
        <v>12569.817943308801</v>
      </c>
      <c r="K8963">
        <v>9906.1877607500501</v>
      </c>
      <c r="L8963">
        <v>53.603999999999999</v>
      </c>
      <c r="M8963">
        <v>72.19</v>
      </c>
      <c r="N8963">
        <v>11.036</v>
      </c>
    </row>
    <row r="8964" spans="1:14" x14ac:dyDescent="0.45">
      <c r="A8964">
        <v>2022</v>
      </c>
      <c r="B8964" t="s">
        <v>78</v>
      </c>
      <c r="C8964">
        <v>0</v>
      </c>
      <c r="D8964">
        <v>0</v>
      </c>
      <c r="E8964">
        <v>0</v>
      </c>
      <c r="F8964">
        <v>0</v>
      </c>
      <c r="G8964">
        <v>0</v>
      </c>
      <c r="H8964">
        <v>1</v>
      </c>
      <c r="I8964">
        <v>1</v>
      </c>
      <c r="J8964">
        <v>98145.168938388902</v>
      </c>
      <c r="K8964">
        <v>87198.4413521721</v>
      </c>
      <c r="L8964">
        <v>0</v>
      </c>
      <c r="M8964">
        <v>82.061999999999998</v>
      </c>
      <c r="N8964">
        <v>2.492</v>
      </c>
    </row>
    <row r="8965" spans="1:14" x14ac:dyDescent="0.45">
      <c r="A8965">
        <v>2022</v>
      </c>
      <c r="B8965" t="s">
        <v>79</v>
      </c>
      <c r="C8965">
        <v>0</v>
      </c>
      <c r="D8965">
        <v>1</v>
      </c>
      <c r="E8965">
        <v>0</v>
      </c>
      <c r="F8965">
        <v>1</v>
      </c>
      <c r="G8965">
        <v>0</v>
      </c>
      <c r="H8965">
        <v>0</v>
      </c>
      <c r="I8965">
        <v>0</v>
      </c>
      <c r="J8965">
        <v>9681.7074303385107</v>
      </c>
      <c r="K8965">
        <v>8544.5929520403297</v>
      </c>
      <c r="L8965">
        <v>29.17</v>
      </c>
      <c r="M8965">
        <v>67.433999999999997</v>
      </c>
      <c r="N8965">
        <v>42.671999999999997</v>
      </c>
    </row>
    <row r="8966" spans="1:14" x14ac:dyDescent="0.45">
      <c r="A8966">
        <v>2022</v>
      </c>
      <c r="B8966" t="s">
        <v>80</v>
      </c>
      <c r="C8966">
        <v>0</v>
      </c>
      <c r="D8966">
        <v>1</v>
      </c>
      <c r="E8966">
        <v>0</v>
      </c>
      <c r="F8966">
        <v>0</v>
      </c>
      <c r="G8966">
        <v>1</v>
      </c>
      <c r="H8966">
        <v>0</v>
      </c>
      <c r="I8966">
        <v>0</v>
      </c>
      <c r="J8966">
        <v>18554.0461828566</v>
      </c>
      <c r="K8966">
        <v>15240.4631442258</v>
      </c>
      <c r="L8966">
        <v>12.445</v>
      </c>
      <c r="M8966">
        <v>74.872</v>
      </c>
      <c r="N8966">
        <v>14.093999999999999</v>
      </c>
    </row>
    <row r="8967" spans="1:14" x14ac:dyDescent="0.45">
      <c r="A8967">
        <v>2022</v>
      </c>
      <c r="B8967" t="s">
        <v>81</v>
      </c>
      <c r="C8967">
        <v>0</v>
      </c>
      <c r="D8967">
        <v>1</v>
      </c>
      <c r="E8967">
        <v>0</v>
      </c>
      <c r="F8967">
        <v>0</v>
      </c>
      <c r="G8967">
        <v>0</v>
      </c>
      <c r="H8967">
        <v>1</v>
      </c>
      <c r="I8967">
        <v>1</v>
      </c>
      <c r="J8967">
        <v>18469.576588863802</v>
      </c>
      <c r="K8967">
        <v>17640.2846475406</v>
      </c>
      <c r="L8967">
        <v>68.676000000000002</v>
      </c>
      <c r="M8967">
        <v>75.676000000000002</v>
      </c>
      <c r="N8967">
        <v>10.851000000000001</v>
      </c>
    </row>
    <row r="8968" spans="1:14" x14ac:dyDescent="0.45">
      <c r="A8968">
        <v>2022</v>
      </c>
      <c r="B8968" t="s">
        <v>82</v>
      </c>
      <c r="C8968">
        <v>0</v>
      </c>
      <c r="D8968">
        <v>0</v>
      </c>
      <c r="E8968">
        <v>0</v>
      </c>
      <c r="F8968">
        <v>0</v>
      </c>
      <c r="G8968">
        <v>0</v>
      </c>
      <c r="H8968">
        <v>1</v>
      </c>
      <c r="I8968">
        <v>1</v>
      </c>
      <c r="J8968">
        <v>76357.829101777199</v>
      </c>
      <c r="K8968">
        <v>59620.534568971503</v>
      </c>
      <c r="L8968">
        <v>21.146000000000001</v>
      </c>
      <c r="M8968">
        <v>72.917000000000002</v>
      </c>
      <c r="N8968">
        <v>9.7219999999999995</v>
      </c>
    </row>
    <row r="8969" spans="1:14" x14ac:dyDescent="0.45">
      <c r="A8969">
        <v>2022</v>
      </c>
      <c r="B8969" t="s">
        <v>83</v>
      </c>
      <c r="C8969">
        <v>0</v>
      </c>
      <c r="D8969">
        <v>0</v>
      </c>
      <c r="E8969">
        <v>0</v>
      </c>
      <c r="F8969">
        <v>1</v>
      </c>
      <c r="G8969">
        <v>0</v>
      </c>
      <c r="H8969">
        <v>0</v>
      </c>
      <c r="I8969">
        <v>0</v>
      </c>
      <c r="J8969">
        <v>14061.3120274588</v>
      </c>
      <c r="K8969">
        <v>12178.8744232475</v>
      </c>
      <c r="L8969">
        <v>56.314</v>
      </c>
      <c r="M8969">
        <v>72.754000000000005</v>
      </c>
      <c r="N8969">
        <v>23.411999999999999</v>
      </c>
    </row>
    <row r="8970" spans="1:14" x14ac:dyDescent="0.45">
      <c r="A8970">
        <v>2022</v>
      </c>
      <c r="B8970" t="s">
        <v>84</v>
      </c>
      <c r="C8970">
        <v>0</v>
      </c>
      <c r="D8970">
        <v>0</v>
      </c>
      <c r="E8970">
        <v>1</v>
      </c>
      <c r="F8970">
        <v>0</v>
      </c>
      <c r="G8970">
        <v>1</v>
      </c>
      <c r="H8970">
        <v>0</v>
      </c>
      <c r="I8970">
        <v>0</v>
      </c>
      <c r="J8970">
        <v>18647.373457203201</v>
      </c>
      <c r="K8970">
        <v>16871.890551867</v>
      </c>
      <c r="L8970">
        <v>27.776</v>
      </c>
      <c r="M8970">
        <v>68.748999999999995</v>
      </c>
      <c r="N8970">
        <v>38.81</v>
      </c>
    </row>
    <row r="8971" spans="1:14" x14ac:dyDescent="0.45">
      <c r="A8971">
        <v>2022</v>
      </c>
      <c r="B8971" t="s">
        <v>85</v>
      </c>
      <c r="C8971">
        <v>0</v>
      </c>
      <c r="D8971">
        <v>0</v>
      </c>
      <c r="E8971">
        <v>1</v>
      </c>
      <c r="F8971">
        <v>0</v>
      </c>
      <c r="G8971">
        <v>0</v>
      </c>
      <c r="H8971">
        <v>0</v>
      </c>
      <c r="I8971">
        <v>0</v>
      </c>
      <c r="J8971">
        <v>1136.8017111276999</v>
      </c>
      <c r="K8971">
        <v>910.18065805856702</v>
      </c>
      <c r="L8971">
        <v>56.88</v>
      </c>
      <c r="M8971">
        <v>18.818000000000001</v>
      </c>
      <c r="N8971">
        <v>379.88600000000002</v>
      </c>
    </row>
    <row r="8972" spans="1:14" x14ac:dyDescent="0.45">
      <c r="A8972">
        <v>2022</v>
      </c>
      <c r="B8972" t="s">
        <v>86</v>
      </c>
      <c r="C8972">
        <v>0</v>
      </c>
      <c r="D8972">
        <v>0</v>
      </c>
      <c r="E8972">
        <v>0</v>
      </c>
      <c r="F8972">
        <v>0</v>
      </c>
      <c r="G8972">
        <v>0</v>
      </c>
      <c r="H8972">
        <v>1</v>
      </c>
      <c r="I8972">
        <v>1</v>
      </c>
      <c r="J8972">
        <v>58321.0611834624</v>
      </c>
      <c r="K8972">
        <v>50483.677263587102</v>
      </c>
      <c r="L8972">
        <v>18.248000000000001</v>
      </c>
      <c r="M8972">
        <v>81.248999999999995</v>
      </c>
      <c r="N8972">
        <v>4.93</v>
      </c>
    </row>
    <row r="8973" spans="1:14" x14ac:dyDescent="0.45">
      <c r="A8973">
        <v>2022</v>
      </c>
      <c r="B8973" t="s">
        <v>87</v>
      </c>
      <c r="C8973">
        <v>1</v>
      </c>
      <c r="D8973">
        <v>0</v>
      </c>
      <c r="E8973">
        <v>0</v>
      </c>
      <c r="F8973">
        <v>0</v>
      </c>
      <c r="G8973">
        <v>0</v>
      </c>
      <c r="H8973">
        <v>1</v>
      </c>
      <c r="I8973">
        <v>1</v>
      </c>
      <c r="J8973">
        <v>82777.293582076003</v>
      </c>
      <c r="K8973">
        <v>72013.505616153503</v>
      </c>
      <c r="L8973">
        <v>25.908000000000001</v>
      </c>
      <c r="M8973">
        <v>83.2</v>
      </c>
      <c r="N8973">
        <v>3.8860000000000001</v>
      </c>
    </row>
    <row r="8974" spans="1:14" x14ac:dyDescent="0.45">
      <c r="A8974">
        <v>2022</v>
      </c>
      <c r="B8974" t="s">
        <v>88</v>
      </c>
      <c r="C8974">
        <v>1</v>
      </c>
      <c r="D8974">
        <v>0</v>
      </c>
      <c r="E8974">
        <v>0</v>
      </c>
      <c r="F8974">
        <v>0</v>
      </c>
      <c r="G8974">
        <v>0</v>
      </c>
      <c r="H8974">
        <v>1</v>
      </c>
      <c r="I8974">
        <v>1</v>
      </c>
      <c r="L8974">
        <v>68.923000000000002</v>
      </c>
      <c r="M8974">
        <v>81.014867326495803</v>
      </c>
      <c r="N8974">
        <v>8.7578883772388796</v>
      </c>
    </row>
    <row r="8975" spans="1:14" x14ac:dyDescent="0.45">
      <c r="A8975">
        <v>2022</v>
      </c>
      <c r="B8975" t="s">
        <v>89</v>
      </c>
      <c r="C8975">
        <v>0</v>
      </c>
      <c r="D8975">
        <v>1</v>
      </c>
      <c r="E8975">
        <v>0</v>
      </c>
      <c r="F8975">
        <v>0</v>
      </c>
      <c r="G8975">
        <v>0</v>
      </c>
      <c r="H8975">
        <v>1</v>
      </c>
      <c r="I8975">
        <v>1</v>
      </c>
      <c r="J8975">
        <v>29569.477552793702</v>
      </c>
      <c r="K8975">
        <v>25757.438078556799</v>
      </c>
      <c r="L8975">
        <v>12.087999999999999</v>
      </c>
      <c r="M8975">
        <v>79.176000000000002</v>
      </c>
      <c r="N8975">
        <v>5.4180000000000001</v>
      </c>
    </row>
    <row r="8976" spans="1:14" x14ac:dyDescent="0.45">
      <c r="A8976">
        <v>2022</v>
      </c>
      <c r="B8976" t="s">
        <v>90</v>
      </c>
      <c r="C8976">
        <v>0</v>
      </c>
      <c r="D8976">
        <v>0</v>
      </c>
      <c r="E8976">
        <v>0</v>
      </c>
      <c r="F8976">
        <v>0</v>
      </c>
      <c r="G8976">
        <v>1</v>
      </c>
      <c r="H8976">
        <v>0</v>
      </c>
      <c r="I8976">
        <v>0</v>
      </c>
      <c r="J8976">
        <v>21499.382283442701</v>
      </c>
      <c r="K8976">
        <v>19272.804140523898</v>
      </c>
      <c r="L8976">
        <v>36.44</v>
      </c>
      <c r="M8976">
        <v>78.201999999999998</v>
      </c>
      <c r="N8976">
        <v>6.8940000000000001</v>
      </c>
    </row>
    <row r="8977" spans="1:14" x14ac:dyDescent="0.45">
      <c r="A8977">
        <v>2022</v>
      </c>
      <c r="B8977" t="s">
        <v>91</v>
      </c>
      <c r="C8977">
        <v>0</v>
      </c>
      <c r="D8977">
        <v>0</v>
      </c>
      <c r="E8977">
        <v>1</v>
      </c>
      <c r="F8977">
        <v>1</v>
      </c>
      <c r="G8977">
        <v>0</v>
      </c>
      <c r="H8977">
        <v>0</v>
      </c>
      <c r="I8977">
        <v>0</v>
      </c>
      <c r="J8977">
        <v>6272.2639575941503</v>
      </c>
      <c r="K8977">
        <v>5294.7145109031298</v>
      </c>
      <c r="L8977">
        <v>47.338999999999999</v>
      </c>
      <c r="M8977">
        <v>61.561999999999998</v>
      </c>
      <c r="N8977">
        <v>69.266999999999996</v>
      </c>
    </row>
    <row r="8978" spans="1:14" x14ac:dyDescent="0.45">
      <c r="A8978">
        <v>2022</v>
      </c>
      <c r="B8978" t="s">
        <v>92</v>
      </c>
      <c r="C8978">
        <v>0</v>
      </c>
      <c r="D8978">
        <v>0</v>
      </c>
      <c r="E8978">
        <v>1</v>
      </c>
      <c r="F8978">
        <v>1</v>
      </c>
      <c r="G8978">
        <v>0</v>
      </c>
      <c r="H8978">
        <v>0</v>
      </c>
      <c r="I8978">
        <v>0</v>
      </c>
      <c r="J8978">
        <v>4843.65038202917</v>
      </c>
      <c r="K8978">
        <v>3803.2951398877199</v>
      </c>
      <c r="L8978">
        <v>41.267000000000003</v>
      </c>
      <c r="M8978">
        <v>62.442999999999998</v>
      </c>
      <c r="N8978">
        <v>69.992000000000004</v>
      </c>
    </row>
    <row r="8979" spans="1:14" x14ac:dyDescent="0.45">
      <c r="A8979">
        <v>2022</v>
      </c>
      <c r="B8979" t="s">
        <v>93</v>
      </c>
      <c r="C8979">
        <v>0</v>
      </c>
      <c r="D8979">
        <v>0</v>
      </c>
      <c r="E8979">
        <v>1</v>
      </c>
      <c r="F8979">
        <v>0</v>
      </c>
      <c r="G8979">
        <v>0</v>
      </c>
      <c r="H8979">
        <v>0</v>
      </c>
      <c r="I8979">
        <v>0</v>
      </c>
      <c r="J8979">
        <v>1385.4647266735701</v>
      </c>
      <c r="K8979">
        <v>1109.1538976489001</v>
      </c>
      <c r="L8979">
        <v>53.162999999999997</v>
      </c>
      <c r="M8979">
        <v>60.978999999999999</v>
      </c>
      <c r="N8979">
        <v>75.561000000000007</v>
      </c>
    </row>
    <row r="8980" spans="1:14" x14ac:dyDescent="0.45">
      <c r="A8980">
        <v>2022</v>
      </c>
      <c r="B8980" t="s">
        <v>94</v>
      </c>
      <c r="C8980">
        <v>0</v>
      </c>
      <c r="D8980">
        <v>0</v>
      </c>
      <c r="E8980">
        <v>1</v>
      </c>
      <c r="F8980">
        <v>1</v>
      </c>
      <c r="G8980">
        <v>0</v>
      </c>
      <c r="H8980">
        <v>0</v>
      </c>
      <c r="I8980">
        <v>0</v>
      </c>
      <c r="J8980">
        <v>6205.1050414033998</v>
      </c>
      <c r="K8980">
        <v>3740.71786209535</v>
      </c>
      <c r="L8980">
        <v>31.263999999999999</v>
      </c>
      <c r="M8980">
        <v>65</v>
      </c>
      <c r="N8980">
        <v>40.970999999999997</v>
      </c>
    </row>
    <row r="8981" spans="1:14" x14ac:dyDescent="0.45">
      <c r="A8981">
        <v>2022</v>
      </c>
      <c r="B8981" t="s">
        <v>95</v>
      </c>
      <c r="C8981">
        <v>0</v>
      </c>
      <c r="D8981">
        <v>1</v>
      </c>
      <c r="E8981">
        <v>0</v>
      </c>
      <c r="F8981">
        <v>0</v>
      </c>
      <c r="G8981">
        <v>1</v>
      </c>
      <c r="H8981">
        <v>0</v>
      </c>
      <c r="I8981">
        <v>0</v>
      </c>
      <c r="J8981">
        <v>18458.7209460704</v>
      </c>
      <c r="K8981">
        <v>15368.9061356404</v>
      </c>
      <c r="L8981">
        <v>17.95</v>
      </c>
      <c r="M8981">
        <v>76.507999999999996</v>
      </c>
      <c r="N8981">
        <v>12.387</v>
      </c>
    </row>
    <row r="8982" spans="1:14" x14ac:dyDescent="0.45">
      <c r="A8982">
        <v>2022</v>
      </c>
      <c r="B8982" t="s">
        <v>96</v>
      </c>
      <c r="C8982">
        <v>0</v>
      </c>
      <c r="D8982">
        <v>0</v>
      </c>
      <c r="E8982">
        <v>1</v>
      </c>
      <c r="F8982">
        <v>1</v>
      </c>
      <c r="G8982">
        <v>0</v>
      </c>
      <c r="H8982">
        <v>0</v>
      </c>
      <c r="I8982">
        <v>0</v>
      </c>
      <c r="J8982">
        <v>3478.1734680281502</v>
      </c>
      <c r="K8982">
        <v>3596.8752549814099</v>
      </c>
      <c r="L8982">
        <v>70.135999999999996</v>
      </c>
      <c r="M8982">
        <v>66.480999999999995</v>
      </c>
      <c r="N8982">
        <v>48.16</v>
      </c>
    </row>
    <row r="8983" spans="1:14" x14ac:dyDescent="0.45">
      <c r="A8983">
        <v>2022</v>
      </c>
      <c r="B8983" t="s">
        <v>97</v>
      </c>
      <c r="C8983">
        <v>0</v>
      </c>
      <c r="D8983">
        <v>0</v>
      </c>
      <c r="E8983">
        <v>1</v>
      </c>
      <c r="F8983">
        <v>1</v>
      </c>
      <c r="G8983">
        <v>0</v>
      </c>
      <c r="H8983">
        <v>0</v>
      </c>
      <c r="I8983">
        <v>0</v>
      </c>
      <c r="J8983">
        <v>8850.1066918811994</v>
      </c>
      <c r="K8983">
        <v>8528.9726626678894</v>
      </c>
      <c r="L8983">
        <v>32.454999999999998</v>
      </c>
      <c r="M8983">
        <v>75.906999999999996</v>
      </c>
      <c r="N8983">
        <v>12.324999999999999</v>
      </c>
    </row>
    <row r="8984" spans="1:14" x14ac:dyDescent="0.45">
      <c r="A8984">
        <v>2022</v>
      </c>
      <c r="B8984" t="s">
        <v>98</v>
      </c>
      <c r="C8984">
        <v>0</v>
      </c>
      <c r="D8984">
        <v>1</v>
      </c>
      <c r="E8984">
        <v>0</v>
      </c>
      <c r="F8984">
        <v>0</v>
      </c>
      <c r="G8984">
        <v>1</v>
      </c>
      <c r="H8984">
        <v>0</v>
      </c>
      <c r="I8984">
        <v>0</v>
      </c>
      <c r="J8984">
        <v>24831.719348049301</v>
      </c>
      <c r="K8984">
        <v>22233.1902211499</v>
      </c>
      <c r="L8984">
        <v>17.957999999999998</v>
      </c>
      <c r="M8984">
        <v>79.316000000000003</v>
      </c>
      <c r="N8984">
        <v>7.7510000000000003</v>
      </c>
    </row>
    <row r="8985" spans="1:14" x14ac:dyDescent="0.45">
      <c r="A8985">
        <v>2022</v>
      </c>
      <c r="B8985" t="s">
        <v>99</v>
      </c>
      <c r="C8985">
        <v>0</v>
      </c>
      <c r="D8985">
        <v>1</v>
      </c>
      <c r="E8985">
        <v>0</v>
      </c>
      <c r="F8985">
        <v>0</v>
      </c>
      <c r="G8985">
        <v>1</v>
      </c>
      <c r="H8985">
        <v>0</v>
      </c>
      <c r="I8985">
        <v>0</v>
      </c>
      <c r="L8985">
        <v>22.599</v>
      </c>
      <c r="M8985">
        <v>77.629000000000005</v>
      </c>
      <c r="N8985">
        <v>6.0410000000000004</v>
      </c>
    </row>
    <row r="8986" spans="1:14" x14ac:dyDescent="0.45">
      <c r="A8986">
        <v>2022</v>
      </c>
      <c r="B8986" t="s">
        <v>100</v>
      </c>
      <c r="C8986">
        <v>0</v>
      </c>
      <c r="D8986">
        <v>1</v>
      </c>
      <c r="E8986">
        <v>0</v>
      </c>
      <c r="F8986">
        <v>0</v>
      </c>
      <c r="G8986">
        <v>0</v>
      </c>
      <c r="H8986">
        <v>1</v>
      </c>
      <c r="I8986">
        <v>1</v>
      </c>
      <c r="J8986">
        <v>27587.2448003627</v>
      </c>
      <c r="K8986">
        <v>22569.467214169399</v>
      </c>
      <c r="L8986">
        <v>10.975</v>
      </c>
      <c r="M8986">
        <v>76.728999999999999</v>
      </c>
      <c r="N8986">
        <v>10.303000000000001</v>
      </c>
    </row>
    <row r="8987" spans="1:14" x14ac:dyDescent="0.45">
      <c r="A8987">
        <v>2022</v>
      </c>
      <c r="B8987" t="s">
        <v>101</v>
      </c>
      <c r="C8987">
        <v>0</v>
      </c>
      <c r="D8987">
        <v>1</v>
      </c>
      <c r="E8987">
        <v>0</v>
      </c>
      <c r="F8987">
        <v>0</v>
      </c>
      <c r="G8987">
        <v>0</v>
      </c>
      <c r="H8987">
        <v>1</v>
      </c>
      <c r="I8987">
        <v>1</v>
      </c>
      <c r="J8987">
        <v>76359.0908832118</v>
      </c>
      <c r="K8987">
        <v>69654.478034457105</v>
      </c>
      <c r="L8987">
        <v>0</v>
      </c>
      <c r="M8987">
        <v>79.983999999999995</v>
      </c>
      <c r="N8987">
        <v>1.7470000000000001</v>
      </c>
    </row>
    <row r="8988" spans="1:14" x14ac:dyDescent="0.45">
      <c r="A8988">
        <v>2022</v>
      </c>
      <c r="B8988" t="s">
        <v>102</v>
      </c>
      <c r="C8988">
        <v>1</v>
      </c>
      <c r="D8988">
        <v>0</v>
      </c>
      <c r="E8988">
        <v>0</v>
      </c>
      <c r="F8988">
        <v>0</v>
      </c>
      <c r="G8988">
        <v>0</v>
      </c>
      <c r="H8988">
        <v>1</v>
      </c>
      <c r="I8988">
        <v>1</v>
      </c>
      <c r="J8988">
        <v>51588.4453125</v>
      </c>
      <c r="K8988">
        <v>45957.161653830299</v>
      </c>
      <c r="L8988">
        <v>33.088999999999999</v>
      </c>
      <c r="M8988">
        <v>80.433999999999997</v>
      </c>
      <c r="N8988">
        <v>5.1280000000000001</v>
      </c>
    </row>
    <row r="8989" spans="1:14" x14ac:dyDescent="0.45">
      <c r="A8989">
        <v>2022</v>
      </c>
      <c r="B8989" t="s">
        <v>103</v>
      </c>
      <c r="C8989">
        <v>1</v>
      </c>
      <c r="D8989">
        <v>0</v>
      </c>
      <c r="E8989">
        <v>0</v>
      </c>
      <c r="F8989">
        <v>0</v>
      </c>
      <c r="G8989">
        <v>0</v>
      </c>
      <c r="H8989">
        <v>1</v>
      </c>
      <c r="I8989">
        <v>1</v>
      </c>
      <c r="J8989">
        <v>48390.661678675002</v>
      </c>
      <c r="K8989">
        <v>40290.187970423001</v>
      </c>
      <c r="L8989">
        <v>25.623000000000001</v>
      </c>
      <c r="M8989">
        <v>79.165000000000006</v>
      </c>
      <c r="N8989">
        <v>2.8980000000000001</v>
      </c>
    </row>
    <row r="8990" spans="1:14" x14ac:dyDescent="0.45">
      <c r="A8990">
        <v>2022</v>
      </c>
      <c r="B8990" t="s">
        <v>104</v>
      </c>
      <c r="C8990">
        <v>1</v>
      </c>
      <c r="D8990">
        <v>0</v>
      </c>
      <c r="E8990">
        <v>0</v>
      </c>
      <c r="F8990">
        <v>0</v>
      </c>
      <c r="G8990">
        <v>0</v>
      </c>
      <c r="H8990">
        <v>1</v>
      </c>
      <c r="I8990">
        <v>1</v>
      </c>
      <c r="J8990">
        <v>62931.968409582601</v>
      </c>
      <c r="K8990">
        <v>54565.297446823199</v>
      </c>
      <c r="L8990">
        <v>22.352</v>
      </c>
      <c r="M8990">
        <v>80.58</v>
      </c>
      <c r="N8990">
        <v>3.911</v>
      </c>
    </row>
    <row r="8991" spans="1:14" x14ac:dyDescent="0.45">
      <c r="A8991">
        <v>2022</v>
      </c>
      <c r="B8991" t="s">
        <v>105</v>
      </c>
      <c r="C8991">
        <v>0</v>
      </c>
      <c r="D8991">
        <v>0</v>
      </c>
      <c r="E8991">
        <v>0</v>
      </c>
      <c r="F8991">
        <v>1</v>
      </c>
      <c r="G8991">
        <v>0</v>
      </c>
      <c r="H8991">
        <v>0</v>
      </c>
      <c r="I8991">
        <v>0</v>
      </c>
      <c r="J8991">
        <v>6180.6799859460598</v>
      </c>
      <c r="K8991">
        <v>5331.1507459060904</v>
      </c>
      <c r="L8991">
        <v>21.62</v>
      </c>
      <c r="M8991">
        <v>65.540000000000006</v>
      </c>
      <c r="N8991">
        <v>51.871000000000002</v>
      </c>
    </row>
    <row r="8992" spans="1:14" x14ac:dyDescent="0.45">
      <c r="A8992">
        <v>2022</v>
      </c>
      <c r="B8992" t="s">
        <v>106</v>
      </c>
      <c r="C8992">
        <v>0</v>
      </c>
      <c r="D8992">
        <v>1</v>
      </c>
      <c r="E8992">
        <v>0</v>
      </c>
      <c r="F8992">
        <v>0</v>
      </c>
      <c r="G8992">
        <v>1</v>
      </c>
      <c r="H8992">
        <v>0</v>
      </c>
      <c r="I8992">
        <v>0</v>
      </c>
      <c r="J8992">
        <v>17550.800994646601</v>
      </c>
      <c r="K8992">
        <v>13658.530554807499</v>
      </c>
      <c r="L8992">
        <v>28.3</v>
      </c>
      <c r="M8992">
        <v>71.081000000000003</v>
      </c>
      <c r="N8992">
        <v>32.046999999999997</v>
      </c>
    </row>
    <row r="8993" spans="1:14" x14ac:dyDescent="0.45">
      <c r="A8993">
        <v>2022</v>
      </c>
      <c r="B8993" t="s">
        <v>107</v>
      </c>
      <c r="C8993">
        <v>1</v>
      </c>
      <c r="D8993">
        <v>0</v>
      </c>
      <c r="E8993">
        <v>0</v>
      </c>
      <c r="F8993">
        <v>0</v>
      </c>
      <c r="G8993">
        <v>0</v>
      </c>
      <c r="H8993">
        <v>1</v>
      </c>
      <c r="I8993">
        <v>1</v>
      </c>
      <c r="J8993">
        <v>70233.640232444304</v>
      </c>
      <c r="K8993">
        <v>59357.756561379603</v>
      </c>
      <c r="L8993">
        <v>11.632999999999999</v>
      </c>
      <c r="M8993">
        <v>81.290999999999997</v>
      </c>
      <c r="N8993">
        <v>3.5819999999999999</v>
      </c>
    </row>
    <row r="8994" spans="1:14" x14ac:dyDescent="0.45">
      <c r="A8994">
        <v>2022</v>
      </c>
      <c r="B8994" t="s">
        <v>108</v>
      </c>
      <c r="C8994">
        <v>0</v>
      </c>
      <c r="D8994">
        <v>1</v>
      </c>
      <c r="E8994">
        <v>0</v>
      </c>
      <c r="F8994">
        <v>0</v>
      </c>
      <c r="G8994">
        <v>1</v>
      </c>
      <c r="H8994">
        <v>0</v>
      </c>
      <c r="I8994">
        <v>0</v>
      </c>
      <c r="J8994">
        <v>22986.958081050001</v>
      </c>
      <c r="K8994">
        <v>19856.7089926398</v>
      </c>
      <c r="L8994">
        <v>16.152000000000001</v>
      </c>
      <c r="M8994">
        <v>74.210999999999999</v>
      </c>
      <c r="N8994">
        <v>32.262</v>
      </c>
    </row>
    <row r="8995" spans="1:14" x14ac:dyDescent="0.45">
      <c r="A8995">
        <v>2022</v>
      </c>
      <c r="B8995" t="s">
        <v>109</v>
      </c>
      <c r="C8995">
        <v>0</v>
      </c>
      <c r="D8995">
        <v>0</v>
      </c>
      <c r="E8995">
        <v>0</v>
      </c>
      <c r="F8995">
        <v>1</v>
      </c>
      <c r="G8995">
        <v>0</v>
      </c>
      <c r="H8995">
        <v>0</v>
      </c>
      <c r="I8995">
        <v>0</v>
      </c>
      <c r="J8995">
        <v>14782.200297024699</v>
      </c>
      <c r="K8995">
        <v>12929.0167897378</v>
      </c>
      <c r="L8995">
        <v>25.228000000000002</v>
      </c>
      <c r="M8995">
        <v>76.129000000000005</v>
      </c>
      <c r="N8995">
        <v>21.731000000000002</v>
      </c>
    </row>
    <row r="8996" spans="1:14" x14ac:dyDescent="0.45">
      <c r="A8996">
        <v>2022</v>
      </c>
      <c r="B8996" t="s">
        <v>110</v>
      </c>
      <c r="C8996">
        <v>0</v>
      </c>
      <c r="D8996">
        <v>1</v>
      </c>
      <c r="E8996">
        <v>0</v>
      </c>
      <c r="F8996">
        <v>0</v>
      </c>
      <c r="G8996">
        <v>1</v>
      </c>
      <c r="H8996">
        <v>0</v>
      </c>
      <c r="I8996">
        <v>0</v>
      </c>
      <c r="J8996">
        <v>14186.638854462501</v>
      </c>
      <c r="K8996">
        <v>11799.705318849199</v>
      </c>
      <c r="L8996">
        <v>35.43</v>
      </c>
      <c r="M8996">
        <v>76.576999999999998</v>
      </c>
      <c r="N8996">
        <v>12.147</v>
      </c>
    </row>
    <row r="8997" spans="1:14" x14ac:dyDescent="0.45">
      <c r="A8997">
        <v>2022</v>
      </c>
      <c r="B8997" t="s">
        <v>111</v>
      </c>
      <c r="C8997">
        <v>0</v>
      </c>
      <c r="D8997">
        <v>0</v>
      </c>
      <c r="E8997">
        <v>0</v>
      </c>
      <c r="F8997">
        <v>1</v>
      </c>
      <c r="G8997">
        <v>0</v>
      </c>
      <c r="H8997">
        <v>0</v>
      </c>
      <c r="I8997">
        <v>0</v>
      </c>
      <c r="J8997">
        <v>16360.3907750364</v>
      </c>
      <c r="K8997">
        <v>12983.330468952699</v>
      </c>
      <c r="L8997">
        <v>57.033000000000001</v>
      </c>
      <c r="M8997">
        <v>71.010000000000005</v>
      </c>
      <c r="N8997">
        <v>18.103999999999999</v>
      </c>
    </row>
    <row r="8998" spans="1:14" x14ac:dyDescent="0.45">
      <c r="A8998">
        <v>2022</v>
      </c>
      <c r="B8998" t="s">
        <v>112</v>
      </c>
      <c r="C8998">
        <v>0</v>
      </c>
      <c r="D8998">
        <v>0</v>
      </c>
      <c r="E8998">
        <v>1</v>
      </c>
      <c r="F8998">
        <v>0</v>
      </c>
      <c r="G8998">
        <v>0</v>
      </c>
      <c r="H8998">
        <v>0</v>
      </c>
      <c r="I8998">
        <v>0</v>
      </c>
      <c r="L8998">
        <v>57.375</v>
      </c>
      <c r="M8998">
        <v>67.789000000000001</v>
      </c>
      <c r="N8998">
        <v>36.552</v>
      </c>
    </row>
    <row r="8999" spans="1:14" x14ac:dyDescent="0.45">
      <c r="A8999">
        <v>2022</v>
      </c>
      <c r="B8999" t="s">
        <v>113</v>
      </c>
      <c r="C8999">
        <v>1</v>
      </c>
      <c r="D8999">
        <v>0</v>
      </c>
      <c r="E8999">
        <v>0</v>
      </c>
      <c r="F8999">
        <v>0</v>
      </c>
      <c r="G8999">
        <v>0</v>
      </c>
      <c r="H8999">
        <v>1</v>
      </c>
      <c r="I8999">
        <v>1</v>
      </c>
      <c r="J8999">
        <v>46649.563536482397</v>
      </c>
      <c r="K8999">
        <v>41052.856609036302</v>
      </c>
      <c r="L8999">
        <v>18.696000000000002</v>
      </c>
      <c r="M8999">
        <v>82.366</v>
      </c>
      <c r="N8999">
        <v>3.8889999999999998</v>
      </c>
    </row>
    <row r="9000" spans="1:14" x14ac:dyDescent="0.45">
      <c r="A9000">
        <v>2022</v>
      </c>
      <c r="B9000" t="s">
        <v>114</v>
      </c>
      <c r="C9000">
        <v>1</v>
      </c>
      <c r="D9000">
        <v>0</v>
      </c>
      <c r="E9000">
        <v>0</v>
      </c>
      <c r="F9000">
        <v>0</v>
      </c>
      <c r="G9000">
        <v>0</v>
      </c>
      <c r="H9000">
        <v>1</v>
      </c>
      <c r="I9000">
        <v>1</v>
      </c>
      <c r="J9000">
        <v>43690.414233134601</v>
      </c>
      <c r="K9000">
        <v>37067.204122640898</v>
      </c>
      <c r="L9000">
        <v>30.390999999999998</v>
      </c>
      <c r="M9000">
        <v>78.167000000000002</v>
      </c>
      <c r="N9000">
        <v>2.48</v>
      </c>
    </row>
    <row r="9001" spans="1:14" x14ac:dyDescent="0.45">
      <c r="A9001">
        <v>2022</v>
      </c>
      <c r="B9001" t="s">
        <v>115</v>
      </c>
      <c r="C9001">
        <v>0</v>
      </c>
      <c r="D9001">
        <v>0</v>
      </c>
      <c r="E9001">
        <v>1</v>
      </c>
      <c r="F9001">
        <v>0</v>
      </c>
      <c r="G9001">
        <v>0</v>
      </c>
      <c r="H9001">
        <v>0</v>
      </c>
      <c r="I9001">
        <v>0</v>
      </c>
      <c r="J9001">
        <v>2655.5927674372901</v>
      </c>
      <c r="K9001">
        <v>2395.05363092268</v>
      </c>
      <c r="L9001">
        <v>77.338999999999999</v>
      </c>
      <c r="M9001">
        <v>66.897000000000006</v>
      </c>
      <c r="N9001">
        <v>46.494</v>
      </c>
    </row>
    <row r="9002" spans="1:14" x14ac:dyDescent="0.45">
      <c r="A9002">
        <v>2022</v>
      </c>
      <c r="B9002" t="s">
        <v>116</v>
      </c>
      <c r="C9002">
        <v>1</v>
      </c>
      <c r="D9002">
        <v>0</v>
      </c>
      <c r="E9002">
        <v>0</v>
      </c>
      <c r="F9002">
        <v>0</v>
      </c>
      <c r="G9002">
        <v>0</v>
      </c>
      <c r="H9002">
        <v>1</v>
      </c>
      <c r="I9002">
        <v>1</v>
      </c>
      <c r="J9002">
        <v>57068.3056478074</v>
      </c>
      <c r="K9002">
        <v>47976.343659978498</v>
      </c>
      <c r="L9002">
        <v>14.319000000000001</v>
      </c>
      <c r="M9002">
        <v>81.242999999999995</v>
      </c>
      <c r="N9002">
        <v>2.9470000000000001</v>
      </c>
    </row>
    <row r="9003" spans="1:14" x14ac:dyDescent="0.45">
      <c r="A9003">
        <v>2022</v>
      </c>
      <c r="B9003" t="s">
        <v>117</v>
      </c>
      <c r="C9003">
        <v>0</v>
      </c>
      <c r="D9003">
        <v>0</v>
      </c>
      <c r="E9003">
        <v>0</v>
      </c>
      <c r="F9003">
        <v>0</v>
      </c>
      <c r="G9003">
        <v>1</v>
      </c>
      <c r="H9003">
        <v>0</v>
      </c>
      <c r="I9003">
        <v>0</v>
      </c>
      <c r="J9003">
        <v>12762.3466367363</v>
      </c>
      <c r="K9003">
        <v>12498.2004919389</v>
      </c>
      <c r="L9003">
        <v>41.771000000000001</v>
      </c>
      <c r="M9003">
        <v>67.147999999999996</v>
      </c>
      <c r="N9003">
        <v>27.939</v>
      </c>
    </row>
    <row r="9004" spans="1:14" x14ac:dyDescent="0.45">
      <c r="A9004">
        <v>2022</v>
      </c>
      <c r="B9004" t="s">
        <v>118</v>
      </c>
      <c r="C9004">
        <v>1</v>
      </c>
      <c r="D9004">
        <v>0</v>
      </c>
      <c r="E9004">
        <v>0</v>
      </c>
      <c r="F9004">
        <v>0</v>
      </c>
      <c r="G9004">
        <v>0</v>
      </c>
      <c r="H9004">
        <v>1</v>
      </c>
      <c r="I9004">
        <v>1</v>
      </c>
      <c r="J9004">
        <v>53691.617487076801</v>
      </c>
      <c r="K9004">
        <v>44827.066355114999</v>
      </c>
      <c r="L9004">
        <v>18.491</v>
      </c>
      <c r="M9004">
        <v>82.474999999999994</v>
      </c>
      <c r="N9004">
        <v>4.4710000000000001</v>
      </c>
    </row>
    <row r="9005" spans="1:14" x14ac:dyDescent="0.45">
      <c r="A9005">
        <v>2022</v>
      </c>
      <c r="B9005" t="s">
        <v>119</v>
      </c>
      <c r="C9005">
        <v>1</v>
      </c>
      <c r="D9005">
        <v>0</v>
      </c>
      <c r="E9005">
        <v>0</v>
      </c>
      <c r="F9005">
        <v>0</v>
      </c>
      <c r="G9005">
        <v>0</v>
      </c>
      <c r="H9005">
        <v>1</v>
      </c>
      <c r="I9005">
        <v>1</v>
      </c>
      <c r="J9005">
        <v>69370.9545797436</v>
      </c>
      <c r="K9005">
        <v>60606.722013490798</v>
      </c>
      <c r="L9005">
        <v>57.220999999999997</v>
      </c>
      <c r="M9005">
        <v>79.263999999999996</v>
      </c>
      <c r="N9005">
        <v>7.9139999999999997</v>
      </c>
    </row>
    <row r="9006" spans="1:14" x14ac:dyDescent="0.45">
      <c r="A9006">
        <v>2022</v>
      </c>
      <c r="B9006" t="s">
        <v>120</v>
      </c>
      <c r="C9006">
        <v>0</v>
      </c>
      <c r="D9006">
        <v>0</v>
      </c>
      <c r="E9006">
        <v>0</v>
      </c>
      <c r="F9006">
        <v>1</v>
      </c>
      <c r="G9006">
        <v>0</v>
      </c>
      <c r="H9006">
        <v>0</v>
      </c>
      <c r="I9006">
        <v>0</v>
      </c>
      <c r="J9006">
        <v>3813.3383083110598</v>
      </c>
      <c r="K9006">
        <v>3451.5973739741898</v>
      </c>
      <c r="L9006">
        <v>76.783000000000001</v>
      </c>
      <c r="M9006">
        <v>66.960999999999999</v>
      </c>
      <c r="N9006">
        <v>23.579000000000001</v>
      </c>
    </row>
    <row r="9007" spans="1:14" x14ac:dyDescent="0.45">
      <c r="A9007">
        <v>2022</v>
      </c>
      <c r="B9007" t="s">
        <v>121</v>
      </c>
      <c r="C9007">
        <v>0</v>
      </c>
      <c r="D9007">
        <v>0</v>
      </c>
      <c r="E9007">
        <v>1</v>
      </c>
      <c r="F9007">
        <v>0</v>
      </c>
      <c r="G9007">
        <v>1</v>
      </c>
      <c r="H9007">
        <v>0</v>
      </c>
      <c r="I9007">
        <v>0</v>
      </c>
      <c r="J9007">
        <v>18662.049797047199</v>
      </c>
      <c r="K9007">
        <v>14120.451828126101</v>
      </c>
      <c r="L9007">
        <v>9.2650000000000006</v>
      </c>
      <c r="M9007">
        <v>67.712999999999994</v>
      </c>
      <c r="N9007">
        <v>38.584000000000003</v>
      </c>
    </row>
    <row r="9008" spans="1:14" x14ac:dyDescent="0.45">
      <c r="A9008">
        <v>2022</v>
      </c>
      <c r="B9008" t="s">
        <v>122</v>
      </c>
      <c r="C9008">
        <v>1</v>
      </c>
      <c r="D9008">
        <v>0</v>
      </c>
      <c r="E9008">
        <v>0</v>
      </c>
      <c r="F9008">
        <v>0</v>
      </c>
      <c r="G9008">
        <v>0</v>
      </c>
      <c r="H9008">
        <v>1</v>
      </c>
      <c r="I9008">
        <v>1</v>
      </c>
      <c r="J9008">
        <v>52982.174924034101</v>
      </c>
      <c r="K9008">
        <v>45645.741473328701</v>
      </c>
      <c r="L9008">
        <v>15.602</v>
      </c>
      <c r="M9008">
        <v>81.073999999999998</v>
      </c>
      <c r="N9008">
        <v>4.5110000000000001</v>
      </c>
    </row>
    <row r="9009" spans="1:14" x14ac:dyDescent="0.45">
      <c r="A9009">
        <v>2022</v>
      </c>
      <c r="B9009" t="s">
        <v>123</v>
      </c>
      <c r="C9009">
        <v>1</v>
      </c>
      <c r="D9009">
        <v>0</v>
      </c>
      <c r="E9009">
        <v>0</v>
      </c>
      <c r="F9009">
        <v>0</v>
      </c>
      <c r="G9009">
        <v>1</v>
      </c>
      <c r="H9009">
        <v>0</v>
      </c>
      <c r="I9009">
        <v>0</v>
      </c>
      <c r="J9009">
        <v>20966.5280391134</v>
      </c>
      <c r="K9009">
        <v>17714.3192950058</v>
      </c>
      <c r="L9009">
        <v>39.703000000000003</v>
      </c>
      <c r="M9009">
        <v>74.141000000000005</v>
      </c>
      <c r="N9009">
        <v>9.34</v>
      </c>
    </row>
    <row r="9010" spans="1:14" x14ac:dyDescent="0.45">
      <c r="A9010">
        <v>2022</v>
      </c>
      <c r="B9010" t="s">
        <v>124</v>
      </c>
      <c r="C9010">
        <v>0</v>
      </c>
      <c r="D9010">
        <v>0</v>
      </c>
      <c r="E9010">
        <v>1</v>
      </c>
      <c r="F9010">
        <v>1</v>
      </c>
      <c r="G9010">
        <v>0</v>
      </c>
      <c r="H9010">
        <v>0</v>
      </c>
      <c r="I9010">
        <v>0</v>
      </c>
      <c r="J9010">
        <v>6728.4541401228598</v>
      </c>
      <c r="K9010">
        <v>5804.9248700444195</v>
      </c>
      <c r="L9010">
        <v>41.384999999999998</v>
      </c>
      <c r="M9010">
        <v>65.245999999999995</v>
      </c>
      <c r="N9010">
        <v>42.414000000000001</v>
      </c>
    </row>
    <row r="9011" spans="1:14" x14ac:dyDescent="0.45">
      <c r="A9011">
        <v>2022</v>
      </c>
      <c r="B9011" t="s">
        <v>125</v>
      </c>
      <c r="C9011">
        <v>1</v>
      </c>
      <c r="D9011">
        <v>0</v>
      </c>
      <c r="E9011">
        <v>0</v>
      </c>
      <c r="F9011">
        <v>0</v>
      </c>
      <c r="G9011">
        <v>0</v>
      </c>
      <c r="H9011">
        <v>1</v>
      </c>
      <c r="I9011">
        <v>1</v>
      </c>
      <c r="L9011">
        <v>0</v>
      </c>
      <c r="M9011">
        <v>83.516999999999996</v>
      </c>
      <c r="N9011">
        <v>10.553000000000001</v>
      </c>
    </row>
    <row r="9012" spans="1:14" x14ac:dyDescent="0.45">
      <c r="A9012">
        <v>2022</v>
      </c>
      <c r="B9012" t="s">
        <v>126</v>
      </c>
      <c r="C9012">
        <v>0</v>
      </c>
      <c r="D9012">
        <v>0</v>
      </c>
      <c r="E9012">
        <v>1</v>
      </c>
      <c r="F9012">
        <v>1</v>
      </c>
      <c r="G9012">
        <v>0</v>
      </c>
      <c r="H9012">
        <v>0</v>
      </c>
      <c r="I9012">
        <v>0</v>
      </c>
      <c r="J9012">
        <v>3792.01068836277</v>
      </c>
      <c r="K9012">
        <v>3057.3685745484199</v>
      </c>
      <c r="L9012">
        <v>62.332000000000001</v>
      </c>
      <c r="M9012">
        <v>60.432000000000002</v>
      </c>
      <c r="N9012">
        <v>95.430999999999997</v>
      </c>
    </row>
    <row r="9013" spans="1:14" x14ac:dyDescent="0.45">
      <c r="A9013">
        <v>2022</v>
      </c>
      <c r="B9013" t="s">
        <v>127</v>
      </c>
      <c r="C9013">
        <v>0</v>
      </c>
      <c r="D9013">
        <v>0</v>
      </c>
      <c r="E9013">
        <v>1</v>
      </c>
      <c r="F9013">
        <v>0</v>
      </c>
      <c r="G9013">
        <v>0</v>
      </c>
      <c r="H9013">
        <v>0</v>
      </c>
      <c r="I9013">
        <v>0</v>
      </c>
      <c r="J9013">
        <v>2863.1804989768002</v>
      </c>
      <c r="K9013">
        <v>2304.5652944680601</v>
      </c>
      <c r="L9013">
        <v>36.148000000000003</v>
      </c>
      <c r="M9013">
        <v>64.858999999999995</v>
      </c>
      <c r="N9013">
        <v>45.680999999999997</v>
      </c>
    </row>
    <row r="9014" spans="1:14" x14ac:dyDescent="0.45">
      <c r="A9014">
        <v>2022</v>
      </c>
      <c r="B9014" t="s">
        <v>128</v>
      </c>
      <c r="C9014">
        <v>0</v>
      </c>
      <c r="D9014">
        <v>0</v>
      </c>
      <c r="E9014">
        <v>1</v>
      </c>
      <c r="F9014">
        <v>0</v>
      </c>
      <c r="G9014">
        <v>0</v>
      </c>
      <c r="H9014">
        <v>0</v>
      </c>
      <c r="I9014">
        <v>0</v>
      </c>
      <c r="J9014">
        <v>2564.4240723407102</v>
      </c>
      <c r="K9014">
        <v>2306.9519172916098</v>
      </c>
      <c r="L9014">
        <v>54.959000000000003</v>
      </c>
      <c r="M9014">
        <v>63.604999999999997</v>
      </c>
      <c r="N9014">
        <v>71.831999999999994</v>
      </c>
    </row>
    <row r="9015" spans="1:14" x14ac:dyDescent="0.45">
      <c r="A9015">
        <v>2022</v>
      </c>
      <c r="B9015" t="s">
        <v>129</v>
      </c>
      <c r="C9015">
        <v>0</v>
      </c>
      <c r="D9015">
        <v>0</v>
      </c>
      <c r="E9015">
        <v>1</v>
      </c>
      <c r="F9015">
        <v>0</v>
      </c>
      <c r="G9015">
        <v>1</v>
      </c>
      <c r="H9015">
        <v>0</v>
      </c>
      <c r="I9015">
        <v>0</v>
      </c>
      <c r="J9015">
        <v>16932.770682715502</v>
      </c>
      <c r="K9015">
        <v>14029.0165473446</v>
      </c>
      <c r="L9015">
        <v>25.99</v>
      </c>
      <c r="M9015">
        <v>63.354999999999997</v>
      </c>
      <c r="N9015">
        <v>73.207999999999998</v>
      </c>
    </row>
    <row r="9016" spans="1:14" x14ac:dyDescent="0.45">
      <c r="A9016">
        <v>2022</v>
      </c>
      <c r="B9016" t="s">
        <v>130</v>
      </c>
      <c r="C9016">
        <v>1</v>
      </c>
      <c r="D9016">
        <v>0</v>
      </c>
      <c r="E9016">
        <v>0</v>
      </c>
      <c r="F9016">
        <v>0</v>
      </c>
      <c r="G9016">
        <v>0</v>
      </c>
      <c r="H9016">
        <v>1</v>
      </c>
      <c r="I9016">
        <v>1</v>
      </c>
      <c r="J9016">
        <v>35906.612768302897</v>
      </c>
      <c r="K9016">
        <v>32143.3883395745</v>
      </c>
      <c r="L9016">
        <v>19.643000000000001</v>
      </c>
      <c r="M9016">
        <v>79.944000000000003</v>
      </c>
      <c r="N9016">
        <v>5.2039999999999997</v>
      </c>
    </row>
    <row r="9017" spans="1:14" x14ac:dyDescent="0.45">
      <c r="A9017">
        <v>2022</v>
      </c>
      <c r="B9017" t="s">
        <v>131</v>
      </c>
      <c r="C9017">
        <v>0</v>
      </c>
      <c r="D9017">
        <v>1</v>
      </c>
      <c r="E9017">
        <v>0</v>
      </c>
      <c r="F9017">
        <v>0</v>
      </c>
      <c r="G9017">
        <v>1</v>
      </c>
      <c r="H9017">
        <v>0</v>
      </c>
      <c r="I9017">
        <v>0</v>
      </c>
      <c r="J9017">
        <v>16386.462338159999</v>
      </c>
      <c r="K9017">
        <v>15119.8719153782</v>
      </c>
      <c r="L9017">
        <v>63.131999999999998</v>
      </c>
      <c r="M9017">
        <v>75.150999999999996</v>
      </c>
      <c r="N9017">
        <v>15.997</v>
      </c>
    </row>
    <row r="9018" spans="1:14" x14ac:dyDescent="0.45">
      <c r="A9018">
        <v>2022</v>
      </c>
      <c r="B9018" t="s">
        <v>132</v>
      </c>
      <c r="C9018">
        <v>1</v>
      </c>
      <c r="D9018">
        <v>0</v>
      </c>
      <c r="E9018">
        <v>0</v>
      </c>
      <c r="F9018">
        <v>0</v>
      </c>
      <c r="G9018">
        <v>0</v>
      </c>
      <c r="H9018">
        <v>1</v>
      </c>
      <c r="I9018">
        <v>1</v>
      </c>
      <c r="J9018">
        <v>70681.225390215797</v>
      </c>
      <c r="K9018">
        <v>63978.395451931603</v>
      </c>
      <c r="L9018">
        <v>12.273</v>
      </c>
      <c r="M9018">
        <v>70.052000000000007</v>
      </c>
      <c r="N9018">
        <v>11.569000000000001</v>
      </c>
    </row>
    <row r="9019" spans="1:14" x14ac:dyDescent="0.45">
      <c r="A9019">
        <v>2022</v>
      </c>
      <c r="B9019" t="s">
        <v>133</v>
      </c>
      <c r="C9019">
        <v>0</v>
      </c>
      <c r="D9019">
        <v>1</v>
      </c>
      <c r="E9019">
        <v>0</v>
      </c>
      <c r="F9019">
        <v>0</v>
      </c>
      <c r="G9019">
        <v>1</v>
      </c>
      <c r="H9019">
        <v>0</v>
      </c>
      <c r="I9019">
        <v>0</v>
      </c>
      <c r="J9019">
        <v>12147.9305951198</v>
      </c>
      <c r="K9019">
        <v>10552.611624049599</v>
      </c>
      <c r="L9019">
        <v>47.334000000000003</v>
      </c>
      <c r="M9019">
        <v>71.206000000000003</v>
      </c>
      <c r="N9019">
        <v>22.158000000000001</v>
      </c>
    </row>
    <row r="9020" spans="1:14" x14ac:dyDescent="0.45">
      <c r="A9020">
        <v>2022</v>
      </c>
      <c r="B9020" t="s">
        <v>134</v>
      </c>
      <c r="C9020">
        <v>0</v>
      </c>
      <c r="D9020">
        <v>0</v>
      </c>
      <c r="E9020">
        <v>0</v>
      </c>
      <c r="F9020">
        <v>0</v>
      </c>
      <c r="G9020">
        <v>0</v>
      </c>
      <c r="H9020">
        <v>1</v>
      </c>
      <c r="I9020">
        <v>1</v>
      </c>
      <c r="L9020">
        <v>4.9090000000000096</v>
      </c>
      <c r="M9020">
        <v>77.102000000000004</v>
      </c>
      <c r="N9020">
        <v>13.228</v>
      </c>
    </row>
    <row r="9021" spans="1:14" x14ac:dyDescent="0.45">
      <c r="A9021">
        <v>2022</v>
      </c>
      <c r="B9021" t="s">
        <v>135</v>
      </c>
      <c r="C9021">
        <v>0</v>
      </c>
      <c r="D9021">
        <v>1</v>
      </c>
      <c r="E9021">
        <v>0</v>
      </c>
      <c r="F9021">
        <v>0</v>
      </c>
      <c r="G9021">
        <v>0</v>
      </c>
      <c r="H9021">
        <v>1</v>
      </c>
      <c r="I9021">
        <v>1</v>
      </c>
      <c r="J9021">
        <v>37068.199382758801</v>
      </c>
      <c r="K9021">
        <v>35451.252584340102</v>
      </c>
      <c r="L9021">
        <v>72.977999999999994</v>
      </c>
      <c r="M9021">
        <v>69.888000000000005</v>
      </c>
      <c r="N9021">
        <v>26.524999999999999</v>
      </c>
    </row>
    <row r="9022" spans="1:14" x14ac:dyDescent="0.45">
      <c r="A9022">
        <v>2022</v>
      </c>
      <c r="B9022" t="s">
        <v>136</v>
      </c>
      <c r="C9022">
        <v>0</v>
      </c>
      <c r="D9022">
        <v>0</v>
      </c>
      <c r="E9022">
        <v>0</v>
      </c>
      <c r="F9022">
        <v>0</v>
      </c>
      <c r="G9022">
        <v>0</v>
      </c>
      <c r="H9022">
        <v>1</v>
      </c>
      <c r="I9022">
        <v>1</v>
      </c>
      <c r="J9022">
        <v>64036.667174936098</v>
      </c>
      <c r="K9022">
        <v>57793.3129166238</v>
      </c>
      <c r="L9022">
        <v>0</v>
      </c>
      <c r="M9022">
        <v>83.484999999999999</v>
      </c>
      <c r="N9022">
        <v>1.865</v>
      </c>
    </row>
    <row r="9023" spans="1:14" x14ac:dyDescent="0.45">
      <c r="A9023">
        <v>2022</v>
      </c>
      <c r="B9023" t="s">
        <v>137</v>
      </c>
      <c r="C9023">
        <v>0</v>
      </c>
      <c r="D9023">
        <v>1</v>
      </c>
      <c r="E9023">
        <v>0</v>
      </c>
      <c r="F9023">
        <v>1</v>
      </c>
      <c r="G9023">
        <v>0</v>
      </c>
      <c r="H9023">
        <v>0</v>
      </c>
      <c r="I9023">
        <v>0</v>
      </c>
      <c r="J9023">
        <v>6352.5871017773197</v>
      </c>
      <c r="K9023">
        <v>5853.7694631555796</v>
      </c>
      <c r="L9023">
        <v>40.4</v>
      </c>
      <c r="M9023">
        <v>72.715000000000003</v>
      </c>
      <c r="N9023">
        <v>15.994</v>
      </c>
    </row>
    <row r="9024" spans="1:14" x14ac:dyDescent="0.45">
      <c r="A9024">
        <v>2022</v>
      </c>
      <c r="B9024" t="s">
        <v>138</v>
      </c>
      <c r="C9024">
        <v>1</v>
      </c>
      <c r="D9024">
        <v>0</v>
      </c>
      <c r="E9024">
        <v>0</v>
      </c>
      <c r="F9024">
        <v>0</v>
      </c>
      <c r="G9024">
        <v>0</v>
      </c>
      <c r="H9024">
        <v>1</v>
      </c>
      <c r="I9024">
        <v>1</v>
      </c>
      <c r="J9024">
        <v>39861.789460451801</v>
      </c>
      <c r="K9024">
        <v>34377.171579351801</v>
      </c>
      <c r="L9024">
        <v>41.780999999999999</v>
      </c>
      <c r="M9024">
        <v>78.278000000000006</v>
      </c>
      <c r="N9024">
        <v>4.7140000000000004</v>
      </c>
    </row>
    <row r="9025" spans="1:14" x14ac:dyDescent="0.45">
      <c r="A9025">
        <v>2022</v>
      </c>
      <c r="B9025" t="s">
        <v>139</v>
      </c>
      <c r="C9025">
        <v>0</v>
      </c>
      <c r="D9025">
        <v>1</v>
      </c>
      <c r="E9025">
        <v>0</v>
      </c>
      <c r="F9025">
        <v>1</v>
      </c>
      <c r="G9025">
        <v>0</v>
      </c>
      <c r="H9025">
        <v>0</v>
      </c>
      <c r="I9025">
        <v>0</v>
      </c>
      <c r="J9025">
        <v>3047.6517929945198</v>
      </c>
      <c r="K9025">
        <v>2929.2680749528199</v>
      </c>
      <c r="L9025">
        <v>41.18</v>
      </c>
      <c r="M9025">
        <v>63.948</v>
      </c>
      <c r="N9025">
        <v>57.293999999999997</v>
      </c>
    </row>
    <row r="9026" spans="1:14" x14ac:dyDescent="0.45">
      <c r="A9026">
        <v>2022</v>
      </c>
      <c r="B9026" t="s">
        <v>140</v>
      </c>
      <c r="C9026">
        <v>1</v>
      </c>
      <c r="D9026">
        <v>0</v>
      </c>
      <c r="E9026">
        <v>0</v>
      </c>
      <c r="F9026">
        <v>0</v>
      </c>
      <c r="G9026">
        <v>0</v>
      </c>
      <c r="H9026">
        <v>1</v>
      </c>
      <c r="I9026">
        <v>1</v>
      </c>
      <c r="J9026">
        <v>40656.9686775714</v>
      </c>
      <c r="K9026">
        <v>35429.193185363598</v>
      </c>
      <c r="L9026">
        <v>27.448</v>
      </c>
      <c r="M9026">
        <v>76.212000000000003</v>
      </c>
      <c r="N9026">
        <v>4.1779999999999999</v>
      </c>
    </row>
    <row r="9027" spans="1:14" x14ac:dyDescent="0.45">
      <c r="A9027">
        <v>2022</v>
      </c>
      <c r="B9027" t="s">
        <v>141</v>
      </c>
      <c r="C9027">
        <v>0</v>
      </c>
      <c r="D9027">
        <v>0</v>
      </c>
      <c r="E9027">
        <v>0</v>
      </c>
      <c r="F9027">
        <v>0</v>
      </c>
      <c r="G9027">
        <v>1</v>
      </c>
      <c r="H9027">
        <v>0</v>
      </c>
      <c r="I9027">
        <v>0</v>
      </c>
      <c r="J9027">
        <v>13334.265394763701</v>
      </c>
      <c r="K9027">
        <v>12105.411320805</v>
      </c>
      <c r="L9027">
        <v>42.066000000000003</v>
      </c>
      <c r="M9027">
        <v>70.924999999999997</v>
      </c>
      <c r="N9027">
        <v>21.29</v>
      </c>
    </row>
    <row r="9028" spans="1:14" x14ac:dyDescent="0.45">
      <c r="A9028">
        <v>2022</v>
      </c>
      <c r="B9028" t="s">
        <v>142</v>
      </c>
      <c r="C9028">
        <v>1</v>
      </c>
      <c r="D9028">
        <v>0</v>
      </c>
      <c r="E9028">
        <v>0</v>
      </c>
      <c r="F9028">
        <v>0</v>
      </c>
      <c r="G9028">
        <v>0</v>
      </c>
      <c r="H9028">
        <v>1</v>
      </c>
      <c r="I9028">
        <v>1</v>
      </c>
      <c r="L9028">
        <v>46.728999999999999</v>
      </c>
      <c r="M9028">
        <v>80.956000000000003</v>
      </c>
      <c r="N9028">
        <v>13.568</v>
      </c>
    </row>
    <row r="9029" spans="1:14" x14ac:dyDescent="0.45">
      <c r="A9029">
        <v>2022</v>
      </c>
      <c r="B9029" t="s">
        <v>143</v>
      </c>
      <c r="C9029">
        <v>0</v>
      </c>
      <c r="D9029">
        <v>0</v>
      </c>
      <c r="E9029">
        <v>0</v>
      </c>
      <c r="F9029">
        <v>1</v>
      </c>
      <c r="G9029">
        <v>0</v>
      </c>
      <c r="H9029">
        <v>0</v>
      </c>
      <c r="I9029">
        <v>0</v>
      </c>
      <c r="J9029">
        <v>8594.3919049987908</v>
      </c>
      <c r="K9029">
        <v>7207.9905573162196</v>
      </c>
      <c r="L9029">
        <v>64.128</v>
      </c>
      <c r="M9029">
        <v>71.697999999999993</v>
      </c>
      <c r="N9029">
        <v>29.196999999999999</v>
      </c>
    </row>
    <row r="9030" spans="1:14" x14ac:dyDescent="0.45">
      <c r="A9030">
        <v>2022</v>
      </c>
      <c r="B9030" t="s">
        <v>144</v>
      </c>
      <c r="C9030">
        <v>1</v>
      </c>
      <c r="D9030">
        <v>0</v>
      </c>
      <c r="E9030">
        <v>0</v>
      </c>
      <c r="F9030">
        <v>0</v>
      </c>
      <c r="G9030">
        <v>0</v>
      </c>
      <c r="H9030">
        <v>1</v>
      </c>
      <c r="I9030">
        <v>1</v>
      </c>
      <c r="J9030">
        <v>124489.37846648799</v>
      </c>
      <c r="K9030">
        <v>114461.488595093</v>
      </c>
      <c r="L9030">
        <v>35.817</v>
      </c>
      <c r="M9030">
        <v>82.05</v>
      </c>
      <c r="N9030">
        <v>3.3719999999999999</v>
      </c>
    </row>
    <row r="9031" spans="1:14" x14ac:dyDescent="0.45">
      <c r="A9031">
        <v>2022</v>
      </c>
      <c r="B9031" t="s">
        <v>145</v>
      </c>
      <c r="C9031">
        <v>0</v>
      </c>
      <c r="D9031">
        <v>0</v>
      </c>
      <c r="E9031">
        <v>0</v>
      </c>
      <c r="F9031">
        <v>1</v>
      </c>
      <c r="G9031">
        <v>0</v>
      </c>
      <c r="H9031">
        <v>0</v>
      </c>
      <c r="I9031">
        <v>0</v>
      </c>
      <c r="J9031">
        <v>15331.332940041901</v>
      </c>
      <c r="K9031">
        <v>15292.922920999101</v>
      </c>
      <c r="L9031">
        <v>23.193000000000001</v>
      </c>
      <c r="M9031">
        <v>76.799000000000007</v>
      </c>
      <c r="N9031">
        <v>12.252000000000001</v>
      </c>
    </row>
    <row r="9032" spans="1:14" x14ac:dyDescent="0.45">
      <c r="A9032">
        <v>2022</v>
      </c>
      <c r="B9032" t="s">
        <v>146</v>
      </c>
      <c r="C9032">
        <v>0</v>
      </c>
      <c r="D9032">
        <v>0</v>
      </c>
      <c r="E9032">
        <v>0</v>
      </c>
      <c r="F9032">
        <v>0</v>
      </c>
      <c r="G9032">
        <v>1</v>
      </c>
      <c r="H9032">
        <v>0</v>
      </c>
      <c r="I9032">
        <v>0</v>
      </c>
      <c r="J9032">
        <v>13433.397716698701</v>
      </c>
      <c r="K9032">
        <v>9495.9179503431005</v>
      </c>
      <c r="L9032">
        <v>28.646000000000001</v>
      </c>
      <c r="M9032">
        <v>72.037000000000006</v>
      </c>
      <c r="N9032">
        <v>23.696999999999999</v>
      </c>
    </row>
    <row r="9033" spans="1:14" x14ac:dyDescent="0.45">
      <c r="A9033">
        <v>2022</v>
      </c>
      <c r="B9033" t="s">
        <v>147</v>
      </c>
      <c r="C9033">
        <v>1</v>
      </c>
      <c r="D9033">
        <v>0</v>
      </c>
      <c r="E9033">
        <v>0</v>
      </c>
      <c r="F9033">
        <v>0</v>
      </c>
      <c r="G9033">
        <v>0</v>
      </c>
      <c r="H9033">
        <v>1</v>
      </c>
      <c r="I9033">
        <v>1</v>
      </c>
      <c r="J9033">
        <v>65475.411291883996</v>
      </c>
      <c r="K9033">
        <v>56655.145683682698</v>
      </c>
      <c r="L9033">
        <v>6.008</v>
      </c>
      <c r="M9033">
        <v>81.587999999999994</v>
      </c>
      <c r="N9033">
        <v>1.6180000000000001</v>
      </c>
    </row>
    <row r="9034" spans="1:14" x14ac:dyDescent="0.45">
      <c r="A9034">
        <v>2022</v>
      </c>
      <c r="B9034" t="s">
        <v>148</v>
      </c>
      <c r="C9034">
        <v>0</v>
      </c>
      <c r="D9034">
        <v>0</v>
      </c>
      <c r="E9034">
        <v>0</v>
      </c>
      <c r="F9034">
        <v>0</v>
      </c>
      <c r="G9034">
        <v>0</v>
      </c>
      <c r="H9034">
        <v>1</v>
      </c>
      <c r="I9034">
        <v>1</v>
      </c>
      <c r="J9034">
        <v>48098.187235578996</v>
      </c>
      <c r="K9034">
        <v>44119.369288605798</v>
      </c>
      <c r="L9034">
        <v>7.2369999999999903</v>
      </c>
      <c r="M9034">
        <v>82.813999999999993</v>
      </c>
      <c r="N9034">
        <v>3.3969999999999998</v>
      </c>
    </row>
    <row r="9035" spans="1:14" x14ac:dyDescent="0.45">
      <c r="A9035">
        <v>2022</v>
      </c>
      <c r="B9035" t="s">
        <v>149</v>
      </c>
      <c r="C9035">
        <v>1</v>
      </c>
      <c r="D9035">
        <v>0</v>
      </c>
      <c r="E9035">
        <v>0</v>
      </c>
      <c r="F9035">
        <v>0</v>
      </c>
      <c r="G9035">
        <v>0</v>
      </c>
      <c r="H9035">
        <v>1</v>
      </c>
      <c r="I9035">
        <v>1</v>
      </c>
      <c r="J9035">
        <v>52333.327427060402</v>
      </c>
      <c r="K9035">
        <v>44575.807375807002</v>
      </c>
      <c r="L9035">
        <v>28.343</v>
      </c>
      <c r="M9035">
        <v>82.052000000000007</v>
      </c>
      <c r="N9035">
        <v>3.7450000000000001</v>
      </c>
    </row>
    <row r="9036" spans="1:14" x14ac:dyDescent="0.45">
      <c r="A9036">
        <v>2022</v>
      </c>
      <c r="B9036" t="s">
        <v>150</v>
      </c>
      <c r="C9036">
        <v>0</v>
      </c>
      <c r="D9036">
        <v>1</v>
      </c>
      <c r="E9036">
        <v>0</v>
      </c>
      <c r="F9036">
        <v>0</v>
      </c>
      <c r="G9036">
        <v>1</v>
      </c>
      <c r="H9036">
        <v>0</v>
      </c>
      <c r="I9036">
        <v>0</v>
      </c>
      <c r="J9036">
        <v>10072.0485293402</v>
      </c>
      <c r="K9036">
        <v>9926.3075737474392</v>
      </c>
      <c r="L9036">
        <v>42.991999999999997</v>
      </c>
      <c r="M9036">
        <v>71.480999999999995</v>
      </c>
      <c r="N9036">
        <v>19.381</v>
      </c>
    </row>
    <row r="9037" spans="1:14" x14ac:dyDescent="0.45">
      <c r="A9037">
        <v>2022</v>
      </c>
      <c r="B9037" t="s">
        <v>151</v>
      </c>
      <c r="C9037">
        <v>0</v>
      </c>
      <c r="D9037">
        <v>0</v>
      </c>
      <c r="E9037">
        <v>0</v>
      </c>
      <c r="F9037">
        <v>1</v>
      </c>
      <c r="G9037">
        <v>0</v>
      </c>
      <c r="H9037">
        <v>0</v>
      </c>
      <c r="I9037">
        <v>0</v>
      </c>
      <c r="J9037">
        <v>9266.5753825133706</v>
      </c>
      <c r="K9037">
        <v>9192.8624731257405</v>
      </c>
      <c r="L9037">
        <v>8.173</v>
      </c>
      <c r="M9037">
        <v>77.087999999999994</v>
      </c>
      <c r="N9037">
        <v>14.159000000000001</v>
      </c>
    </row>
    <row r="9038" spans="1:14" x14ac:dyDescent="0.45">
      <c r="A9038">
        <v>2022</v>
      </c>
      <c r="B9038" t="s">
        <v>152</v>
      </c>
      <c r="C9038">
        <v>0</v>
      </c>
      <c r="D9038">
        <v>0</v>
      </c>
      <c r="E9038">
        <v>0</v>
      </c>
      <c r="F9038">
        <v>0</v>
      </c>
      <c r="G9038">
        <v>0</v>
      </c>
      <c r="H9038">
        <v>1</v>
      </c>
      <c r="I9038">
        <v>1</v>
      </c>
      <c r="J9038">
        <v>44972.343836220098</v>
      </c>
      <c r="K9038">
        <v>41659.335752937899</v>
      </c>
      <c r="L9038">
        <v>8.0449999999999999</v>
      </c>
      <c r="M9038">
        <v>84.054000000000002</v>
      </c>
      <c r="N9038">
        <v>2.298</v>
      </c>
    </row>
    <row r="9039" spans="1:14" x14ac:dyDescent="0.45">
      <c r="A9039">
        <v>2022</v>
      </c>
      <c r="B9039" t="s">
        <v>153</v>
      </c>
      <c r="C9039">
        <v>1</v>
      </c>
      <c r="D9039">
        <v>0</v>
      </c>
      <c r="E9039">
        <v>0</v>
      </c>
      <c r="F9039">
        <v>0</v>
      </c>
      <c r="G9039">
        <v>1</v>
      </c>
      <c r="H9039">
        <v>0</v>
      </c>
      <c r="I9039">
        <v>0</v>
      </c>
      <c r="J9039">
        <v>33506.261489323697</v>
      </c>
      <c r="K9039">
        <v>25480.151904939001</v>
      </c>
      <c r="L9039">
        <v>42.01</v>
      </c>
      <c r="M9039">
        <v>73.503</v>
      </c>
      <c r="N9039">
        <v>9.69</v>
      </c>
    </row>
    <row r="9040" spans="1:14" x14ac:dyDescent="0.45">
      <c r="A9040">
        <v>2022</v>
      </c>
      <c r="B9040" t="s">
        <v>154</v>
      </c>
      <c r="C9040">
        <v>0</v>
      </c>
      <c r="D9040">
        <v>0</v>
      </c>
      <c r="E9040">
        <v>1</v>
      </c>
      <c r="F9040">
        <v>1</v>
      </c>
      <c r="G9040">
        <v>0</v>
      </c>
      <c r="H9040">
        <v>0</v>
      </c>
      <c r="I9040">
        <v>0</v>
      </c>
      <c r="J9040">
        <v>5491.6937828024602</v>
      </c>
      <c r="K9040">
        <v>4732.9956335432998</v>
      </c>
      <c r="L9040">
        <v>70.998000000000005</v>
      </c>
      <c r="M9040">
        <v>63.548999999999999</v>
      </c>
      <c r="N9040">
        <v>41.531999999999996</v>
      </c>
    </row>
    <row r="9041" spans="1:14" x14ac:dyDescent="0.45">
      <c r="A9041">
        <v>2022</v>
      </c>
      <c r="B9041" t="s">
        <v>155</v>
      </c>
      <c r="C9041">
        <v>1</v>
      </c>
      <c r="D9041">
        <v>0</v>
      </c>
      <c r="E9041">
        <v>0</v>
      </c>
      <c r="F9041">
        <v>1</v>
      </c>
      <c r="G9041">
        <v>0</v>
      </c>
      <c r="H9041">
        <v>0</v>
      </c>
      <c r="I9041">
        <v>0</v>
      </c>
      <c r="J9041">
        <v>6139.7778882500597</v>
      </c>
      <c r="K9041">
        <v>5189.1440162095196</v>
      </c>
      <c r="L9041">
        <v>62.539000000000001</v>
      </c>
      <c r="M9041">
        <v>71.486999999999995</v>
      </c>
      <c r="N9041">
        <v>17.518000000000001</v>
      </c>
    </row>
    <row r="9042" spans="1:14" x14ac:dyDescent="0.45">
      <c r="A9042">
        <v>2022</v>
      </c>
      <c r="B9042" t="s">
        <v>156</v>
      </c>
      <c r="C9042">
        <v>0</v>
      </c>
      <c r="D9042">
        <v>0</v>
      </c>
      <c r="E9042">
        <v>0</v>
      </c>
      <c r="F9042">
        <v>1</v>
      </c>
      <c r="G9042">
        <v>0</v>
      </c>
      <c r="H9042">
        <v>0</v>
      </c>
      <c r="I9042">
        <v>0</v>
      </c>
      <c r="J9042">
        <v>6458.3681488042803</v>
      </c>
      <c r="K9042">
        <v>5791.0139056891303</v>
      </c>
      <c r="L9042">
        <v>74.885999999999996</v>
      </c>
      <c r="M9042">
        <v>70.528000000000006</v>
      </c>
      <c r="N9042">
        <v>23.766999999999999</v>
      </c>
    </row>
    <row r="9043" spans="1:14" x14ac:dyDescent="0.45">
      <c r="A9043">
        <v>2022</v>
      </c>
      <c r="B9043" t="s">
        <v>157</v>
      </c>
      <c r="C9043">
        <v>0</v>
      </c>
      <c r="D9043">
        <v>0</v>
      </c>
      <c r="E9043">
        <v>0</v>
      </c>
      <c r="F9043">
        <v>1</v>
      </c>
      <c r="G9043">
        <v>0</v>
      </c>
      <c r="H9043">
        <v>0</v>
      </c>
      <c r="I9043">
        <v>0</v>
      </c>
      <c r="J9043">
        <v>3107.7760464268799</v>
      </c>
      <c r="K9043">
        <v>2811.2920280108801</v>
      </c>
      <c r="L9043">
        <v>42.942</v>
      </c>
      <c r="M9043">
        <v>66.269000000000005</v>
      </c>
      <c r="N9043">
        <v>56.066000000000003</v>
      </c>
    </row>
    <row r="9044" spans="1:14" x14ac:dyDescent="0.45">
      <c r="A9044">
        <v>2022</v>
      </c>
      <c r="B9044" t="s">
        <v>158</v>
      </c>
      <c r="C9044">
        <v>0</v>
      </c>
      <c r="D9044">
        <v>1</v>
      </c>
      <c r="E9044">
        <v>0</v>
      </c>
      <c r="F9044">
        <v>0</v>
      </c>
      <c r="G9044">
        <v>0</v>
      </c>
      <c r="H9044">
        <v>1</v>
      </c>
      <c r="I9044">
        <v>1</v>
      </c>
      <c r="J9044">
        <v>29712.685581027399</v>
      </c>
      <c r="K9044">
        <v>29345.318477932298</v>
      </c>
      <c r="L9044">
        <v>69.009</v>
      </c>
      <c r="M9044">
        <v>70.313000000000002</v>
      </c>
      <c r="N9044">
        <v>15.353999999999999</v>
      </c>
    </row>
    <row r="9045" spans="1:14" x14ac:dyDescent="0.45">
      <c r="A9045">
        <v>2022</v>
      </c>
      <c r="B9045" t="s">
        <v>159</v>
      </c>
      <c r="C9045">
        <v>0</v>
      </c>
      <c r="D9045">
        <v>0</v>
      </c>
      <c r="E9045">
        <v>0</v>
      </c>
      <c r="F9045">
        <v>0</v>
      </c>
      <c r="G9045">
        <v>0</v>
      </c>
      <c r="H9045">
        <v>1</v>
      </c>
      <c r="I9045">
        <v>1</v>
      </c>
      <c r="J9045">
        <v>49777.929303529003</v>
      </c>
      <c r="K9045">
        <v>45378.680183995501</v>
      </c>
      <c r="L9045">
        <v>18.573</v>
      </c>
      <c r="M9045">
        <v>82.727000000000004</v>
      </c>
      <c r="N9045">
        <v>2.9249999999999998</v>
      </c>
    </row>
    <row r="9046" spans="1:14" x14ac:dyDescent="0.45">
      <c r="A9046">
        <v>2022</v>
      </c>
      <c r="B9046" t="s">
        <v>160</v>
      </c>
      <c r="C9046">
        <v>0</v>
      </c>
      <c r="D9046">
        <v>0</v>
      </c>
      <c r="E9046">
        <v>0</v>
      </c>
      <c r="F9046">
        <v>0</v>
      </c>
      <c r="G9046">
        <v>0</v>
      </c>
      <c r="H9046">
        <v>1</v>
      </c>
      <c r="I9046">
        <v>1</v>
      </c>
      <c r="J9046">
        <v>51379.883327509298</v>
      </c>
      <c r="K9046">
        <v>45758.930524976597</v>
      </c>
      <c r="L9046">
        <v>0</v>
      </c>
      <c r="M9046">
        <v>78.787999999999997</v>
      </c>
      <c r="N9046">
        <v>8.5980000000000008</v>
      </c>
    </row>
    <row r="9047" spans="1:14" x14ac:dyDescent="0.45">
      <c r="A9047">
        <v>2022</v>
      </c>
      <c r="B9047" t="s">
        <v>161</v>
      </c>
      <c r="C9047">
        <v>0</v>
      </c>
      <c r="D9047">
        <v>0</v>
      </c>
      <c r="E9047">
        <v>0</v>
      </c>
      <c r="F9047">
        <v>1</v>
      </c>
      <c r="G9047">
        <v>0</v>
      </c>
      <c r="H9047">
        <v>0</v>
      </c>
      <c r="I9047">
        <v>0</v>
      </c>
      <c r="J9047">
        <v>8183.0328647265296</v>
      </c>
      <c r="K9047">
        <v>7863.138434126</v>
      </c>
      <c r="L9047">
        <v>62.408000000000001</v>
      </c>
      <c r="M9047">
        <v>68.715000000000003</v>
      </c>
      <c r="N9047">
        <v>40.380000000000003</v>
      </c>
    </row>
    <row r="9048" spans="1:14" x14ac:dyDescent="0.45">
      <c r="A9048">
        <v>2022</v>
      </c>
      <c r="B9048" t="s">
        <v>162</v>
      </c>
      <c r="C9048">
        <v>0</v>
      </c>
      <c r="D9048">
        <v>0</v>
      </c>
      <c r="E9048">
        <v>0</v>
      </c>
      <c r="F9048">
        <v>1</v>
      </c>
      <c r="G9048">
        <v>0</v>
      </c>
      <c r="H9048">
        <v>0</v>
      </c>
      <c r="I9048">
        <v>0</v>
      </c>
      <c r="J9048">
        <v>11474.750584555801</v>
      </c>
      <c r="K9048">
        <v>14914.8051747504</v>
      </c>
      <c r="L9048">
        <v>10.738</v>
      </c>
      <c r="M9048">
        <v>78.003</v>
      </c>
      <c r="N9048">
        <v>17.378</v>
      </c>
    </row>
    <row r="9049" spans="1:14" x14ac:dyDescent="0.45">
      <c r="A9049">
        <v>2022</v>
      </c>
      <c r="B9049" t="s">
        <v>163</v>
      </c>
      <c r="C9049">
        <v>0</v>
      </c>
      <c r="D9049">
        <v>0</v>
      </c>
      <c r="E9049">
        <v>1</v>
      </c>
      <c r="F9049">
        <v>0</v>
      </c>
      <c r="G9049">
        <v>0</v>
      </c>
      <c r="H9049">
        <v>0</v>
      </c>
      <c r="I9049">
        <v>0</v>
      </c>
      <c r="J9049">
        <v>1578.9983706917501</v>
      </c>
      <c r="K9049">
        <v>2332.8839552955101</v>
      </c>
      <c r="L9049">
        <v>46.935000000000002</v>
      </c>
      <c r="M9049">
        <v>61.933999999999997</v>
      </c>
      <c r="N9049">
        <v>73.022000000000006</v>
      </c>
    </row>
    <row r="9050" spans="1:14" x14ac:dyDescent="0.45">
      <c r="A9050">
        <v>2022</v>
      </c>
      <c r="B9050" t="s">
        <v>164</v>
      </c>
      <c r="C9050">
        <v>0</v>
      </c>
      <c r="D9050">
        <v>0</v>
      </c>
      <c r="E9050">
        <v>0</v>
      </c>
      <c r="F9050">
        <v>0</v>
      </c>
      <c r="G9050">
        <v>1</v>
      </c>
      <c r="H9050">
        <v>0</v>
      </c>
      <c r="I9050">
        <v>0</v>
      </c>
      <c r="J9050">
        <v>11456.0768149668</v>
      </c>
      <c r="K9050">
        <v>13388.6613466626</v>
      </c>
      <c r="L9050">
        <v>18.698</v>
      </c>
      <c r="M9050">
        <v>74.462000000000003</v>
      </c>
      <c r="N9050">
        <v>10.39</v>
      </c>
    </row>
    <row r="9051" spans="1:14" x14ac:dyDescent="0.45">
      <c r="A9051">
        <v>2022</v>
      </c>
      <c r="B9051" t="s">
        <v>165</v>
      </c>
      <c r="C9051">
        <v>0</v>
      </c>
      <c r="D9051">
        <v>1</v>
      </c>
      <c r="E9051">
        <v>0</v>
      </c>
      <c r="F9051">
        <v>0</v>
      </c>
      <c r="G9051">
        <v>1</v>
      </c>
      <c r="H9051">
        <v>0</v>
      </c>
      <c r="I9051">
        <v>0</v>
      </c>
      <c r="J9051">
        <v>22962.2818144554</v>
      </c>
      <c r="K9051">
        <v>16519.226441985302</v>
      </c>
      <c r="L9051">
        <v>80.95</v>
      </c>
      <c r="M9051">
        <v>72.67</v>
      </c>
      <c r="N9051">
        <v>17.262</v>
      </c>
    </row>
    <row r="9052" spans="1:14" x14ac:dyDescent="0.45">
      <c r="A9052">
        <v>2022</v>
      </c>
      <c r="B9052" t="s">
        <v>166</v>
      </c>
      <c r="C9052">
        <v>1</v>
      </c>
      <c r="D9052">
        <v>0</v>
      </c>
      <c r="E9052">
        <v>0</v>
      </c>
      <c r="F9052">
        <v>0</v>
      </c>
      <c r="G9052">
        <v>0</v>
      </c>
      <c r="H9052">
        <v>1</v>
      </c>
      <c r="I9052">
        <v>1</v>
      </c>
      <c r="L9052">
        <v>85.462000000000003</v>
      </c>
      <c r="M9052">
        <v>83.405000000000001</v>
      </c>
      <c r="N9052">
        <v>6.5369999999999999</v>
      </c>
    </row>
    <row r="9053" spans="1:14" x14ac:dyDescent="0.45">
      <c r="A9053">
        <v>2022</v>
      </c>
      <c r="B9053" t="s">
        <v>167</v>
      </c>
      <c r="C9053">
        <v>0</v>
      </c>
      <c r="D9053">
        <v>0</v>
      </c>
      <c r="E9053">
        <v>0</v>
      </c>
      <c r="F9053">
        <v>1</v>
      </c>
      <c r="G9053">
        <v>0</v>
      </c>
      <c r="H9053">
        <v>0</v>
      </c>
      <c r="I9053">
        <v>0</v>
      </c>
      <c r="J9053">
        <v>13249.065064602</v>
      </c>
      <c r="K9053">
        <v>12374.417367533501</v>
      </c>
      <c r="L9053">
        <v>80.974000000000004</v>
      </c>
      <c r="M9053">
        <v>77.3</v>
      </c>
      <c r="N9053">
        <v>6.5209999999999999</v>
      </c>
    </row>
    <row r="9054" spans="1:14" x14ac:dyDescent="0.45">
      <c r="A9054">
        <v>2022</v>
      </c>
      <c r="B9054" t="s">
        <v>168</v>
      </c>
      <c r="C9054">
        <v>0</v>
      </c>
      <c r="D9054">
        <v>0</v>
      </c>
      <c r="E9054">
        <v>1</v>
      </c>
      <c r="F9054">
        <v>1</v>
      </c>
      <c r="G9054">
        <v>0</v>
      </c>
      <c r="H9054">
        <v>0</v>
      </c>
      <c r="I9054">
        <v>0</v>
      </c>
      <c r="J9054">
        <v>2577.5454412776899</v>
      </c>
      <c r="K9054">
        <v>2307.9862435794998</v>
      </c>
      <c r="L9054">
        <v>70.057000000000002</v>
      </c>
      <c r="M9054">
        <v>56.811999999999998</v>
      </c>
      <c r="N9054">
        <v>72.888000000000005</v>
      </c>
    </row>
    <row r="9055" spans="1:14" x14ac:dyDescent="0.45">
      <c r="A9055">
        <v>2022</v>
      </c>
      <c r="B9055" t="s">
        <v>169</v>
      </c>
      <c r="C9055">
        <v>1</v>
      </c>
      <c r="D9055">
        <v>0</v>
      </c>
      <c r="E9055">
        <v>0</v>
      </c>
      <c r="F9055">
        <v>0</v>
      </c>
      <c r="G9055">
        <v>0</v>
      </c>
      <c r="H9055">
        <v>1</v>
      </c>
      <c r="I9055">
        <v>1</v>
      </c>
      <c r="J9055">
        <v>46651.214581024702</v>
      </c>
      <c r="K9055">
        <v>39913.224803240599</v>
      </c>
      <c r="L9055">
        <v>31.535</v>
      </c>
      <c r="M9055">
        <v>74.695999999999998</v>
      </c>
      <c r="N9055">
        <v>3.99</v>
      </c>
    </row>
    <row r="9056" spans="1:14" x14ac:dyDescent="0.45">
      <c r="A9056">
        <v>2022</v>
      </c>
      <c r="B9056" t="s">
        <v>170</v>
      </c>
      <c r="C9056">
        <v>1</v>
      </c>
      <c r="D9056">
        <v>0</v>
      </c>
      <c r="E9056">
        <v>0</v>
      </c>
      <c r="F9056">
        <v>0</v>
      </c>
      <c r="G9056">
        <v>0</v>
      </c>
      <c r="H9056">
        <v>1</v>
      </c>
      <c r="I9056">
        <v>1</v>
      </c>
      <c r="J9056">
        <v>132573.99438806</v>
      </c>
      <c r="K9056">
        <v>113292.60673812</v>
      </c>
      <c r="L9056">
        <v>8.1189999999999998</v>
      </c>
      <c r="M9056">
        <v>82.200999999999993</v>
      </c>
      <c r="N9056">
        <v>5.4960000000000004</v>
      </c>
    </row>
    <row r="9057" spans="1:14" x14ac:dyDescent="0.45">
      <c r="A9057">
        <v>2022</v>
      </c>
      <c r="B9057" t="s">
        <v>171</v>
      </c>
      <c r="C9057">
        <v>1</v>
      </c>
      <c r="D9057">
        <v>0</v>
      </c>
      <c r="E9057">
        <v>0</v>
      </c>
      <c r="F9057">
        <v>0</v>
      </c>
      <c r="G9057">
        <v>0</v>
      </c>
      <c r="H9057">
        <v>1</v>
      </c>
      <c r="I9057">
        <v>1</v>
      </c>
      <c r="J9057">
        <v>37681.045243933702</v>
      </c>
      <c r="K9057">
        <v>32691.671062039699</v>
      </c>
      <c r="L9057">
        <v>31.46</v>
      </c>
      <c r="M9057">
        <v>74.870999999999995</v>
      </c>
      <c r="N9057">
        <v>4.3719999999999999</v>
      </c>
    </row>
    <row r="9058" spans="1:14" x14ac:dyDescent="0.45">
      <c r="A9058">
        <v>2022</v>
      </c>
      <c r="B9058" t="s">
        <v>172</v>
      </c>
      <c r="C9058">
        <v>0</v>
      </c>
      <c r="D9058">
        <v>0</v>
      </c>
      <c r="E9058">
        <v>0</v>
      </c>
      <c r="F9058">
        <v>0</v>
      </c>
      <c r="G9058">
        <v>0</v>
      </c>
      <c r="H9058">
        <v>1</v>
      </c>
      <c r="I9058">
        <v>1</v>
      </c>
      <c r="J9058">
        <v>60089.8325820639</v>
      </c>
      <c r="K9058">
        <v>54455.899154404702</v>
      </c>
      <c r="L9058">
        <v>0</v>
      </c>
      <c r="M9058">
        <v>82.102999999999994</v>
      </c>
      <c r="N9058">
        <v>3.1339999999999999</v>
      </c>
    </row>
    <row r="9059" spans="1:14" x14ac:dyDescent="0.45">
      <c r="A9059">
        <v>2022</v>
      </c>
      <c r="B9059" t="s">
        <v>173</v>
      </c>
      <c r="C9059">
        <v>0</v>
      </c>
      <c r="D9059">
        <v>1</v>
      </c>
      <c r="E9059">
        <v>0</v>
      </c>
      <c r="F9059">
        <v>0</v>
      </c>
      <c r="G9059">
        <v>0</v>
      </c>
      <c r="H9059">
        <v>1</v>
      </c>
      <c r="I9059">
        <v>1</v>
      </c>
      <c r="L9059">
        <v>0</v>
      </c>
      <c r="M9059">
        <v>80.236000000000004</v>
      </c>
      <c r="N9059">
        <v>9.609</v>
      </c>
    </row>
    <row r="9060" spans="1:14" x14ac:dyDescent="0.45">
      <c r="A9060">
        <v>2022</v>
      </c>
      <c r="B9060" t="s">
        <v>174</v>
      </c>
      <c r="C9060">
        <v>0</v>
      </c>
      <c r="D9060">
        <v>0</v>
      </c>
      <c r="E9060">
        <v>0</v>
      </c>
      <c r="F9060">
        <v>1</v>
      </c>
      <c r="G9060">
        <v>0</v>
      </c>
      <c r="H9060">
        <v>0</v>
      </c>
      <c r="I9060">
        <v>0</v>
      </c>
      <c r="J9060">
        <v>8666.0791015625</v>
      </c>
      <c r="K9060">
        <v>8322.6288649938706</v>
      </c>
      <c r="L9060">
        <v>35.404000000000003</v>
      </c>
      <c r="M9060">
        <v>75.161000000000001</v>
      </c>
      <c r="N9060">
        <v>17.146000000000001</v>
      </c>
    </row>
    <row r="9061" spans="1:14" x14ac:dyDescent="0.45">
      <c r="A9061">
        <v>2022</v>
      </c>
      <c r="B9061" t="s">
        <v>175</v>
      </c>
      <c r="C9061">
        <v>1</v>
      </c>
      <c r="D9061">
        <v>0</v>
      </c>
      <c r="E9061">
        <v>0</v>
      </c>
      <c r="F9061">
        <v>0</v>
      </c>
      <c r="G9061">
        <v>0</v>
      </c>
      <c r="H9061">
        <v>1</v>
      </c>
      <c r="I9061">
        <v>1</v>
      </c>
      <c r="L9061">
        <v>0</v>
      </c>
      <c r="M9061">
        <v>85.745999999999995</v>
      </c>
      <c r="N9061">
        <v>4.5540000000000003</v>
      </c>
    </row>
    <row r="9062" spans="1:14" x14ac:dyDescent="0.45">
      <c r="A9062">
        <v>2022</v>
      </c>
      <c r="B9062" t="s">
        <v>176</v>
      </c>
      <c r="C9062">
        <v>1</v>
      </c>
      <c r="D9062">
        <v>0</v>
      </c>
      <c r="E9062">
        <v>0</v>
      </c>
      <c r="F9062">
        <v>0</v>
      </c>
      <c r="G9062">
        <v>1</v>
      </c>
      <c r="H9062">
        <v>0</v>
      </c>
      <c r="I9062">
        <v>0</v>
      </c>
      <c r="J9062">
        <v>15358.015358997</v>
      </c>
      <c r="K9062">
        <v>13172.6870902379</v>
      </c>
      <c r="L9062">
        <v>56.826999999999998</v>
      </c>
      <c r="M9062">
        <v>71.546000000000006</v>
      </c>
      <c r="N9062">
        <v>14.096</v>
      </c>
    </row>
    <row r="9063" spans="1:14" x14ac:dyDescent="0.45">
      <c r="A9063">
        <v>2022</v>
      </c>
      <c r="B9063" t="s">
        <v>177</v>
      </c>
      <c r="C9063">
        <v>0</v>
      </c>
      <c r="D9063">
        <v>0</v>
      </c>
      <c r="E9063">
        <v>1</v>
      </c>
      <c r="F9063">
        <v>0</v>
      </c>
      <c r="G9063">
        <v>0</v>
      </c>
      <c r="H9063">
        <v>0</v>
      </c>
      <c r="I9063">
        <v>0</v>
      </c>
      <c r="J9063">
        <v>1602.7136835231099</v>
      </c>
      <c r="K9063">
        <v>1484.79649937215</v>
      </c>
      <c r="L9063">
        <v>60.118000000000002</v>
      </c>
      <c r="M9063">
        <v>63.067999999999998</v>
      </c>
      <c r="N9063">
        <v>65.819000000000003</v>
      </c>
    </row>
    <row r="9064" spans="1:14" x14ac:dyDescent="0.45">
      <c r="A9064">
        <v>2022</v>
      </c>
      <c r="B9064" t="s">
        <v>178</v>
      </c>
      <c r="C9064">
        <v>0</v>
      </c>
      <c r="D9064">
        <v>0</v>
      </c>
      <c r="E9064">
        <v>0</v>
      </c>
      <c r="F9064">
        <v>0</v>
      </c>
      <c r="G9064">
        <v>1</v>
      </c>
      <c r="H9064">
        <v>0</v>
      </c>
      <c r="I9064">
        <v>0</v>
      </c>
      <c r="J9064">
        <v>21357.811253417101</v>
      </c>
      <c r="K9064">
        <v>21071.259875162399</v>
      </c>
      <c r="L9064">
        <v>58.463999999999999</v>
      </c>
      <c r="M9064">
        <v>80.760000000000005</v>
      </c>
      <c r="N9064">
        <v>5.61</v>
      </c>
    </row>
    <row r="9065" spans="1:14" x14ac:dyDescent="0.45">
      <c r="A9065">
        <v>2022</v>
      </c>
      <c r="B9065" t="s">
        <v>179</v>
      </c>
      <c r="C9065">
        <v>0</v>
      </c>
      <c r="D9065">
        <v>1</v>
      </c>
      <c r="E9065">
        <v>0</v>
      </c>
      <c r="F9065">
        <v>0</v>
      </c>
      <c r="G9065">
        <v>1</v>
      </c>
      <c r="H9065">
        <v>0</v>
      </c>
      <c r="I9065">
        <v>0</v>
      </c>
      <c r="J9065">
        <v>21392.111457377701</v>
      </c>
      <c r="K9065">
        <v>19887.7153135099</v>
      </c>
      <c r="L9065">
        <v>18.7</v>
      </c>
      <c r="M9065">
        <v>73.972999999999999</v>
      </c>
      <c r="N9065">
        <v>13.651999999999999</v>
      </c>
    </row>
    <row r="9066" spans="1:14" x14ac:dyDescent="0.45">
      <c r="A9066">
        <v>2022</v>
      </c>
      <c r="B9066" t="s">
        <v>180</v>
      </c>
      <c r="C9066">
        <v>0</v>
      </c>
      <c r="D9066">
        <v>0</v>
      </c>
      <c r="E9066">
        <v>0</v>
      </c>
      <c r="F9066">
        <v>0</v>
      </c>
      <c r="G9066">
        <v>1</v>
      </c>
      <c r="H9066">
        <v>0</v>
      </c>
      <c r="I9066">
        <v>0</v>
      </c>
      <c r="J9066">
        <v>6844.3346780031397</v>
      </c>
      <c r="K9066">
        <v>6190.5972773802296</v>
      </c>
      <c r="L9066">
        <v>21.48</v>
      </c>
      <c r="M9066">
        <v>66.724999999999994</v>
      </c>
      <c r="N9066">
        <v>28.681999999999999</v>
      </c>
    </row>
    <row r="9067" spans="1:14" x14ac:dyDescent="0.45">
      <c r="A9067">
        <v>2022</v>
      </c>
      <c r="B9067" t="s">
        <v>181</v>
      </c>
      <c r="C9067">
        <v>1</v>
      </c>
      <c r="D9067">
        <v>0</v>
      </c>
      <c r="E9067">
        <v>0</v>
      </c>
      <c r="F9067">
        <v>0</v>
      </c>
      <c r="G9067">
        <v>1</v>
      </c>
      <c r="H9067">
        <v>0</v>
      </c>
      <c r="I9067">
        <v>0</v>
      </c>
      <c r="J9067">
        <v>22820.976504348298</v>
      </c>
      <c r="K9067">
        <v>19265.191746698001</v>
      </c>
      <c r="L9067">
        <v>40.881999999999998</v>
      </c>
      <c r="M9067">
        <v>76.644999999999996</v>
      </c>
      <c r="N9067">
        <v>3.6120000000000001</v>
      </c>
    </row>
    <row r="9068" spans="1:14" x14ac:dyDescent="0.45">
      <c r="A9068">
        <v>2022</v>
      </c>
      <c r="B9068" t="s">
        <v>182</v>
      </c>
      <c r="C9068">
        <v>0</v>
      </c>
      <c r="D9068">
        <v>0</v>
      </c>
      <c r="E9068">
        <v>1</v>
      </c>
      <c r="F9068">
        <v>0</v>
      </c>
      <c r="G9068">
        <v>0</v>
      </c>
      <c r="H9068">
        <v>0</v>
      </c>
      <c r="I9068">
        <v>0</v>
      </c>
      <c r="J9068">
        <v>2808.52247409848</v>
      </c>
      <c r="K9068">
        <v>2599.5958744279001</v>
      </c>
      <c r="L9068">
        <v>54.563000000000002</v>
      </c>
      <c r="M9068">
        <v>60.034999999999997</v>
      </c>
      <c r="N9068">
        <v>94.635000000000005</v>
      </c>
    </row>
    <row r="9069" spans="1:14" x14ac:dyDescent="0.45">
      <c r="A9069">
        <v>2022</v>
      </c>
      <c r="B9069" t="s">
        <v>183</v>
      </c>
      <c r="C9069">
        <v>0</v>
      </c>
      <c r="D9069">
        <v>0</v>
      </c>
      <c r="E9069">
        <v>0</v>
      </c>
      <c r="F9069">
        <v>0</v>
      </c>
      <c r="G9069">
        <v>0</v>
      </c>
      <c r="H9069">
        <v>1</v>
      </c>
      <c r="I9069">
        <v>1</v>
      </c>
      <c r="J9069">
        <v>57781.4999890174</v>
      </c>
      <c r="K9069">
        <v>49983.825650190702</v>
      </c>
      <c r="L9069">
        <v>5.125</v>
      </c>
      <c r="M9069">
        <v>82.25</v>
      </c>
      <c r="N9069">
        <v>8.375</v>
      </c>
    </row>
    <row r="9070" spans="1:14" x14ac:dyDescent="0.45">
      <c r="A9070">
        <v>2022</v>
      </c>
      <c r="B9070" t="s">
        <v>184</v>
      </c>
      <c r="C9070">
        <v>0</v>
      </c>
      <c r="D9070">
        <v>0</v>
      </c>
      <c r="E9070">
        <v>0</v>
      </c>
      <c r="F9070">
        <v>1</v>
      </c>
      <c r="G9070">
        <v>0</v>
      </c>
      <c r="H9070">
        <v>0</v>
      </c>
      <c r="I9070">
        <v>0</v>
      </c>
      <c r="J9070">
        <v>5350.4766689993103</v>
      </c>
      <c r="K9070">
        <v>4284.1434270913696</v>
      </c>
      <c r="L9070">
        <v>68.228999999999999</v>
      </c>
      <c r="M9070">
        <v>66.506</v>
      </c>
      <c r="N9070">
        <v>40.908000000000001</v>
      </c>
    </row>
    <row r="9071" spans="1:14" x14ac:dyDescent="0.45">
      <c r="A9071">
        <v>2022</v>
      </c>
      <c r="B9071" t="s">
        <v>185</v>
      </c>
      <c r="C9071">
        <v>1</v>
      </c>
      <c r="D9071">
        <v>0</v>
      </c>
      <c r="E9071">
        <v>0</v>
      </c>
      <c r="F9071">
        <v>0</v>
      </c>
      <c r="G9071">
        <v>1</v>
      </c>
      <c r="H9071">
        <v>0</v>
      </c>
      <c r="I9071">
        <v>0</v>
      </c>
      <c r="J9071">
        <v>25429.025141662602</v>
      </c>
      <c r="K9071">
        <v>21485.973875224001</v>
      </c>
      <c r="L9071">
        <v>31.835999999999999</v>
      </c>
      <c r="M9071">
        <v>75.921000000000006</v>
      </c>
      <c r="N9071">
        <v>4.8250000000000002</v>
      </c>
    </row>
    <row r="9072" spans="1:14" x14ac:dyDescent="0.45">
      <c r="A9072">
        <v>2022</v>
      </c>
      <c r="B9072" t="s">
        <v>186</v>
      </c>
      <c r="C9072">
        <v>0</v>
      </c>
      <c r="D9072">
        <v>0</v>
      </c>
      <c r="E9072">
        <v>0</v>
      </c>
      <c r="F9072">
        <v>1</v>
      </c>
      <c r="G9072">
        <v>0</v>
      </c>
      <c r="H9072">
        <v>0</v>
      </c>
      <c r="I9072">
        <v>0</v>
      </c>
      <c r="J9072">
        <v>15310.434946916301</v>
      </c>
      <c r="K9072">
        <v>11796.321168832499</v>
      </c>
      <c r="L9072">
        <v>31.07</v>
      </c>
      <c r="M9072">
        <v>71.504999999999995</v>
      </c>
      <c r="N9072">
        <v>13.417</v>
      </c>
    </row>
    <row r="9073" spans="1:14" x14ac:dyDescent="0.45">
      <c r="A9073">
        <v>2022</v>
      </c>
      <c r="B9073" t="s">
        <v>187</v>
      </c>
      <c r="C9073">
        <v>0</v>
      </c>
      <c r="D9073">
        <v>0</v>
      </c>
      <c r="E9073">
        <v>0</v>
      </c>
      <c r="F9073">
        <v>0</v>
      </c>
      <c r="G9073">
        <v>0</v>
      </c>
      <c r="H9073">
        <v>1</v>
      </c>
      <c r="I9073">
        <v>1</v>
      </c>
      <c r="L9073">
        <v>8.0169999999999995</v>
      </c>
      <c r="M9073">
        <v>78.531000000000006</v>
      </c>
      <c r="N9073">
        <v>6.5609999999999999</v>
      </c>
    </row>
    <row r="9074" spans="1:14" x14ac:dyDescent="0.45">
      <c r="A9074">
        <v>2022</v>
      </c>
      <c r="B9074" t="s">
        <v>188</v>
      </c>
      <c r="C9074">
        <v>0</v>
      </c>
      <c r="D9074">
        <v>0</v>
      </c>
      <c r="E9074">
        <v>1</v>
      </c>
      <c r="F9074">
        <v>0</v>
      </c>
      <c r="G9074">
        <v>0</v>
      </c>
      <c r="H9074">
        <v>0</v>
      </c>
      <c r="I9074">
        <v>0</v>
      </c>
      <c r="J9074">
        <v>1476.6656029809701</v>
      </c>
      <c r="K9074">
        <v>1236.4119698549</v>
      </c>
      <c r="L9074">
        <v>61.813000000000002</v>
      </c>
      <c r="M9074">
        <v>63.011000000000003</v>
      </c>
      <c r="N9074">
        <v>66.355999999999995</v>
      </c>
    </row>
    <row r="9075" spans="1:14" x14ac:dyDescent="0.45">
      <c r="A9075">
        <v>2022</v>
      </c>
      <c r="B9075" t="s">
        <v>189</v>
      </c>
      <c r="C9075">
        <v>0</v>
      </c>
      <c r="D9075">
        <v>0</v>
      </c>
      <c r="E9075">
        <v>1</v>
      </c>
      <c r="F9075">
        <v>1</v>
      </c>
      <c r="G9075">
        <v>0</v>
      </c>
      <c r="H9075">
        <v>0</v>
      </c>
      <c r="I9075">
        <v>0</v>
      </c>
      <c r="J9075">
        <v>6053.2617870487602</v>
      </c>
      <c r="K9075">
        <v>5355.4016392938202</v>
      </c>
      <c r="L9075">
        <v>43.076999999999998</v>
      </c>
      <c r="M9075">
        <v>68.281000000000006</v>
      </c>
      <c r="N9075">
        <v>39.222000000000001</v>
      </c>
    </row>
    <row r="9076" spans="1:14" x14ac:dyDescent="0.45">
      <c r="A9076">
        <v>2022</v>
      </c>
      <c r="B9076" t="s">
        <v>190</v>
      </c>
      <c r="C9076">
        <v>0</v>
      </c>
      <c r="D9076">
        <v>0</v>
      </c>
      <c r="E9076">
        <v>1</v>
      </c>
      <c r="F9076">
        <v>0</v>
      </c>
      <c r="G9076">
        <v>1</v>
      </c>
      <c r="H9076">
        <v>0</v>
      </c>
      <c r="I9076">
        <v>0</v>
      </c>
      <c r="J9076">
        <v>24788.7664977319</v>
      </c>
      <c r="K9076">
        <v>23267.3481033676</v>
      </c>
      <c r="L9076">
        <v>59.19</v>
      </c>
      <c r="M9076">
        <v>73.543999999999997</v>
      </c>
      <c r="N9076">
        <v>14.93</v>
      </c>
    </row>
    <row r="9077" spans="1:14" x14ac:dyDescent="0.45">
      <c r="A9077">
        <v>2022</v>
      </c>
      <c r="B9077" t="s">
        <v>191</v>
      </c>
      <c r="C9077">
        <v>0</v>
      </c>
      <c r="D9077">
        <v>0</v>
      </c>
      <c r="E9077">
        <v>1</v>
      </c>
      <c r="F9077">
        <v>0</v>
      </c>
      <c r="G9077">
        <v>0</v>
      </c>
      <c r="H9077">
        <v>0</v>
      </c>
      <c r="I9077">
        <v>0</v>
      </c>
      <c r="J9077">
        <v>1659.95933825168</v>
      </c>
      <c r="K9077">
        <v>1420.3630793714999</v>
      </c>
      <c r="L9077">
        <v>82.02</v>
      </c>
      <c r="M9077">
        <v>66.037000000000006</v>
      </c>
      <c r="N9077">
        <v>40.636000000000003</v>
      </c>
    </row>
    <row r="9078" spans="1:14" x14ac:dyDescent="0.45">
      <c r="A9078">
        <v>2022</v>
      </c>
      <c r="B9078" t="s">
        <v>192</v>
      </c>
      <c r="C9078">
        <v>0</v>
      </c>
      <c r="D9078">
        <v>0</v>
      </c>
      <c r="E9078">
        <v>0</v>
      </c>
      <c r="F9078">
        <v>0</v>
      </c>
      <c r="G9078">
        <v>1</v>
      </c>
      <c r="H9078">
        <v>0</v>
      </c>
      <c r="I9078">
        <v>0</v>
      </c>
      <c r="J9078">
        <v>32079.151515748901</v>
      </c>
      <c r="K9078">
        <v>28674.976393253899</v>
      </c>
      <c r="L9078">
        <v>21.786000000000001</v>
      </c>
      <c r="M9078">
        <v>75.444000000000003</v>
      </c>
      <c r="N9078">
        <v>7.8819999999999997</v>
      </c>
    </row>
    <row r="9079" spans="1:14" x14ac:dyDescent="0.45">
      <c r="A9079">
        <v>2022</v>
      </c>
      <c r="B9079" t="s">
        <v>193</v>
      </c>
      <c r="C9079">
        <v>0</v>
      </c>
      <c r="D9079">
        <v>0</v>
      </c>
      <c r="E9079">
        <v>1</v>
      </c>
      <c r="F9079">
        <v>0</v>
      </c>
      <c r="G9079">
        <v>1</v>
      </c>
      <c r="H9079">
        <v>0</v>
      </c>
      <c r="I9079">
        <v>0</v>
      </c>
      <c r="J9079">
        <v>9953.09752232336</v>
      </c>
      <c r="K9079">
        <v>8626.3476758457291</v>
      </c>
      <c r="L9079">
        <v>46.043999999999997</v>
      </c>
      <c r="M9079">
        <v>64.19</v>
      </c>
      <c r="N9079">
        <v>38.067999999999998</v>
      </c>
    </row>
    <row r="9080" spans="1:14" x14ac:dyDescent="0.45">
      <c r="A9080">
        <v>2022</v>
      </c>
      <c r="B9080" t="s">
        <v>194</v>
      </c>
      <c r="C9080">
        <v>0</v>
      </c>
      <c r="D9080">
        <v>0</v>
      </c>
      <c r="E9080">
        <v>0</v>
      </c>
      <c r="F9080">
        <v>0</v>
      </c>
      <c r="G9080">
        <v>0</v>
      </c>
      <c r="H9080">
        <v>1</v>
      </c>
      <c r="I9080">
        <v>1</v>
      </c>
      <c r="L9080">
        <v>27.675000000000001</v>
      </c>
      <c r="M9080">
        <v>77.697999999999993</v>
      </c>
      <c r="N9080">
        <v>11.968999999999999</v>
      </c>
    </row>
    <row r="9081" spans="1:14" x14ac:dyDescent="0.45">
      <c r="A9081">
        <v>2022</v>
      </c>
      <c r="B9081" t="s">
        <v>195</v>
      </c>
      <c r="C9081">
        <v>0</v>
      </c>
      <c r="D9081">
        <v>0</v>
      </c>
      <c r="E9081">
        <v>1</v>
      </c>
      <c r="F9081">
        <v>0</v>
      </c>
      <c r="G9081">
        <v>0</v>
      </c>
      <c r="H9081">
        <v>0</v>
      </c>
      <c r="I9081">
        <v>0</v>
      </c>
      <c r="J9081">
        <v>1717.51891457684</v>
      </c>
      <c r="K9081">
        <v>1365.13930982437</v>
      </c>
      <c r="L9081">
        <v>83.105999999999995</v>
      </c>
      <c r="M9081">
        <v>60.398000000000003</v>
      </c>
      <c r="N9081">
        <v>117.67</v>
      </c>
    </row>
    <row r="9082" spans="1:14" x14ac:dyDescent="0.45">
      <c r="A9082">
        <v>2022</v>
      </c>
      <c r="B9082" t="s">
        <v>196</v>
      </c>
      <c r="C9082">
        <v>0</v>
      </c>
      <c r="D9082">
        <v>0</v>
      </c>
      <c r="E9082">
        <v>1</v>
      </c>
      <c r="F9082">
        <v>1</v>
      </c>
      <c r="G9082">
        <v>0</v>
      </c>
      <c r="H9082">
        <v>0</v>
      </c>
      <c r="I9082">
        <v>0</v>
      </c>
      <c r="J9082">
        <v>5552.8376499495698</v>
      </c>
      <c r="K9082">
        <v>4909.4568828527399</v>
      </c>
      <c r="L9082">
        <v>46.478999999999999</v>
      </c>
      <c r="M9082">
        <v>54.079000000000001</v>
      </c>
      <c r="N9082">
        <v>107.349</v>
      </c>
    </row>
    <row r="9083" spans="1:14" x14ac:dyDescent="0.45">
      <c r="A9083">
        <v>2022</v>
      </c>
      <c r="B9083" t="s">
        <v>197</v>
      </c>
      <c r="C9083">
        <v>0</v>
      </c>
      <c r="D9083">
        <v>1</v>
      </c>
      <c r="E9083">
        <v>0</v>
      </c>
      <c r="F9083">
        <v>1</v>
      </c>
      <c r="G9083">
        <v>0</v>
      </c>
      <c r="H9083">
        <v>0</v>
      </c>
      <c r="I9083">
        <v>0</v>
      </c>
      <c r="J9083">
        <v>7277.8226480456196</v>
      </c>
      <c r="K9083">
        <v>6129.8563953620796</v>
      </c>
      <c r="L9083">
        <v>40.444000000000003</v>
      </c>
      <c r="M9083">
        <v>74.462999999999994</v>
      </c>
      <c r="N9083">
        <v>15.185</v>
      </c>
    </row>
    <row r="9084" spans="1:14" x14ac:dyDescent="0.45">
      <c r="A9084">
        <v>2022</v>
      </c>
      <c r="B9084" t="s">
        <v>198</v>
      </c>
      <c r="C9084">
        <v>1</v>
      </c>
      <c r="D9084">
        <v>0</v>
      </c>
      <c r="E9084">
        <v>0</v>
      </c>
      <c r="F9084">
        <v>0</v>
      </c>
      <c r="G9084">
        <v>0</v>
      </c>
      <c r="H9084">
        <v>1</v>
      </c>
      <c r="I9084">
        <v>1</v>
      </c>
      <c r="J9084">
        <v>71324.036034927703</v>
      </c>
      <c r="K9084">
        <v>60207.6875322212</v>
      </c>
      <c r="L9084">
        <v>7.1139999999999999</v>
      </c>
      <c r="M9084">
        <v>81.912000000000006</v>
      </c>
      <c r="N9084">
        <v>3.9889999999999999</v>
      </c>
    </row>
    <row r="9085" spans="1:14" x14ac:dyDescent="0.45">
      <c r="A9085">
        <v>2022</v>
      </c>
      <c r="B9085" t="s">
        <v>199</v>
      </c>
      <c r="C9085">
        <v>1</v>
      </c>
      <c r="D9085">
        <v>0</v>
      </c>
      <c r="E9085">
        <v>0</v>
      </c>
      <c r="F9085">
        <v>0</v>
      </c>
      <c r="G9085">
        <v>0</v>
      </c>
      <c r="H9085">
        <v>1</v>
      </c>
      <c r="I9085">
        <v>1</v>
      </c>
      <c r="J9085">
        <v>91051.0831968407</v>
      </c>
      <c r="K9085">
        <v>67276.517004650101</v>
      </c>
      <c r="L9085">
        <v>16.335999999999999</v>
      </c>
      <c r="M9085">
        <v>82.631</v>
      </c>
      <c r="N9085">
        <v>2.2719999999999998</v>
      </c>
    </row>
    <row r="9086" spans="1:14" x14ac:dyDescent="0.45">
      <c r="A9086">
        <v>2022</v>
      </c>
      <c r="B9086" t="s">
        <v>200</v>
      </c>
      <c r="C9086">
        <v>0</v>
      </c>
      <c r="D9086">
        <v>0</v>
      </c>
      <c r="E9086">
        <v>0</v>
      </c>
      <c r="F9086">
        <v>1</v>
      </c>
      <c r="G9086">
        <v>0</v>
      </c>
      <c r="H9086">
        <v>0</v>
      </c>
      <c r="I9086">
        <v>0</v>
      </c>
      <c r="J9086">
        <v>4763.3875107394597</v>
      </c>
      <c r="K9086">
        <v>4217.0599386481899</v>
      </c>
      <c r="L9086">
        <v>78.549000000000007</v>
      </c>
      <c r="M9086">
        <v>70.087000000000003</v>
      </c>
      <c r="N9086">
        <v>27.533000000000001</v>
      </c>
    </row>
    <row r="9087" spans="1:14" x14ac:dyDescent="0.45">
      <c r="A9087">
        <v>2022</v>
      </c>
      <c r="B9087" t="s">
        <v>201</v>
      </c>
      <c r="C9087">
        <v>0</v>
      </c>
      <c r="D9087">
        <v>0</v>
      </c>
      <c r="E9087">
        <v>0</v>
      </c>
      <c r="F9087">
        <v>0</v>
      </c>
      <c r="G9087">
        <v>0</v>
      </c>
      <c r="H9087">
        <v>1</v>
      </c>
      <c r="I9087">
        <v>1</v>
      </c>
      <c r="J9087">
        <v>12458.740510125201</v>
      </c>
      <c r="K9087">
        <v>11271.677562483599</v>
      </c>
      <c r="L9087">
        <v>0</v>
      </c>
      <c r="M9087">
        <v>61.93</v>
      </c>
      <c r="N9087">
        <v>26.597000000000001</v>
      </c>
    </row>
    <row r="9088" spans="1:14" x14ac:dyDescent="0.45">
      <c r="A9088">
        <v>2022</v>
      </c>
      <c r="B9088" t="s">
        <v>202</v>
      </c>
      <c r="C9088">
        <v>0</v>
      </c>
      <c r="D9088">
        <v>0</v>
      </c>
      <c r="E9088">
        <v>0</v>
      </c>
      <c r="F9088">
        <v>0</v>
      </c>
      <c r="G9088">
        <v>0</v>
      </c>
      <c r="H9088">
        <v>1</v>
      </c>
      <c r="I9088">
        <v>1</v>
      </c>
      <c r="J9088">
        <v>49618.525333861602</v>
      </c>
      <c r="K9088">
        <v>45130.6289564443</v>
      </c>
      <c r="L9088">
        <v>13.116</v>
      </c>
      <c r="M9088">
        <v>81.006</v>
      </c>
      <c r="N9088">
        <v>6.1669999999999998</v>
      </c>
    </row>
    <row r="9089" spans="1:14" x14ac:dyDescent="0.45">
      <c r="A9089">
        <v>2022</v>
      </c>
      <c r="B9089" t="s">
        <v>203</v>
      </c>
      <c r="C9089">
        <v>0</v>
      </c>
      <c r="D9089">
        <v>0</v>
      </c>
      <c r="E9089">
        <v>0</v>
      </c>
      <c r="F9089">
        <v>0</v>
      </c>
      <c r="G9089">
        <v>0</v>
      </c>
      <c r="H9089">
        <v>1</v>
      </c>
      <c r="I9089">
        <v>1</v>
      </c>
      <c r="J9089">
        <v>39780.212277498496</v>
      </c>
      <c r="K9089">
        <v>34565.845376567297</v>
      </c>
      <c r="L9089">
        <v>12.25</v>
      </c>
      <c r="M9089">
        <v>77.911000000000001</v>
      </c>
      <c r="N9089">
        <v>10.484999999999999</v>
      </c>
    </row>
    <row r="9090" spans="1:14" x14ac:dyDescent="0.45">
      <c r="A9090">
        <v>2022</v>
      </c>
      <c r="B9090" t="s">
        <v>204</v>
      </c>
      <c r="C9090">
        <v>0</v>
      </c>
      <c r="D9090">
        <v>0</v>
      </c>
      <c r="E9090">
        <v>0</v>
      </c>
      <c r="F9090">
        <v>1</v>
      </c>
      <c r="G9090">
        <v>0</v>
      </c>
      <c r="H9090">
        <v>0</v>
      </c>
      <c r="I9090">
        <v>0</v>
      </c>
      <c r="J9090">
        <v>5526.2792831021297</v>
      </c>
      <c r="K9090">
        <v>5260.4585083080601</v>
      </c>
      <c r="L9090">
        <v>62.268999999999998</v>
      </c>
      <c r="M9090">
        <v>67.417000000000002</v>
      </c>
      <c r="N9090">
        <v>61.25</v>
      </c>
    </row>
    <row r="9091" spans="1:14" x14ac:dyDescent="0.45">
      <c r="A9091">
        <v>2022</v>
      </c>
      <c r="B9091" t="s">
        <v>205</v>
      </c>
      <c r="C9091">
        <v>0</v>
      </c>
      <c r="D9091">
        <v>1</v>
      </c>
      <c r="E9091">
        <v>0</v>
      </c>
      <c r="F9091">
        <v>0</v>
      </c>
      <c r="G9091">
        <v>0</v>
      </c>
      <c r="H9091">
        <v>1</v>
      </c>
      <c r="I9091">
        <v>1</v>
      </c>
      <c r="J9091">
        <v>33833.026507828399</v>
      </c>
      <c r="K9091">
        <v>35476.5683393238</v>
      </c>
      <c r="L9091">
        <v>30.859000000000002</v>
      </c>
      <c r="M9091">
        <v>79.323999999999998</v>
      </c>
      <c r="N9091">
        <v>16.507999999999999</v>
      </c>
    </row>
    <row r="9092" spans="1:14" x14ac:dyDescent="0.45">
      <c r="A9092">
        <v>2022</v>
      </c>
      <c r="B9092" t="s">
        <v>206</v>
      </c>
      <c r="C9092">
        <v>0</v>
      </c>
      <c r="D9092">
        <v>1</v>
      </c>
      <c r="E9092">
        <v>0</v>
      </c>
      <c r="F9092">
        <v>0</v>
      </c>
      <c r="G9092">
        <v>1</v>
      </c>
      <c r="H9092">
        <v>0</v>
      </c>
      <c r="I9092">
        <v>0</v>
      </c>
      <c r="J9092">
        <v>15559.821643644</v>
      </c>
      <c r="K9092">
        <v>13001.541487210699</v>
      </c>
      <c r="L9092">
        <v>21.292000000000002</v>
      </c>
      <c r="M9092">
        <v>76.834000000000003</v>
      </c>
      <c r="N9092">
        <v>15.215</v>
      </c>
    </row>
    <row r="9093" spans="1:14" x14ac:dyDescent="0.45">
      <c r="A9093">
        <v>2022</v>
      </c>
      <c r="B9093" t="s">
        <v>207</v>
      </c>
      <c r="C9093">
        <v>0</v>
      </c>
      <c r="D9093">
        <v>0</v>
      </c>
      <c r="E9093">
        <v>0</v>
      </c>
      <c r="F9093">
        <v>1</v>
      </c>
      <c r="G9093">
        <v>0</v>
      </c>
      <c r="H9093">
        <v>0</v>
      </c>
      <c r="I9093">
        <v>0</v>
      </c>
      <c r="J9093">
        <v>9457.1039540288293</v>
      </c>
      <c r="K9093">
        <v>8564.3587673279198</v>
      </c>
      <c r="L9093">
        <v>52.023000000000003</v>
      </c>
      <c r="M9093">
        <v>69.471999999999994</v>
      </c>
      <c r="N9093">
        <v>27.966999999999999</v>
      </c>
    </row>
    <row r="9094" spans="1:14" x14ac:dyDescent="0.45">
      <c r="A9094">
        <v>2022</v>
      </c>
      <c r="B9094" t="s">
        <v>208</v>
      </c>
      <c r="C9094">
        <v>0</v>
      </c>
      <c r="D9094">
        <v>0</v>
      </c>
      <c r="E9094">
        <v>0</v>
      </c>
      <c r="F9094">
        <v>0</v>
      </c>
      <c r="G9094">
        <v>1</v>
      </c>
      <c r="H9094">
        <v>0</v>
      </c>
      <c r="I9094">
        <v>0</v>
      </c>
      <c r="J9094">
        <v>15477.5526357323</v>
      </c>
      <c r="K9094">
        <v>14002.8586858006</v>
      </c>
      <c r="L9094">
        <v>18.044</v>
      </c>
      <c r="M9094">
        <v>68.921999999999997</v>
      </c>
      <c r="N9094">
        <v>22.231999999999999</v>
      </c>
    </row>
    <row r="9095" spans="1:14" x14ac:dyDescent="0.45">
      <c r="A9095">
        <v>2022</v>
      </c>
      <c r="B9095" t="s">
        <v>209</v>
      </c>
      <c r="C9095">
        <v>0</v>
      </c>
      <c r="D9095">
        <v>0</v>
      </c>
      <c r="E9095">
        <v>0</v>
      </c>
      <c r="F9095">
        <v>1</v>
      </c>
      <c r="G9095">
        <v>0</v>
      </c>
      <c r="H9095">
        <v>0</v>
      </c>
      <c r="I9095">
        <v>0</v>
      </c>
      <c r="J9095">
        <v>4125.4930336520101</v>
      </c>
      <c r="K9095">
        <v>3731.9265507927898</v>
      </c>
      <c r="L9095">
        <v>86.418000000000006</v>
      </c>
      <c r="M9095">
        <v>65.274000000000001</v>
      </c>
      <c r="N9095">
        <v>41.134</v>
      </c>
    </row>
    <row r="9096" spans="1:14" x14ac:dyDescent="0.45">
      <c r="A9096">
        <v>2022</v>
      </c>
      <c r="B9096" t="s">
        <v>210</v>
      </c>
      <c r="C9096">
        <v>1</v>
      </c>
      <c r="D9096">
        <v>0</v>
      </c>
      <c r="E9096">
        <v>0</v>
      </c>
      <c r="F9096">
        <v>0</v>
      </c>
      <c r="G9096">
        <v>0</v>
      </c>
      <c r="H9096">
        <v>1</v>
      </c>
      <c r="I9096">
        <v>1</v>
      </c>
      <c r="J9096">
        <v>43405.021579744098</v>
      </c>
      <c r="K9096">
        <v>37465.958638911798</v>
      </c>
      <c r="L9096">
        <v>39.866</v>
      </c>
      <c r="M9096">
        <v>77.923000000000002</v>
      </c>
      <c r="N9096">
        <v>3.9420000000000002</v>
      </c>
    </row>
    <row r="9097" spans="1:14" x14ac:dyDescent="0.45">
      <c r="A9097">
        <v>2022</v>
      </c>
      <c r="B9097" t="s">
        <v>211</v>
      </c>
      <c r="C9097">
        <v>0</v>
      </c>
      <c r="D9097">
        <v>1</v>
      </c>
      <c r="E9097">
        <v>0</v>
      </c>
      <c r="F9097">
        <v>0</v>
      </c>
      <c r="G9097">
        <v>0</v>
      </c>
      <c r="H9097">
        <v>1</v>
      </c>
      <c r="I9097">
        <v>1</v>
      </c>
      <c r="J9097">
        <v>42310.958506470197</v>
      </c>
      <c r="K9097">
        <v>32505.001721277</v>
      </c>
      <c r="L9097">
        <v>6.39</v>
      </c>
      <c r="M9097">
        <v>79.427000000000007</v>
      </c>
      <c r="N9097">
        <v>6.226</v>
      </c>
    </row>
    <row r="9098" spans="1:14" x14ac:dyDescent="0.45">
      <c r="A9098">
        <v>2022</v>
      </c>
      <c r="B9098" t="s">
        <v>212</v>
      </c>
      <c r="C9098">
        <v>0</v>
      </c>
      <c r="D9098">
        <v>0</v>
      </c>
      <c r="E9098">
        <v>0</v>
      </c>
      <c r="F9098">
        <v>0</v>
      </c>
      <c r="G9098">
        <v>0</v>
      </c>
      <c r="H9098">
        <v>0</v>
      </c>
      <c r="I9098">
        <v>0</v>
      </c>
      <c r="L9098">
        <v>37.084000000000003</v>
      </c>
      <c r="M9098">
        <v>73.641000000000005</v>
      </c>
      <c r="N9098">
        <v>17.774000000000001</v>
      </c>
    </row>
    <row r="9099" spans="1:14" x14ac:dyDescent="0.45">
      <c r="A9099">
        <v>2022</v>
      </c>
      <c r="B9099" t="s">
        <v>213</v>
      </c>
      <c r="C9099">
        <v>1</v>
      </c>
      <c r="D9099">
        <v>0</v>
      </c>
      <c r="E9099">
        <v>0</v>
      </c>
      <c r="F9099">
        <v>0</v>
      </c>
      <c r="G9099">
        <v>0</v>
      </c>
      <c r="H9099">
        <v>1</v>
      </c>
      <c r="I9099">
        <v>1</v>
      </c>
      <c r="J9099">
        <v>41070.8613086021</v>
      </c>
      <c r="K9099">
        <v>35500.958165389202</v>
      </c>
      <c r="L9099">
        <v>32.619</v>
      </c>
      <c r="M9099">
        <v>81.194000000000003</v>
      </c>
      <c r="N9099">
        <v>4.0890000000000004</v>
      </c>
    </row>
    <row r="9100" spans="1:14" x14ac:dyDescent="0.45">
      <c r="A9100">
        <v>2022</v>
      </c>
      <c r="B9100" t="s">
        <v>214</v>
      </c>
      <c r="C9100">
        <v>0</v>
      </c>
      <c r="D9100">
        <v>1</v>
      </c>
      <c r="E9100">
        <v>0</v>
      </c>
      <c r="F9100">
        <v>0</v>
      </c>
      <c r="G9100">
        <v>1</v>
      </c>
      <c r="H9100">
        <v>0</v>
      </c>
      <c r="I9100">
        <v>0</v>
      </c>
      <c r="J9100">
        <v>15259.1456311826</v>
      </c>
      <c r="K9100">
        <v>13921.5141984602</v>
      </c>
      <c r="L9100">
        <v>37.182000000000002</v>
      </c>
      <c r="M9100">
        <v>72.319000000000003</v>
      </c>
      <c r="N9100">
        <v>17.425000000000001</v>
      </c>
    </row>
    <row r="9101" spans="1:14" x14ac:dyDescent="0.45">
      <c r="A9101">
        <v>2022</v>
      </c>
      <c r="B9101" t="s">
        <v>215</v>
      </c>
      <c r="C9101">
        <v>0</v>
      </c>
      <c r="D9101">
        <v>0</v>
      </c>
      <c r="E9101">
        <v>0</v>
      </c>
      <c r="F9101">
        <v>0</v>
      </c>
      <c r="G9101">
        <v>1</v>
      </c>
      <c r="H9101">
        <v>0</v>
      </c>
      <c r="I9101">
        <v>0</v>
      </c>
      <c r="J9101">
        <v>5753.0839589930702</v>
      </c>
      <c r="K9101">
        <v>4905.56763706728</v>
      </c>
      <c r="L9101">
        <v>22.709</v>
      </c>
      <c r="M9101">
        <v>76.662000000000006</v>
      </c>
      <c r="N9101">
        <v>14.461</v>
      </c>
    </row>
    <row r="9102" spans="1:14" x14ac:dyDescent="0.45">
      <c r="A9102">
        <v>2022</v>
      </c>
      <c r="B9102" t="s">
        <v>216</v>
      </c>
      <c r="C9102">
        <v>0</v>
      </c>
      <c r="D9102">
        <v>0</v>
      </c>
      <c r="E9102">
        <v>0</v>
      </c>
      <c r="F9102">
        <v>0</v>
      </c>
      <c r="G9102">
        <v>0</v>
      </c>
      <c r="H9102">
        <v>1</v>
      </c>
      <c r="I9102">
        <v>1</v>
      </c>
      <c r="L9102">
        <v>37.83</v>
      </c>
      <c r="M9102">
        <v>83.858999999999995</v>
      </c>
      <c r="N9102">
        <v>6.2350000000000003</v>
      </c>
    </row>
    <row r="9103" spans="1:14" x14ac:dyDescent="0.45">
      <c r="A9103">
        <v>2022</v>
      </c>
      <c r="B9103" t="s">
        <v>217</v>
      </c>
      <c r="C9103">
        <v>0</v>
      </c>
      <c r="D9103">
        <v>0</v>
      </c>
      <c r="E9103">
        <v>0</v>
      </c>
      <c r="F9103">
        <v>0</v>
      </c>
      <c r="G9103">
        <v>0</v>
      </c>
      <c r="H9103">
        <v>1</v>
      </c>
      <c r="I9103">
        <v>1</v>
      </c>
      <c r="J9103">
        <v>114740.12361423</v>
      </c>
      <c r="K9103">
        <v>99077.851420506297</v>
      </c>
      <c r="L9103">
        <v>0.68200000000000205</v>
      </c>
      <c r="M9103">
        <v>81.856999999999999</v>
      </c>
      <c r="N9103">
        <v>5.25</v>
      </c>
    </row>
    <row r="9104" spans="1:14" x14ac:dyDescent="0.45">
      <c r="A9104">
        <v>2022</v>
      </c>
      <c r="B9104" t="s">
        <v>218</v>
      </c>
      <c r="C9104">
        <v>1</v>
      </c>
      <c r="D9104">
        <v>0</v>
      </c>
      <c r="E9104">
        <v>0</v>
      </c>
      <c r="F9104">
        <v>0</v>
      </c>
      <c r="G9104">
        <v>0</v>
      </c>
      <c r="H9104">
        <v>1</v>
      </c>
      <c r="I9104">
        <v>1</v>
      </c>
      <c r="J9104">
        <v>39377.971736992498</v>
      </c>
      <c r="K9104">
        <v>32007.835599707902</v>
      </c>
      <c r="L9104">
        <v>45.511000000000003</v>
      </c>
      <c r="M9104">
        <v>75.260999999999996</v>
      </c>
      <c r="N9104">
        <v>6.6669999999999998</v>
      </c>
    </row>
    <row r="9105" spans="1:14" x14ac:dyDescent="0.45">
      <c r="A9105">
        <v>2022</v>
      </c>
      <c r="B9105" t="s">
        <v>219</v>
      </c>
      <c r="C9105">
        <v>1</v>
      </c>
      <c r="D9105">
        <v>0</v>
      </c>
      <c r="E9105">
        <v>0</v>
      </c>
      <c r="F9105">
        <v>0</v>
      </c>
      <c r="G9105">
        <v>1</v>
      </c>
      <c r="H9105">
        <v>0</v>
      </c>
      <c r="I9105">
        <v>0</v>
      </c>
      <c r="J9105">
        <v>38214.49609375</v>
      </c>
      <c r="K9105">
        <v>27694.0897377295</v>
      </c>
      <c r="L9105">
        <v>24.873999999999999</v>
      </c>
      <c r="M9105">
        <v>72.516999999999996</v>
      </c>
      <c r="N9105">
        <v>4.92</v>
      </c>
    </row>
    <row r="9106" spans="1:14" x14ac:dyDescent="0.45">
      <c r="A9106">
        <v>2022</v>
      </c>
      <c r="B9106" t="s">
        <v>220</v>
      </c>
      <c r="C9106">
        <v>0</v>
      </c>
      <c r="D9106">
        <v>0</v>
      </c>
      <c r="E9106">
        <v>1</v>
      </c>
      <c r="F9106">
        <v>0</v>
      </c>
      <c r="G9106">
        <v>0</v>
      </c>
      <c r="H9106">
        <v>0</v>
      </c>
      <c r="I9106">
        <v>0</v>
      </c>
      <c r="J9106">
        <v>2892.45964942821</v>
      </c>
      <c r="K9106">
        <v>2420.5660140721202</v>
      </c>
      <c r="L9106">
        <v>82.278999999999996</v>
      </c>
      <c r="M9106">
        <v>67.528000000000006</v>
      </c>
      <c r="N9106">
        <v>38.07</v>
      </c>
    </row>
    <row r="9107" spans="1:14" x14ac:dyDescent="0.45">
      <c r="A9107">
        <v>2022</v>
      </c>
      <c r="B9107" t="s">
        <v>221</v>
      </c>
      <c r="C9107">
        <v>0</v>
      </c>
      <c r="D9107">
        <v>0</v>
      </c>
      <c r="E9107">
        <v>0</v>
      </c>
      <c r="F9107">
        <v>0</v>
      </c>
      <c r="G9107">
        <v>0</v>
      </c>
      <c r="H9107">
        <v>1</v>
      </c>
      <c r="I9107">
        <v>1</v>
      </c>
      <c r="J9107">
        <v>67178.590227490597</v>
      </c>
      <c r="K9107">
        <v>61587.856326665104</v>
      </c>
      <c r="L9107">
        <v>15.271000000000001</v>
      </c>
      <c r="M9107">
        <v>77.31</v>
      </c>
      <c r="N9107">
        <v>6.444</v>
      </c>
    </row>
    <row r="9108" spans="1:14" x14ac:dyDescent="0.45">
      <c r="A9108">
        <v>2022</v>
      </c>
      <c r="B9108" t="s">
        <v>222</v>
      </c>
      <c r="C9108">
        <v>0</v>
      </c>
      <c r="D9108">
        <v>0</v>
      </c>
      <c r="E9108">
        <v>1</v>
      </c>
      <c r="F9108">
        <v>0</v>
      </c>
      <c r="G9108">
        <v>0</v>
      </c>
      <c r="H9108">
        <v>0</v>
      </c>
      <c r="I9108">
        <v>0</v>
      </c>
      <c r="J9108">
        <v>3132.0771484375</v>
      </c>
      <c r="K9108">
        <v>3279.69781475123</v>
      </c>
      <c r="L9108">
        <v>64.043999999999997</v>
      </c>
      <c r="M9108">
        <v>65.694999999999993</v>
      </c>
      <c r="N9108">
        <v>51.671999999999997</v>
      </c>
    </row>
    <row r="9109" spans="1:14" x14ac:dyDescent="0.45">
      <c r="A9109">
        <v>2022</v>
      </c>
      <c r="B9109" t="s">
        <v>223</v>
      </c>
      <c r="C9109">
        <v>0</v>
      </c>
      <c r="D9109">
        <v>0</v>
      </c>
      <c r="E9109">
        <v>1</v>
      </c>
      <c r="F9109">
        <v>1</v>
      </c>
      <c r="G9109">
        <v>0</v>
      </c>
      <c r="H9109">
        <v>0</v>
      </c>
      <c r="I9109">
        <v>0</v>
      </c>
      <c r="J9109">
        <v>4228.7338264297396</v>
      </c>
      <c r="K9109">
        <v>3532.84919688531</v>
      </c>
      <c r="L9109">
        <v>50.914000000000001</v>
      </c>
      <c r="M9109">
        <v>67.787999999999997</v>
      </c>
      <c r="N9109">
        <v>37.021999999999998</v>
      </c>
    </row>
    <row r="9110" spans="1:14" x14ac:dyDescent="0.45">
      <c r="A9110">
        <v>2022</v>
      </c>
      <c r="B9110" t="s">
        <v>224</v>
      </c>
      <c r="C9110">
        <v>0</v>
      </c>
      <c r="D9110">
        <v>0</v>
      </c>
      <c r="E9110">
        <v>0</v>
      </c>
      <c r="F9110">
        <v>0</v>
      </c>
      <c r="G9110">
        <v>0</v>
      </c>
      <c r="H9110">
        <v>1</v>
      </c>
      <c r="I9110">
        <v>1</v>
      </c>
      <c r="J9110">
        <v>133571.96241032201</v>
      </c>
      <c r="K9110">
        <v>109801.137093786</v>
      </c>
      <c r="L9110">
        <v>0</v>
      </c>
      <c r="M9110">
        <v>82.921000000000006</v>
      </c>
      <c r="N9110">
        <v>2.39</v>
      </c>
    </row>
    <row r="9111" spans="1:14" x14ac:dyDescent="0.45">
      <c r="A9111">
        <v>2022</v>
      </c>
      <c r="B9111" t="s">
        <v>225</v>
      </c>
      <c r="C9111">
        <v>0</v>
      </c>
      <c r="D9111">
        <v>0</v>
      </c>
      <c r="E9111">
        <v>0</v>
      </c>
      <c r="F9111">
        <v>1</v>
      </c>
      <c r="G9111">
        <v>0</v>
      </c>
      <c r="H9111">
        <v>0</v>
      </c>
      <c r="I9111">
        <v>0</v>
      </c>
      <c r="J9111">
        <v>2517.9254211471198</v>
      </c>
      <c r="K9111">
        <v>2277.6472510909598</v>
      </c>
      <c r="L9111">
        <v>74.415999999999997</v>
      </c>
      <c r="M9111">
        <v>70.409000000000006</v>
      </c>
      <c r="N9111">
        <v>18.353000000000002</v>
      </c>
    </row>
    <row r="9112" spans="1:14" x14ac:dyDescent="0.45">
      <c r="A9112">
        <v>2022</v>
      </c>
      <c r="B9112" t="s">
        <v>226</v>
      </c>
      <c r="C9112">
        <v>0</v>
      </c>
      <c r="D9112">
        <v>0</v>
      </c>
      <c r="E9112">
        <v>1</v>
      </c>
      <c r="F9112">
        <v>0</v>
      </c>
      <c r="G9112">
        <v>0</v>
      </c>
      <c r="H9112">
        <v>0</v>
      </c>
      <c r="I9112">
        <v>0</v>
      </c>
      <c r="J9112">
        <v>2937.37346508684</v>
      </c>
      <c r="K9112">
        <v>2666.1674784270899</v>
      </c>
      <c r="L9112">
        <v>56.168999999999997</v>
      </c>
      <c r="M9112">
        <v>61.274999999999999</v>
      </c>
      <c r="N9112">
        <v>100.78100000000001</v>
      </c>
    </row>
    <row r="9113" spans="1:14" x14ac:dyDescent="0.45">
      <c r="A9113">
        <v>2022</v>
      </c>
      <c r="B9113" t="s">
        <v>227</v>
      </c>
      <c r="C9113">
        <v>0</v>
      </c>
      <c r="D9113">
        <v>1</v>
      </c>
      <c r="E9113">
        <v>0</v>
      </c>
      <c r="F9113">
        <v>0</v>
      </c>
      <c r="G9113">
        <v>1</v>
      </c>
      <c r="H9113">
        <v>0</v>
      </c>
      <c r="I9113">
        <v>0</v>
      </c>
      <c r="J9113">
        <v>11085.6178074688</v>
      </c>
      <c r="K9113">
        <v>9874.5184450625093</v>
      </c>
      <c r="L9113">
        <v>25.233000000000001</v>
      </c>
      <c r="M9113">
        <v>71.968999999999994</v>
      </c>
      <c r="N9113">
        <v>11.957000000000001</v>
      </c>
    </row>
    <row r="9114" spans="1:14" x14ac:dyDescent="0.45">
      <c r="A9114">
        <v>2022</v>
      </c>
      <c r="B9114" t="s">
        <v>228</v>
      </c>
      <c r="C9114">
        <v>1</v>
      </c>
      <c r="D9114">
        <v>0</v>
      </c>
      <c r="E9114">
        <v>0</v>
      </c>
      <c r="F9114">
        <v>0</v>
      </c>
      <c r="G9114">
        <v>0</v>
      </c>
      <c r="H9114">
        <v>1</v>
      </c>
      <c r="I9114">
        <v>1</v>
      </c>
      <c r="J9114">
        <v>70887.573899815005</v>
      </c>
      <c r="K9114">
        <v>62478.488062601602</v>
      </c>
      <c r="L9114">
        <v>2.2679999999999998</v>
      </c>
      <c r="M9114">
        <v>85.707999999999998</v>
      </c>
      <c r="N9114">
        <v>1.4610000000000001</v>
      </c>
    </row>
    <row r="9115" spans="1:14" x14ac:dyDescent="0.45">
      <c r="A9115">
        <v>2022</v>
      </c>
      <c r="B9115" t="s">
        <v>229</v>
      </c>
      <c r="C9115">
        <v>0</v>
      </c>
      <c r="D9115">
        <v>0</v>
      </c>
      <c r="E9115">
        <v>1</v>
      </c>
      <c r="F9115">
        <v>0</v>
      </c>
      <c r="G9115">
        <v>0</v>
      </c>
      <c r="H9115">
        <v>0</v>
      </c>
      <c r="I9115">
        <v>0</v>
      </c>
      <c r="J9115">
        <v>1387.8137420749199</v>
      </c>
      <c r="K9115">
        <v>1287.24482457567</v>
      </c>
      <c r="L9115">
        <v>52.676000000000002</v>
      </c>
      <c r="M9115">
        <v>53.930999999999997</v>
      </c>
      <c r="N9115">
        <v>144.31200000000001</v>
      </c>
    </row>
    <row r="9116" spans="1:14" x14ac:dyDescent="0.45">
      <c r="A9116">
        <v>2022</v>
      </c>
      <c r="B9116" t="s">
        <v>230</v>
      </c>
      <c r="C9116">
        <v>1</v>
      </c>
      <c r="D9116">
        <v>0</v>
      </c>
      <c r="E9116">
        <v>0</v>
      </c>
      <c r="F9116">
        <v>0</v>
      </c>
      <c r="G9116">
        <v>1</v>
      </c>
      <c r="H9116">
        <v>0</v>
      </c>
      <c r="I9116">
        <v>0</v>
      </c>
      <c r="J9116">
        <v>24633.069779023201</v>
      </c>
      <c r="K9116">
        <v>21660.443593694701</v>
      </c>
      <c r="L9116">
        <v>43.127000000000002</v>
      </c>
      <c r="M9116">
        <v>75.477999999999994</v>
      </c>
      <c r="N9116">
        <v>4.88</v>
      </c>
    </row>
    <row r="9117" spans="1:14" x14ac:dyDescent="0.45">
      <c r="A9117">
        <v>2022</v>
      </c>
      <c r="B9117" t="s">
        <v>231</v>
      </c>
      <c r="C9117">
        <v>0</v>
      </c>
      <c r="D9117">
        <v>0</v>
      </c>
      <c r="E9117">
        <v>1</v>
      </c>
      <c r="F9117">
        <v>0</v>
      </c>
      <c r="G9117">
        <v>0</v>
      </c>
      <c r="H9117">
        <v>0</v>
      </c>
      <c r="I9117">
        <v>0</v>
      </c>
      <c r="L9117">
        <v>79.153999999999996</v>
      </c>
      <c r="M9117">
        <v>57.203000000000003</v>
      </c>
      <c r="N9117">
        <v>99.433999999999997</v>
      </c>
    </row>
    <row r="9118" spans="1:14" x14ac:dyDescent="0.45">
      <c r="A9118">
        <v>2022</v>
      </c>
      <c r="B9118" t="s">
        <v>232</v>
      </c>
      <c r="C9118">
        <v>0</v>
      </c>
      <c r="D9118">
        <v>0</v>
      </c>
      <c r="E9118">
        <v>1</v>
      </c>
      <c r="F9118">
        <v>1</v>
      </c>
      <c r="G9118">
        <v>0</v>
      </c>
      <c r="H9118">
        <v>0</v>
      </c>
      <c r="I9118">
        <v>0</v>
      </c>
      <c r="J9118">
        <v>5632.13890715047</v>
      </c>
      <c r="K9118">
        <v>3505.3547280329399</v>
      </c>
      <c r="L9118">
        <v>24.245000000000001</v>
      </c>
      <c r="M9118">
        <v>69.236999999999995</v>
      </c>
      <c r="N9118">
        <v>14.475</v>
      </c>
    </row>
    <row r="9119" spans="1:14" x14ac:dyDescent="0.45">
      <c r="A9119">
        <v>2022</v>
      </c>
      <c r="B9119" t="s">
        <v>233</v>
      </c>
      <c r="C9119">
        <v>0</v>
      </c>
      <c r="D9119">
        <v>1</v>
      </c>
      <c r="E9119">
        <v>0</v>
      </c>
      <c r="F9119">
        <v>0</v>
      </c>
      <c r="G9119">
        <v>1</v>
      </c>
      <c r="H9119">
        <v>0</v>
      </c>
      <c r="I9119">
        <v>0</v>
      </c>
      <c r="J9119">
        <v>18742.5873760369</v>
      </c>
      <c r="K9119">
        <v>14918.717696825301</v>
      </c>
      <c r="L9119">
        <v>33.692999999999998</v>
      </c>
      <c r="M9119">
        <v>73.254000000000005</v>
      </c>
      <c r="N9119">
        <v>16.603999999999999</v>
      </c>
    </row>
    <row r="9120" spans="1:14" x14ac:dyDescent="0.45">
      <c r="A9120">
        <v>2022</v>
      </c>
      <c r="B9120" t="s">
        <v>234</v>
      </c>
      <c r="C9120">
        <v>1</v>
      </c>
      <c r="D9120">
        <v>0</v>
      </c>
      <c r="E9120">
        <v>0</v>
      </c>
      <c r="F9120">
        <v>0</v>
      </c>
      <c r="G9120">
        <v>0</v>
      </c>
      <c r="H9120">
        <v>1</v>
      </c>
      <c r="I9120">
        <v>1</v>
      </c>
      <c r="J9120">
        <v>38623.671064626396</v>
      </c>
      <c r="K9120">
        <v>33265.904889981699</v>
      </c>
      <c r="L9120">
        <v>46.091000000000001</v>
      </c>
      <c r="M9120">
        <v>77.036000000000001</v>
      </c>
      <c r="N9120">
        <v>5.9779999999999998</v>
      </c>
    </row>
    <row r="9121" spans="1:14" x14ac:dyDescent="0.45">
      <c r="A9121">
        <v>2022</v>
      </c>
      <c r="B9121" t="s">
        <v>235</v>
      </c>
      <c r="C9121">
        <v>1</v>
      </c>
      <c r="D9121">
        <v>0</v>
      </c>
      <c r="E9121">
        <v>0</v>
      </c>
      <c r="F9121">
        <v>0</v>
      </c>
      <c r="G9121">
        <v>0</v>
      </c>
      <c r="H9121">
        <v>1</v>
      </c>
      <c r="I9121">
        <v>1</v>
      </c>
      <c r="J9121">
        <v>47064.151794428297</v>
      </c>
      <c r="K9121">
        <v>40513.042663075503</v>
      </c>
      <c r="L9121">
        <v>44.249000000000002</v>
      </c>
      <c r="M9121">
        <v>80.793000000000006</v>
      </c>
      <c r="N9121">
        <v>3.024</v>
      </c>
    </row>
    <row r="9122" spans="1:14" x14ac:dyDescent="0.45">
      <c r="A9122">
        <v>2022</v>
      </c>
      <c r="B9122" t="s">
        <v>236</v>
      </c>
      <c r="C9122">
        <v>1</v>
      </c>
      <c r="D9122">
        <v>0</v>
      </c>
      <c r="E9122">
        <v>0</v>
      </c>
      <c r="F9122">
        <v>0</v>
      </c>
      <c r="G9122">
        <v>0</v>
      </c>
      <c r="H9122">
        <v>1</v>
      </c>
      <c r="I9122">
        <v>1</v>
      </c>
      <c r="J9122">
        <v>63215.436304985102</v>
      </c>
      <c r="K9122">
        <v>53999.792134009302</v>
      </c>
      <c r="L9122">
        <v>11.507999999999999</v>
      </c>
      <c r="M9122">
        <v>83.046000000000006</v>
      </c>
      <c r="N9122">
        <v>2.569</v>
      </c>
    </row>
    <row r="9123" spans="1:14" x14ac:dyDescent="0.45">
      <c r="A9123">
        <v>2022</v>
      </c>
      <c r="B9123" t="s">
        <v>237</v>
      </c>
      <c r="C9123">
        <v>0</v>
      </c>
      <c r="D9123">
        <v>0</v>
      </c>
      <c r="E9123">
        <v>1</v>
      </c>
      <c r="F9123">
        <v>1</v>
      </c>
      <c r="G9123">
        <v>0</v>
      </c>
      <c r="H9123">
        <v>0</v>
      </c>
      <c r="I9123">
        <v>0</v>
      </c>
      <c r="J9123">
        <v>9955.7090459536503</v>
      </c>
      <c r="K9123">
        <v>8815.7821840690503</v>
      </c>
      <c r="L9123">
        <v>75.424000000000007</v>
      </c>
      <c r="M9123">
        <v>63.027999999999999</v>
      </c>
      <c r="N9123">
        <v>51.052999999999997</v>
      </c>
    </row>
    <row r="9124" spans="1:14" x14ac:dyDescent="0.45">
      <c r="A9124">
        <v>2022</v>
      </c>
      <c r="B9124" t="s">
        <v>238</v>
      </c>
      <c r="C9124">
        <v>0</v>
      </c>
      <c r="D9124">
        <v>1</v>
      </c>
      <c r="E9124">
        <v>0</v>
      </c>
      <c r="F9124">
        <v>0</v>
      </c>
      <c r="G9124">
        <v>0</v>
      </c>
      <c r="H9124">
        <v>1</v>
      </c>
      <c r="I9124">
        <v>1</v>
      </c>
      <c r="J9124">
        <v>43877.249143133697</v>
      </c>
      <c r="K9124">
        <v>42345.384146709002</v>
      </c>
      <c r="L9124">
        <v>0</v>
      </c>
      <c r="M9124">
        <v>76.180000000000007</v>
      </c>
      <c r="N9124">
        <v>15.222</v>
      </c>
    </row>
    <row r="9125" spans="1:14" x14ac:dyDescent="0.45">
      <c r="A9125">
        <v>2022</v>
      </c>
      <c r="B9125" t="s">
        <v>239</v>
      </c>
      <c r="C9125">
        <v>0</v>
      </c>
      <c r="D9125">
        <v>0</v>
      </c>
      <c r="E9125">
        <v>1</v>
      </c>
      <c r="F9125">
        <v>0</v>
      </c>
      <c r="G9125">
        <v>0</v>
      </c>
      <c r="H9125">
        <v>1</v>
      </c>
      <c r="I9125">
        <v>1</v>
      </c>
      <c r="J9125">
        <v>27978.1770550937</v>
      </c>
      <c r="K9125">
        <v>27162.609835609299</v>
      </c>
      <c r="L9125">
        <v>41.603999999999999</v>
      </c>
      <c r="M9125">
        <v>71.248000000000005</v>
      </c>
      <c r="N9125">
        <v>15.484</v>
      </c>
    </row>
    <row r="9126" spans="1:14" x14ac:dyDescent="0.45">
      <c r="A9126">
        <v>2022</v>
      </c>
      <c r="B9126" t="s">
        <v>240</v>
      </c>
      <c r="C9126">
        <v>0</v>
      </c>
      <c r="D9126">
        <v>0</v>
      </c>
      <c r="E9126">
        <v>0</v>
      </c>
      <c r="F9126">
        <v>0</v>
      </c>
      <c r="G9126">
        <v>0</v>
      </c>
      <c r="H9126">
        <v>0</v>
      </c>
      <c r="I9126">
        <v>0</v>
      </c>
      <c r="J9126">
        <v>4454.8537327146396</v>
      </c>
      <c r="K9126">
        <v>2922.0607531093001</v>
      </c>
      <c r="L9126">
        <v>43.231000000000002</v>
      </c>
      <c r="M9126">
        <v>72.790000000000006</v>
      </c>
      <c r="N9126">
        <v>21.45</v>
      </c>
    </row>
    <row r="9127" spans="1:14" x14ac:dyDescent="0.45">
      <c r="A9127">
        <v>2022</v>
      </c>
      <c r="B9127" t="s">
        <v>241</v>
      </c>
      <c r="C9127">
        <v>0</v>
      </c>
      <c r="D9127">
        <v>1</v>
      </c>
      <c r="E9127">
        <v>0</v>
      </c>
      <c r="F9127">
        <v>0</v>
      </c>
      <c r="G9127">
        <v>0</v>
      </c>
      <c r="H9127">
        <v>1</v>
      </c>
      <c r="I9127">
        <v>1</v>
      </c>
      <c r="J9127">
        <v>28209.624253607901</v>
      </c>
      <c r="K9127">
        <v>43917.793462093301</v>
      </c>
      <c r="L9127">
        <v>5.9530000000000003</v>
      </c>
      <c r="M9127">
        <v>77.918000000000006</v>
      </c>
      <c r="N9127">
        <v>5.9450000000000003</v>
      </c>
    </row>
    <row r="9128" spans="1:14" x14ac:dyDescent="0.45">
      <c r="A9128">
        <v>2022</v>
      </c>
      <c r="B9128" t="s">
        <v>242</v>
      </c>
      <c r="C9128">
        <v>0</v>
      </c>
      <c r="D9128">
        <v>0</v>
      </c>
      <c r="E9128">
        <v>1</v>
      </c>
      <c r="F9128">
        <v>0</v>
      </c>
      <c r="G9128">
        <v>0</v>
      </c>
      <c r="H9128">
        <v>0</v>
      </c>
      <c r="I9128">
        <v>0</v>
      </c>
      <c r="J9128">
        <v>2655.7100439178998</v>
      </c>
      <c r="K9128">
        <v>2230.8925168185401</v>
      </c>
      <c r="L9128">
        <v>75.936999999999998</v>
      </c>
      <c r="M9128">
        <v>54.527999999999999</v>
      </c>
      <c r="N9128">
        <v>103.038</v>
      </c>
    </row>
    <row r="9129" spans="1:14" x14ac:dyDescent="0.45">
      <c r="A9129">
        <v>2022</v>
      </c>
      <c r="B9129" t="s">
        <v>243</v>
      </c>
      <c r="C9129">
        <v>0</v>
      </c>
      <c r="D9129">
        <v>0</v>
      </c>
      <c r="E9129">
        <v>1</v>
      </c>
      <c r="F9129">
        <v>0</v>
      </c>
      <c r="G9129">
        <v>0</v>
      </c>
      <c r="H9129">
        <v>0</v>
      </c>
      <c r="I9129">
        <v>0</v>
      </c>
      <c r="J9129">
        <v>2662.2591713482202</v>
      </c>
      <c r="K9129">
        <v>2212.4378533086001</v>
      </c>
      <c r="L9129">
        <v>56.079000000000001</v>
      </c>
      <c r="M9129">
        <v>62.29</v>
      </c>
      <c r="N9129">
        <v>60.42</v>
      </c>
    </row>
    <row r="9130" spans="1:14" x14ac:dyDescent="0.45">
      <c r="A9130">
        <v>2022</v>
      </c>
      <c r="B9130" t="s">
        <v>244</v>
      </c>
      <c r="C9130">
        <v>0</v>
      </c>
      <c r="D9130">
        <v>0</v>
      </c>
      <c r="E9130">
        <v>0</v>
      </c>
      <c r="F9130">
        <v>0</v>
      </c>
      <c r="G9130">
        <v>1</v>
      </c>
      <c r="H9130">
        <v>0</v>
      </c>
      <c r="I9130">
        <v>0</v>
      </c>
      <c r="J9130">
        <v>20762.795259852701</v>
      </c>
      <c r="K9130">
        <v>18157.6266066276</v>
      </c>
      <c r="L9130">
        <v>47.110999999999997</v>
      </c>
      <c r="M9130">
        <v>75.290999999999997</v>
      </c>
      <c r="N9130">
        <v>8.5440000000000005</v>
      </c>
    </row>
    <row r="9131" spans="1:14" x14ac:dyDescent="0.45">
      <c r="A9131">
        <v>2022</v>
      </c>
      <c r="B9131" t="s">
        <v>245</v>
      </c>
      <c r="C9131">
        <v>1</v>
      </c>
      <c r="D9131">
        <v>0</v>
      </c>
      <c r="E9131">
        <v>0</v>
      </c>
      <c r="F9131">
        <v>1</v>
      </c>
      <c r="G9131">
        <v>0</v>
      </c>
      <c r="H9131">
        <v>0</v>
      </c>
      <c r="I9131">
        <v>0</v>
      </c>
      <c r="J9131">
        <v>4213.7561836268696</v>
      </c>
      <c r="K9131">
        <v>3837.6160912707901</v>
      </c>
      <c r="L9131">
        <v>72.031999999999996</v>
      </c>
      <c r="M9131">
        <v>71.561999999999998</v>
      </c>
      <c r="N9131">
        <v>30.791</v>
      </c>
    </row>
    <row r="9132" spans="1:14" x14ac:dyDescent="0.45">
      <c r="A9132">
        <v>2022</v>
      </c>
      <c r="B9132" t="s">
        <v>246</v>
      </c>
      <c r="C9132">
        <v>1</v>
      </c>
      <c r="D9132">
        <v>0</v>
      </c>
      <c r="E9132">
        <v>0</v>
      </c>
      <c r="F9132">
        <v>0</v>
      </c>
      <c r="G9132">
        <v>1</v>
      </c>
      <c r="H9132">
        <v>0</v>
      </c>
      <c r="I9132">
        <v>0</v>
      </c>
      <c r="J9132">
        <v>17119.5744946142</v>
      </c>
      <c r="K9132">
        <v>16113.2674605017</v>
      </c>
      <c r="L9132">
        <v>46.506</v>
      </c>
      <c r="M9132">
        <v>69.912999999999997</v>
      </c>
      <c r="N9132">
        <v>40.279000000000003</v>
      </c>
    </row>
    <row r="9133" spans="1:14" x14ac:dyDescent="0.45">
      <c r="A9133">
        <v>2022</v>
      </c>
      <c r="B9133" t="s">
        <v>247</v>
      </c>
      <c r="C9133">
        <v>0</v>
      </c>
      <c r="D9133">
        <v>0</v>
      </c>
      <c r="E9133">
        <v>0</v>
      </c>
      <c r="F9133">
        <v>1</v>
      </c>
      <c r="G9133">
        <v>0</v>
      </c>
      <c r="H9133">
        <v>0</v>
      </c>
      <c r="I9133">
        <v>0</v>
      </c>
      <c r="J9133">
        <v>5347.0075904121704</v>
      </c>
      <c r="K9133">
        <v>4314.3006854653804</v>
      </c>
      <c r="L9133">
        <v>67.926000000000002</v>
      </c>
      <c r="M9133">
        <v>67.367999999999995</v>
      </c>
      <c r="N9133">
        <v>48.381</v>
      </c>
    </row>
    <row r="9134" spans="1:14" x14ac:dyDescent="0.45">
      <c r="A9134">
        <v>2022</v>
      </c>
      <c r="B9134" t="s">
        <v>248</v>
      </c>
      <c r="C9134">
        <v>0</v>
      </c>
      <c r="D9134">
        <v>0</v>
      </c>
      <c r="E9134">
        <v>0</v>
      </c>
      <c r="F9134">
        <v>0</v>
      </c>
      <c r="G9134">
        <v>1</v>
      </c>
      <c r="H9134">
        <v>0</v>
      </c>
      <c r="I9134">
        <v>0</v>
      </c>
      <c r="J9134">
        <v>6901.73837332727</v>
      </c>
      <c r="K9134">
        <v>6247.6693961634401</v>
      </c>
      <c r="L9134">
        <v>76.875</v>
      </c>
      <c r="M9134">
        <v>72.635000000000005</v>
      </c>
      <c r="N9134">
        <v>11.192</v>
      </c>
    </row>
    <row r="9135" spans="1:14" x14ac:dyDescent="0.45">
      <c r="A9135">
        <v>2022</v>
      </c>
      <c r="B9135" t="s">
        <v>249</v>
      </c>
      <c r="C9135">
        <v>0</v>
      </c>
      <c r="D9135">
        <v>1</v>
      </c>
      <c r="E9135">
        <v>0</v>
      </c>
      <c r="F9135">
        <v>0</v>
      </c>
      <c r="G9135">
        <v>0</v>
      </c>
      <c r="H9135">
        <v>1</v>
      </c>
      <c r="I9135">
        <v>1</v>
      </c>
      <c r="J9135">
        <v>30793.3998304425</v>
      </c>
      <c r="K9135">
        <v>25699.9567178127</v>
      </c>
      <c r="L9135">
        <v>46.66</v>
      </c>
      <c r="M9135">
        <v>73.331000000000003</v>
      </c>
      <c r="N9135">
        <v>16.338000000000001</v>
      </c>
    </row>
    <row r="9136" spans="1:14" x14ac:dyDescent="0.45">
      <c r="A9136">
        <v>2022</v>
      </c>
      <c r="B9136" t="s">
        <v>250</v>
      </c>
      <c r="C9136">
        <v>0</v>
      </c>
      <c r="D9136">
        <v>0</v>
      </c>
      <c r="E9136">
        <v>0</v>
      </c>
      <c r="F9136">
        <v>1</v>
      </c>
      <c r="G9136">
        <v>0</v>
      </c>
      <c r="H9136">
        <v>0</v>
      </c>
      <c r="I9136">
        <v>0</v>
      </c>
      <c r="J9136">
        <v>12702.453583942</v>
      </c>
      <c r="K9136">
        <v>11069.976112188901</v>
      </c>
      <c r="L9136">
        <v>29.786000000000001</v>
      </c>
      <c r="M9136">
        <v>76.05</v>
      </c>
      <c r="N9136">
        <v>11.516</v>
      </c>
    </row>
    <row r="9137" spans="1:14" x14ac:dyDescent="0.45">
      <c r="A9137">
        <v>2022</v>
      </c>
      <c r="B9137" t="s">
        <v>251</v>
      </c>
      <c r="C9137">
        <v>1</v>
      </c>
      <c r="D9137">
        <v>0</v>
      </c>
      <c r="E9137">
        <v>0</v>
      </c>
      <c r="F9137">
        <v>0</v>
      </c>
      <c r="G9137">
        <v>1</v>
      </c>
      <c r="H9137">
        <v>0</v>
      </c>
      <c r="I9137">
        <v>0</v>
      </c>
      <c r="J9137">
        <v>32748.318901018101</v>
      </c>
      <c r="K9137">
        <v>32835.925910166203</v>
      </c>
      <c r="L9137">
        <v>22.978000000000002</v>
      </c>
      <c r="M9137">
        <v>77.590999999999994</v>
      </c>
      <c r="N9137">
        <v>9.6069999999999993</v>
      </c>
    </row>
    <row r="9138" spans="1:14" x14ac:dyDescent="0.45">
      <c r="A9138">
        <v>2022</v>
      </c>
      <c r="B9138" t="s">
        <v>252</v>
      </c>
      <c r="C9138">
        <v>0</v>
      </c>
      <c r="D9138">
        <v>0</v>
      </c>
      <c r="E9138">
        <v>0</v>
      </c>
      <c r="F9138">
        <v>0</v>
      </c>
      <c r="G9138">
        <v>1</v>
      </c>
      <c r="H9138">
        <v>0</v>
      </c>
      <c r="I9138">
        <v>0</v>
      </c>
      <c r="J9138">
        <v>5498.18455447209</v>
      </c>
      <c r="K9138">
        <v>4973.9569366015703</v>
      </c>
      <c r="L9138">
        <v>34.472999999999999</v>
      </c>
      <c r="M9138">
        <v>66.852000000000004</v>
      </c>
      <c r="N9138">
        <v>20.402000000000001</v>
      </c>
    </row>
    <row r="9139" spans="1:14" x14ac:dyDescent="0.45">
      <c r="A9139">
        <v>2022</v>
      </c>
      <c r="B9139" t="s">
        <v>253</v>
      </c>
      <c r="C9139">
        <v>0</v>
      </c>
      <c r="D9139">
        <v>0</v>
      </c>
      <c r="E9139">
        <v>0</v>
      </c>
      <c r="F9139">
        <v>0</v>
      </c>
      <c r="G9139">
        <v>0</v>
      </c>
      <c r="H9139">
        <v>1</v>
      </c>
      <c r="I9139">
        <v>1</v>
      </c>
      <c r="L9139">
        <v>36.44</v>
      </c>
      <c r="M9139">
        <v>80.156999999999996</v>
      </c>
      <c r="N9139">
        <v>4.2809999999999997</v>
      </c>
    </row>
    <row r="9140" spans="1:14" x14ac:dyDescent="0.45">
      <c r="A9140">
        <v>2022</v>
      </c>
      <c r="B9140" t="s">
        <v>254</v>
      </c>
      <c r="C9140">
        <v>0</v>
      </c>
      <c r="D9140">
        <v>0</v>
      </c>
      <c r="E9140">
        <v>1</v>
      </c>
      <c r="F9140">
        <v>1</v>
      </c>
      <c r="G9140">
        <v>0</v>
      </c>
      <c r="H9140">
        <v>0</v>
      </c>
      <c r="I9140">
        <v>0</v>
      </c>
      <c r="J9140">
        <v>3546.98095703125</v>
      </c>
      <c r="K9140">
        <v>2642.0281311548802</v>
      </c>
      <c r="L9140">
        <v>63.317999999999998</v>
      </c>
      <c r="M9140">
        <v>66.879000000000005</v>
      </c>
      <c r="N9140">
        <v>40.654000000000003</v>
      </c>
    </row>
    <row r="9141" spans="1:14" x14ac:dyDescent="0.45">
      <c r="A9141">
        <v>2022</v>
      </c>
      <c r="B9141" t="s">
        <v>255</v>
      </c>
      <c r="C9141">
        <v>0</v>
      </c>
      <c r="D9141">
        <v>0</v>
      </c>
      <c r="E9141">
        <v>1</v>
      </c>
      <c r="F9141">
        <v>0</v>
      </c>
      <c r="G9141">
        <v>0</v>
      </c>
      <c r="H9141">
        <v>0</v>
      </c>
      <c r="I9141">
        <v>0</v>
      </c>
      <c r="J9141">
        <v>2724.9060956840899</v>
      </c>
      <c r="K9141">
        <v>2311.5502404017002</v>
      </c>
      <c r="L9141">
        <v>73.840999999999994</v>
      </c>
      <c r="M9141">
        <v>67.674999999999997</v>
      </c>
      <c r="N9141">
        <v>41.362000000000002</v>
      </c>
    </row>
    <row r="9142" spans="1:14" x14ac:dyDescent="0.45">
      <c r="A9142">
        <v>2022</v>
      </c>
      <c r="B9142" t="s">
        <v>256</v>
      </c>
      <c r="C9142">
        <v>1</v>
      </c>
      <c r="D9142">
        <v>0</v>
      </c>
      <c r="E9142">
        <v>0</v>
      </c>
      <c r="F9142">
        <v>1</v>
      </c>
      <c r="G9142">
        <v>0</v>
      </c>
      <c r="H9142">
        <v>0</v>
      </c>
      <c r="I9142">
        <v>0</v>
      </c>
      <c r="J9142">
        <v>13787.12109375</v>
      </c>
      <c r="K9142">
        <v>9751.4312939360207</v>
      </c>
      <c r="L9142">
        <v>30.081</v>
      </c>
      <c r="M9142">
        <v>72.658000000000001</v>
      </c>
      <c r="N9142">
        <v>7.4630000000000001</v>
      </c>
    </row>
    <row r="9143" spans="1:14" x14ac:dyDescent="0.45">
      <c r="A9143">
        <v>2022</v>
      </c>
      <c r="B9143" t="s">
        <v>257</v>
      </c>
      <c r="C9143">
        <v>0</v>
      </c>
      <c r="D9143">
        <v>1</v>
      </c>
      <c r="E9143">
        <v>0</v>
      </c>
      <c r="F9143">
        <v>0</v>
      </c>
      <c r="G9143">
        <v>0</v>
      </c>
      <c r="H9143">
        <v>1</v>
      </c>
      <c r="I9143">
        <v>1</v>
      </c>
      <c r="J9143">
        <v>30804.703277579702</v>
      </c>
      <c r="K9143">
        <v>24433.322726238199</v>
      </c>
      <c r="L9143">
        <v>4.3120000000000003</v>
      </c>
      <c r="M9143">
        <v>76.468000000000004</v>
      </c>
      <c r="N9143">
        <v>7.6239999999999997</v>
      </c>
    </row>
    <row r="9144" spans="1:14" x14ac:dyDescent="0.45">
      <c r="A9144">
        <v>2022</v>
      </c>
      <c r="B9144" t="s">
        <v>258</v>
      </c>
      <c r="C9144">
        <v>0</v>
      </c>
      <c r="D9144">
        <v>0</v>
      </c>
      <c r="E9144">
        <v>0</v>
      </c>
      <c r="F9144">
        <v>0</v>
      </c>
      <c r="G9144">
        <v>0</v>
      </c>
      <c r="H9144">
        <v>1</v>
      </c>
      <c r="I9144">
        <v>1</v>
      </c>
      <c r="J9144">
        <v>72679.257539615704</v>
      </c>
      <c r="K9144">
        <v>65969.116546567995</v>
      </c>
      <c r="L9144">
        <v>16.916</v>
      </c>
      <c r="M9144">
        <v>77.978999999999999</v>
      </c>
      <c r="N9144">
        <v>6.3369999999999997</v>
      </c>
    </row>
    <row r="9145" spans="1:14" x14ac:dyDescent="0.45">
      <c r="A9145">
        <v>2022</v>
      </c>
      <c r="B9145" t="s">
        <v>259</v>
      </c>
      <c r="C9145">
        <v>1</v>
      </c>
      <c r="D9145">
        <v>0</v>
      </c>
      <c r="E9145">
        <v>0</v>
      </c>
      <c r="F9145">
        <v>1</v>
      </c>
      <c r="G9145">
        <v>0</v>
      </c>
      <c r="H9145">
        <v>0</v>
      </c>
      <c r="I9145">
        <v>0</v>
      </c>
      <c r="J9145">
        <v>9607.5616727344895</v>
      </c>
      <c r="K9145">
        <v>9334.1016630741105</v>
      </c>
      <c r="L9145">
        <v>49.533999999999999</v>
      </c>
      <c r="M9145">
        <v>72.147000000000006</v>
      </c>
      <c r="N9145">
        <v>13.545999999999999</v>
      </c>
    </row>
    <row r="9146" spans="1:14" x14ac:dyDescent="0.45">
      <c r="A9146">
        <v>2022</v>
      </c>
      <c r="B9146" t="s">
        <v>260</v>
      </c>
      <c r="C9146">
        <v>0</v>
      </c>
      <c r="D9146">
        <v>1</v>
      </c>
      <c r="E9146">
        <v>0</v>
      </c>
      <c r="F9146">
        <v>0</v>
      </c>
      <c r="G9146">
        <v>1</v>
      </c>
      <c r="H9146">
        <v>0</v>
      </c>
      <c r="I9146">
        <v>0</v>
      </c>
      <c r="J9146">
        <v>16835.023514541001</v>
      </c>
      <c r="K9146">
        <v>14713.1569897102</v>
      </c>
      <c r="L9146">
        <v>46.125</v>
      </c>
      <c r="M9146">
        <v>71.191000000000003</v>
      </c>
      <c r="N9146">
        <v>14.824999999999999</v>
      </c>
    </row>
    <row r="9147" spans="1:14" x14ac:dyDescent="0.45">
      <c r="A9147">
        <v>2022</v>
      </c>
      <c r="B9147" t="s">
        <v>261</v>
      </c>
      <c r="C9147">
        <v>0</v>
      </c>
      <c r="D9147">
        <v>1</v>
      </c>
      <c r="E9147">
        <v>0</v>
      </c>
      <c r="F9147">
        <v>0</v>
      </c>
      <c r="G9147">
        <v>1</v>
      </c>
      <c r="H9147">
        <v>0</v>
      </c>
      <c r="I9147">
        <v>0</v>
      </c>
      <c r="L9147">
        <v>11.622</v>
      </c>
      <c r="M9147">
        <v>72.566000000000003</v>
      </c>
      <c r="N9147">
        <v>18.87</v>
      </c>
    </row>
    <row r="9148" spans="1:14" x14ac:dyDescent="0.45">
      <c r="A9148">
        <v>2022</v>
      </c>
      <c r="B9148" t="s">
        <v>262</v>
      </c>
      <c r="C9148">
        <v>0</v>
      </c>
      <c r="D9148">
        <v>1</v>
      </c>
      <c r="E9148">
        <v>0</v>
      </c>
      <c r="F9148">
        <v>0</v>
      </c>
      <c r="G9148">
        <v>0</v>
      </c>
      <c r="H9148">
        <v>1</v>
      </c>
      <c r="I9148">
        <v>1</v>
      </c>
      <c r="L9148">
        <v>50.668999999999997</v>
      </c>
      <c r="M9148">
        <v>77.177000000000007</v>
      </c>
      <c r="N9148">
        <v>13.004</v>
      </c>
    </row>
    <row r="9149" spans="1:14" x14ac:dyDescent="0.45">
      <c r="A9149">
        <v>2022</v>
      </c>
      <c r="B9149" t="s">
        <v>263</v>
      </c>
      <c r="C9149">
        <v>0</v>
      </c>
      <c r="D9149">
        <v>1</v>
      </c>
      <c r="E9149">
        <v>0</v>
      </c>
      <c r="F9149">
        <v>0</v>
      </c>
      <c r="G9149">
        <v>0</v>
      </c>
      <c r="H9149">
        <v>1</v>
      </c>
      <c r="I9149">
        <v>1</v>
      </c>
      <c r="J9149">
        <v>46479.2996685326</v>
      </c>
      <c r="K9149">
        <v>36401.3890563397</v>
      </c>
      <c r="L9149">
        <v>3.8639999999999999</v>
      </c>
      <c r="M9149">
        <v>75.045000000000002</v>
      </c>
      <c r="N9149">
        <v>6.0119999999999996</v>
      </c>
    </row>
    <row r="9150" spans="1:14" x14ac:dyDescent="0.45">
      <c r="A9150">
        <v>2022</v>
      </c>
      <c r="B9150" t="s">
        <v>264</v>
      </c>
      <c r="C9150">
        <v>0</v>
      </c>
      <c r="D9150">
        <v>0</v>
      </c>
      <c r="E9150">
        <v>0</v>
      </c>
      <c r="F9150">
        <v>1</v>
      </c>
      <c r="G9150">
        <v>0</v>
      </c>
      <c r="H9150">
        <v>0</v>
      </c>
      <c r="I9150">
        <v>0</v>
      </c>
      <c r="J9150">
        <v>12979.763904993401</v>
      </c>
      <c r="K9150">
        <v>11566.045545560601</v>
      </c>
      <c r="L9150">
        <v>61.234000000000002</v>
      </c>
      <c r="M9150">
        <v>74.501999999999995</v>
      </c>
      <c r="N9150">
        <v>20.454999999999998</v>
      </c>
    </row>
    <row r="9151" spans="1:14" x14ac:dyDescent="0.45">
      <c r="A9151">
        <v>2022</v>
      </c>
      <c r="B9151" t="s">
        <v>265</v>
      </c>
      <c r="C9151">
        <v>0</v>
      </c>
      <c r="D9151">
        <v>0</v>
      </c>
      <c r="E9151">
        <v>0</v>
      </c>
      <c r="F9151">
        <v>1</v>
      </c>
      <c r="G9151">
        <v>0</v>
      </c>
      <c r="H9151">
        <v>0</v>
      </c>
      <c r="I9151">
        <v>0</v>
      </c>
      <c r="J9151">
        <v>3222.83595459348</v>
      </c>
      <c r="K9151">
        <v>2915.3817421793201</v>
      </c>
      <c r="L9151">
        <v>74.183999999999997</v>
      </c>
      <c r="M9151">
        <v>71.302000000000007</v>
      </c>
      <c r="N9151">
        <v>18.135000000000002</v>
      </c>
    </row>
    <row r="9152" spans="1:14" x14ac:dyDescent="0.45">
      <c r="A9152">
        <v>2022</v>
      </c>
      <c r="B9152" t="s">
        <v>266</v>
      </c>
      <c r="C9152">
        <v>0</v>
      </c>
      <c r="D9152">
        <v>0</v>
      </c>
      <c r="E9152">
        <v>0</v>
      </c>
      <c r="F9152">
        <v>1</v>
      </c>
      <c r="G9152">
        <v>0</v>
      </c>
      <c r="H9152">
        <v>0</v>
      </c>
      <c r="I9152">
        <v>0</v>
      </c>
      <c r="J9152">
        <v>5843.7717917755299</v>
      </c>
      <c r="K9152">
        <v>5286.2838280435799</v>
      </c>
      <c r="L9152">
        <v>82.384</v>
      </c>
      <c r="M9152">
        <v>71.55</v>
      </c>
      <c r="N9152">
        <v>16.076000000000001</v>
      </c>
    </row>
    <row r="9153" spans="1:14" x14ac:dyDescent="0.45">
      <c r="A9153">
        <v>2022</v>
      </c>
      <c r="B9153" t="s">
        <v>267</v>
      </c>
      <c r="C9153">
        <v>1</v>
      </c>
      <c r="D9153">
        <v>0</v>
      </c>
      <c r="E9153">
        <v>0</v>
      </c>
      <c r="F9153">
        <v>0</v>
      </c>
      <c r="G9153">
        <v>1</v>
      </c>
      <c r="H9153">
        <v>0</v>
      </c>
      <c r="I9153">
        <v>0</v>
      </c>
      <c r="J9153">
        <v>13022.4627441502</v>
      </c>
      <c r="K9153">
        <v>11820.138293817399</v>
      </c>
      <c r="L9153">
        <v>43.127000000000002</v>
      </c>
      <c r="M9153">
        <v>77.623000000000005</v>
      </c>
      <c r="N9153">
        <v>9.5340000000000007</v>
      </c>
    </row>
    <row r="9154" spans="1:14" x14ac:dyDescent="0.45">
      <c r="A9154">
        <v>2022</v>
      </c>
      <c r="B9154" t="s">
        <v>268</v>
      </c>
      <c r="C9154">
        <v>0</v>
      </c>
      <c r="D9154">
        <v>0</v>
      </c>
      <c r="E9154">
        <v>0</v>
      </c>
      <c r="F9154">
        <v>0</v>
      </c>
      <c r="G9154">
        <v>0</v>
      </c>
      <c r="H9154">
        <v>0</v>
      </c>
      <c r="I9154">
        <v>0</v>
      </c>
      <c r="L9154">
        <v>60.811999999999998</v>
      </c>
      <c r="M9154">
        <v>67.951999999999998</v>
      </c>
      <c r="N9154">
        <v>41.189</v>
      </c>
    </row>
    <row r="9155" spans="1:14" x14ac:dyDescent="0.45">
      <c r="A9155">
        <v>2022</v>
      </c>
      <c r="B9155" t="s">
        <v>269</v>
      </c>
      <c r="C9155">
        <v>0</v>
      </c>
      <c r="D9155">
        <v>0</v>
      </c>
      <c r="E9155">
        <v>1</v>
      </c>
      <c r="F9155">
        <v>0</v>
      </c>
      <c r="G9155">
        <v>1</v>
      </c>
      <c r="H9155">
        <v>0</v>
      </c>
      <c r="I9155">
        <v>0</v>
      </c>
      <c r="J9155">
        <v>13777.1927520564</v>
      </c>
      <c r="K9155">
        <v>12971.793676175799</v>
      </c>
      <c r="L9155">
        <v>31.664999999999999</v>
      </c>
      <c r="M9155">
        <v>65.453999999999994</v>
      </c>
      <c r="N9155">
        <v>40.548999999999999</v>
      </c>
    </row>
    <row r="9156" spans="1:14" x14ac:dyDescent="0.45">
      <c r="A9156">
        <v>2022</v>
      </c>
      <c r="B9156" t="s">
        <v>270</v>
      </c>
      <c r="C9156">
        <v>0</v>
      </c>
      <c r="D9156">
        <v>0</v>
      </c>
      <c r="E9156">
        <v>1</v>
      </c>
      <c r="F9156">
        <v>1</v>
      </c>
      <c r="G9156">
        <v>0</v>
      </c>
      <c r="H9156">
        <v>0</v>
      </c>
      <c r="I9156">
        <v>0</v>
      </c>
      <c r="J9156">
        <v>3585.12379084347</v>
      </c>
      <c r="K9156">
        <v>3365.9195241027901</v>
      </c>
      <c r="L9156">
        <v>54.238999999999997</v>
      </c>
      <c r="M9156">
        <v>65.278999999999996</v>
      </c>
      <c r="N9156">
        <v>54.81</v>
      </c>
    </row>
    <row r="9157" spans="1:14" x14ac:dyDescent="0.45">
      <c r="A9157">
        <v>2022</v>
      </c>
      <c r="B9157" t="s">
        <v>271</v>
      </c>
      <c r="C9157">
        <v>0</v>
      </c>
      <c r="D9157">
        <v>0</v>
      </c>
      <c r="E9157">
        <v>1</v>
      </c>
      <c r="F9157">
        <v>1</v>
      </c>
      <c r="G9157">
        <v>0</v>
      </c>
      <c r="H9157">
        <v>0</v>
      </c>
      <c r="I9157">
        <v>0</v>
      </c>
      <c r="J9157">
        <v>3323.1183183041999</v>
      </c>
      <c r="K9157">
        <v>2212.6514341320399</v>
      </c>
      <c r="L9157">
        <v>67.605000000000004</v>
      </c>
      <c r="M9157">
        <v>62.36</v>
      </c>
      <c r="N9157">
        <v>47.521000000000001</v>
      </c>
    </row>
    <row r="9158" spans="1:14" x14ac:dyDescent="0.45">
      <c r="A9158">
        <v>2023</v>
      </c>
      <c r="B9158" t="s">
        <v>54</v>
      </c>
      <c r="C9158">
        <v>0</v>
      </c>
      <c r="D9158">
        <v>1</v>
      </c>
      <c r="E9158">
        <v>0</v>
      </c>
      <c r="F9158">
        <v>0</v>
      </c>
      <c r="G9158">
        <v>0</v>
      </c>
      <c r="H9158">
        <v>1</v>
      </c>
      <c r="I9158">
        <v>1</v>
      </c>
      <c r="J9158">
        <v>40516.8085633136</v>
      </c>
      <c r="K9158">
        <v>39431.253821827697</v>
      </c>
      <c r="L9158">
        <v>55.746000000000002</v>
      </c>
      <c r="M9158">
        <v>76.352999999999994</v>
      </c>
      <c r="N9158">
        <v>14.311</v>
      </c>
    </row>
    <row r="9159" spans="1:14" x14ac:dyDescent="0.45">
      <c r="A9159">
        <v>2023</v>
      </c>
      <c r="B9159" t="s">
        <v>55</v>
      </c>
      <c r="C9159">
        <v>0</v>
      </c>
      <c r="D9159">
        <v>0</v>
      </c>
      <c r="E9159">
        <v>0</v>
      </c>
      <c r="F9159">
        <v>0</v>
      </c>
      <c r="G9159">
        <v>0</v>
      </c>
      <c r="H9159">
        <v>0</v>
      </c>
      <c r="I9159">
        <v>0</v>
      </c>
      <c r="J9159">
        <v>1983.81261992909</v>
      </c>
      <c r="K9159">
        <v>1569.1781750964201</v>
      </c>
      <c r="L9159">
        <v>73.066999999999993</v>
      </c>
      <c r="M9159">
        <v>66.034999999999997</v>
      </c>
      <c r="N9159">
        <v>56.161999999999999</v>
      </c>
    </row>
    <row r="9160" spans="1:14" x14ac:dyDescent="0.45">
      <c r="A9160">
        <v>2023</v>
      </c>
      <c r="B9160" t="s">
        <v>56</v>
      </c>
      <c r="C9160">
        <v>0</v>
      </c>
      <c r="D9160">
        <v>0</v>
      </c>
      <c r="E9160">
        <v>1</v>
      </c>
      <c r="F9160">
        <v>1</v>
      </c>
      <c r="G9160">
        <v>0</v>
      </c>
      <c r="H9160">
        <v>0</v>
      </c>
      <c r="I9160">
        <v>0</v>
      </c>
      <c r="J9160">
        <v>7250.4026993524103</v>
      </c>
      <c r="K9160">
        <v>5607.1046949638203</v>
      </c>
      <c r="L9160">
        <v>31.312000000000001</v>
      </c>
      <c r="M9160">
        <v>64.617000000000004</v>
      </c>
      <c r="N9160">
        <v>64.338999999999999</v>
      </c>
    </row>
    <row r="9161" spans="1:14" x14ac:dyDescent="0.45">
      <c r="A9161">
        <v>2023</v>
      </c>
      <c r="B9161" t="s">
        <v>57</v>
      </c>
      <c r="C9161">
        <v>1</v>
      </c>
      <c r="D9161">
        <v>0</v>
      </c>
      <c r="E9161">
        <v>0</v>
      </c>
      <c r="F9161">
        <v>0</v>
      </c>
      <c r="G9161">
        <v>1</v>
      </c>
      <c r="H9161">
        <v>0</v>
      </c>
      <c r="I9161">
        <v>0</v>
      </c>
      <c r="J9161">
        <v>17991.016143088898</v>
      </c>
      <c r="K9161">
        <v>16299.035419509601</v>
      </c>
      <c r="L9161">
        <v>35.396999999999998</v>
      </c>
      <c r="M9161">
        <v>79.602000000000004</v>
      </c>
      <c r="N9161">
        <v>9.4870000000000001</v>
      </c>
    </row>
    <row r="9162" spans="1:14" x14ac:dyDescent="0.45">
      <c r="A9162">
        <v>2023</v>
      </c>
      <c r="B9162" t="s">
        <v>58</v>
      </c>
      <c r="C9162">
        <v>1</v>
      </c>
      <c r="D9162">
        <v>0</v>
      </c>
      <c r="E9162">
        <v>0</v>
      </c>
      <c r="F9162">
        <v>0</v>
      </c>
      <c r="G9162">
        <v>0</v>
      </c>
      <c r="H9162">
        <v>1</v>
      </c>
      <c r="I9162">
        <v>1</v>
      </c>
      <c r="J9162">
        <v>64631.296390927098</v>
      </c>
      <c r="K9162">
        <v>54253.037657279398</v>
      </c>
      <c r="L9162">
        <v>12.226000000000001</v>
      </c>
      <c r="M9162">
        <v>84.040999999999997</v>
      </c>
      <c r="N9162">
        <v>6.1180000000000003</v>
      </c>
    </row>
    <row r="9163" spans="1:14" x14ac:dyDescent="0.45">
      <c r="A9163">
        <v>2023</v>
      </c>
      <c r="B9163" t="s">
        <v>59</v>
      </c>
      <c r="C9163">
        <v>0</v>
      </c>
      <c r="D9163">
        <v>0</v>
      </c>
      <c r="E9163">
        <v>0</v>
      </c>
      <c r="F9163">
        <v>0</v>
      </c>
      <c r="G9163">
        <v>0</v>
      </c>
      <c r="H9163">
        <v>1</v>
      </c>
      <c r="I9163">
        <v>1</v>
      </c>
      <c r="J9163">
        <v>68577.540562908602</v>
      </c>
      <c r="K9163">
        <v>67752.462927812201</v>
      </c>
      <c r="L9163">
        <v>12.221</v>
      </c>
      <c r="M9163">
        <v>82.909000000000006</v>
      </c>
      <c r="N9163">
        <v>5.9740000000000002</v>
      </c>
    </row>
    <row r="9164" spans="1:14" x14ac:dyDescent="0.45">
      <c r="A9164">
        <v>2023</v>
      </c>
      <c r="B9164" t="s">
        <v>60</v>
      </c>
      <c r="C9164">
        <v>0</v>
      </c>
      <c r="D9164">
        <v>1</v>
      </c>
      <c r="E9164">
        <v>0</v>
      </c>
      <c r="F9164">
        <v>0</v>
      </c>
      <c r="G9164">
        <v>1</v>
      </c>
      <c r="H9164">
        <v>0</v>
      </c>
      <c r="I9164">
        <v>0</v>
      </c>
      <c r="J9164">
        <v>27104.979997816899</v>
      </c>
      <c r="K9164">
        <v>22370.005375687699</v>
      </c>
      <c r="L9164">
        <v>7.5370000000000097</v>
      </c>
      <c r="M9164">
        <v>77.394999999999996</v>
      </c>
      <c r="N9164">
        <v>10.295</v>
      </c>
    </row>
    <row r="9165" spans="1:14" x14ac:dyDescent="0.45">
      <c r="A9165">
        <v>2023</v>
      </c>
      <c r="B9165" t="s">
        <v>61</v>
      </c>
      <c r="C9165">
        <v>1</v>
      </c>
      <c r="D9165">
        <v>0</v>
      </c>
      <c r="E9165">
        <v>0</v>
      </c>
      <c r="F9165">
        <v>0</v>
      </c>
      <c r="G9165">
        <v>1</v>
      </c>
      <c r="H9165">
        <v>0</v>
      </c>
      <c r="I9165">
        <v>0</v>
      </c>
      <c r="J9165">
        <v>19402.751091557799</v>
      </c>
      <c r="K9165">
        <v>16436.094341399301</v>
      </c>
      <c r="L9165">
        <v>36.261000000000003</v>
      </c>
      <c r="M9165">
        <v>75.683000000000007</v>
      </c>
      <c r="N9165">
        <v>9.8249999999999993</v>
      </c>
    </row>
    <row r="9166" spans="1:14" x14ac:dyDescent="0.45">
      <c r="A9166">
        <v>2023</v>
      </c>
      <c r="B9166" t="s">
        <v>62</v>
      </c>
      <c r="C9166">
        <v>0</v>
      </c>
      <c r="D9166">
        <v>0</v>
      </c>
      <c r="E9166">
        <v>0</v>
      </c>
      <c r="F9166">
        <v>0</v>
      </c>
      <c r="G9166">
        <v>0</v>
      </c>
      <c r="H9166">
        <v>1</v>
      </c>
      <c r="I9166">
        <v>1</v>
      </c>
      <c r="L9166">
        <v>12.765000000000001</v>
      </c>
      <c r="M9166">
        <v>72.852000000000004</v>
      </c>
      <c r="N9166">
        <v>10.587</v>
      </c>
    </row>
    <row r="9167" spans="1:14" x14ac:dyDescent="0.45">
      <c r="A9167">
        <v>2023</v>
      </c>
      <c r="B9167" t="s">
        <v>63</v>
      </c>
      <c r="C9167">
        <v>0</v>
      </c>
      <c r="D9167">
        <v>1</v>
      </c>
      <c r="E9167">
        <v>0</v>
      </c>
      <c r="F9167">
        <v>0</v>
      </c>
      <c r="G9167">
        <v>0</v>
      </c>
      <c r="H9167">
        <v>1</v>
      </c>
      <c r="I9167">
        <v>1</v>
      </c>
      <c r="J9167">
        <v>28474.044417818099</v>
      </c>
      <c r="K9167">
        <v>22426.067152096901</v>
      </c>
      <c r="L9167">
        <v>75.668000000000006</v>
      </c>
      <c r="M9167">
        <v>77.597999999999999</v>
      </c>
      <c r="N9167">
        <v>9.327</v>
      </c>
    </row>
    <row r="9168" spans="1:14" x14ac:dyDescent="0.45">
      <c r="A9168">
        <v>2023</v>
      </c>
      <c r="B9168" t="s">
        <v>64</v>
      </c>
      <c r="C9168">
        <v>0</v>
      </c>
      <c r="D9168">
        <v>0</v>
      </c>
      <c r="E9168">
        <v>0</v>
      </c>
      <c r="F9168">
        <v>0</v>
      </c>
      <c r="G9168">
        <v>0</v>
      </c>
      <c r="H9168">
        <v>1</v>
      </c>
      <c r="I9168">
        <v>1</v>
      </c>
      <c r="J9168">
        <v>60461.156396699902</v>
      </c>
      <c r="K9168">
        <v>52368.526803229601</v>
      </c>
      <c r="L9168">
        <v>13.382999999999999</v>
      </c>
      <c r="M9168">
        <v>83.923000000000002</v>
      </c>
      <c r="N9168">
        <v>3.8109999999999999</v>
      </c>
    </row>
    <row r="9169" spans="1:14" x14ac:dyDescent="0.45">
      <c r="A9169">
        <v>2023</v>
      </c>
      <c r="B9169" t="s">
        <v>65</v>
      </c>
      <c r="C9169">
        <v>1</v>
      </c>
      <c r="D9169">
        <v>0</v>
      </c>
      <c r="E9169">
        <v>0</v>
      </c>
      <c r="F9169">
        <v>0</v>
      </c>
      <c r="G9169">
        <v>0</v>
      </c>
      <c r="H9169">
        <v>1</v>
      </c>
      <c r="I9169">
        <v>1</v>
      </c>
      <c r="J9169">
        <v>64394.090515257201</v>
      </c>
      <c r="K9169">
        <v>54873.780598146899</v>
      </c>
      <c r="L9169">
        <v>40.47</v>
      </c>
      <c r="M9169">
        <v>81.956000000000003</v>
      </c>
      <c r="N9169">
        <v>3.4969999999999999</v>
      </c>
    </row>
    <row r="9170" spans="1:14" x14ac:dyDescent="0.45">
      <c r="A9170">
        <v>2023</v>
      </c>
      <c r="B9170" t="s">
        <v>66</v>
      </c>
      <c r="C9170">
        <v>1</v>
      </c>
      <c r="D9170">
        <v>0</v>
      </c>
      <c r="E9170">
        <v>0</v>
      </c>
      <c r="F9170">
        <v>0</v>
      </c>
      <c r="G9170">
        <v>1</v>
      </c>
      <c r="H9170">
        <v>0</v>
      </c>
      <c r="I9170">
        <v>0</v>
      </c>
      <c r="J9170">
        <v>21310.738664382199</v>
      </c>
      <c r="K9170">
        <v>15518.743194311901</v>
      </c>
      <c r="L9170">
        <v>42.423000000000002</v>
      </c>
      <c r="M9170">
        <v>74.429000000000002</v>
      </c>
      <c r="N9170">
        <v>17.489999999999998</v>
      </c>
    </row>
    <row r="9171" spans="1:14" x14ac:dyDescent="0.45">
      <c r="A9171">
        <v>2023</v>
      </c>
      <c r="B9171" t="s">
        <v>67</v>
      </c>
      <c r="C9171">
        <v>0</v>
      </c>
      <c r="D9171">
        <v>0</v>
      </c>
      <c r="E9171">
        <v>1</v>
      </c>
      <c r="F9171">
        <v>0</v>
      </c>
      <c r="G9171">
        <v>0</v>
      </c>
      <c r="H9171">
        <v>0</v>
      </c>
      <c r="I9171">
        <v>0</v>
      </c>
      <c r="J9171">
        <v>828.58294991414095</v>
      </c>
      <c r="K9171">
        <v>715.98121425656302</v>
      </c>
      <c r="L9171">
        <v>85.215999999999994</v>
      </c>
      <c r="M9171">
        <v>63.651000000000003</v>
      </c>
      <c r="N9171">
        <v>48.759</v>
      </c>
    </row>
    <row r="9172" spans="1:14" x14ac:dyDescent="0.45">
      <c r="A9172">
        <v>2023</v>
      </c>
      <c r="B9172" t="s">
        <v>68</v>
      </c>
      <c r="C9172">
        <v>1</v>
      </c>
      <c r="D9172">
        <v>0</v>
      </c>
      <c r="E9172">
        <v>0</v>
      </c>
      <c r="F9172">
        <v>0</v>
      </c>
      <c r="G9172">
        <v>0</v>
      </c>
      <c r="H9172">
        <v>1</v>
      </c>
      <c r="I9172">
        <v>1</v>
      </c>
      <c r="J9172">
        <v>62920.6444340936</v>
      </c>
      <c r="K9172">
        <v>52948.768439694999</v>
      </c>
      <c r="L9172">
        <v>1.8110000000000099</v>
      </c>
      <c r="M9172">
        <v>82.114999999999995</v>
      </c>
      <c r="N9172">
        <v>3.879</v>
      </c>
    </row>
    <row r="9173" spans="1:14" x14ac:dyDescent="0.45">
      <c r="A9173">
        <v>2023</v>
      </c>
      <c r="B9173" t="s">
        <v>69</v>
      </c>
      <c r="C9173">
        <v>0</v>
      </c>
      <c r="D9173">
        <v>0</v>
      </c>
      <c r="E9173">
        <v>1</v>
      </c>
      <c r="F9173">
        <v>1</v>
      </c>
      <c r="G9173">
        <v>0</v>
      </c>
      <c r="H9173">
        <v>0</v>
      </c>
      <c r="I9173">
        <v>0</v>
      </c>
      <c r="J9173">
        <v>3721.2125481480798</v>
      </c>
      <c r="K9173">
        <v>3530.50741778989</v>
      </c>
      <c r="L9173">
        <v>49.9</v>
      </c>
      <c r="M9173">
        <v>60.774000000000001</v>
      </c>
      <c r="N9173">
        <v>78.617000000000004</v>
      </c>
    </row>
    <row r="9174" spans="1:14" x14ac:dyDescent="0.45">
      <c r="A9174">
        <v>2023</v>
      </c>
      <c r="B9174" t="s">
        <v>70</v>
      </c>
      <c r="C9174">
        <v>0</v>
      </c>
      <c r="D9174">
        <v>0</v>
      </c>
      <c r="E9174">
        <v>1</v>
      </c>
      <c r="F9174">
        <v>0</v>
      </c>
      <c r="G9174">
        <v>0</v>
      </c>
      <c r="H9174">
        <v>0</v>
      </c>
      <c r="I9174">
        <v>0</v>
      </c>
      <c r="J9174">
        <v>2482.0722534380502</v>
      </c>
      <c r="K9174">
        <v>2270.9399568357699</v>
      </c>
      <c r="L9174">
        <v>67.48</v>
      </c>
      <c r="M9174">
        <v>61.091999999999999</v>
      </c>
      <c r="N9174">
        <v>77.144000000000005</v>
      </c>
    </row>
    <row r="9175" spans="1:14" x14ac:dyDescent="0.45">
      <c r="A9175">
        <v>2023</v>
      </c>
      <c r="B9175" t="s">
        <v>71</v>
      </c>
      <c r="C9175">
        <v>0</v>
      </c>
      <c r="D9175">
        <v>0</v>
      </c>
      <c r="E9175">
        <v>0</v>
      </c>
      <c r="F9175">
        <v>1</v>
      </c>
      <c r="G9175">
        <v>0</v>
      </c>
      <c r="H9175">
        <v>0</v>
      </c>
      <c r="I9175">
        <v>0</v>
      </c>
      <c r="J9175">
        <v>8242.3979897724203</v>
      </c>
      <c r="K9175">
        <v>6701.02476761252</v>
      </c>
      <c r="L9175">
        <v>59.527000000000001</v>
      </c>
      <c r="M9175">
        <v>74.671999999999997</v>
      </c>
      <c r="N9175">
        <v>27.568000000000001</v>
      </c>
    </row>
    <row r="9176" spans="1:14" x14ac:dyDescent="0.45">
      <c r="A9176">
        <v>2023</v>
      </c>
      <c r="B9176" t="s">
        <v>72</v>
      </c>
      <c r="C9176">
        <v>1</v>
      </c>
      <c r="D9176">
        <v>0</v>
      </c>
      <c r="E9176">
        <v>0</v>
      </c>
      <c r="F9176">
        <v>0</v>
      </c>
      <c r="G9176">
        <v>0</v>
      </c>
      <c r="H9176">
        <v>1</v>
      </c>
      <c r="I9176">
        <v>1</v>
      </c>
      <c r="J9176">
        <v>33139.938729222798</v>
      </c>
      <c r="K9176">
        <v>27499.5036840672</v>
      </c>
      <c r="L9176">
        <v>23.298999999999999</v>
      </c>
      <c r="M9176">
        <v>75.635999999999996</v>
      </c>
      <c r="N9176">
        <v>5.6529999999999996</v>
      </c>
    </row>
    <row r="9177" spans="1:14" x14ac:dyDescent="0.45">
      <c r="A9177">
        <v>2023</v>
      </c>
      <c r="B9177" t="s">
        <v>73</v>
      </c>
      <c r="C9177">
        <v>0</v>
      </c>
      <c r="D9177">
        <v>0</v>
      </c>
      <c r="E9177">
        <v>0</v>
      </c>
      <c r="F9177">
        <v>0</v>
      </c>
      <c r="G9177">
        <v>0</v>
      </c>
      <c r="H9177">
        <v>1</v>
      </c>
      <c r="I9177">
        <v>1</v>
      </c>
      <c r="J9177">
        <v>57819.905183124203</v>
      </c>
      <c r="K9177">
        <v>53874.404839836097</v>
      </c>
      <c r="L9177">
        <v>10.131</v>
      </c>
      <c r="M9177">
        <v>81.284000000000006</v>
      </c>
      <c r="N9177">
        <v>6.3339999999999996</v>
      </c>
    </row>
    <row r="9178" spans="1:14" x14ac:dyDescent="0.45">
      <c r="A9178">
        <v>2023</v>
      </c>
      <c r="B9178" t="s">
        <v>74</v>
      </c>
      <c r="C9178">
        <v>0</v>
      </c>
      <c r="D9178">
        <v>1</v>
      </c>
      <c r="E9178">
        <v>0</v>
      </c>
      <c r="F9178">
        <v>0</v>
      </c>
      <c r="G9178">
        <v>0</v>
      </c>
      <c r="H9178">
        <v>1</v>
      </c>
      <c r="I9178">
        <v>1</v>
      </c>
      <c r="J9178">
        <v>35221.310270295297</v>
      </c>
      <c r="K9178">
        <v>36534.571511422699</v>
      </c>
      <c r="L9178">
        <v>16.375</v>
      </c>
      <c r="M9178">
        <v>74.552000000000007</v>
      </c>
      <c r="N9178">
        <v>12.693</v>
      </c>
    </row>
    <row r="9179" spans="1:14" x14ac:dyDescent="0.45">
      <c r="A9179">
        <v>2023</v>
      </c>
      <c r="B9179" t="s">
        <v>75</v>
      </c>
      <c r="C9179">
        <v>1</v>
      </c>
      <c r="D9179">
        <v>0</v>
      </c>
      <c r="E9179">
        <v>0</v>
      </c>
      <c r="F9179">
        <v>0</v>
      </c>
      <c r="G9179">
        <v>1</v>
      </c>
      <c r="H9179">
        <v>0</v>
      </c>
      <c r="I9179">
        <v>0</v>
      </c>
      <c r="J9179">
        <v>19803.845310438999</v>
      </c>
      <c r="K9179">
        <v>17107.7753828819</v>
      </c>
      <c r="L9179">
        <v>49.731000000000002</v>
      </c>
      <c r="M9179">
        <v>77.849999999999994</v>
      </c>
      <c r="N9179">
        <v>5.9530000000000003</v>
      </c>
    </row>
    <row r="9180" spans="1:14" x14ac:dyDescent="0.45">
      <c r="A9180">
        <v>2023</v>
      </c>
      <c r="B9180" t="s">
        <v>76</v>
      </c>
      <c r="C9180">
        <v>1</v>
      </c>
      <c r="D9180">
        <v>0</v>
      </c>
      <c r="E9180">
        <v>0</v>
      </c>
      <c r="F9180">
        <v>0</v>
      </c>
      <c r="G9180">
        <v>1</v>
      </c>
      <c r="H9180">
        <v>0</v>
      </c>
      <c r="I9180">
        <v>0</v>
      </c>
      <c r="J9180">
        <v>27782.438013284001</v>
      </c>
      <c r="K9180">
        <v>20058.7832302151</v>
      </c>
      <c r="L9180">
        <v>19.268999999999998</v>
      </c>
      <c r="M9180">
        <v>74.433999999999997</v>
      </c>
      <c r="N9180">
        <v>2.419</v>
      </c>
    </row>
    <row r="9181" spans="1:14" x14ac:dyDescent="0.45">
      <c r="A9181">
        <v>2023</v>
      </c>
      <c r="B9181" t="s">
        <v>77</v>
      </c>
      <c r="C9181">
        <v>0</v>
      </c>
      <c r="D9181">
        <v>1</v>
      </c>
      <c r="E9181">
        <v>0</v>
      </c>
      <c r="F9181">
        <v>0</v>
      </c>
      <c r="G9181">
        <v>1</v>
      </c>
      <c r="H9181">
        <v>0</v>
      </c>
      <c r="I9181">
        <v>0</v>
      </c>
      <c r="J9181">
        <v>12455.2960650024</v>
      </c>
      <c r="K9181">
        <v>9815.9338498076995</v>
      </c>
      <c r="L9181">
        <v>53.392000000000003</v>
      </c>
      <c r="M9181">
        <v>73.566000000000003</v>
      </c>
      <c r="N9181">
        <v>10.369</v>
      </c>
    </row>
    <row r="9182" spans="1:14" x14ac:dyDescent="0.45">
      <c r="A9182">
        <v>2023</v>
      </c>
      <c r="B9182" t="s">
        <v>78</v>
      </c>
      <c r="C9182">
        <v>0</v>
      </c>
      <c r="D9182">
        <v>0</v>
      </c>
      <c r="E9182">
        <v>0</v>
      </c>
      <c r="F9182">
        <v>0</v>
      </c>
      <c r="G9182">
        <v>0</v>
      </c>
      <c r="H9182">
        <v>1</v>
      </c>
      <c r="I9182">
        <v>1</v>
      </c>
      <c r="J9182">
        <v>103052.348367859</v>
      </c>
      <c r="K9182">
        <v>91558.293215628</v>
      </c>
      <c r="L9182">
        <v>0</v>
      </c>
      <c r="M9182">
        <v>82.308999999999997</v>
      </c>
      <c r="N9182">
        <v>2.3519999999999999</v>
      </c>
    </row>
    <row r="9183" spans="1:14" x14ac:dyDescent="0.45">
      <c r="A9183">
        <v>2023</v>
      </c>
      <c r="B9183" t="s">
        <v>79</v>
      </c>
      <c r="C9183">
        <v>0</v>
      </c>
      <c r="D9183">
        <v>1</v>
      </c>
      <c r="E9183">
        <v>0</v>
      </c>
      <c r="F9183">
        <v>1</v>
      </c>
      <c r="G9183">
        <v>0</v>
      </c>
      <c r="H9183">
        <v>0</v>
      </c>
      <c r="I9183">
        <v>0</v>
      </c>
      <c r="J9183">
        <v>9843.9701424928498</v>
      </c>
      <c r="K9183">
        <v>8687.7979431670301</v>
      </c>
      <c r="L9183">
        <v>28.814</v>
      </c>
      <c r="M9183">
        <v>68.581000000000003</v>
      </c>
      <c r="N9183">
        <v>41.4</v>
      </c>
    </row>
    <row r="9184" spans="1:14" x14ac:dyDescent="0.45">
      <c r="A9184">
        <v>2023</v>
      </c>
      <c r="B9184" t="s">
        <v>80</v>
      </c>
      <c r="C9184">
        <v>0</v>
      </c>
      <c r="D9184">
        <v>1</v>
      </c>
      <c r="E9184">
        <v>0</v>
      </c>
      <c r="F9184">
        <v>0</v>
      </c>
      <c r="G9184">
        <v>1</v>
      </c>
      <c r="H9184">
        <v>0</v>
      </c>
      <c r="I9184">
        <v>0</v>
      </c>
      <c r="J9184">
        <v>19079.812213402802</v>
      </c>
      <c r="K9184">
        <v>15672.3321679447</v>
      </c>
      <c r="L9184">
        <v>12.212</v>
      </c>
      <c r="M9184">
        <v>75.847999999999999</v>
      </c>
      <c r="N9184">
        <v>13.77</v>
      </c>
    </row>
    <row r="9185" spans="1:14" x14ac:dyDescent="0.45">
      <c r="A9185">
        <v>2023</v>
      </c>
      <c r="B9185" t="s">
        <v>81</v>
      </c>
      <c r="C9185">
        <v>0</v>
      </c>
      <c r="D9185">
        <v>1</v>
      </c>
      <c r="E9185">
        <v>0</v>
      </c>
      <c r="F9185">
        <v>0</v>
      </c>
      <c r="G9185">
        <v>0</v>
      </c>
      <c r="H9185">
        <v>1</v>
      </c>
      <c r="I9185">
        <v>1</v>
      </c>
      <c r="J9185">
        <v>19224.462118294399</v>
      </c>
      <c r="K9185">
        <v>18361.2754916671</v>
      </c>
      <c r="L9185">
        <v>68.575000000000003</v>
      </c>
      <c r="M9185">
        <v>76.177999999999997</v>
      </c>
      <c r="N9185">
        <v>10.48</v>
      </c>
    </row>
    <row r="9186" spans="1:14" x14ac:dyDescent="0.45">
      <c r="A9186">
        <v>2023</v>
      </c>
      <c r="B9186" t="s">
        <v>82</v>
      </c>
      <c r="C9186">
        <v>0</v>
      </c>
      <c r="D9186">
        <v>0</v>
      </c>
      <c r="E9186">
        <v>0</v>
      </c>
      <c r="F9186">
        <v>0</v>
      </c>
      <c r="G9186">
        <v>0</v>
      </c>
      <c r="H9186">
        <v>1</v>
      </c>
      <c r="I9186">
        <v>1</v>
      </c>
      <c r="J9186">
        <v>76616.701482802295</v>
      </c>
      <c r="K9186">
        <v>59822.663282207803</v>
      </c>
      <c r="L9186">
        <v>20.850999999999999</v>
      </c>
      <c r="M9186">
        <v>75.326999999999998</v>
      </c>
      <c r="N9186">
        <v>9.6790000000000003</v>
      </c>
    </row>
    <row r="9187" spans="1:14" x14ac:dyDescent="0.45">
      <c r="A9187">
        <v>2023</v>
      </c>
      <c r="B9187" t="s">
        <v>83</v>
      </c>
      <c r="C9187">
        <v>0</v>
      </c>
      <c r="D9187">
        <v>0</v>
      </c>
      <c r="E9187">
        <v>0</v>
      </c>
      <c r="F9187">
        <v>1</v>
      </c>
      <c r="G9187">
        <v>0</v>
      </c>
      <c r="H9187">
        <v>0</v>
      </c>
      <c r="I9187">
        <v>0</v>
      </c>
      <c r="J9187">
        <v>14645.265634191101</v>
      </c>
      <c r="K9187">
        <v>12684.6520940301</v>
      </c>
      <c r="L9187">
        <v>55.65</v>
      </c>
      <c r="M9187">
        <v>72.974999999999994</v>
      </c>
      <c r="N9187">
        <v>22.670999999999999</v>
      </c>
    </row>
    <row r="9188" spans="1:14" x14ac:dyDescent="0.45">
      <c r="A9188">
        <v>2023</v>
      </c>
      <c r="B9188" t="s">
        <v>84</v>
      </c>
      <c r="C9188">
        <v>0</v>
      </c>
      <c r="D9188">
        <v>0</v>
      </c>
      <c r="E9188">
        <v>1</v>
      </c>
      <c r="F9188">
        <v>0</v>
      </c>
      <c r="G9188">
        <v>1</v>
      </c>
      <c r="H9188">
        <v>0</v>
      </c>
      <c r="I9188">
        <v>0</v>
      </c>
      <c r="J9188">
        <v>18932.480269527699</v>
      </c>
      <c r="K9188">
        <v>17129.8513281753</v>
      </c>
      <c r="L9188">
        <v>27.132999999999999</v>
      </c>
      <c r="M9188">
        <v>69.162999999999997</v>
      </c>
      <c r="N9188">
        <v>37.622</v>
      </c>
    </row>
    <row r="9189" spans="1:14" x14ac:dyDescent="0.45">
      <c r="A9189">
        <v>2023</v>
      </c>
      <c r="B9189" t="s">
        <v>85</v>
      </c>
      <c r="C9189">
        <v>0</v>
      </c>
      <c r="D9189">
        <v>0</v>
      </c>
      <c r="E9189">
        <v>1</v>
      </c>
      <c r="F9189">
        <v>0</v>
      </c>
      <c r="G9189">
        <v>0</v>
      </c>
      <c r="H9189">
        <v>0</v>
      </c>
      <c r="I9189">
        <v>0</v>
      </c>
      <c r="J9189">
        <v>1132.6764336331601</v>
      </c>
      <c r="K9189">
        <v>906.87775329698798</v>
      </c>
      <c r="L9189">
        <v>56.386000000000003</v>
      </c>
      <c r="M9189">
        <v>57.408000000000001</v>
      </c>
      <c r="N9189">
        <v>94.501000000000005</v>
      </c>
    </row>
    <row r="9190" spans="1:14" x14ac:dyDescent="0.45">
      <c r="A9190">
        <v>2023</v>
      </c>
      <c r="B9190" t="s">
        <v>86</v>
      </c>
      <c r="C9190">
        <v>0</v>
      </c>
      <c r="D9190">
        <v>0</v>
      </c>
      <c r="E9190">
        <v>0</v>
      </c>
      <c r="F9190">
        <v>0</v>
      </c>
      <c r="G9190">
        <v>0</v>
      </c>
      <c r="H9190">
        <v>1</v>
      </c>
      <c r="I9190">
        <v>1</v>
      </c>
      <c r="J9190">
        <v>57517.443158743197</v>
      </c>
      <c r="K9190">
        <v>49788.052180986</v>
      </c>
      <c r="L9190">
        <v>18.138000000000002</v>
      </c>
      <c r="M9190">
        <v>82.63</v>
      </c>
      <c r="N9190">
        <v>4.8719999999999999</v>
      </c>
    </row>
    <row r="9191" spans="1:14" x14ac:dyDescent="0.45">
      <c r="A9191">
        <v>2023</v>
      </c>
      <c r="B9191" t="s">
        <v>87</v>
      </c>
      <c r="C9191">
        <v>1</v>
      </c>
      <c r="D9191">
        <v>0</v>
      </c>
      <c r="E9191">
        <v>0</v>
      </c>
      <c r="F9191">
        <v>0</v>
      </c>
      <c r="G9191">
        <v>0</v>
      </c>
      <c r="H9191">
        <v>1</v>
      </c>
      <c r="I9191">
        <v>1</v>
      </c>
      <c r="J9191">
        <v>82302.049182257906</v>
      </c>
      <c r="K9191">
        <v>71600.058718165601</v>
      </c>
      <c r="L9191">
        <v>25.797999999999998</v>
      </c>
      <c r="M9191">
        <v>83.953999999999994</v>
      </c>
      <c r="N9191">
        <v>3.6179999999999999</v>
      </c>
    </row>
    <row r="9192" spans="1:14" x14ac:dyDescent="0.45">
      <c r="A9192">
        <v>2023</v>
      </c>
      <c r="B9192" t="s">
        <v>88</v>
      </c>
      <c r="C9192">
        <v>1</v>
      </c>
      <c r="D9192">
        <v>0</v>
      </c>
      <c r="E9192">
        <v>0</v>
      </c>
      <c r="F9192">
        <v>0</v>
      </c>
      <c r="G9192">
        <v>0</v>
      </c>
      <c r="H9192">
        <v>1</v>
      </c>
      <c r="I9192">
        <v>1</v>
      </c>
      <c r="L9192">
        <v>68.840999999999994</v>
      </c>
      <c r="M9192">
        <v>81.068722686369597</v>
      </c>
      <c r="N9192">
        <v>8.7250573912732303</v>
      </c>
    </row>
    <row r="9193" spans="1:14" x14ac:dyDescent="0.45">
      <c r="A9193">
        <v>2023</v>
      </c>
      <c r="B9193" t="s">
        <v>89</v>
      </c>
      <c r="C9193">
        <v>0</v>
      </c>
      <c r="D9193">
        <v>1</v>
      </c>
      <c r="E9193">
        <v>0</v>
      </c>
      <c r="F9193">
        <v>0</v>
      </c>
      <c r="G9193">
        <v>0</v>
      </c>
      <c r="H9193">
        <v>1</v>
      </c>
      <c r="I9193">
        <v>1</v>
      </c>
      <c r="J9193">
        <v>29563.678024365901</v>
      </c>
      <c r="K9193">
        <v>25752.386214042199</v>
      </c>
      <c r="L9193">
        <v>11.988</v>
      </c>
      <c r="M9193">
        <v>81.167000000000002</v>
      </c>
      <c r="N9193">
        <v>5.04</v>
      </c>
    </row>
    <row r="9194" spans="1:14" x14ac:dyDescent="0.45">
      <c r="A9194">
        <v>2023</v>
      </c>
      <c r="B9194" t="s">
        <v>90</v>
      </c>
      <c r="C9194">
        <v>0</v>
      </c>
      <c r="D9194">
        <v>0</v>
      </c>
      <c r="E9194">
        <v>0</v>
      </c>
      <c r="F9194">
        <v>0</v>
      </c>
      <c r="G9194">
        <v>1</v>
      </c>
      <c r="H9194">
        <v>0</v>
      </c>
      <c r="I9194">
        <v>0</v>
      </c>
      <c r="J9194">
        <v>22687.075872394202</v>
      </c>
      <c r="K9194">
        <v>20337.494540324202</v>
      </c>
      <c r="L9194">
        <v>35.43</v>
      </c>
      <c r="M9194">
        <v>77.953000000000003</v>
      </c>
      <c r="N9194">
        <v>7.1920000000000002</v>
      </c>
    </row>
    <row r="9195" spans="1:14" x14ac:dyDescent="0.45">
      <c r="A9195">
        <v>2023</v>
      </c>
      <c r="B9195" t="s">
        <v>91</v>
      </c>
      <c r="C9195">
        <v>0</v>
      </c>
      <c r="D9195">
        <v>0</v>
      </c>
      <c r="E9195">
        <v>1</v>
      </c>
      <c r="F9195">
        <v>1</v>
      </c>
      <c r="G9195">
        <v>0</v>
      </c>
      <c r="H9195">
        <v>0</v>
      </c>
      <c r="I9195">
        <v>0</v>
      </c>
      <c r="J9195">
        <v>6511.7511028286199</v>
      </c>
      <c r="K9195">
        <v>5496.8769313019802</v>
      </c>
      <c r="L9195">
        <v>46.850999999999999</v>
      </c>
      <c r="M9195">
        <v>61.944000000000003</v>
      </c>
      <c r="N9195">
        <v>67.316000000000003</v>
      </c>
    </row>
    <row r="9196" spans="1:14" x14ac:dyDescent="0.45">
      <c r="A9196">
        <v>2023</v>
      </c>
      <c r="B9196" t="s">
        <v>92</v>
      </c>
      <c r="C9196">
        <v>0</v>
      </c>
      <c r="D9196">
        <v>0</v>
      </c>
      <c r="E9196">
        <v>1</v>
      </c>
      <c r="F9196">
        <v>1</v>
      </c>
      <c r="G9196">
        <v>0</v>
      </c>
      <c r="H9196">
        <v>0</v>
      </c>
      <c r="I9196">
        <v>0</v>
      </c>
      <c r="J9196">
        <v>4870.5707651436496</v>
      </c>
      <c r="K9196">
        <v>3824.43336296077</v>
      </c>
      <c r="L9196">
        <v>40.685000000000002</v>
      </c>
      <c r="M9196">
        <v>63.7</v>
      </c>
      <c r="N9196">
        <v>67.62</v>
      </c>
    </row>
    <row r="9197" spans="1:14" x14ac:dyDescent="0.45">
      <c r="A9197">
        <v>2023</v>
      </c>
      <c r="B9197" t="s">
        <v>93</v>
      </c>
      <c r="C9197">
        <v>0</v>
      </c>
      <c r="D9197">
        <v>0</v>
      </c>
      <c r="E9197">
        <v>1</v>
      </c>
      <c r="F9197">
        <v>0</v>
      </c>
      <c r="G9197">
        <v>0</v>
      </c>
      <c r="H9197">
        <v>0</v>
      </c>
      <c r="I9197">
        <v>0</v>
      </c>
      <c r="J9197">
        <v>1456.48236823497</v>
      </c>
      <c r="K9197">
        <v>1166.00810145731</v>
      </c>
      <c r="L9197">
        <v>52.555999999999997</v>
      </c>
      <c r="M9197">
        <v>61.895000000000003</v>
      </c>
      <c r="N9197">
        <v>73.397000000000006</v>
      </c>
    </row>
    <row r="9198" spans="1:14" x14ac:dyDescent="0.45">
      <c r="A9198">
        <v>2023</v>
      </c>
      <c r="B9198" t="s">
        <v>94</v>
      </c>
      <c r="C9198">
        <v>0</v>
      </c>
      <c r="D9198">
        <v>0</v>
      </c>
      <c r="E9198">
        <v>1</v>
      </c>
      <c r="F9198">
        <v>1</v>
      </c>
      <c r="G9198">
        <v>0</v>
      </c>
      <c r="H9198">
        <v>0</v>
      </c>
      <c r="I9198">
        <v>0</v>
      </c>
      <c r="J9198">
        <v>6172.2877665068299</v>
      </c>
      <c r="K9198">
        <v>3720.93412506402</v>
      </c>
      <c r="L9198">
        <v>30.812000000000001</v>
      </c>
      <c r="M9198">
        <v>65.772000000000006</v>
      </c>
      <c r="N9198">
        <v>39.875</v>
      </c>
    </row>
    <row r="9199" spans="1:14" x14ac:dyDescent="0.45">
      <c r="A9199">
        <v>2023</v>
      </c>
      <c r="B9199" t="s">
        <v>95</v>
      </c>
      <c r="C9199">
        <v>0</v>
      </c>
      <c r="D9199">
        <v>1</v>
      </c>
      <c r="E9199">
        <v>0</v>
      </c>
      <c r="F9199">
        <v>0</v>
      </c>
      <c r="G9199">
        <v>1</v>
      </c>
      <c r="H9199">
        <v>0</v>
      </c>
      <c r="I9199">
        <v>0</v>
      </c>
      <c r="J9199">
        <v>18382.997680047501</v>
      </c>
      <c r="K9199">
        <v>15305.8582261351</v>
      </c>
      <c r="L9199">
        <v>17.646000000000001</v>
      </c>
      <c r="M9199">
        <v>77.724999999999994</v>
      </c>
      <c r="N9199">
        <v>11.939</v>
      </c>
    </row>
    <row r="9200" spans="1:14" x14ac:dyDescent="0.45">
      <c r="A9200">
        <v>2023</v>
      </c>
      <c r="B9200" t="s">
        <v>96</v>
      </c>
      <c r="C9200">
        <v>0</v>
      </c>
      <c r="D9200">
        <v>0</v>
      </c>
      <c r="E9200">
        <v>1</v>
      </c>
      <c r="F9200">
        <v>1</v>
      </c>
      <c r="G9200">
        <v>0</v>
      </c>
      <c r="H9200">
        <v>0</v>
      </c>
      <c r="I9200">
        <v>0</v>
      </c>
      <c r="J9200">
        <v>3516.4815932936999</v>
      </c>
      <c r="K9200">
        <v>3636.4907454389599</v>
      </c>
      <c r="L9200">
        <v>69.867999999999995</v>
      </c>
      <c r="M9200">
        <v>66.777000000000001</v>
      </c>
      <c r="N9200">
        <v>46.552999999999997</v>
      </c>
    </row>
    <row r="9201" spans="1:14" x14ac:dyDescent="0.45">
      <c r="A9201">
        <v>2023</v>
      </c>
      <c r="B9201" t="s">
        <v>97</v>
      </c>
      <c r="C9201">
        <v>0</v>
      </c>
      <c r="D9201">
        <v>0</v>
      </c>
      <c r="E9201">
        <v>1</v>
      </c>
      <c r="F9201">
        <v>1</v>
      </c>
      <c r="G9201">
        <v>0</v>
      </c>
      <c r="H9201">
        <v>0</v>
      </c>
      <c r="I9201">
        <v>0</v>
      </c>
      <c r="J9201">
        <v>9280.9792602976504</v>
      </c>
      <c r="K9201">
        <v>8944.2106349387395</v>
      </c>
      <c r="L9201">
        <v>32.018000000000001</v>
      </c>
      <c r="M9201">
        <v>76.058999999999997</v>
      </c>
      <c r="N9201">
        <v>11.782</v>
      </c>
    </row>
    <row r="9202" spans="1:14" x14ac:dyDescent="0.45">
      <c r="A9202">
        <v>2023</v>
      </c>
      <c r="B9202" t="s">
        <v>98</v>
      </c>
      <c r="C9202">
        <v>0</v>
      </c>
      <c r="D9202">
        <v>1</v>
      </c>
      <c r="E9202">
        <v>0</v>
      </c>
      <c r="F9202">
        <v>0</v>
      </c>
      <c r="G9202">
        <v>1</v>
      </c>
      <c r="H9202">
        <v>0</v>
      </c>
      <c r="I9202">
        <v>0</v>
      </c>
      <c r="J9202">
        <v>25979.6286150987</v>
      </c>
      <c r="K9202">
        <v>23260.9758824329</v>
      </c>
      <c r="L9202">
        <v>17.378</v>
      </c>
      <c r="M9202">
        <v>80.799000000000007</v>
      </c>
      <c r="N9202">
        <v>7.5990000000000002</v>
      </c>
    </row>
    <row r="9203" spans="1:14" x14ac:dyDescent="0.45">
      <c r="A9203">
        <v>2023</v>
      </c>
      <c r="B9203" t="s">
        <v>99</v>
      </c>
      <c r="C9203">
        <v>0</v>
      </c>
      <c r="D9203">
        <v>1</v>
      </c>
      <c r="E9203">
        <v>0</v>
      </c>
      <c r="F9203">
        <v>0</v>
      </c>
      <c r="G9203">
        <v>1</v>
      </c>
      <c r="H9203">
        <v>0</v>
      </c>
      <c r="I9203">
        <v>0</v>
      </c>
      <c r="L9203">
        <v>22.477</v>
      </c>
      <c r="M9203">
        <v>78.084999999999994</v>
      </c>
      <c r="N9203">
        <v>5.7290000000000001</v>
      </c>
    </row>
    <row r="9204" spans="1:14" x14ac:dyDescent="0.45">
      <c r="A9204">
        <v>2023</v>
      </c>
      <c r="B9204" t="s">
        <v>100</v>
      </c>
      <c r="C9204">
        <v>0</v>
      </c>
      <c r="D9204">
        <v>1</v>
      </c>
      <c r="E9204">
        <v>0</v>
      </c>
      <c r="F9204">
        <v>0</v>
      </c>
      <c r="G9204">
        <v>0</v>
      </c>
      <c r="H9204">
        <v>1</v>
      </c>
      <c r="I9204">
        <v>1</v>
      </c>
      <c r="J9204">
        <v>27675.572132142399</v>
      </c>
      <c r="K9204">
        <v>22641.728900073202</v>
      </c>
      <c r="L9204">
        <v>10.977</v>
      </c>
      <c r="M9204">
        <v>76.8</v>
      </c>
      <c r="N9204">
        <v>10.220000000000001</v>
      </c>
    </row>
    <row r="9205" spans="1:14" x14ac:dyDescent="0.45">
      <c r="A9205">
        <v>2023</v>
      </c>
      <c r="B9205" t="s">
        <v>101</v>
      </c>
      <c r="C9205">
        <v>0</v>
      </c>
      <c r="D9205">
        <v>1</v>
      </c>
      <c r="E9205">
        <v>0</v>
      </c>
      <c r="F9205">
        <v>0</v>
      </c>
      <c r="G9205">
        <v>0</v>
      </c>
      <c r="H9205">
        <v>1</v>
      </c>
      <c r="I9205">
        <v>1</v>
      </c>
      <c r="J9205">
        <v>78109.350659344098</v>
      </c>
      <c r="K9205">
        <v>71251.058477218801</v>
      </c>
      <c r="L9205">
        <v>0</v>
      </c>
      <c r="M9205">
        <v>80.358000000000004</v>
      </c>
      <c r="N9205">
        <v>1.585</v>
      </c>
    </row>
    <row r="9206" spans="1:14" x14ac:dyDescent="0.45">
      <c r="A9206">
        <v>2023</v>
      </c>
      <c r="B9206" t="s">
        <v>102</v>
      </c>
      <c r="C9206">
        <v>1</v>
      </c>
      <c r="D9206">
        <v>0</v>
      </c>
      <c r="E9206">
        <v>0</v>
      </c>
      <c r="F9206">
        <v>0</v>
      </c>
      <c r="G9206">
        <v>0</v>
      </c>
      <c r="H9206">
        <v>1</v>
      </c>
      <c r="I9206">
        <v>1</v>
      </c>
      <c r="J9206">
        <v>52190.875</v>
      </c>
      <c r="K9206">
        <v>46493.831413226901</v>
      </c>
      <c r="L9206">
        <v>33.012999999999998</v>
      </c>
      <c r="M9206">
        <v>81.647999999999996</v>
      </c>
      <c r="N9206">
        <v>3.5579999999999998</v>
      </c>
    </row>
    <row r="9207" spans="1:14" x14ac:dyDescent="0.45">
      <c r="A9207">
        <v>2023</v>
      </c>
      <c r="B9207" t="s">
        <v>103</v>
      </c>
      <c r="C9207">
        <v>1</v>
      </c>
      <c r="D9207">
        <v>0</v>
      </c>
      <c r="E9207">
        <v>0</v>
      </c>
      <c r="F9207">
        <v>0</v>
      </c>
      <c r="G9207">
        <v>0</v>
      </c>
      <c r="H9207">
        <v>1</v>
      </c>
      <c r="I9207">
        <v>1</v>
      </c>
      <c r="J9207">
        <v>47509.523844322401</v>
      </c>
      <c r="K9207">
        <v>39556.550368820099</v>
      </c>
      <c r="L9207">
        <v>25.448</v>
      </c>
      <c r="M9207">
        <v>79.834000000000003</v>
      </c>
      <c r="N9207">
        <v>2.7029999999999998</v>
      </c>
    </row>
    <row r="9208" spans="1:14" x14ac:dyDescent="0.45">
      <c r="A9208">
        <v>2023</v>
      </c>
      <c r="B9208" t="s">
        <v>104</v>
      </c>
      <c r="C9208">
        <v>1</v>
      </c>
      <c r="D9208">
        <v>0</v>
      </c>
      <c r="E9208">
        <v>0</v>
      </c>
      <c r="F9208">
        <v>0</v>
      </c>
      <c r="G9208">
        <v>0</v>
      </c>
      <c r="H9208">
        <v>1</v>
      </c>
      <c r="I9208">
        <v>1</v>
      </c>
      <c r="J9208">
        <v>62686.540849593701</v>
      </c>
      <c r="K9208">
        <v>54352.498957424599</v>
      </c>
      <c r="L9208">
        <v>22.234999999999999</v>
      </c>
      <c r="M9208">
        <v>81.378</v>
      </c>
      <c r="N9208">
        <v>3.4990000000000001</v>
      </c>
    </row>
    <row r="9209" spans="1:14" x14ac:dyDescent="0.45">
      <c r="A9209">
        <v>2023</v>
      </c>
      <c r="B9209" t="s">
        <v>105</v>
      </c>
      <c r="C9209">
        <v>0</v>
      </c>
      <c r="D9209">
        <v>0</v>
      </c>
      <c r="E9209">
        <v>0</v>
      </c>
      <c r="F9209">
        <v>1</v>
      </c>
      <c r="G9209">
        <v>0</v>
      </c>
      <c r="H9209">
        <v>0</v>
      </c>
      <c r="I9209">
        <v>0</v>
      </c>
      <c r="J9209">
        <v>6545.1033408536496</v>
      </c>
      <c r="K9209">
        <v>5645.4844186991804</v>
      </c>
      <c r="L9209">
        <v>21.448</v>
      </c>
      <c r="M9209">
        <v>65.986999999999995</v>
      </c>
      <c r="N9209">
        <v>50.279000000000003</v>
      </c>
    </row>
    <row r="9210" spans="1:14" x14ac:dyDescent="0.45">
      <c r="A9210">
        <v>2023</v>
      </c>
      <c r="B9210" t="s">
        <v>106</v>
      </c>
      <c r="C9210">
        <v>0</v>
      </c>
      <c r="D9210">
        <v>1</v>
      </c>
      <c r="E9210">
        <v>0</v>
      </c>
      <c r="F9210">
        <v>0</v>
      </c>
      <c r="G9210">
        <v>1</v>
      </c>
      <c r="H9210">
        <v>0</v>
      </c>
      <c r="I9210">
        <v>0</v>
      </c>
      <c r="J9210">
        <v>18278.2253401989</v>
      </c>
      <c r="K9210">
        <v>14224.632788720801</v>
      </c>
      <c r="L9210">
        <v>27.994</v>
      </c>
      <c r="M9210">
        <v>71.132000000000005</v>
      </c>
      <c r="N9210">
        <v>32.71</v>
      </c>
    </row>
    <row r="9211" spans="1:14" x14ac:dyDescent="0.45">
      <c r="A9211">
        <v>2023</v>
      </c>
      <c r="B9211" t="s">
        <v>107</v>
      </c>
      <c r="C9211">
        <v>1</v>
      </c>
      <c r="D9211">
        <v>0</v>
      </c>
      <c r="E9211">
        <v>0</v>
      </c>
      <c r="F9211">
        <v>0</v>
      </c>
      <c r="G9211">
        <v>0</v>
      </c>
      <c r="H9211">
        <v>1</v>
      </c>
      <c r="I9211">
        <v>1</v>
      </c>
      <c r="J9211">
        <v>71454.520912777996</v>
      </c>
      <c r="K9211">
        <v>60389.580313842103</v>
      </c>
      <c r="L9211">
        <v>11.505000000000001</v>
      </c>
      <c r="M9211">
        <v>81.933000000000007</v>
      </c>
      <c r="N9211">
        <v>3.4020000000000001</v>
      </c>
    </row>
    <row r="9212" spans="1:14" x14ac:dyDescent="0.45">
      <c r="A9212">
        <v>2023</v>
      </c>
      <c r="B9212" t="s">
        <v>108</v>
      </c>
      <c r="C9212">
        <v>0</v>
      </c>
      <c r="D9212">
        <v>1</v>
      </c>
      <c r="E9212">
        <v>0</v>
      </c>
      <c r="F9212">
        <v>0</v>
      </c>
      <c r="G9212">
        <v>1</v>
      </c>
      <c r="H9212">
        <v>0</v>
      </c>
      <c r="I9212">
        <v>0</v>
      </c>
      <c r="J9212">
        <v>23282.489507105402</v>
      </c>
      <c r="K9212">
        <v>20111.996425829999</v>
      </c>
      <c r="L9212">
        <v>15.554</v>
      </c>
      <c r="M9212">
        <v>73.72</v>
      </c>
      <c r="N9212">
        <v>31.652999999999999</v>
      </c>
    </row>
    <row r="9213" spans="1:14" x14ac:dyDescent="0.45">
      <c r="A9213">
        <v>2023</v>
      </c>
      <c r="B9213" t="s">
        <v>109</v>
      </c>
      <c r="C9213">
        <v>0</v>
      </c>
      <c r="D9213">
        <v>0</v>
      </c>
      <c r="E9213">
        <v>0</v>
      </c>
      <c r="F9213">
        <v>0</v>
      </c>
      <c r="G9213">
        <v>1</v>
      </c>
      <c r="H9213">
        <v>0</v>
      </c>
      <c r="I9213">
        <v>0</v>
      </c>
      <c r="J9213">
        <v>15159.3242373415</v>
      </c>
      <c r="K9213">
        <v>13258.862256461</v>
      </c>
      <c r="L9213">
        <v>24.731999999999999</v>
      </c>
      <c r="M9213">
        <v>76.260999999999996</v>
      </c>
      <c r="N9213">
        <v>21.19</v>
      </c>
    </row>
    <row r="9214" spans="1:14" x14ac:dyDescent="0.45">
      <c r="A9214">
        <v>2023</v>
      </c>
      <c r="B9214" t="s">
        <v>110</v>
      </c>
      <c r="C9214">
        <v>0</v>
      </c>
      <c r="D9214">
        <v>1</v>
      </c>
      <c r="E9214">
        <v>0</v>
      </c>
      <c r="F9214">
        <v>0</v>
      </c>
      <c r="G9214">
        <v>1</v>
      </c>
      <c r="H9214">
        <v>0</v>
      </c>
      <c r="I9214">
        <v>0</v>
      </c>
      <c r="J9214">
        <v>14343.0190134813</v>
      </c>
      <c r="K9214">
        <v>11929.774168353801</v>
      </c>
      <c r="L9214">
        <v>35.207999999999998</v>
      </c>
      <c r="M9214">
        <v>77.391999999999996</v>
      </c>
      <c r="N9214">
        <v>11.759</v>
      </c>
    </row>
    <row r="9215" spans="1:14" x14ac:dyDescent="0.45">
      <c r="A9215">
        <v>2023</v>
      </c>
      <c r="B9215" t="s">
        <v>111</v>
      </c>
      <c r="C9215">
        <v>0</v>
      </c>
      <c r="D9215">
        <v>0</v>
      </c>
      <c r="E9215">
        <v>0</v>
      </c>
      <c r="F9215">
        <v>1</v>
      </c>
      <c r="G9215">
        <v>0</v>
      </c>
      <c r="H9215">
        <v>0</v>
      </c>
      <c r="I9215">
        <v>0</v>
      </c>
      <c r="J9215">
        <v>16691.387399222</v>
      </c>
      <c r="K9215">
        <v>13246.0038130678</v>
      </c>
      <c r="L9215">
        <v>56.9</v>
      </c>
      <c r="M9215">
        <v>71.632999999999996</v>
      </c>
      <c r="N9215">
        <v>17.701000000000001</v>
      </c>
    </row>
    <row r="9216" spans="1:14" x14ac:dyDescent="0.45">
      <c r="A9216">
        <v>2023</v>
      </c>
      <c r="B9216" t="s">
        <v>112</v>
      </c>
      <c r="C9216">
        <v>0</v>
      </c>
      <c r="D9216">
        <v>0</v>
      </c>
      <c r="E9216">
        <v>1</v>
      </c>
      <c r="F9216">
        <v>0</v>
      </c>
      <c r="G9216">
        <v>0</v>
      </c>
      <c r="H9216">
        <v>0</v>
      </c>
      <c r="I9216">
        <v>0</v>
      </c>
      <c r="L9216">
        <v>56.732999999999997</v>
      </c>
      <c r="M9216">
        <v>68.623999999999995</v>
      </c>
      <c r="N9216">
        <v>35.298999999999999</v>
      </c>
    </row>
    <row r="9217" spans="1:14" x14ac:dyDescent="0.45">
      <c r="A9217">
        <v>2023</v>
      </c>
      <c r="B9217" t="s">
        <v>113</v>
      </c>
      <c r="C9217">
        <v>1</v>
      </c>
      <c r="D9217">
        <v>0</v>
      </c>
      <c r="E9217">
        <v>0</v>
      </c>
      <c r="F9217">
        <v>0</v>
      </c>
      <c r="G9217">
        <v>0</v>
      </c>
      <c r="H9217">
        <v>1</v>
      </c>
      <c r="I9217">
        <v>1</v>
      </c>
      <c r="J9217">
        <v>47341.171785253398</v>
      </c>
      <c r="K9217">
        <v>41661.490262043997</v>
      </c>
      <c r="L9217">
        <v>18.448</v>
      </c>
      <c r="M9217">
        <v>83.67</v>
      </c>
      <c r="N9217">
        <v>2.8860000000000001</v>
      </c>
    </row>
    <row r="9218" spans="1:14" x14ac:dyDescent="0.45">
      <c r="A9218">
        <v>2023</v>
      </c>
      <c r="B9218" t="s">
        <v>114</v>
      </c>
      <c r="C9218">
        <v>1</v>
      </c>
      <c r="D9218">
        <v>0</v>
      </c>
      <c r="E9218">
        <v>0</v>
      </c>
      <c r="F9218">
        <v>0</v>
      </c>
      <c r="G9218">
        <v>0</v>
      </c>
      <c r="H9218">
        <v>1</v>
      </c>
      <c r="I9218">
        <v>1</v>
      </c>
      <c r="J9218">
        <v>41706.519612761702</v>
      </c>
      <c r="K9218">
        <v>35384.056271060203</v>
      </c>
      <c r="L9218">
        <v>30.19</v>
      </c>
      <c r="M9218">
        <v>79.153000000000006</v>
      </c>
      <c r="N9218">
        <v>2.0390000000000001</v>
      </c>
    </row>
    <row r="9219" spans="1:14" x14ac:dyDescent="0.45">
      <c r="A9219">
        <v>2023</v>
      </c>
      <c r="B9219" t="s">
        <v>115</v>
      </c>
      <c r="C9219">
        <v>0</v>
      </c>
      <c r="D9219">
        <v>0</v>
      </c>
      <c r="E9219">
        <v>1</v>
      </c>
      <c r="F9219">
        <v>0</v>
      </c>
      <c r="G9219">
        <v>0</v>
      </c>
      <c r="H9219">
        <v>0</v>
      </c>
      <c r="I9219">
        <v>0</v>
      </c>
      <c r="J9219">
        <v>2757.9592363402598</v>
      </c>
      <c r="K9219">
        <v>2487.3769668035102</v>
      </c>
      <c r="L9219">
        <v>76.843000000000004</v>
      </c>
      <c r="M9219">
        <v>67.314999999999998</v>
      </c>
      <c r="N9219">
        <v>44.61</v>
      </c>
    </row>
    <row r="9220" spans="1:14" x14ac:dyDescent="0.45">
      <c r="A9220">
        <v>2023</v>
      </c>
      <c r="B9220" t="s">
        <v>116</v>
      </c>
      <c r="C9220">
        <v>1</v>
      </c>
      <c r="D9220">
        <v>0</v>
      </c>
      <c r="E9220">
        <v>0</v>
      </c>
      <c r="F9220">
        <v>0</v>
      </c>
      <c r="G9220">
        <v>0</v>
      </c>
      <c r="H9220">
        <v>1</v>
      </c>
      <c r="I9220">
        <v>1</v>
      </c>
      <c r="J9220">
        <v>56246.443152317399</v>
      </c>
      <c r="K9220">
        <v>47285.417986309199</v>
      </c>
      <c r="L9220">
        <v>14.227</v>
      </c>
      <c r="M9220">
        <v>81.91</v>
      </c>
      <c r="N9220">
        <v>2.52</v>
      </c>
    </row>
    <row r="9221" spans="1:14" x14ac:dyDescent="0.45">
      <c r="A9221">
        <v>2023</v>
      </c>
      <c r="B9221" t="s">
        <v>117</v>
      </c>
      <c r="C9221">
        <v>0</v>
      </c>
      <c r="D9221">
        <v>0</v>
      </c>
      <c r="E9221">
        <v>0</v>
      </c>
      <c r="F9221">
        <v>0</v>
      </c>
      <c r="G9221">
        <v>1</v>
      </c>
      <c r="H9221">
        <v>0</v>
      </c>
      <c r="I9221">
        <v>0</v>
      </c>
      <c r="J9221">
        <v>13652.4909862727</v>
      </c>
      <c r="K9221">
        <v>13369.921254894</v>
      </c>
      <c r="L9221">
        <v>41.286999999999999</v>
      </c>
      <c r="M9221">
        <v>67.316000000000003</v>
      </c>
      <c r="N9221">
        <v>28.760999999999999</v>
      </c>
    </row>
    <row r="9222" spans="1:14" x14ac:dyDescent="0.45">
      <c r="A9222">
        <v>2023</v>
      </c>
      <c r="B9222" t="s">
        <v>118</v>
      </c>
      <c r="C9222">
        <v>1</v>
      </c>
      <c r="D9222">
        <v>0</v>
      </c>
      <c r="E9222">
        <v>0</v>
      </c>
      <c r="F9222">
        <v>0</v>
      </c>
      <c r="G9222">
        <v>0</v>
      </c>
      <c r="H9222">
        <v>1</v>
      </c>
      <c r="I9222">
        <v>1</v>
      </c>
      <c r="J9222">
        <v>54017.874172559103</v>
      </c>
      <c r="K9222">
        <v>45099.457666336697</v>
      </c>
      <c r="L9222">
        <v>18.222999999999999</v>
      </c>
      <c r="M9222">
        <v>83.325000000000003</v>
      </c>
      <c r="N9222">
        <v>4.125</v>
      </c>
    </row>
    <row r="9223" spans="1:14" x14ac:dyDescent="0.45">
      <c r="A9223">
        <v>2023</v>
      </c>
      <c r="B9223" t="s">
        <v>119</v>
      </c>
      <c r="C9223">
        <v>1</v>
      </c>
      <c r="D9223">
        <v>0</v>
      </c>
      <c r="E9223">
        <v>0</v>
      </c>
      <c r="F9223">
        <v>0</v>
      </c>
      <c r="G9223">
        <v>0</v>
      </c>
      <c r="H9223">
        <v>1</v>
      </c>
      <c r="I9223">
        <v>1</v>
      </c>
      <c r="J9223">
        <v>70428.963096592401</v>
      </c>
      <c r="K9223">
        <v>61531.063165447202</v>
      </c>
      <c r="L9223">
        <v>57.012999999999998</v>
      </c>
      <c r="M9223">
        <v>80.179000000000002</v>
      </c>
      <c r="N9223">
        <v>7.7089999999999996</v>
      </c>
    </row>
    <row r="9224" spans="1:14" x14ac:dyDescent="0.45">
      <c r="A9224">
        <v>2023</v>
      </c>
      <c r="B9224" t="s">
        <v>120</v>
      </c>
      <c r="C9224">
        <v>0</v>
      </c>
      <c r="D9224">
        <v>0</v>
      </c>
      <c r="E9224">
        <v>0</v>
      </c>
      <c r="F9224">
        <v>1</v>
      </c>
      <c r="G9224">
        <v>0</v>
      </c>
      <c r="H9224">
        <v>0</v>
      </c>
      <c r="I9224">
        <v>0</v>
      </c>
      <c r="J9224">
        <v>3814.1696770865601</v>
      </c>
      <c r="K9224">
        <v>3452.3498774371101</v>
      </c>
      <c r="L9224">
        <v>76.620999999999995</v>
      </c>
      <c r="M9224">
        <v>67.197999999999993</v>
      </c>
      <c r="N9224">
        <v>22.83</v>
      </c>
    </row>
    <row r="9225" spans="1:14" x14ac:dyDescent="0.45">
      <c r="A9225">
        <v>2023</v>
      </c>
      <c r="B9225" t="s">
        <v>121</v>
      </c>
      <c r="C9225">
        <v>0</v>
      </c>
      <c r="D9225">
        <v>0</v>
      </c>
      <c r="E9225">
        <v>1</v>
      </c>
      <c r="F9225">
        <v>0</v>
      </c>
      <c r="G9225">
        <v>1</v>
      </c>
      <c r="H9225">
        <v>0</v>
      </c>
      <c r="I9225">
        <v>0</v>
      </c>
      <c r="J9225">
        <v>18702.690517792598</v>
      </c>
      <c r="K9225">
        <v>14151.202219738299</v>
      </c>
      <c r="L9225">
        <v>8.9710000000000001</v>
      </c>
      <c r="M9225">
        <v>68.337000000000003</v>
      </c>
      <c r="N9225">
        <v>37.372999999999998</v>
      </c>
    </row>
    <row r="9226" spans="1:14" x14ac:dyDescent="0.45">
      <c r="A9226">
        <v>2023</v>
      </c>
      <c r="B9226" t="s">
        <v>122</v>
      </c>
      <c r="C9226">
        <v>1</v>
      </c>
      <c r="D9226">
        <v>0</v>
      </c>
      <c r="E9226">
        <v>0</v>
      </c>
      <c r="F9226">
        <v>0</v>
      </c>
      <c r="G9226">
        <v>0</v>
      </c>
      <c r="H9226">
        <v>1</v>
      </c>
      <c r="I9226">
        <v>1</v>
      </c>
      <c r="J9226">
        <v>52502.915327750998</v>
      </c>
      <c r="K9226">
        <v>45232.844878164098</v>
      </c>
      <c r="L9226">
        <v>15.358000000000001</v>
      </c>
      <c r="M9226">
        <v>81.302000000000007</v>
      </c>
      <c r="N9226">
        <v>4.24</v>
      </c>
    </row>
    <row r="9227" spans="1:14" x14ac:dyDescent="0.45">
      <c r="A9227">
        <v>2023</v>
      </c>
      <c r="B9227" t="s">
        <v>123</v>
      </c>
      <c r="C9227">
        <v>1</v>
      </c>
      <c r="D9227">
        <v>0</v>
      </c>
      <c r="E9227">
        <v>0</v>
      </c>
      <c r="F9227">
        <v>0</v>
      </c>
      <c r="G9227">
        <v>1</v>
      </c>
      <c r="H9227">
        <v>0</v>
      </c>
      <c r="I9227">
        <v>0</v>
      </c>
      <c r="J9227">
        <v>22590.529364914601</v>
      </c>
      <c r="K9227">
        <v>19086.414759123101</v>
      </c>
      <c r="L9227">
        <v>39.273000000000003</v>
      </c>
      <c r="M9227">
        <v>74.495999999999995</v>
      </c>
      <c r="N9227">
        <v>9.2409999999999997</v>
      </c>
    </row>
    <row r="9228" spans="1:14" x14ac:dyDescent="0.45">
      <c r="A9228">
        <v>2023</v>
      </c>
      <c r="B9228" t="s">
        <v>124</v>
      </c>
      <c r="C9228">
        <v>0</v>
      </c>
      <c r="D9228">
        <v>0</v>
      </c>
      <c r="E9228">
        <v>1</v>
      </c>
      <c r="F9228">
        <v>1</v>
      </c>
      <c r="G9228">
        <v>0</v>
      </c>
      <c r="H9228">
        <v>0</v>
      </c>
      <c r="I9228">
        <v>0</v>
      </c>
      <c r="J9228">
        <v>6808.5377516502904</v>
      </c>
      <c r="K9228">
        <v>5874.0164234023296</v>
      </c>
      <c r="L9228">
        <v>40.762</v>
      </c>
      <c r="M9228">
        <v>65.498000000000005</v>
      </c>
      <c r="N9228">
        <v>40.981000000000002</v>
      </c>
    </row>
    <row r="9229" spans="1:14" x14ac:dyDescent="0.45">
      <c r="A9229">
        <v>2023</v>
      </c>
      <c r="B9229" t="s">
        <v>125</v>
      </c>
      <c r="C9229">
        <v>1</v>
      </c>
      <c r="D9229">
        <v>0</v>
      </c>
      <c r="E9229">
        <v>0</v>
      </c>
      <c r="F9229">
        <v>0</v>
      </c>
      <c r="G9229">
        <v>0</v>
      </c>
      <c r="H9229">
        <v>1</v>
      </c>
      <c r="I9229">
        <v>1</v>
      </c>
      <c r="L9229">
        <v>0</v>
      </c>
      <c r="M9229">
        <v>83.552999999999997</v>
      </c>
      <c r="N9229">
        <v>10.503</v>
      </c>
    </row>
    <row r="9230" spans="1:14" x14ac:dyDescent="0.45">
      <c r="A9230">
        <v>2023</v>
      </c>
      <c r="B9230" t="s">
        <v>126</v>
      </c>
      <c r="C9230">
        <v>0</v>
      </c>
      <c r="D9230">
        <v>0</v>
      </c>
      <c r="E9230">
        <v>1</v>
      </c>
      <c r="F9230">
        <v>1</v>
      </c>
      <c r="G9230">
        <v>0</v>
      </c>
      <c r="H9230">
        <v>0</v>
      </c>
      <c r="I9230">
        <v>0</v>
      </c>
      <c r="J9230">
        <v>3904.8239552799801</v>
      </c>
      <c r="K9230">
        <v>3148.32605473784</v>
      </c>
      <c r="L9230">
        <v>61.914999999999999</v>
      </c>
      <c r="M9230">
        <v>60.74</v>
      </c>
      <c r="N9230">
        <v>93.14</v>
      </c>
    </row>
    <row r="9231" spans="1:14" x14ac:dyDescent="0.45">
      <c r="A9231">
        <v>2023</v>
      </c>
      <c r="B9231" t="s">
        <v>127</v>
      </c>
      <c r="C9231">
        <v>0</v>
      </c>
      <c r="D9231">
        <v>0</v>
      </c>
      <c r="E9231">
        <v>1</v>
      </c>
      <c r="F9231">
        <v>0</v>
      </c>
      <c r="G9231">
        <v>0</v>
      </c>
      <c r="H9231">
        <v>0</v>
      </c>
      <c r="I9231">
        <v>0</v>
      </c>
      <c r="J9231">
        <v>2932.2805956903899</v>
      </c>
      <c r="K9231">
        <v>2360.18375260838</v>
      </c>
      <c r="L9231">
        <v>35.527999999999999</v>
      </c>
      <c r="M9231">
        <v>65.86</v>
      </c>
      <c r="N9231">
        <v>44.03</v>
      </c>
    </row>
    <row r="9232" spans="1:14" x14ac:dyDescent="0.45">
      <c r="A9232">
        <v>2023</v>
      </c>
      <c r="B9232" t="s">
        <v>128</v>
      </c>
      <c r="C9232">
        <v>0</v>
      </c>
      <c r="D9232">
        <v>0</v>
      </c>
      <c r="E9232">
        <v>1</v>
      </c>
      <c r="F9232">
        <v>0</v>
      </c>
      <c r="G9232">
        <v>0</v>
      </c>
      <c r="H9232">
        <v>0</v>
      </c>
      <c r="I9232">
        <v>0</v>
      </c>
      <c r="J9232">
        <v>2619.4135373741401</v>
      </c>
      <c r="K9232">
        <v>2356.4203547306402</v>
      </c>
      <c r="L9232">
        <v>54.533999999999999</v>
      </c>
      <c r="M9232">
        <v>64.084999999999994</v>
      </c>
      <c r="N9232">
        <v>69.403000000000006</v>
      </c>
    </row>
    <row r="9233" spans="1:14" x14ac:dyDescent="0.45">
      <c r="A9233">
        <v>2023</v>
      </c>
      <c r="B9233" t="s">
        <v>129</v>
      </c>
      <c r="C9233">
        <v>0</v>
      </c>
      <c r="D9233">
        <v>0</v>
      </c>
      <c r="E9233">
        <v>1</v>
      </c>
      <c r="F9233">
        <v>0</v>
      </c>
      <c r="G9233">
        <v>1</v>
      </c>
      <c r="H9233">
        <v>0</v>
      </c>
      <c r="I9233">
        <v>0</v>
      </c>
      <c r="J9233">
        <v>15688.238419265799</v>
      </c>
      <c r="K9233">
        <v>12997.9056887146</v>
      </c>
      <c r="L9233">
        <v>25.552</v>
      </c>
      <c r="M9233">
        <v>63.707000000000001</v>
      </c>
      <c r="N9233">
        <v>70.638000000000005</v>
      </c>
    </row>
    <row r="9234" spans="1:14" x14ac:dyDescent="0.45">
      <c r="A9234">
        <v>2023</v>
      </c>
      <c r="B9234" t="s">
        <v>130</v>
      </c>
      <c r="C9234">
        <v>1</v>
      </c>
      <c r="D9234">
        <v>0</v>
      </c>
      <c r="E9234">
        <v>0</v>
      </c>
      <c r="F9234">
        <v>0</v>
      </c>
      <c r="G9234">
        <v>0</v>
      </c>
      <c r="H9234">
        <v>1</v>
      </c>
      <c r="I9234">
        <v>1</v>
      </c>
      <c r="J9234">
        <v>36854.504396820201</v>
      </c>
      <c r="K9234">
        <v>32991.935344436002</v>
      </c>
      <c r="L9234">
        <v>19.327000000000002</v>
      </c>
      <c r="M9234">
        <v>81.856999999999999</v>
      </c>
      <c r="N9234">
        <v>3.8290000000000002</v>
      </c>
    </row>
    <row r="9235" spans="1:14" x14ac:dyDescent="0.45">
      <c r="A9235">
        <v>2023</v>
      </c>
      <c r="B9235" t="s">
        <v>131</v>
      </c>
      <c r="C9235">
        <v>0</v>
      </c>
      <c r="D9235">
        <v>1</v>
      </c>
      <c r="E9235">
        <v>0</v>
      </c>
      <c r="F9235">
        <v>0</v>
      </c>
      <c r="G9235">
        <v>1</v>
      </c>
      <c r="H9235">
        <v>0</v>
      </c>
      <c r="I9235">
        <v>0</v>
      </c>
      <c r="J9235">
        <v>17128.696392176898</v>
      </c>
      <c r="K9235">
        <v>15804.7350418037</v>
      </c>
      <c r="L9235">
        <v>62.941000000000003</v>
      </c>
      <c r="M9235">
        <v>75.204999999999998</v>
      </c>
      <c r="N9235">
        <v>16.087</v>
      </c>
    </row>
    <row r="9236" spans="1:14" x14ac:dyDescent="0.45">
      <c r="A9236">
        <v>2023</v>
      </c>
      <c r="B9236" t="s">
        <v>132</v>
      </c>
      <c r="C9236">
        <v>1</v>
      </c>
      <c r="D9236">
        <v>0</v>
      </c>
      <c r="E9236">
        <v>0</v>
      </c>
      <c r="F9236">
        <v>0</v>
      </c>
      <c r="G9236">
        <v>0</v>
      </c>
      <c r="H9236">
        <v>1</v>
      </c>
      <c r="I9236">
        <v>1</v>
      </c>
      <c r="J9236">
        <v>71037.537223962296</v>
      </c>
      <c r="K9236">
        <v>64300.917582494301</v>
      </c>
      <c r="L9236">
        <v>12.06</v>
      </c>
      <c r="M9236">
        <v>70.055000000000007</v>
      </c>
      <c r="N9236">
        <v>11.679</v>
      </c>
    </row>
    <row r="9237" spans="1:14" x14ac:dyDescent="0.45">
      <c r="A9237">
        <v>2023</v>
      </c>
      <c r="B9237" t="s">
        <v>133</v>
      </c>
      <c r="C9237">
        <v>0</v>
      </c>
      <c r="D9237">
        <v>1</v>
      </c>
      <c r="E9237">
        <v>0</v>
      </c>
      <c r="F9237">
        <v>0</v>
      </c>
      <c r="G9237">
        <v>1</v>
      </c>
      <c r="H9237">
        <v>0</v>
      </c>
      <c r="I9237">
        <v>0</v>
      </c>
      <c r="J9237">
        <v>12384.9480298051</v>
      </c>
      <c r="K9237">
        <v>10758.502900492</v>
      </c>
      <c r="L9237">
        <v>46.902000000000001</v>
      </c>
      <c r="M9237">
        <v>72.602000000000004</v>
      </c>
      <c r="N9237">
        <v>21.45</v>
      </c>
    </row>
    <row r="9238" spans="1:14" x14ac:dyDescent="0.45">
      <c r="A9238">
        <v>2023</v>
      </c>
      <c r="B9238" t="s">
        <v>134</v>
      </c>
      <c r="C9238">
        <v>0</v>
      </c>
      <c r="D9238">
        <v>0</v>
      </c>
      <c r="E9238">
        <v>0</v>
      </c>
      <c r="F9238">
        <v>0</v>
      </c>
      <c r="G9238">
        <v>0</v>
      </c>
      <c r="H9238">
        <v>1</v>
      </c>
      <c r="I9238">
        <v>1</v>
      </c>
      <c r="L9238">
        <v>4.8339999999999996</v>
      </c>
      <c r="M9238">
        <v>77.209000000000003</v>
      </c>
      <c r="N9238">
        <v>13.317</v>
      </c>
    </row>
    <row r="9239" spans="1:14" x14ac:dyDescent="0.45">
      <c r="A9239">
        <v>2023</v>
      </c>
      <c r="B9239" t="s">
        <v>135</v>
      </c>
      <c r="C9239">
        <v>0</v>
      </c>
      <c r="D9239">
        <v>1</v>
      </c>
      <c r="E9239">
        <v>0</v>
      </c>
      <c r="F9239">
        <v>0</v>
      </c>
      <c r="G9239">
        <v>0</v>
      </c>
      <c r="H9239">
        <v>1</v>
      </c>
      <c r="I9239">
        <v>1</v>
      </c>
      <c r="J9239">
        <v>49312.360322544402</v>
      </c>
      <c r="K9239">
        <v>47161.312673246102</v>
      </c>
      <c r="L9239">
        <v>72.837999999999994</v>
      </c>
      <c r="M9239">
        <v>70.180000000000007</v>
      </c>
      <c r="N9239">
        <v>25.683</v>
      </c>
    </row>
    <row r="9240" spans="1:14" x14ac:dyDescent="0.45">
      <c r="A9240">
        <v>2023</v>
      </c>
      <c r="B9240" t="s">
        <v>136</v>
      </c>
      <c r="C9240">
        <v>0</v>
      </c>
      <c r="D9240">
        <v>0</v>
      </c>
      <c r="E9240">
        <v>0</v>
      </c>
      <c r="F9240">
        <v>0</v>
      </c>
      <c r="G9240">
        <v>0</v>
      </c>
      <c r="H9240">
        <v>1</v>
      </c>
      <c r="I9240">
        <v>1</v>
      </c>
      <c r="J9240">
        <v>64428.730016462701</v>
      </c>
      <c r="K9240">
        <v>58147.1509828903</v>
      </c>
      <c r="L9240">
        <v>0</v>
      </c>
      <c r="M9240">
        <v>85.510999999999996</v>
      </c>
      <c r="N9240">
        <v>1.7969999999999999</v>
      </c>
    </row>
    <row r="9241" spans="1:14" x14ac:dyDescent="0.45">
      <c r="A9241">
        <v>2023</v>
      </c>
      <c r="B9241" t="s">
        <v>137</v>
      </c>
      <c r="C9241">
        <v>0</v>
      </c>
      <c r="D9241">
        <v>1</v>
      </c>
      <c r="E9241">
        <v>0</v>
      </c>
      <c r="F9241">
        <v>1</v>
      </c>
      <c r="G9241">
        <v>0</v>
      </c>
      <c r="H9241">
        <v>0</v>
      </c>
      <c r="I9241">
        <v>0</v>
      </c>
      <c r="J9241">
        <v>6467.8800352783001</v>
      </c>
      <c r="K9241">
        <v>5960.0093686669697</v>
      </c>
      <c r="L9241">
        <v>39.787999999999997</v>
      </c>
      <c r="M9241">
        <v>72.884</v>
      </c>
      <c r="N9241">
        <v>15.446999999999999</v>
      </c>
    </row>
    <row r="9242" spans="1:14" x14ac:dyDescent="0.45">
      <c r="A9242">
        <v>2023</v>
      </c>
      <c r="B9242" t="s">
        <v>138</v>
      </c>
      <c r="C9242">
        <v>1</v>
      </c>
      <c r="D9242">
        <v>0</v>
      </c>
      <c r="E9242">
        <v>0</v>
      </c>
      <c r="F9242">
        <v>0</v>
      </c>
      <c r="G9242">
        <v>0</v>
      </c>
      <c r="H9242">
        <v>1</v>
      </c>
      <c r="I9242">
        <v>1</v>
      </c>
      <c r="J9242">
        <v>41135.087625549502</v>
      </c>
      <c r="K9242">
        <v>35475.275555257504</v>
      </c>
      <c r="L9242">
        <v>41.424999999999997</v>
      </c>
      <c r="M9242">
        <v>78.58</v>
      </c>
      <c r="N9242">
        <v>3.9609999999999999</v>
      </c>
    </row>
    <row r="9243" spans="1:14" x14ac:dyDescent="0.45">
      <c r="A9243">
        <v>2023</v>
      </c>
      <c r="B9243" t="s">
        <v>139</v>
      </c>
      <c r="C9243">
        <v>0</v>
      </c>
      <c r="D9243">
        <v>1</v>
      </c>
      <c r="E9243">
        <v>0</v>
      </c>
      <c r="F9243">
        <v>1</v>
      </c>
      <c r="G9243">
        <v>0</v>
      </c>
      <c r="H9243">
        <v>0</v>
      </c>
      <c r="I9243">
        <v>0</v>
      </c>
      <c r="J9243">
        <v>2956.4621370165901</v>
      </c>
      <c r="K9243">
        <v>2841.6206118679302</v>
      </c>
      <c r="L9243">
        <v>40.344000000000001</v>
      </c>
      <c r="M9243">
        <v>64.936000000000007</v>
      </c>
      <c r="N9243">
        <v>55.609000000000002</v>
      </c>
    </row>
    <row r="9244" spans="1:14" x14ac:dyDescent="0.45">
      <c r="A9244">
        <v>2023</v>
      </c>
      <c r="B9244" t="s">
        <v>140</v>
      </c>
      <c r="C9244">
        <v>1</v>
      </c>
      <c r="D9244">
        <v>0</v>
      </c>
      <c r="E9244">
        <v>0</v>
      </c>
      <c r="F9244">
        <v>0</v>
      </c>
      <c r="G9244">
        <v>0</v>
      </c>
      <c r="H9244">
        <v>1</v>
      </c>
      <c r="I9244">
        <v>1</v>
      </c>
      <c r="J9244">
        <v>40368.5881912861</v>
      </c>
      <c r="K9244">
        <v>35177.8933887526</v>
      </c>
      <c r="L9244">
        <v>27.135999999999999</v>
      </c>
      <c r="M9244">
        <v>77.024000000000001</v>
      </c>
      <c r="N9244">
        <v>3.8519999999999999</v>
      </c>
    </row>
    <row r="9245" spans="1:14" x14ac:dyDescent="0.45">
      <c r="A9245">
        <v>2023</v>
      </c>
      <c r="B9245" t="s">
        <v>141</v>
      </c>
      <c r="C9245">
        <v>0</v>
      </c>
      <c r="D9245">
        <v>0</v>
      </c>
      <c r="E9245">
        <v>0</v>
      </c>
      <c r="F9245">
        <v>0</v>
      </c>
      <c r="G9245">
        <v>1</v>
      </c>
      <c r="H9245">
        <v>0</v>
      </c>
      <c r="I9245">
        <v>0</v>
      </c>
      <c r="J9245">
        <v>13889.9749067297</v>
      </c>
      <c r="K9245">
        <v>12609.9079704572</v>
      </c>
      <c r="L9245">
        <v>41.427999999999997</v>
      </c>
      <c r="M9245">
        <v>71.146000000000001</v>
      </c>
      <c r="N9245">
        <v>20.533999999999999</v>
      </c>
    </row>
    <row r="9246" spans="1:14" x14ac:dyDescent="0.45">
      <c r="A9246">
        <v>2023</v>
      </c>
      <c r="B9246" t="s">
        <v>142</v>
      </c>
      <c r="C9246">
        <v>1</v>
      </c>
      <c r="D9246">
        <v>0</v>
      </c>
      <c r="E9246">
        <v>0</v>
      </c>
      <c r="F9246">
        <v>0</v>
      </c>
      <c r="G9246">
        <v>0</v>
      </c>
      <c r="H9246">
        <v>1</v>
      </c>
      <c r="I9246">
        <v>1</v>
      </c>
      <c r="L9246">
        <v>46.518000000000001</v>
      </c>
      <c r="M9246">
        <v>80.998999999999995</v>
      </c>
      <c r="N9246">
        <v>13.509</v>
      </c>
    </row>
    <row r="9247" spans="1:14" x14ac:dyDescent="0.45">
      <c r="A9247">
        <v>2023</v>
      </c>
      <c r="B9247" t="s">
        <v>143</v>
      </c>
      <c r="C9247">
        <v>0</v>
      </c>
      <c r="D9247">
        <v>0</v>
      </c>
      <c r="E9247">
        <v>0</v>
      </c>
      <c r="F9247">
        <v>1</v>
      </c>
      <c r="G9247">
        <v>0</v>
      </c>
      <c r="H9247">
        <v>0</v>
      </c>
      <c r="I9247">
        <v>0</v>
      </c>
      <c r="J9247">
        <v>9301.7560322573499</v>
      </c>
      <c r="K9247">
        <v>7801.2464858593803</v>
      </c>
      <c r="L9247">
        <v>63.636000000000003</v>
      </c>
      <c r="M9247">
        <v>72.003</v>
      </c>
      <c r="N9247">
        <v>27.62</v>
      </c>
    </row>
    <row r="9248" spans="1:14" x14ac:dyDescent="0.45">
      <c r="A9248">
        <v>2023</v>
      </c>
      <c r="B9248" t="s">
        <v>144</v>
      </c>
      <c r="C9248">
        <v>1</v>
      </c>
      <c r="D9248">
        <v>0</v>
      </c>
      <c r="E9248">
        <v>0</v>
      </c>
      <c r="F9248">
        <v>0</v>
      </c>
      <c r="G9248">
        <v>0</v>
      </c>
      <c r="H9248">
        <v>1</v>
      </c>
      <c r="I9248">
        <v>1</v>
      </c>
      <c r="J9248">
        <v>115505.338321018</v>
      </c>
      <c r="K9248">
        <v>106201.132399922</v>
      </c>
      <c r="L9248">
        <v>35.533999999999999</v>
      </c>
      <c r="M9248">
        <v>82.412000000000006</v>
      </c>
      <c r="N9248">
        <v>3.2679999999999998</v>
      </c>
    </row>
    <row r="9249" spans="1:14" x14ac:dyDescent="0.45">
      <c r="A9249">
        <v>2023</v>
      </c>
      <c r="B9249" t="s">
        <v>145</v>
      </c>
      <c r="C9249">
        <v>0</v>
      </c>
      <c r="D9249">
        <v>0</v>
      </c>
      <c r="E9249">
        <v>0</v>
      </c>
      <c r="F9249">
        <v>0</v>
      </c>
      <c r="G9249">
        <v>1</v>
      </c>
      <c r="H9249">
        <v>0</v>
      </c>
      <c r="I9249">
        <v>0</v>
      </c>
      <c r="J9249">
        <v>15912.029870628499</v>
      </c>
      <c r="K9249">
        <v>15872.165015254801</v>
      </c>
      <c r="L9249">
        <v>22.742999999999999</v>
      </c>
      <c r="M9249">
        <v>77.653999999999996</v>
      </c>
      <c r="N9249">
        <v>11.644</v>
      </c>
    </row>
    <row r="9250" spans="1:14" x14ac:dyDescent="0.45">
      <c r="A9250">
        <v>2023</v>
      </c>
      <c r="B9250" t="s">
        <v>146</v>
      </c>
      <c r="C9250">
        <v>0</v>
      </c>
      <c r="D9250">
        <v>0</v>
      </c>
      <c r="E9250">
        <v>0</v>
      </c>
      <c r="F9250">
        <v>0</v>
      </c>
      <c r="G9250">
        <v>1</v>
      </c>
      <c r="H9250">
        <v>0</v>
      </c>
      <c r="I9250">
        <v>0</v>
      </c>
      <c r="J9250">
        <v>13202.3228073875</v>
      </c>
      <c r="K9250">
        <v>9332.5736925850997</v>
      </c>
      <c r="L9250">
        <v>28.401</v>
      </c>
      <c r="M9250">
        <v>72.323999999999998</v>
      </c>
      <c r="N9250">
        <v>22.849</v>
      </c>
    </row>
    <row r="9251" spans="1:14" x14ac:dyDescent="0.45">
      <c r="A9251">
        <v>2023</v>
      </c>
      <c r="B9251" t="s">
        <v>147</v>
      </c>
      <c r="C9251">
        <v>1</v>
      </c>
      <c r="D9251">
        <v>0</v>
      </c>
      <c r="E9251">
        <v>0</v>
      </c>
      <c r="F9251">
        <v>0</v>
      </c>
      <c r="G9251">
        <v>0</v>
      </c>
      <c r="H9251">
        <v>1</v>
      </c>
      <c r="I9251">
        <v>1</v>
      </c>
      <c r="J9251">
        <v>67177.202628980507</v>
      </c>
      <c r="K9251">
        <v>58127.686813613502</v>
      </c>
      <c r="L9251">
        <v>5.9580000000000002</v>
      </c>
      <c r="M9251">
        <v>82.691000000000003</v>
      </c>
      <c r="N9251">
        <v>1.5660000000000001</v>
      </c>
    </row>
    <row r="9252" spans="1:14" x14ac:dyDescent="0.45">
      <c r="A9252">
        <v>2023</v>
      </c>
      <c r="B9252" t="s">
        <v>148</v>
      </c>
      <c r="C9252">
        <v>0</v>
      </c>
      <c r="D9252">
        <v>0</v>
      </c>
      <c r="E9252">
        <v>0</v>
      </c>
      <c r="F9252">
        <v>0</v>
      </c>
      <c r="G9252">
        <v>0</v>
      </c>
      <c r="H9252">
        <v>1</v>
      </c>
      <c r="I9252">
        <v>1</v>
      </c>
      <c r="J9252">
        <v>47527.151024671999</v>
      </c>
      <c r="K9252">
        <v>43595.570806497199</v>
      </c>
      <c r="L9252">
        <v>7.1459999999999999</v>
      </c>
      <c r="M9252">
        <v>82.408000000000001</v>
      </c>
      <c r="N9252">
        <v>3.9359999999999999</v>
      </c>
    </row>
    <row r="9253" spans="1:14" x14ac:dyDescent="0.45">
      <c r="A9253">
        <v>2023</v>
      </c>
      <c r="B9253" t="s">
        <v>149</v>
      </c>
      <c r="C9253">
        <v>1</v>
      </c>
      <c r="D9253">
        <v>0</v>
      </c>
      <c r="E9253">
        <v>0</v>
      </c>
      <c r="F9253">
        <v>0</v>
      </c>
      <c r="G9253">
        <v>0</v>
      </c>
      <c r="H9253">
        <v>1</v>
      </c>
      <c r="I9253">
        <v>1</v>
      </c>
      <c r="J9253">
        <v>52725.746197672699</v>
      </c>
      <c r="K9253">
        <v>44910.056780334999</v>
      </c>
      <c r="L9253">
        <v>28.027000000000001</v>
      </c>
      <c r="M9253">
        <v>83.715999999999994</v>
      </c>
      <c r="N9253">
        <v>2.65</v>
      </c>
    </row>
    <row r="9254" spans="1:14" x14ac:dyDescent="0.45">
      <c r="A9254">
        <v>2023</v>
      </c>
      <c r="B9254" t="s">
        <v>150</v>
      </c>
      <c r="C9254">
        <v>0</v>
      </c>
      <c r="D9254">
        <v>1</v>
      </c>
      <c r="E9254">
        <v>0</v>
      </c>
      <c r="F9254">
        <v>0</v>
      </c>
      <c r="G9254">
        <v>1</v>
      </c>
      <c r="H9254">
        <v>0</v>
      </c>
      <c r="I9254">
        <v>0</v>
      </c>
      <c r="J9254">
        <v>10332.055125562199</v>
      </c>
      <c r="K9254">
        <v>10182.551915480401</v>
      </c>
      <c r="L9254">
        <v>42.622</v>
      </c>
      <c r="M9254">
        <v>71.478999999999999</v>
      </c>
      <c r="N9254">
        <v>19.420999999999999</v>
      </c>
    </row>
    <row r="9255" spans="1:14" x14ac:dyDescent="0.45">
      <c r="A9255">
        <v>2023</v>
      </c>
      <c r="B9255" t="s">
        <v>151</v>
      </c>
      <c r="C9255">
        <v>0</v>
      </c>
      <c r="D9255">
        <v>0</v>
      </c>
      <c r="E9255">
        <v>0</v>
      </c>
      <c r="F9255">
        <v>1</v>
      </c>
      <c r="G9255">
        <v>0</v>
      </c>
      <c r="H9255">
        <v>0</v>
      </c>
      <c r="I9255">
        <v>0</v>
      </c>
      <c r="J9255">
        <v>9381.3543603692906</v>
      </c>
      <c r="K9255">
        <v>9306.7284176284502</v>
      </c>
      <c r="L9255">
        <v>7.98</v>
      </c>
      <c r="M9255">
        <v>77.813999999999993</v>
      </c>
      <c r="N9255">
        <v>13.702999999999999</v>
      </c>
    </row>
    <row r="9256" spans="1:14" x14ac:dyDescent="0.45">
      <c r="A9256">
        <v>2023</v>
      </c>
      <c r="B9256" t="s">
        <v>152</v>
      </c>
      <c r="C9256">
        <v>0</v>
      </c>
      <c r="D9256">
        <v>0</v>
      </c>
      <c r="E9256">
        <v>0</v>
      </c>
      <c r="F9256">
        <v>0</v>
      </c>
      <c r="G9256">
        <v>0</v>
      </c>
      <c r="H9256">
        <v>1</v>
      </c>
      <c r="I9256">
        <v>1</v>
      </c>
      <c r="J9256">
        <v>45858.659513143903</v>
      </c>
      <c r="K9256">
        <v>42480.358613176802</v>
      </c>
      <c r="L9256">
        <v>7.9569999999999901</v>
      </c>
      <c r="M9256">
        <v>84.712000000000003</v>
      </c>
      <c r="N9256">
        <v>2.2679999999999998</v>
      </c>
    </row>
    <row r="9257" spans="1:14" x14ac:dyDescent="0.45">
      <c r="A9257">
        <v>2023</v>
      </c>
      <c r="B9257" t="s">
        <v>153</v>
      </c>
      <c r="C9257">
        <v>1</v>
      </c>
      <c r="D9257">
        <v>0</v>
      </c>
      <c r="E9257">
        <v>0</v>
      </c>
      <c r="F9257">
        <v>0</v>
      </c>
      <c r="G9257">
        <v>1</v>
      </c>
      <c r="H9257">
        <v>0</v>
      </c>
      <c r="I9257">
        <v>0</v>
      </c>
      <c r="J9257">
        <v>34703.234928747399</v>
      </c>
      <c r="K9257">
        <v>26390.4016226645</v>
      </c>
      <c r="L9257">
        <v>41.820999999999998</v>
      </c>
      <c r="M9257">
        <v>74.402000000000001</v>
      </c>
      <c r="N9257">
        <v>9.5169999999999995</v>
      </c>
    </row>
    <row r="9258" spans="1:14" x14ac:dyDescent="0.45">
      <c r="A9258">
        <v>2023</v>
      </c>
      <c r="B9258" t="s">
        <v>154</v>
      </c>
      <c r="C9258">
        <v>0</v>
      </c>
      <c r="D9258">
        <v>0</v>
      </c>
      <c r="E9258">
        <v>1</v>
      </c>
      <c r="F9258">
        <v>1</v>
      </c>
      <c r="G9258">
        <v>0</v>
      </c>
      <c r="H9258">
        <v>0</v>
      </c>
      <c r="I9258">
        <v>0</v>
      </c>
      <c r="J9258">
        <v>5682.9891624867796</v>
      </c>
      <c r="K9258">
        <v>4897.8628371004597</v>
      </c>
      <c r="L9258">
        <v>70.48</v>
      </c>
      <c r="M9258">
        <v>63.646000000000001</v>
      </c>
      <c r="N9258">
        <v>40.999000000000002</v>
      </c>
    </row>
    <row r="9259" spans="1:14" x14ac:dyDescent="0.45">
      <c r="A9259">
        <v>2023</v>
      </c>
      <c r="B9259" t="s">
        <v>155</v>
      </c>
      <c r="C9259">
        <v>1</v>
      </c>
      <c r="D9259">
        <v>0</v>
      </c>
      <c r="E9259">
        <v>0</v>
      </c>
      <c r="F9259">
        <v>1</v>
      </c>
      <c r="G9259">
        <v>0</v>
      </c>
      <c r="H9259">
        <v>0</v>
      </c>
      <c r="I9259">
        <v>0</v>
      </c>
      <c r="J9259">
        <v>6575.7754129049899</v>
      </c>
      <c r="K9259">
        <v>5557.63518760435</v>
      </c>
      <c r="L9259">
        <v>62.198999999999998</v>
      </c>
      <c r="M9259">
        <v>71.677000000000007</v>
      </c>
      <c r="N9259">
        <v>16.992999999999999</v>
      </c>
    </row>
    <row r="9260" spans="1:14" x14ac:dyDescent="0.45">
      <c r="A9260">
        <v>2023</v>
      </c>
      <c r="B9260" t="s">
        <v>156</v>
      </c>
      <c r="C9260">
        <v>0</v>
      </c>
      <c r="D9260">
        <v>0</v>
      </c>
      <c r="E9260">
        <v>0</v>
      </c>
      <c r="F9260">
        <v>1</v>
      </c>
      <c r="G9260">
        <v>0</v>
      </c>
      <c r="H9260">
        <v>0</v>
      </c>
      <c r="I9260">
        <v>0</v>
      </c>
      <c r="J9260">
        <v>6695.29194763343</v>
      </c>
      <c r="K9260">
        <v>6003.45596256728</v>
      </c>
      <c r="L9260">
        <v>74.430000000000007</v>
      </c>
      <c r="M9260">
        <v>70.668000000000006</v>
      </c>
      <c r="N9260">
        <v>22.881</v>
      </c>
    </row>
    <row r="9261" spans="1:14" x14ac:dyDescent="0.45">
      <c r="A9261">
        <v>2023</v>
      </c>
      <c r="B9261" t="s">
        <v>157</v>
      </c>
      <c r="C9261">
        <v>0</v>
      </c>
      <c r="D9261">
        <v>0</v>
      </c>
      <c r="E9261">
        <v>0</v>
      </c>
      <c r="F9261">
        <v>1</v>
      </c>
      <c r="G9261">
        <v>0</v>
      </c>
      <c r="H9261">
        <v>0</v>
      </c>
      <c r="I9261">
        <v>0</v>
      </c>
      <c r="J9261">
        <v>3140.5832637044</v>
      </c>
      <c r="K9261">
        <v>2840.9694137091001</v>
      </c>
      <c r="L9261">
        <v>42.238</v>
      </c>
      <c r="M9261">
        <v>66.472999999999999</v>
      </c>
      <c r="N9261">
        <v>54.811999999999998</v>
      </c>
    </row>
    <row r="9262" spans="1:14" x14ac:dyDescent="0.45">
      <c r="A9262">
        <v>2023</v>
      </c>
      <c r="B9262" t="s">
        <v>158</v>
      </c>
      <c r="C9262">
        <v>0</v>
      </c>
      <c r="D9262">
        <v>1</v>
      </c>
      <c r="E9262">
        <v>0</v>
      </c>
      <c r="F9262">
        <v>0</v>
      </c>
      <c r="G9262">
        <v>0</v>
      </c>
      <c r="H9262">
        <v>1</v>
      </c>
      <c r="I9262">
        <v>1</v>
      </c>
      <c r="J9262">
        <v>30966.331146250901</v>
      </c>
      <c r="K9262">
        <v>30583.4639922315</v>
      </c>
      <c r="L9262">
        <v>68.903999999999996</v>
      </c>
      <c r="M9262">
        <v>72.144999999999996</v>
      </c>
      <c r="N9262">
        <v>14.923</v>
      </c>
    </row>
    <row r="9263" spans="1:14" x14ac:dyDescent="0.45">
      <c r="A9263">
        <v>2023</v>
      </c>
      <c r="B9263" t="s">
        <v>159</v>
      </c>
      <c r="C9263">
        <v>0</v>
      </c>
      <c r="D9263">
        <v>0</v>
      </c>
      <c r="E9263">
        <v>0</v>
      </c>
      <c r="F9263">
        <v>0</v>
      </c>
      <c r="G9263">
        <v>0</v>
      </c>
      <c r="H9263">
        <v>1</v>
      </c>
      <c r="I9263">
        <v>1</v>
      </c>
      <c r="J9263">
        <v>50414.208339176403</v>
      </c>
      <c r="K9263">
        <v>45958.726466964901</v>
      </c>
      <c r="L9263">
        <v>18.544</v>
      </c>
      <c r="M9263">
        <v>84.328999999999994</v>
      </c>
      <c r="N9263">
        <v>2.754</v>
      </c>
    </row>
    <row r="9264" spans="1:14" x14ac:dyDescent="0.45">
      <c r="A9264">
        <v>2023</v>
      </c>
      <c r="B9264" t="s">
        <v>160</v>
      </c>
      <c r="C9264">
        <v>0</v>
      </c>
      <c r="D9264">
        <v>0</v>
      </c>
      <c r="E9264">
        <v>0</v>
      </c>
      <c r="F9264">
        <v>0</v>
      </c>
      <c r="G9264">
        <v>0</v>
      </c>
      <c r="H9264">
        <v>1</v>
      </c>
      <c r="I9264">
        <v>1</v>
      </c>
      <c r="J9264">
        <v>47777.401276217301</v>
      </c>
      <c r="K9264">
        <v>42550.5595590136</v>
      </c>
      <c r="L9264">
        <v>0</v>
      </c>
      <c r="M9264">
        <v>80.405000000000001</v>
      </c>
      <c r="N9264">
        <v>8.5310000000000006</v>
      </c>
    </row>
    <row r="9265" spans="1:14" x14ac:dyDescent="0.45">
      <c r="A9265">
        <v>2023</v>
      </c>
      <c r="B9265" t="s">
        <v>161</v>
      </c>
      <c r="C9265">
        <v>0</v>
      </c>
      <c r="D9265">
        <v>0</v>
      </c>
      <c r="E9265">
        <v>0</v>
      </c>
      <c r="F9265">
        <v>1</v>
      </c>
      <c r="G9265">
        <v>0</v>
      </c>
      <c r="H9265">
        <v>0</v>
      </c>
      <c r="I9265">
        <v>0</v>
      </c>
      <c r="J9265">
        <v>8372.1559187440707</v>
      </c>
      <c r="K9265">
        <v>8044.8682132198701</v>
      </c>
      <c r="L9265">
        <v>61.753</v>
      </c>
      <c r="M9265">
        <v>68.963999999999999</v>
      </c>
      <c r="N9265">
        <v>38.933</v>
      </c>
    </row>
    <row r="9266" spans="1:14" x14ac:dyDescent="0.45">
      <c r="A9266">
        <v>2023</v>
      </c>
      <c r="B9266" t="s">
        <v>162</v>
      </c>
      <c r="C9266">
        <v>0</v>
      </c>
      <c r="D9266">
        <v>0</v>
      </c>
      <c r="E9266">
        <v>0</v>
      </c>
      <c r="F9266">
        <v>1</v>
      </c>
      <c r="G9266">
        <v>0</v>
      </c>
      <c r="H9266">
        <v>0</v>
      </c>
      <c r="I9266">
        <v>0</v>
      </c>
      <c r="J9266">
        <v>11330.268738742199</v>
      </c>
      <c r="K9266">
        <v>14727.008623904399</v>
      </c>
      <c r="L9266">
        <v>10.568</v>
      </c>
      <c r="M9266">
        <v>77.816999999999993</v>
      </c>
      <c r="N9266">
        <v>18.542000000000002</v>
      </c>
    </row>
    <row r="9267" spans="1:14" x14ac:dyDescent="0.45">
      <c r="A9267">
        <v>2023</v>
      </c>
      <c r="B9267" t="s">
        <v>163</v>
      </c>
      <c r="C9267">
        <v>0</v>
      </c>
      <c r="D9267">
        <v>0</v>
      </c>
      <c r="E9267">
        <v>1</v>
      </c>
      <c r="F9267">
        <v>0</v>
      </c>
      <c r="G9267">
        <v>0</v>
      </c>
      <c r="H9267">
        <v>0</v>
      </c>
      <c r="I9267">
        <v>0</v>
      </c>
      <c r="J9267">
        <v>1616.92373356695</v>
      </c>
      <c r="K9267">
        <v>2388.9166100420398</v>
      </c>
      <c r="L9267">
        <v>46.433</v>
      </c>
      <c r="M9267">
        <v>62.162999999999997</v>
      </c>
      <c r="N9267">
        <v>71.168999999999997</v>
      </c>
    </row>
    <row r="9268" spans="1:14" x14ac:dyDescent="0.45">
      <c r="A9268">
        <v>2023</v>
      </c>
      <c r="B9268" t="s">
        <v>164</v>
      </c>
      <c r="C9268">
        <v>0</v>
      </c>
      <c r="D9268">
        <v>0</v>
      </c>
      <c r="E9268">
        <v>0</v>
      </c>
      <c r="F9268">
        <v>0</v>
      </c>
      <c r="G9268">
        <v>1</v>
      </c>
      <c r="H9268">
        <v>0</v>
      </c>
      <c r="I9268">
        <v>0</v>
      </c>
      <c r="J9268">
        <v>12478.1434623596</v>
      </c>
      <c r="K9268">
        <v>14583.145674646799</v>
      </c>
      <c r="L9268">
        <v>18.393999999999998</v>
      </c>
      <c r="M9268">
        <v>69.338999999999999</v>
      </c>
      <c r="N9268">
        <v>32.542999999999999</v>
      </c>
    </row>
    <row r="9269" spans="1:14" x14ac:dyDescent="0.45">
      <c r="A9269">
        <v>2023</v>
      </c>
      <c r="B9269" t="s">
        <v>165</v>
      </c>
      <c r="C9269">
        <v>0</v>
      </c>
      <c r="D9269">
        <v>1</v>
      </c>
      <c r="E9269">
        <v>0</v>
      </c>
      <c r="F9269">
        <v>0</v>
      </c>
      <c r="G9269">
        <v>1</v>
      </c>
      <c r="H9269">
        <v>0</v>
      </c>
      <c r="I9269">
        <v>0</v>
      </c>
      <c r="J9269">
        <v>23403.744026598801</v>
      </c>
      <c r="K9269">
        <v>16836.81745088</v>
      </c>
      <c r="L9269">
        <v>80.828000000000003</v>
      </c>
      <c r="M9269">
        <v>72.697000000000003</v>
      </c>
      <c r="N9269">
        <v>17.161999999999999</v>
      </c>
    </row>
    <row r="9270" spans="1:14" x14ac:dyDescent="0.45">
      <c r="A9270">
        <v>2023</v>
      </c>
      <c r="B9270" t="s">
        <v>166</v>
      </c>
      <c r="C9270">
        <v>1</v>
      </c>
      <c r="D9270">
        <v>0</v>
      </c>
      <c r="E9270">
        <v>0</v>
      </c>
      <c r="F9270">
        <v>0</v>
      </c>
      <c r="G9270">
        <v>0</v>
      </c>
      <c r="H9270">
        <v>1</v>
      </c>
      <c r="I9270">
        <v>1</v>
      </c>
      <c r="L9270">
        <v>85.382999999999996</v>
      </c>
      <c r="M9270">
        <v>83.63</v>
      </c>
      <c r="N9270">
        <v>6.5129999999999999</v>
      </c>
    </row>
    <row r="9271" spans="1:14" x14ac:dyDescent="0.45">
      <c r="A9271">
        <v>2023</v>
      </c>
      <c r="B9271" t="s">
        <v>167</v>
      </c>
      <c r="C9271">
        <v>0</v>
      </c>
      <c r="D9271">
        <v>0</v>
      </c>
      <c r="E9271">
        <v>0</v>
      </c>
      <c r="F9271">
        <v>1</v>
      </c>
      <c r="G9271">
        <v>0</v>
      </c>
      <c r="H9271">
        <v>0</v>
      </c>
      <c r="I9271">
        <v>0</v>
      </c>
      <c r="J9271">
        <v>13024.9404319855</v>
      </c>
      <c r="K9271">
        <v>12165.0885029821</v>
      </c>
      <c r="L9271">
        <v>80.789000000000001</v>
      </c>
      <c r="M9271">
        <v>77.483000000000004</v>
      </c>
      <c r="N9271">
        <v>6.2759999999999998</v>
      </c>
    </row>
    <row r="9272" spans="1:14" x14ac:dyDescent="0.45">
      <c r="A9272">
        <v>2023</v>
      </c>
      <c r="B9272" t="s">
        <v>168</v>
      </c>
      <c r="C9272">
        <v>0</v>
      </c>
      <c r="D9272">
        <v>0</v>
      </c>
      <c r="E9272">
        <v>1</v>
      </c>
      <c r="F9272">
        <v>1</v>
      </c>
      <c r="G9272">
        <v>0</v>
      </c>
      <c r="H9272">
        <v>0</v>
      </c>
      <c r="I9272">
        <v>0</v>
      </c>
      <c r="J9272">
        <v>2595.8295231045299</v>
      </c>
      <c r="K9272">
        <v>2324.3581797079701</v>
      </c>
      <c r="L9272">
        <v>69.584999999999994</v>
      </c>
      <c r="M9272">
        <v>57.375</v>
      </c>
      <c r="N9272">
        <v>71.644999999999996</v>
      </c>
    </row>
    <row r="9273" spans="1:14" x14ac:dyDescent="0.45">
      <c r="A9273">
        <v>2023</v>
      </c>
      <c r="B9273" t="s">
        <v>169</v>
      </c>
      <c r="C9273">
        <v>1</v>
      </c>
      <c r="D9273">
        <v>0</v>
      </c>
      <c r="E9273">
        <v>0</v>
      </c>
      <c r="F9273">
        <v>0</v>
      </c>
      <c r="G9273">
        <v>0</v>
      </c>
      <c r="H9273">
        <v>1</v>
      </c>
      <c r="I9273">
        <v>1</v>
      </c>
      <c r="J9273">
        <v>46159.708173308303</v>
      </c>
      <c r="K9273">
        <v>39492.708297516103</v>
      </c>
      <c r="L9273">
        <v>31.306000000000001</v>
      </c>
      <c r="M9273">
        <v>76.025000000000006</v>
      </c>
      <c r="N9273">
        <v>3.2349999999999999</v>
      </c>
    </row>
    <row r="9274" spans="1:14" x14ac:dyDescent="0.45">
      <c r="A9274">
        <v>2023</v>
      </c>
      <c r="B9274" t="s">
        <v>170</v>
      </c>
      <c r="C9274">
        <v>1</v>
      </c>
      <c r="D9274">
        <v>0</v>
      </c>
      <c r="E9274">
        <v>0</v>
      </c>
      <c r="F9274">
        <v>0</v>
      </c>
      <c r="G9274">
        <v>0</v>
      </c>
      <c r="H9274">
        <v>1</v>
      </c>
      <c r="I9274">
        <v>1</v>
      </c>
      <c r="J9274">
        <v>129021.645501896</v>
      </c>
      <c r="K9274">
        <v>110256.906809077</v>
      </c>
      <c r="L9274">
        <v>7.9219999999999997</v>
      </c>
      <c r="M9274">
        <v>82.228999999999999</v>
      </c>
      <c r="N9274">
        <v>6.7560000000000002</v>
      </c>
    </row>
    <row r="9275" spans="1:14" x14ac:dyDescent="0.45">
      <c r="A9275">
        <v>2023</v>
      </c>
      <c r="B9275" t="s">
        <v>171</v>
      </c>
      <c r="C9275">
        <v>1</v>
      </c>
      <c r="D9275">
        <v>0</v>
      </c>
      <c r="E9275">
        <v>0</v>
      </c>
      <c r="F9275">
        <v>0</v>
      </c>
      <c r="G9275">
        <v>0</v>
      </c>
      <c r="H9275">
        <v>1</v>
      </c>
      <c r="I9275">
        <v>1</v>
      </c>
      <c r="J9275">
        <v>38796.551015987803</v>
      </c>
      <c r="K9275">
        <v>33659.471916069102</v>
      </c>
      <c r="L9275">
        <v>31.329000000000001</v>
      </c>
      <c r="M9275">
        <v>76.19</v>
      </c>
      <c r="N9275">
        <v>3.6269999999999998</v>
      </c>
    </row>
    <row r="9276" spans="1:14" x14ac:dyDescent="0.45">
      <c r="A9276">
        <v>2023</v>
      </c>
      <c r="B9276" t="s">
        <v>172</v>
      </c>
      <c r="C9276">
        <v>0</v>
      </c>
      <c r="D9276">
        <v>0</v>
      </c>
      <c r="E9276">
        <v>0</v>
      </c>
      <c r="F9276">
        <v>0</v>
      </c>
      <c r="G9276">
        <v>0</v>
      </c>
      <c r="H9276">
        <v>1</v>
      </c>
      <c r="I9276">
        <v>1</v>
      </c>
      <c r="J9276">
        <v>104961.920230969</v>
      </c>
      <c r="K9276">
        <v>95120.846531637901</v>
      </c>
      <c r="L9276">
        <v>0</v>
      </c>
      <c r="M9276">
        <v>83.075000000000003</v>
      </c>
      <c r="N9276">
        <v>3.0249999999999999</v>
      </c>
    </row>
    <row r="9277" spans="1:14" x14ac:dyDescent="0.45">
      <c r="A9277">
        <v>2023</v>
      </c>
      <c r="B9277" t="s">
        <v>173</v>
      </c>
      <c r="C9277">
        <v>0</v>
      </c>
      <c r="D9277">
        <v>1</v>
      </c>
      <c r="E9277">
        <v>0</v>
      </c>
      <c r="F9277">
        <v>0</v>
      </c>
      <c r="G9277">
        <v>0</v>
      </c>
      <c r="H9277">
        <v>1</v>
      </c>
      <c r="I9277">
        <v>1</v>
      </c>
      <c r="L9277">
        <v>0</v>
      </c>
      <c r="M9277">
        <v>80.224000000000004</v>
      </c>
      <c r="N9277">
        <v>9.6240000000000006</v>
      </c>
    </row>
    <row r="9278" spans="1:14" x14ac:dyDescent="0.45">
      <c r="A9278">
        <v>2023</v>
      </c>
      <c r="B9278" t="s">
        <v>174</v>
      </c>
      <c r="C9278">
        <v>0</v>
      </c>
      <c r="D9278">
        <v>0</v>
      </c>
      <c r="E9278">
        <v>0</v>
      </c>
      <c r="F9278">
        <v>1</v>
      </c>
      <c r="G9278">
        <v>0</v>
      </c>
      <c r="H9278">
        <v>0</v>
      </c>
      <c r="I9278">
        <v>0</v>
      </c>
      <c r="J9278">
        <v>8868.7119140625</v>
      </c>
      <c r="K9278">
        <v>8517.2310229644008</v>
      </c>
      <c r="L9278">
        <v>34.878999999999998</v>
      </c>
      <c r="M9278">
        <v>75.313000000000002</v>
      </c>
      <c r="N9278">
        <v>16.945</v>
      </c>
    </row>
    <row r="9279" spans="1:14" x14ac:dyDescent="0.45">
      <c r="A9279">
        <v>2023</v>
      </c>
      <c r="B9279" t="s">
        <v>175</v>
      </c>
      <c r="C9279">
        <v>1</v>
      </c>
      <c r="D9279">
        <v>0</v>
      </c>
      <c r="E9279">
        <v>0</v>
      </c>
      <c r="F9279">
        <v>0</v>
      </c>
      <c r="G9279">
        <v>0</v>
      </c>
      <c r="H9279">
        <v>1</v>
      </c>
      <c r="I9279">
        <v>1</v>
      </c>
      <c r="L9279">
        <v>0</v>
      </c>
      <c r="M9279">
        <v>86.372</v>
      </c>
      <c r="N9279">
        <v>4.5730000000000004</v>
      </c>
    </row>
    <row r="9280" spans="1:14" x14ac:dyDescent="0.45">
      <c r="A9280">
        <v>2023</v>
      </c>
      <c r="B9280" t="s">
        <v>176</v>
      </c>
      <c r="C9280">
        <v>1</v>
      </c>
      <c r="D9280">
        <v>0</v>
      </c>
      <c r="E9280">
        <v>0</v>
      </c>
      <c r="F9280">
        <v>0</v>
      </c>
      <c r="G9280">
        <v>1</v>
      </c>
      <c r="H9280">
        <v>0</v>
      </c>
      <c r="I9280">
        <v>0</v>
      </c>
      <c r="J9280">
        <v>15990.479327599</v>
      </c>
      <c r="K9280">
        <v>13715.156267374299</v>
      </c>
      <c r="L9280">
        <v>56.627000000000002</v>
      </c>
      <c r="M9280">
        <v>71.197999999999993</v>
      </c>
      <c r="N9280">
        <v>13.894</v>
      </c>
    </row>
    <row r="9281" spans="1:14" x14ac:dyDescent="0.45">
      <c r="A9281">
        <v>2023</v>
      </c>
      <c r="B9281" t="s">
        <v>177</v>
      </c>
      <c r="C9281">
        <v>0</v>
      </c>
      <c r="D9281">
        <v>0</v>
      </c>
      <c r="E9281">
        <v>1</v>
      </c>
      <c r="F9281">
        <v>0</v>
      </c>
      <c r="G9281">
        <v>0</v>
      </c>
      <c r="H9281">
        <v>0</v>
      </c>
      <c r="I9281">
        <v>0</v>
      </c>
      <c r="J9281">
        <v>1629.46097248042</v>
      </c>
      <c r="K9281">
        <v>1509.57589785099</v>
      </c>
      <c r="L9281">
        <v>59.444000000000003</v>
      </c>
      <c r="M9281">
        <v>63.631999999999998</v>
      </c>
      <c r="N9281">
        <v>65.596000000000004</v>
      </c>
    </row>
    <row r="9282" spans="1:14" x14ac:dyDescent="0.45">
      <c r="A9282">
        <v>2023</v>
      </c>
      <c r="B9282" t="s">
        <v>178</v>
      </c>
      <c r="C9282">
        <v>0</v>
      </c>
      <c r="D9282">
        <v>0</v>
      </c>
      <c r="E9282">
        <v>0</v>
      </c>
      <c r="F9282">
        <v>0</v>
      </c>
      <c r="G9282">
        <v>1</v>
      </c>
      <c r="H9282">
        <v>0</v>
      </c>
      <c r="I9282">
        <v>0</v>
      </c>
      <c r="J9282">
        <v>22286.980185617202</v>
      </c>
      <c r="K9282">
        <v>21987.962425157199</v>
      </c>
      <c r="L9282">
        <v>58.029000000000003</v>
      </c>
      <c r="M9282">
        <v>81.040999999999997</v>
      </c>
      <c r="N9282">
        <v>5.2160000000000002</v>
      </c>
    </row>
    <row r="9283" spans="1:14" x14ac:dyDescent="0.45">
      <c r="A9283">
        <v>2023</v>
      </c>
      <c r="B9283" t="s">
        <v>179</v>
      </c>
      <c r="C9283">
        <v>0</v>
      </c>
      <c r="D9283">
        <v>1</v>
      </c>
      <c r="E9283">
        <v>0</v>
      </c>
      <c r="F9283">
        <v>0</v>
      </c>
      <c r="G9283">
        <v>1</v>
      </c>
      <c r="H9283">
        <v>0</v>
      </c>
      <c r="I9283">
        <v>0</v>
      </c>
      <c r="J9283">
        <v>21905.177327147299</v>
      </c>
      <c r="K9283">
        <v>20364.699924186902</v>
      </c>
      <c r="L9283">
        <v>18.417999999999999</v>
      </c>
      <c r="M9283">
        <v>75.069000000000003</v>
      </c>
      <c r="N9283">
        <v>12.423999999999999</v>
      </c>
    </row>
    <row r="9284" spans="1:14" x14ac:dyDescent="0.45">
      <c r="A9284">
        <v>2023</v>
      </c>
      <c r="B9284" t="s">
        <v>180</v>
      </c>
      <c r="C9284">
        <v>0</v>
      </c>
      <c r="D9284">
        <v>0</v>
      </c>
      <c r="E9284">
        <v>0</v>
      </c>
      <c r="F9284">
        <v>0</v>
      </c>
      <c r="G9284">
        <v>1</v>
      </c>
      <c r="H9284">
        <v>0</v>
      </c>
      <c r="I9284">
        <v>0</v>
      </c>
      <c r="J9284">
        <v>6786.6956934895597</v>
      </c>
      <c r="K9284">
        <v>6138.4636869894002</v>
      </c>
      <c r="L9284">
        <v>21.132000000000001</v>
      </c>
      <c r="M9284">
        <v>66.944999999999993</v>
      </c>
      <c r="N9284">
        <v>27.768000000000001</v>
      </c>
    </row>
    <row r="9285" spans="1:14" x14ac:dyDescent="0.45">
      <c r="A9285">
        <v>2023</v>
      </c>
      <c r="B9285" t="s">
        <v>181</v>
      </c>
      <c r="C9285">
        <v>1</v>
      </c>
      <c r="D9285">
        <v>0</v>
      </c>
      <c r="E9285">
        <v>0</v>
      </c>
      <c r="F9285">
        <v>0</v>
      </c>
      <c r="G9285">
        <v>1</v>
      </c>
      <c r="H9285">
        <v>0</v>
      </c>
      <c r="I9285">
        <v>0</v>
      </c>
      <c r="J9285">
        <v>23343.602033567</v>
      </c>
      <c r="K9285">
        <v>19706.385883600899</v>
      </c>
      <c r="L9285">
        <v>40.521000000000001</v>
      </c>
      <c r="M9285">
        <v>77.394999999999996</v>
      </c>
      <c r="N9285">
        <v>5.7110000000000003</v>
      </c>
    </row>
    <row r="9286" spans="1:14" x14ac:dyDescent="0.45">
      <c r="A9286">
        <v>2023</v>
      </c>
      <c r="B9286" t="s">
        <v>182</v>
      </c>
      <c r="C9286">
        <v>0</v>
      </c>
      <c r="D9286">
        <v>0</v>
      </c>
      <c r="E9286">
        <v>1</v>
      </c>
      <c r="F9286">
        <v>0</v>
      </c>
      <c r="G9286">
        <v>0</v>
      </c>
      <c r="H9286">
        <v>0</v>
      </c>
      <c r="I9286">
        <v>0</v>
      </c>
      <c r="J9286">
        <v>2854.82717351569</v>
      </c>
      <c r="K9286">
        <v>2642.4559571517302</v>
      </c>
      <c r="L9286">
        <v>53.811</v>
      </c>
      <c r="M9286">
        <v>60.439</v>
      </c>
      <c r="N9286">
        <v>91.706999999999994</v>
      </c>
    </row>
    <row r="9287" spans="1:14" x14ac:dyDescent="0.45">
      <c r="A9287">
        <v>2023</v>
      </c>
      <c r="B9287" t="s">
        <v>183</v>
      </c>
      <c r="C9287">
        <v>0</v>
      </c>
      <c r="D9287">
        <v>0</v>
      </c>
      <c r="E9287">
        <v>0</v>
      </c>
      <c r="F9287">
        <v>0</v>
      </c>
      <c r="G9287">
        <v>0</v>
      </c>
      <c r="H9287">
        <v>1</v>
      </c>
      <c r="I9287">
        <v>1</v>
      </c>
      <c r="J9287">
        <v>59293.298285163597</v>
      </c>
      <c r="K9287">
        <v>51291.605172480602</v>
      </c>
      <c r="L9287">
        <v>5.0590000000000002</v>
      </c>
      <c r="M9287">
        <v>83.299000000000007</v>
      </c>
      <c r="N9287">
        <v>7.7370000000000001</v>
      </c>
    </row>
    <row r="9288" spans="1:14" x14ac:dyDescent="0.45">
      <c r="A9288">
        <v>2023</v>
      </c>
      <c r="B9288" t="s">
        <v>184</v>
      </c>
      <c r="C9288">
        <v>0</v>
      </c>
      <c r="D9288">
        <v>0</v>
      </c>
      <c r="E9288">
        <v>0</v>
      </c>
      <c r="F9288">
        <v>1</v>
      </c>
      <c r="G9288">
        <v>0</v>
      </c>
      <c r="H9288">
        <v>0</v>
      </c>
      <c r="I9288">
        <v>0</v>
      </c>
      <c r="J9288">
        <v>5364.1379703442899</v>
      </c>
      <c r="K9288">
        <v>4295.0820738668499</v>
      </c>
      <c r="L9288">
        <v>67.888000000000005</v>
      </c>
      <c r="M9288">
        <v>66.888999999999996</v>
      </c>
      <c r="N9288">
        <v>39.347000000000001</v>
      </c>
    </row>
    <row r="9289" spans="1:14" x14ac:dyDescent="0.45">
      <c r="A9289">
        <v>2023</v>
      </c>
      <c r="B9289" t="s">
        <v>185</v>
      </c>
      <c r="C9289">
        <v>1</v>
      </c>
      <c r="D9289">
        <v>0</v>
      </c>
      <c r="E9289">
        <v>0</v>
      </c>
      <c r="F9289">
        <v>0</v>
      </c>
      <c r="G9289">
        <v>1</v>
      </c>
      <c r="H9289">
        <v>0</v>
      </c>
      <c r="I9289">
        <v>0</v>
      </c>
      <c r="J9289">
        <v>27043.328602868402</v>
      </c>
      <c r="K9289">
        <v>22849.961751319399</v>
      </c>
      <c r="L9289">
        <v>31.498000000000001</v>
      </c>
      <c r="M9289">
        <v>77.087000000000003</v>
      </c>
      <c r="N9289">
        <v>3.3359999999999999</v>
      </c>
    </row>
    <row r="9290" spans="1:14" x14ac:dyDescent="0.45">
      <c r="A9290">
        <v>2023</v>
      </c>
      <c r="B9290" t="s">
        <v>186</v>
      </c>
      <c r="C9290">
        <v>0</v>
      </c>
      <c r="D9290">
        <v>0</v>
      </c>
      <c r="E9290">
        <v>0</v>
      </c>
      <c r="F9290">
        <v>0</v>
      </c>
      <c r="G9290">
        <v>1</v>
      </c>
      <c r="H9290">
        <v>0</v>
      </c>
      <c r="I9290">
        <v>0</v>
      </c>
      <c r="J9290">
        <v>16222.863889852901</v>
      </c>
      <c r="K9290">
        <v>12499.3256812409</v>
      </c>
      <c r="L9290">
        <v>30.911000000000001</v>
      </c>
      <c r="M9290">
        <v>71.733999999999995</v>
      </c>
      <c r="N9290">
        <v>12.782999999999999</v>
      </c>
    </row>
    <row r="9291" spans="1:14" x14ac:dyDescent="0.45">
      <c r="A9291">
        <v>2023</v>
      </c>
      <c r="B9291" t="s">
        <v>187</v>
      </c>
      <c r="C9291">
        <v>0</v>
      </c>
      <c r="D9291">
        <v>0</v>
      </c>
      <c r="E9291">
        <v>0</v>
      </c>
      <c r="F9291">
        <v>0</v>
      </c>
      <c r="G9291">
        <v>0</v>
      </c>
      <c r="H9291">
        <v>1</v>
      </c>
      <c r="I9291">
        <v>1</v>
      </c>
      <c r="L9291">
        <v>7.9240000000000101</v>
      </c>
      <c r="M9291">
        <v>78.808000000000007</v>
      </c>
      <c r="N9291">
        <v>6.2119999999999997</v>
      </c>
    </row>
    <row r="9292" spans="1:14" x14ac:dyDescent="0.45">
      <c r="A9292">
        <v>2023</v>
      </c>
      <c r="B9292" t="s">
        <v>188</v>
      </c>
      <c r="C9292">
        <v>0</v>
      </c>
      <c r="D9292">
        <v>0</v>
      </c>
      <c r="E9292">
        <v>1</v>
      </c>
      <c r="F9292">
        <v>0</v>
      </c>
      <c r="G9292">
        <v>0</v>
      </c>
      <c r="H9292">
        <v>0</v>
      </c>
      <c r="I9292">
        <v>0</v>
      </c>
      <c r="J9292">
        <v>1511.63653474992</v>
      </c>
      <c r="K9292">
        <v>1265.69312772085</v>
      </c>
      <c r="L9292">
        <v>61.247</v>
      </c>
      <c r="M9292">
        <v>63.610999999999997</v>
      </c>
      <c r="N9292">
        <v>64.331000000000003</v>
      </c>
    </row>
    <row r="9293" spans="1:14" x14ac:dyDescent="0.45">
      <c r="A9293">
        <v>2023</v>
      </c>
      <c r="B9293" t="s">
        <v>189</v>
      </c>
      <c r="C9293">
        <v>0</v>
      </c>
      <c r="D9293">
        <v>0</v>
      </c>
      <c r="E9293">
        <v>1</v>
      </c>
      <c r="F9293">
        <v>1</v>
      </c>
      <c r="G9293">
        <v>0</v>
      </c>
      <c r="H9293">
        <v>0</v>
      </c>
      <c r="I9293">
        <v>0</v>
      </c>
      <c r="J9293">
        <v>6258.7109132918104</v>
      </c>
      <c r="K9293">
        <v>5537.1652282777904</v>
      </c>
      <c r="L9293">
        <v>42.301000000000002</v>
      </c>
      <c r="M9293">
        <v>68.483999999999995</v>
      </c>
      <c r="N9293">
        <v>37.997999999999998</v>
      </c>
    </row>
    <row r="9294" spans="1:14" x14ac:dyDescent="0.45">
      <c r="A9294">
        <v>2023</v>
      </c>
      <c r="B9294" t="s">
        <v>190</v>
      </c>
      <c r="C9294">
        <v>0</v>
      </c>
      <c r="D9294">
        <v>0</v>
      </c>
      <c r="E9294">
        <v>1</v>
      </c>
      <c r="F9294">
        <v>0</v>
      </c>
      <c r="G9294">
        <v>1</v>
      </c>
      <c r="H9294">
        <v>0</v>
      </c>
      <c r="I9294">
        <v>0</v>
      </c>
      <c r="J9294">
        <v>26060.732902351901</v>
      </c>
      <c r="K9294">
        <v>24461.247167074202</v>
      </c>
      <c r="L9294">
        <v>59.133000000000003</v>
      </c>
      <c r="M9294">
        <v>74.926000000000002</v>
      </c>
      <c r="N9294">
        <v>14.244999999999999</v>
      </c>
    </row>
    <row r="9295" spans="1:14" x14ac:dyDescent="0.45">
      <c r="A9295">
        <v>2023</v>
      </c>
      <c r="B9295" t="s">
        <v>191</v>
      </c>
      <c r="C9295">
        <v>0</v>
      </c>
      <c r="D9295">
        <v>0</v>
      </c>
      <c r="E9295">
        <v>1</v>
      </c>
      <c r="F9295">
        <v>0</v>
      </c>
      <c r="G9295">
        <v>0</v>
      </c>
      <c r="H9295">
        <v>0</v>
      </c>
      <c r="I9295">
        <v>0</v>
      </c>
      <c r="J9295">
        <v>1648.43651796379</v>
      </c>
      <c r="K9295">
        <v>1410.5034471925701</v>
      </c>
      <c r="L9295">
        <v>81.72</v>
      </c>
      <c r="M9295">
        <v>67.352999999999994</v>
      </c>
      <c r="N9295">
        <v>39.261000000000003</v>
      </c>
    </row>
    <row r="9296" spans="1:14" x14ac:dyDescent="0.45">
      <c r="A9296">
        <v>2023</v>
      </c>
      <c r="B9296" t="s">
        <v>192</v>
      </c>
      <c r="C9296">
        <v>0</v>
      </c>
      <c r="D9296">
        <v>0</v>
      </c>
      <c r="E9296">
        <v>0</v>
      </c>
      <c r="F9296">
        <v>0</v>
      </c>
      <c r="G9296">
        <v>1</v>
      </c>
      <c r="H9296">
        <v>0</v>
      </c>
      <c r="I9296">
        <v>0</v>
      </c>
      <c r="J9296">
        <v>32812.299752533603</v>
      </c>
      <c r="K9296">
        <v>29330.324411802201</v>
      </c>
      <c r="L9296">
        <v>21.283999999999999</v>
      </c>
      <c r="M9296">
        <v>76.656999999999996</v>
      </c>
      <c r="N9296">
        <v>7.7850000000000001</v>
      </c>
    </row>
    <row r="9297" spans="1:14" x14ac:dyDescent="0.45">
      <c r="A9297">
        <v>2023</v>
      </c>
      <c r="B9297" t="s">
        <v>193</v>
      </c>
      <c r="C9297">
        <v>0</v>
      </c>
      <c r="D9297">
        <v>0</v>
      </c>
      <c r="E9297">
        <v>1</v>
      </c>
      <c r="F9297">
        <v>0</v>
      </c>
      <c r="G9297">
        <v>1</v>
      </c>
      <c r="H9297">
        <v>0</v>
      </c>
      <c r="I9297">
        <v>0</v>
      </c>
      <c r="J9297">
        <v>10137.672613671701</v>
      </c>
      <c r="K9297">
        <v>8786.3188714158205</v>
      </c>
      <c r="L9297">
        <v>45.113999999999997</v>
      </c>
      <c r="M9297">
        <v>67.385000000000005</v>
      </c>
      <c r="N9297">
        <v>36.875999999999998</v>
      </c>
    </row>
    <row r="9298" spans="1:14" x14ac:dyDescent="0.45">
      <c r="A9298">
        <v>2023</v>
      </c>
      <c r="B9298" t="s">
        <v>194</v>
      </c>
      <c r="C9298">
        <v>0</v>
      </c>
      <c r="D9298">
        <v>0</v>
      </c>
      <c r="E9298">
        <v>0</v>
      </c>
      <c r="F9298">
        <v>0</v>
      </c>
      <c r="G9298">
        <v>0</v>
      </c>
      <c r="H9298">
        <v>1</v>
      </c>
      <c r="I9298">
        <v>1</v>
      </c>
      <c r="L9298">
        <v>27.280999999999999</v>
      </c>
      <c r="M9298">
        <v>78.766000000000005</v>
      </c>
      <c r="N9298">
        <v>11.775</v>
      </c>
    </row>
    <row r="9299" spans="1:14" x14ac:dyDescent="0.45">
      <c r="A9299">
        <v>2023</v>
      </c>
      <c r="B9299" t="s">
        <v>195</v>
      </c>
      <c r="C9299">
        <v>0</v>
      </c>
      <c r="D9299">
        <v>0</v>
      </c>
      <c r="E9299">
        <v>1</v>
      </c>
      <c r="F9299">
        <v>0</v>
      </c>
      <c r="G9299">
        <v>0</v>
      </c>
      <c r="H9299">
        <v>0</v>
      </c>
      <c r="I9299">
        <v>0</v>
      </c>
      <c r="J9299">
        <v>1689.56425367067</v>
      </c>
      <c r="K9299">
        <v>1342.9200456451299</v>
      </c>
      <c r="L9299">
        <v>82.945999999999998</v>
      </c>
      <c r="M9299">
        <v>61.183</v>
      </c>
      <c r="N9299">
        <v>116.002</v>
      </c>
    </row>
    <row r="9300" spans="1:14" x14ac:dyDescent="0.45">
      <c r="A9300">
        <v>2023</v>
      </c>
      <c r="B9300" t="s">
        <v>196</v>
      </c>
      <c r="C9300">
        <v>0</v>
      </c>
      <c r="D9300">
        <v>0</v>
      </c>
      <c r="E9300">
        <v>1</v>
      </c>
      <c r="F9300">
        <v>1</v>
      </c>
      <c r="G9300">
        <v>0</v>
      </c>
      <c r="H9300">
        <v>0</v>
      </c>
      <c r="I9300">
        <v>0</v>
      </c>
      <c r="J9300">
        <v>5593.0566144823097</v>
      </c>
      <c r="K9300">
        <v>4945.0158681308903</v>
      </c>
      <c r="L9300">
        <v>45.716999999999999</v>
      </c>
      <c r="M9300">
        <v>54.462000000000003</v>
      </c>
      <c r="N9300">
        <v>104.17400000000001</v>
      </c>
    </row>
    <row r="9301" spans="1:14" x14ac:dyDescent="0.45">
      <c r="A9301">
        <v>2023</v>
      </c>
      <c r="B9301" t="s">
        <v>197</v>
      </c>
      <c r="C9301">
        <v>0</v>
      </c>
      <c r="D9301">
        <v>1</v>
      </c>
      <c r="E9301">
        <v>0</v>
      </c>
      <c r="F9301">
        <v>1</v>
      </c>
      <c r="G9301">
        <v>0</v>
      </c>
      <c r="H9301">
        <v>0</v>
      </c>
      <c r="I9301">
        <v>0</v>
      </c>
      <c r="J9301">
        <v>7496.5292687684996</v>
      </c>
      <c r="K9301">
        <v>6314.0653604027702</v>
      </c>
      <c r="L9301">
        <v>40.151000000000003</v>
      </c>
      <c r="M9301">
        <v>74.947000000000003</v>
      </c>
      <c r="N9301">
        <v>14.706</v>
      </c>
    </row>
    <row r="9302" spans="1:14" x14ac:dyDescent="0.45">
      <c r="A9302">
        <v>2023</v>
      </c>
      <c r="B9302" t="s">
        <v>198</v>
      </c>
      <c r="C9302">
        <v>1</v>
      </c>
      <c r="D9302">
        <v>0</v>
      </c>
      <c r="E9302">
        <v>0</v>
      </c>
      <c r="F9302">
        <v>0</v>
      </c>
      <c r="G9302">
        <v>0</v>
      </c>
      <c r="H9302">
        <v>1</v>
      </c>
      <c r="I9302">
        <v>1</v>
      </c>
      <c r="J9302">
        <v>70673.968998843193</v>
      </c>
      <c r="K9302">
        <v>59658.937977941801</v>
      </c>
      <c r="L9302">
        <v>6.8209999999999997</v>
      </c>
      <c r="M9302">
        <v>82.158000000000001</v>
      </c>
      <c r="N9302">
        <v>3.9089999999999998</v>
      </c>
    </row>
    <row r="9303" spans="1:14" x14ac:dyDescent="0.45">
      <c r="A9303">
        <v>2023</v>
      </c>
      <c r="B9303" t="s">
        <v>199</v>
      </c>
      <c r="C9303">
        <v>1</v>
      </c>
      <c r="D9303">
        <v>0</v>
      </c>
      <c r="E9303">
        <v>0</v>
      </c>
      <c r="F9303">
        <v>0</v>
      </c>
      <c r="G9303">
        <v>0</v>
      </c>
      <c r="H9303">
        <v>1</v>
      </c>
      <c r="I9303">
        <v>1</v>
      </c>
      <c r="J9303">
        <v>90085.552453161799</v>
      </c>
      <c r="K9303">
        <v>66563.098303686405</v>
      </c>
      <c r="L9303">
        <v>16.004999999999999</v>
      </c>
      <c r="M9303">
        <v>83.308000000000007</v>
      </c>
      <c r="N9303">
        <v>2.36</v>
      </c>
    </row>
    <row r="9304" spans="1:14" x14ac:dyDescent="0.45">
      <c r="A9304">
        <v>2023</v>
      </c>
      <c r="B9304" t="s">
        <v>200</v>
      </c>
      <c r="C9304">
        <v>0</v>
      </c>
      <c r="D9304">
        <v>0</v>
      </c>
      <c r="E9304">
        <v>0</v>
      </c>
      <c r="F9304">
        <v>1</v>
      </c>
      <c r="G9304">
        <v>0</v>
      </c>
      <c r="H9304">
        <v>0</v>
      </c>
      <c r="I9304">
        <v>0</v>
      </c>
      <c r="J9304">
        <v>4861.2303038763903</v>
      </c>
      <c r="K9304">
        <v>4303.6808407463204</v>
      </c>
      <c r="L9304">
        <v>78.096999999999994</v>
      </c>
      <c r="M9304">
        <v>70.353999999999999</v>
      </c>
      <c r="N9304">
        <v>26.245000000000001</v>
      </c>
    </row>
    <row r="9305" spans="1:14" x14ac:dyDescent="0.45">
      <c r="A9305">
        <v>2023</v>
      </c>
      <c r="B9305" t="s">
        <v>201</v>
      </c>
      <c r="C9305">
        <v>0</v>
      </c>
      <c r="D9305">
        <v>0</v>
      </c>
      <c r="E9305">
        <v>0</v>
      </c>
      <c r="F9305">
        <v>0</v>
      </c>
      <c r="G9305">
        <v>0</v>
      </c>
      <c r="H9305">
        <v>1</v>
      </c>
      <c r="I9305">
        <v>1</v>
      </c>
      <c r="J9305">
        <v>12461.1356136464</v>
      </c>
      <c r="K9305">
        <v>11273.8444616655</v>
      </c>
      <c r="L9305">
        <v>0</v>
      </c>
      <c r="M9305">
        <v>62.109000000000002</v>
      </c>
      <c r="N9305">
        <v>25.78</v>
      </c>
    </row>
    <row r="9306" spans="1:14" x14ac:dyDescent="0.45">
      <c r="A9306">
        <v>2023</v>
      </c>
      <c r="B9306" t="s">
        <v>202</v>
      </c>
      <c r="C9306">
        <v>0</v>
      </c>
      <c r="D9306">
        <v>0</v>
      </c>
      <c r="E9306">
        <v>0</v>
      </c>
      <c r="F9306">
        <v>0</v>
      </c>
      <c r="G9306">
        <v>0</v>
      </c>
      <c r="H9306">
        <v>1</v>
      </c>
      <c r="I9306">
        <v>1</v>
      </c>
      <c r="J9306">
        <v>49083.508590979902</v>
      </c>
      <c r="K9306">
        <v>44644.0034079014</v>
      </c>
      <c r="L9306">
        <v>13.015000000000001</v>
      </c>
      <c r="M9306">
        <v>82.087999999999994</v>
      </c>
      <c r="N9306">
        <v>5.4139999999999997</v>
      </c>
    </row>
    <row r="9307" spans="1:14" x14ac:dyDescent="0.45">
      <c r="A9307">
        <v>2023</v>
      </c>
      <c r="B9307" t="s">
        <v>203</v>
      </c>
      <c r="C9307">
        <v>0</v>
      </c>
      <c r="D9307">
        <v>0</v>
      </c>
      <c r="E9307">
        <v>0</v>
      </c>
      <c r="F9307">
        <v>0</v>
      </c>
      <c r="G9307">
        <v>0</v>
      </c>
      <c r="H9307">
        <v>1</v>
      </c>
      <c r="I9307">
        <v>1</v>
      </c>
      <c r="J9307">
        <v>37709.066192411003</v>
      </c>
      <c r="K9307">
        <v>32766.1839059343</v>
      </c>
      <c r="L9307">
        <v>11.6</v>
      </c>
      <c r="M9307">
        <v>80.031000000000006</v>
      </c>
      <c r="N9307">
        <v>10.377000000000001</v>
      </c>
    </row>
    <row r="9308" spans="1:14" x14ac:dyDescent="0.45">
      <c r="A9308">
        <v>2023</v>
      </c>
      <c r="B9308" t="s">
        <v>204</v>
      </c>
      <c r="C9308">
        <v>0</v>
      </c>
      <c r="D9308">
        <v>0</v>
      </c>
      <c r="E9308">
        <v>0</v>
      </c>
      <c r="F9308">
        <v>1</v>
      </c>
      <c r="G9308">
        <v>0</v>
      </c>
      <c r="H9308">
        <v>0</v>
      </c>
      <c r="I9308">
        <v>0</v>
      </c>
      <c r="J9308">
        <v>5439.17965127547</v>
      </c>
      <c r="K9308">
        <v>5177.54847502146</v>
      </c>
      <c r="L9308">
        <v>61.96</v>
      </c>
      <c r="M9308">
        <v>67.649000000000001</v>
      </c>
      <c r="N9308">
        <v>59.234000000000002</v>
      </c>
    </row>
    <row r="9309" spans="1:14" x14ac:dyDescent="0.45">
      <c r="A9309">
        <v>2023</v>
      </c>
      <c r="B9309" t="s">
        <v>205</v>
      </c>
      <c r="C9309">
        <v>0</v>
      </c>
      <c r="D9309">
        <v>1</v>
      </c>
      <c r="E9309">
        <v>0</v>
      </c>
      <c r="F9309">
        <v>0</v>
      </c>
      <c r="G9309">
        <v>0</v>
      </c>
      <c r="H9309">
        <v>1</v>
      </c>
      <c r="I9309">
        <v>1</v>
      </c>
      <c r="J9309">
        <v>35863.880148830998</v>
      </c>
      <c r="K9309">
        <v>37606.076852714497</v>
      </c>
      <c r="L9309">
        <v>30.488</v>
      </c>
      <c r="M9309">
        <v>79.593999999999994</v>
      </c>
      <c r="N9309">
        <v>16.120999999999999</v>
      </c>
    </row>
    <row r="9310" spans="1:14" x14ac:dyDescent="0.45">
      <c r="A9310">
        <v>2023</v>
      </c>
      <c r="B9310" t="s">
        <v>206</v>
      </c>
      <c r="C9310">
        <v>0</v>
      </c>
      <c r="D9310">
        <v>1</v>
      </c>
      <c r="E9310">
        <v>0</v>
      </c>
      <c r="F9310">
        <v>0</v>
      </c>
      <c r="G9310">
        <v>1</v>
      </c>
      <c r="H9310">
        <v>0</v>
      </c>
      <c r="I9310">
        <v>0</v>
      </c>
      <c r="J9310">
        <v>15327.581999455801</v>
      </c>
      <c r="K9310">
        <v>12807.4857044363</v>
      </c>
      <c r="L9310">
        <v>21.077999999999999</v>
      </c>
      <c r="M9310">
        <v>77.739999999999995</v>
      </c>
      <c r="N9310">
        <v>14.755000000000001</v>
      </c>
    </row>
    <row r="9311" spans="1:14" x14ac:dyDescent="0.45">
      <c r="A9311">
        <v>2023</v>
      </c>
      <c r="B9311" t="s">
        <v>207</v>
      </c>
      <c r="C9311">
        <v>0</v>
      </c>
      <c r="D9311">
        <v>0</v>
      </c>
      <c r="E9311">
        <v>0</v>
      </c>
      <c r="F9311">
        <v>1</v>
      </c>
      <c r="G9311">
        <v>0</v>
      </c>
      <c r="H9311">
        <v>0</v>
      </c>
      <c r="I9311">
        <v>0</v>
      </c>
      <c r="J9311">
        <v>9898.5329458874603</v>
      </c>
      <c r="K9311">
        <v>8964.1171156504697</v>
      </c>
      <c r="L9311">
        <v>51.713000000000001</v>
      </c>
      <c r="M9311">
        <v>69.832999999999998</v>
      </c>
      <c r="N9311">
        <v>27.713999999999999</v>
      </c>
    </row>
    <row r="9312" spans="1:14" x14ac:dyDescent="0.45">
      <c r="A9312">
        <v>2023</v>
      </c>
      <c r="B9312" t="s">
        <v>208</v>
      </c>
      <c r="C9312">
        <v>0</v>
      </c>
      <c r="D9312">
        <v>0</v>
      </c>
      <c r="E9312">
        <v>0</v>
      </c>
      <c r="F9312">
        <v>0</v>
      </c>
      <c r="G9312">
        <v>0</v>
      </c>
      <c r="H9312">
        <v>1</v>
      </c>
      <c r="I9312">
        <v>1</v>
      </c>
      <c r="J9312">
        <v>15796.535077091101</v>
      </c>
      <c r="K9312">
        <v>14291.448629877799</v>
      </c>
      <c r="L9312">
        <v>17.591999999999999</v>
      </c>
      <c r="M9312">
        <v>69.269000000000005</v>
      </c>
      <c r="N9312">
        <v>21.975000000000001</v>
      </c>
    </row>
    <row r="9313" spans="1:14" x14ac:dyDescent="0.45">
      <c r="A9313">
        <v>2023</v>
      </c>
      <c r="B9313" t="s">
        <v>209</v>
      </c>
      <c r="C9313">
        <v>0</v>
      </c>
      <c r="D9313">
        <v>0</v>
      </c>
      <c r="E9313">
        <v>0</v>
      </c>
      <c r="F9313">
        <v>1</v>
      </c>
      <c r="G9313">
        <v>0</v>
      </c>
      <c r="H9313">
        <v>0</v>
      </c>
      <c r="I9313">
        <v>0</v>
      </c>
      <c r="J9313">
        <v>4205.8477398109599</v>
      </c>
      <c r="K9313">
        <v>3804.6155261345498</v>
      </c>
      <c r="L9313">
        <v>86.277000000000001</v>
      </c>
      <c r="M9313">
        <v>66.134</v>
      </c>
      <c r="N9313">
        <v>39.780999999999999</v>
      </c>
    </row>
    <row r="9314" spans="1:14" x14ac:dyDescent="0.45">
      <c r="A9314">
        <v>2023</v>
      </c>
      <c r="B9314" t="s">
        <v>210</v>
      </c>
      <c r="C9314">
        <v>1</v>
      </c>
      <c r="D9314">
        <v>0</v>
      </c>
      <c r="E9314">
        <v>0</v>
      </c>
      <c r="F9314">
        <v>0</v>
      </c>
      <c r="G9314">
        <v>0</v>
      </c>
      <c r="H9314">
        <v>1</v>
      </c>
      <c r="I9314">
        <v>1</v>
      </c>
      <c r="J9314">
        <v>43672.766801494603</v>
      </c>
      <c r="K9314">
        <v>37697.0685667215</v>
      </c>
      <c r="L9314">
        <v>39.781999999999996</v>
      </c>
      <c r="M9314">
        <v>78.632999999999996</v>
      </c>
      <c r="N9314">
        <v>3.7029999999999998</v>
      </c>
    </row>
    <row r="9315" spans="1:14" x14ac:dyDescent="0.45">
      <c r="A9315">
        <v>2023</v>
      </c>
      <c r="B9315" t="s">
        <v>211</v>
      </c>
      <c r="C9315">
        <v>0</v>
      </c>
      <c r="D9315">
        <v>1</v>
      </c>
      <c r="E9315">
        <v>0</v>
      </c>
      <c r="F9315">
        <v>0</v>
      </c>
      <c r="G9315">
        <v>0</v>
      </c>
      <c r="H9315">
        <v>1</v>
      </c>
      <c r="I9315">
        <v>1</v>
      </c>
      <c r="J9315">
        <v>42738.645773196797</v>
      </c>
      <c r="K9315">
        <v>32833.568499999201</v>
      </c>
      <c r="L9315">
        <v>6.3659999999999997</v>
      </c>
      <c r="M9315">
        <v>81.69</v>
      </c>
      <c r="N9315">
        <v>6.0010000000000003</v>
      </c>
    </row>
    <row r="9316" spans="1:14" x14ac:dyDescent="0.45">
      <c r="A9316">
        <v>2023</v>
      </c>
      <c r="B9316" t="s">
        <v>212</v>
      </c>
      <c r="C9316">
        <v>0</v>
      </c>
      <c r="D9316">
        <v>0</v>
      </c>
      <c r="E9316">
        <v>0</v>
      </c>
      <c r="F9316">
        <v>0</v>
      </c>
      <c r="G9316">
        <v>0</v>
      </c>
      <c r="H9316">
        <v>0</v>
      </c>
      <c r="I9316">
        <v>0</v>
      </c>
      <c r="L9316">
        <v>36.796999999999997</v>
      </c>
      <c r="M9316">
        <v>73.641999999999996</v>
      </c>
      <c r="N9316">
        <v>18.047999999999998</v>
      </c>
    </row>
    <row r="9317" spans="1:14" x14ac:dyDescent="0.45">
      <c r="A9317">
        <v>2023</v>
      </c>
      <c r="B9317" t="s">
        <v>213</v>
      </c>
      <c r="C9317">
        <v>1</v>
      </c>
      <c r="D9317">
        <v>0</v>
      </c>
      <c r="E9317">
        <v>0</v>
      </c>
      <c r="F9317">
        <v>0</v>
      </c>
      <c r="G9317">
        <v>0</v>
      </c>
      <c r="H9317">
        <v>1</v>
      </c>
      <c r="I9317">
        <v>1</v>
      </c>
      <c r="J9317">
        <v>41571.020335125999</v>
      </c>
      <c r="K9317">
        <v>35933.287172157499</v>
      </c>
      <c r="L9317">
        <v>32.094000000000001</v>
      </c>
      <c r="M9317">
        <v>82.36</v>
      </c>
      <c r="N9317">
        <v>3.206</v>
      </c>
    </row>
    <row r="9318" spans="1:14" x14ac:dyDescent="0.45">
      <c r="A9318">
        <v>2023</v>
      </c>
      <c r="B9318" t="s">
        <v>214</v>
      </c>
      <c r="C9318">
        <v>0</v>
      </c>
      <c r="D9318">
        <v>1</v>
      </c>
      <c r="E9318">
        <v>0</v>
      </c>
      <c r="F9318">
        <v>0</v>
      </c>
      <c r="G9318">
        <v>1</v>
      </c>
      <c r="H9318">
        <v>0</v>
      </c>
      <c r="I9318">
        <v>0</v>
      </c>
      <c r="J9318">
        <v>15826.0875012954</v>
      </c>
      <c r="K9318">
        <v>14438.7573970799</v>
      </c>
      <c r="L9318">
        <v>36.850999999999999</v>
      </c>
      <c r="M9318">
        <v>73.843999999999994</v>
      </c>
      <c r="N9318">
        <v>16.84</v>
      </c>
    </row>
    <row r="9319" spans="1:14" x14ac:dyDescent="0.45">
      <c r="A9319">
        <v>2023</v>
      </c>
      <c r="B9319" t="s">
        <v>215</v>
      </c>
      <c r="C9319">
        <v>0</v>
      </c>
      <c r="D9319">
        <v>0</v>
      </c>
      <c r="E9319">
        <v>0</v>
      </c>
      <c r="F9319">
        <v>1</v>
      </c>
      <c r="G9319">
        <v>0</v>
      </c>
      <c r="H9319">
        <v>0</v>
      </c>
      <c r="I9319">
        <v>0</v>
      </c>
      <c r="J9319">
        <v>5361.1309808493797</v>
      </c>
      <c r="K9319">
        <v>4571.3552635752803</v>
      </c>
      <c r="L9319">
        <v>22.417999999999999</v>
      </c>
      <c r="M9319">
        <v>65.17</v>
      </c>
      <c r="N9319">
        <v>26.050999999999998</v>
      </c>
    </row>
    <row r="9320" spans="1:14" x14ac:dyDescent="0.45">
      <c r="A9320">
        <v>2023</v>
      </c>
      <c r="B9320" t="s">
        <v>216</v>
      </c>
      <c r="C9320">
        <v>0</v>
      </c>
      <c r="D9320">
        <v>0</v>
      </c>
      <c r="E9320">
        <v>0</v>
      </c>
      <c r="F9320">
        <v>0</v>
      </c>
      <c r="G9320">
        <v>0</v>
      </c>
      <c r="H9320">
        <v>1</v>
      </c>
      <c r="I9320">
        <v>1</v>
      </c>
      <c r="L9320">
        <v>37.712000000000003</v>
      </c>
      <c r="M9320">
        <v>84.07</v>
      </c>
      <c r="N9320">
        <v>6.09</v>
      </c>
    </row>
    <row r="9321" spans="1:14" x14ac:dyDescent="0.45">
      <c r="A9321">
        <v>2023</v>
      </c>
      <c r="B9321" t="s">
        <v>217</v>
      </c>
      <c r="C9321">
        <v>0</v>
      </c>
      <c r="D9321">
        <v>0</v>
      </c>
      <c r="E9321">
        <v>0</v>
      </c>
      <c r="F9321">
        <v>0</v>
      </c>
      <c r="G9321">
        <v>0</v>
      </c>
      <c r="H9321">
        <v>1</v>
      </c>
      <c r="I9321">
        <v>1</v>
      </c>
      <c r="J9321">
        <v>116159.142564088</v>
      </c>
      <c r="K9321">
        <v>100303.171249772</v>
      </c>
      <c r="L9321">
        <v>0.64600000000000102</v>
      </c>
      <c r="M9321">
        <v>82.367999999999995</v>
      </c>
      <c r="N9321">
        <v>4.9690000000000003</v>
      </c>
    </row>
    <row r="9322" spans="1:14" x14ac:dyDescent="0.45">
      <c r="A9322">
        <v>2023</v>
      </c>
      <c r="B9322" t="s">
        <v>218</v>
      </c>
      <c r="C9322">
        <v>1</v>
      </c>
      <c r="D9322">
        <v>0</v>
      </c>
      <c r="E9322">
        <v>0</v>
      </c>
      <c r="F9322">
        <v>0</v>
      </c>
      <c r="G9322">
        <v>0</v>
      </c>
      <c r="H9322">
        <v>1</v>
      </c>
      <c r="I9322">
        <v>1</v>
      </c>
      <c r="J9322">
        <v>40301.500822561196</v>
      </c>
      <c r="K9322">
        <v>32758.5133476597</v>
      </c>
      <c r="L9322">
        <v>45.328000000000003</v>
      </c>
      <c r="M9322">
        <v>75.938000000000002</v>
      </c>
      <c r="N9322">
        <v>5.9050000000000002</v>
      </c>
    </row>
    <row r="9323" spans="1:14" x14ac:dyDescent="0.45">
      <c r="A9323">
        <v>2023</v>
      </c>
      <c r="B9323" t="s">
        <v>219</v>
      </c>
      <c r="C9323">
        <v>1</v>
      </c>
      <c r="D9323">
        <v>0</v>
      </c>
      <c r="E9323">
        <v>0</v>
      </c>
      <c r="F9323">
        <v>0</v>
      </c>
      <c r="G9323">
        <v>0</v>
      </c>
      <c r="H9323">
        <v>1</v>
      </c>
      <c r="I9323">
        <v>1</v>
      </c>
      <c r="J9323">
        <v>39887.33984375</v>
      </c>
      <c r="K9323">
        <v>28906.401547783102</v>
      </c>
      <c r="L9323">
        <v>24.669</v>
      </c>
      <c r="M9323">
        <v>73.153999999999996</v>
      </c>
      <c r="N9323">
        <v>4.444</v>
      </c>
    </row>
    <row r="9324" spans="1:14" x14ac:dyDescent="0.45">
      <c r="A9324">
        <v>2023</v>
      </c>
      <c r="B9324" t="s">
        <v>220</v>
      </c>
      <c r="C9324">
        <v>0</v>
      </c>
      <c r="D9324">
        <v>0</v>
      </c>
      <c r="E9324">
        <v>1</v>
      </c>
      <c r="F9324">
        <v>0</v>
      </c>
      <c r="G9324">
        <v>0</v>
      </c>
      <c r="H9324">
        <v>0</v>
      </c>
      <c r="I9324">
        <v>0</v>
      </c>
      <c r="J9324">
        <v>3062.99909649442</v>
      </c>
      <c r="K9324">
        <v>2563.2826081337598</v>
      </c>
      <c r="L9324">
        <v>82.108000000000004</v>
      </c>
      <c r="M9324">
        <v>67.784999999999997</v>
      </c>
      <c r="N9324">
        <v>36.787999999999997</v>
      </c>
    </row>
    <row r="9325" spans="1:14" x14ac:dyDescent="0.45">
      <c r="A9325">
        <v>2023</v>
      </c>
      <c r="B9325" t="s">
        <v>221</v>
      </c>
      <c r="C9325">
        <v>0</v>
      </c>
      <c r="D9325">
        <v>0</v>
      </c>
      <c r="E9325">
        <v>0</v>
      </c>
      <c r="F9325">
        <v>0</v>
      </c>
      <c r="G9325">
        <v>0</v>
      </c>
      <c r="H9325">
        <v>1</v>
      </c>
      <c r="I9325">
        <v>1</v>
      </c>
      <c r="J9325">
        <v>64481.8441927288</v>
      </c>
      <c r="K9325">
        <v>59115.538780613802</v>
      </c>
      <c r="L9325">
        <v>15.05</v>
      </c>
      <c r="M9325">
        <v>78.731999999999999</v>
      </c>
      <c r="N9325">
        <v>6.2</v>
      </c>
    </row>
    <row r="9326" spans="1:14" x14ac:dyDescent="0.45">
      <c r="A9326">
        <v>2023</v>
      </c>
      <c r="B9326" t="s">
        <v>222</v>
      </c>
      <c r="C9326">
        <v>0</v>
      </c>
      <c r="D9326">
        <v>0</v>
      </c>
      <c r="E9326">
        <v>1</v>
      </c>
      <c r="F9326">
        <v>0</v>
      </c>
      <c r="G9326">
        <v>0</v>
      </c>
      <c r="H9326">
        <v>0</v>
      </c>
      <c r="I9326">
        <v>0</v>
      </c>
      <c r="J9326">
        <v>2181.0791015625</v>
      </c>
      <c r="K9326">
        <v>2283.8774475151999</v>
      </c>
      <c r="L9326">
        <v>63.658000000000001</v>
      </c>
      <c r="M9326">
        <v>66.331000000000003</v>
      </c>
      <c r="N9326">
        <v>50.287999999999997</v>
      </c>
    </row>
    <row r="9327" spans="1:14" x14ac:dyDescent="0.45">
      <c r="A9327">
        <v>2023</v>
      </c>
      <c r="B9327" t="s">
        <v>223</v>
      </c>
      <c r="C9327">
        <v>0</v>
      </c>
      <c r="D9327">
        <v>0</v>
      </c>
      <c r="E9327">
        <v>1</v>
      </c>
      <c r="F9327">
        <v>1</v>
      </c>
      <c r="G9327">
        <v>0</v>
      </c>
      <c r="H9327">
        <v>0</v>
      </c>
      <c r="I9327">
        <v>0</v>
      </c>
      <c r="J9327">
        <v>4304.7614872023196</v>
      </c>
      <c r="K9327">
        <v>3596.3656704506998</v>
      </c>
      <c r="L9327">
        <v>50.420999999999999</v>
      </c>
      <c r="M9327">
        <v>68.683000000000007</v>
      </c>
      <c r="N9327">
        <v>35.561</v>
      </c>
    </row>
    <row r="9328" spans="1:14" x14ac:dyDescent="0.45">
      <c r="A9328">
        <v>2023</v>
      </c>
      <c r="B9328" t="s">
        <v>224</v>
      </c>
      <c r="C9328">
        <v>0</v>
      </c>
      <c r="D9328">
        <v>0</v>
      </c>
      <c r="E9328">
        <v>0</v>
      </c>
      <c r="F9328">
        <v>0</v>
      </c>
      <c r="G9328">
        <v>0</v>
      </c>
      <c r="H9328">
        <v>1</v>
      </c>
      <c r="I9328">
        <v>1</v>
      </c>
      <c r="J9328">
        <v>129555.245509242</v>
      </c>
      <c r="K9328">
        <v>106499.245924683</v>
      </c>
      <c r="L9328">
        <v>0</v>
      </c>
      <c r="M9328">
        <v>83.736000000000004</v>
      </c>
      <c r="N9328">
        <v>2.2250000000000001</v>
      </c>
    </row>
    <row r="9329" spans="1:14" x14ac:dyDescent="0.45">
      <c r="A9329">
        <v>2023</v>
      </c>
      <c r="B9329" t="s">
        <v>225</v>
      </c>
      <c r="C9329">
        <v>0</v>
      </c>
      <c r="D9329">
        <v>0</v>
      </c>
      <c r="E9329">
        <v>0</v>
      </c>
      <c r="F9329">
        <v>1</v>
      </c>
      <c r="G9329">
        <v>0</v>
      </c>
      <c r="H9329">
        <v>0</v>
      </c>
      <c r="I9329">
        <v>0</v>
      </c>
      <c r="J9329">
        <v>2523.6188536348</v>
      </c>
      <c r="K9329">
        <v>2282.7973761685098</v>
      </c>
      <c r="L9329">
        <v>73.962999999999994</v>
      </c>
      <c r="M9329">
        <v>70.528000000000006</v>
      </c>
      <c r="N9329">
        <v>17.800999999999998</v>
      </c>
    </row>
    <row r="9330" spans="1:14" x14ac:dyDescent="0.45">
      <c r="A9330">
        <v>2023</v>
      </c>
      <c r="B9330" t="s">
        <v>226</v>
      </c>
      <c r="C9330">
        <v>0</v>
      </c>
      <c r="D9330">
        <v>0</v>
      </c>
      <c r="E9330">
        <v>1</v>
      </c>
      <c r="F9330">
        <v>0</v>
      </c>
      <c r="G9330">
        <v>0</v>
      </c>
      <c r="H9330">
        <v>0</v>
      </c>
      <c r="I9330">
        <v>0</v>
      </c>
      <c r="J9330">
        <v>3037.6764390082799</v>
      </c>
      <c r="K9330">
        <v>2757.2095369999802</v>
      </c>
      <c r="L9330">
        <v>55.7</v>
      </c>
      <c r="M9330">
        <v>61.786000000000001</v>
      </c>
      <c r="N9330">
        <v>97.186999999999998</v>
      </c>
    </row>
    <row r="9331" spans="1:14" x14ac:dyDescent="0.45">
      <c r="A9331">
        <v>2023</v>
      </c>
      <c r="B9331" t="s">
        <v>227</v>
      </c>
      <c r="C9331">
        <v>0</v>
      </c>
      <c r="D9331">
        <v>1</v>
      </c>
      <c r="E9331">
        <v>0</v>
      </c>
      <c r="F9331">
        <v>0</v>
      </c>
      <c r="G9331">
        <v>1</v>
      </c>
      <c r="H9331">
        <v>0</v>
      </c>
      <c r="I9331">
        <v>0</v>
      </c>
      <c r="J9331">
        <v>11424.6459176917</v>
      </c>
      <c r="K9331">
        <v>10176.5078682893</v>
      </c>
      <c r="L9331">
        <v>24.606999999999999</v>
      </c>
      <c r="M9331">
        <v>72.099000000000004</v>
      </c>
      <c r="N9331">
        <v>11.43</v>
      </c>
    </row>
    <row r="9332" spans="1:14" x14ac:dyDescent="0.45">
      <c r="A9332">
        <v>2023</v>
      </c>
      <c r="B9332" t="s">
        <v>228</v>
      </c>
      <c r="C9332">
        <v>1</v>
      </c>
      <c r="D9332">
        <v>0</v>
      </c>
      <c r="E9332">
        <v>0</v>
      </c>
      <c r="F9332">
        <v>0</v>
      </c>
      <c r="G9332">
        <v>0</v>
      </c>
      <c r="H9332">
        <v>1</v>
      </c>
      <c r="I9332">
        <v>1</v>
      </c>
      <c r="J9332">
        <v>76252.927195984405</v>
      </c>
      <c r="K9332">
        <v>67207.372737652302</v>
      </c>
      <c r="L9332">
        <v>2.1640000000000001</v>
      </c>
      <c r="M9332">
        <v>85.706000000000003</v>
      </c>
      <c r="N9332">
        <v>1.401</v>
      </c>
    </row>
    <row r="9333" spans="1:14" x14ac:dyDescent="0.45">
      <c r="A9333">
        <v>2023</v>
      </c>
      <c r="B9333" t="s">
        <v>229</v>
      </c>
      <c r="C9333">
        <v>0</v>
      </c>
      <c r="D9333">
        <v>0</v>
      </c>
      <c r="E9333">
        <v>1</v>
      </c>
      <c r="F9333">
        <v>0</v>
      </c>
      <c r="G9333">
        <v>0</v>
      </c>
      <c r="H9333">
        <v>0</v>
      </c>
      <c r="I9333">
        <v>0</v>
      </c>
      <c r="J9333">
        <v>1402.4699185171701</v>
      </c>
      <c r="K9333">
        <v>1300.8389306875899</v>
      </c>
      <c r="L9333">
        <v>52.08</v>
      </c>
      <c r="M9333">
        <v>58.816000000000003</v>
      </c>
      <c r="N9333">
        <v>103.185</v>
      </c>
    </row>
    <row r="9334" spans="1:14" x14ac:dyDescent="0.45">
      <c r="A9334">
        <v>2023</v>
      </c>
      <c r="B9334" t="s">
        <v>230</v>
      </c>
      <c r="C9334">
        <v>1</v>
      </c>
      <c r="D9334">
        <v>0</v>
      </c>
      <c r="E9334">
        <v>0</v>
      </c>
      <c r="F9334">
        <v>0</v>
      </c>
      <c r="G9334">
        <v>1</v>
      </c>
      <c r="H9334">
        <v>0</v>
      </c>
      <c r="I9334">
        <v>0</v>
      </c>
      <c r="J9334">
        <v>25740.2023235577</v>
      </c>
      <c r="K9334">
        <v>22633.971548056899</v>
      </c>
      <c r="L9334">
        <v>42.887</v>
      </c>
      <c r="M9334">
        <v>76.769000000000005</v>
      </c>
      <c r="N9334">
        <v>4.9560000000000004</v>
      </c>
    </row>
    <row r="9335" spans="1:14" x14ac:dyDescent="0.45">
      <c r="A9335">
        <v>2023</v>
      </c>
      <c r="B9335" t="s">
        <v>231</v>
      </c>
      <c r="C9335">
        <v>0</v>
      </c>
      <c r="D9335">
        <v>0</v>
      </c>
      <c r="E9335">
        <v>1</v>
      </c>
      <c r="F9335">
        <v>0</v>
      </c>
      <c r="G9335">
        <v>0</v>
      </c>
      <c r="H9335">
        <v>0</v>
      </c>
      <c r="I9335">
        <v>0</v>
      </c>
      <c r="L9335">
        <v>78.805000000000007</v>
      </c>
      <c r="M9335">
        <v>57.616999999999997</v>
      </c>
      <c r="N9335">
        <v>99.11</v>
      </c>
    </row>
    <row r="9336" spans="1:14" x14ac:dyDescent="0.45">
      <c r="A9336">
        <v>2023</v>
      </c>
      <c r="B9336" t="s">
        <v>232</v>
      </c>
      <c r="C9336">
        <v>0</v>
      </c>
      <c r="D9336">
        <v>0</v>
      </c>
      <c r="E9336">
        <v>1</v>
      </c>
      <c r="F9336">
        <v>1</v>
      </c>
      <c r="G9336">
        <v>0</v>
      </c>
      <c r="H9336">
        <v>0</v>
      </c>
      <c r="I9336">
        <v>0</v>
      </c>
      <c r="J9336">
        <v>5541.3016760535002</v>
      </c>
      <c r="K9336">
        <v>3448.81906320711</v>
      </c>
      <c r="L9336">
        <v>23.599</v>
      </c>
      <c r="M9336">
        <v>69.718000000000004</v>
      </c>
      <c r="N9336">
        <v>13.683</v>
      </c>
    </row>
    <row r="9337" spans="1:14" x14ac:dyDescent="0.45">
      <c r="A9337">
        <v>2023</v>
      </c>
      <c r="B9337" t="s">
        <v>233</v>
      </c>
      <c r="C9337">
        <v>0</v>
      </c>
      <c r="D9337">
        <v>1</v>
      </c>
      <c r="E9337">
        <v>0</v>
      </c>
      <c r="F9337">
        <v>0</v>
      </c>
      <c r="G9337">
        <v>1</v>
      </c>
      <c r="H9337">
        <v>0</v>
      </c>
      <c r="I9337">
        <v>0</v>
      </c>
      <c r="J9337">
        <v>19043.7052869285</v>
      </c>
      <c r="K9337">
        <v>15158.401419030801</v>
      </c>
      <c r="L9337">
        <v>33.588999999999999</v>
      </c>
      <c r="M9337">
        <v>73.631</v>
      </c>
      <c r="N9337">
        <v>16.091999999999999</v>
      </c>
    </row>
    <row r="9338" spans="1:14" x14ac:dyDescent="0.45">
      <c r="A9338">
        <v>2023</v>
      </c>
      <c r="B9338" t="s">
        <v>234</v>
      </c>
      <c r="C9338">
        <v>1</v>
      </c>
      <c r="D9338">
        <v>0</v>
      </c>
      <c r="E9338">
        <v>0</v>
      </c>
      <c r="F9338">
        <v>0</v>
      </c>
      <c r="G9338">
        <v>0</v>
      </c>
      <c r="H9338">
        <v>1</v>
      </c>
      <c r="I9338">
        <v>1</v>
      </c>
      <c r="J9338">
        <v>39497.5351131715</v>
      </c>
      <c r="K9338">
        <v>34018.548994604404</v>
      </c>
      <c r="L9338">
        <v>45.972999999999999</v>
      </c>
      <c r="M9338">
        <v>78.340999999999994</v>
      </c>
      <c r="N9338">
        <v>5.5179999999999998</v>
      </c>
    </row>
    <row r="9339" spans="1:14" x14ac:dyDescent="0.45">
      <c r="A9339">
        <v>2023</v>
      </c>
      <c r="B9339" t="s">
        <v>235</v>
      </c>
      <c r="C9339">
        <v>1</v>
      </c>
      <c r="D9339">
        <v>0</v>
      </c>
      <c r="E9339">
        <v>0</v>
      </c>
      <c r="F9339">
        <v>0</v>
      </c>
      <c r="G9339">
        <v>0</v>
      </c>
      <c r="H9339">
        <v>1</v>
      </c>
      <c r="I9339">
        <v>1</v>
      </c>
      <c r="J9339">
        <v>47868.386008897403</v>
      </c>
      <c r="K9339">
        <v>41205.331247903399</v>
      </c>
      <c r="L9339">
        <v>43.911999999999999</v>
      </c>
      <c r="M9339">
        <v>81.602999999999994</v>
      </c>
      <c r="N9339">
        <v>2.2229999999999999</v>
      </c>
    </row>
    <row r="9340" spans="1:14" x14ac:dyDescent="0.45">
      <c r="A9340">
        <v>2023</v>
      </c>
      <c r="B9340" t="s">
        <v>236</v>
      </c>
      <c r="C9340">
        <v>1</v>
      </c>
      <c r="D9340">
        <v>0</v>
      </c>
      <c r="E9340">
        <v>0</v>
      </c>
      <c r="F9340">
        <v>0</v>
      </c>
      <c r="G9340">
        <v>0</v>
      </c>
      <c r="H9340">
        <v>1</v>
      </c>
      <c r="I9340">
        <v>1</v>
      </c>
      <c r="J9340">
        <v>62845.483226780801</v>
      </c>
      <c r="K9340">
        <v>53683.771388285299</v>
      </c>
      <c r="L9340">
        <v>11.262</v>
      </c>
      <c r="M9340">
        <v>83.262</v>
      </c>
      <c r="N9340">
        <v>2.3540000000000001</v>
      </c>
    </row>
    <row r="9341" spans="1:14" x14ac:dyDescent="0.45">
      <c r="A9341">
        <v>2023</v>
      </c>
      <c r="B9341" t="s">
        <v>237</v>
      </c>
      <c r="C9341">
        <v>0</v>
      </c>
      <c r="D9341">
        <v>0</v>
      </c>
      <c r="E9341">
        <v>1</v>
      </c>
      <c r="F9341">
        <v>1</v>
      </c>
      <c r="G9341">
        <v>0</v>
      </c>
      <c r="H9341">
        <v>0</v>
      </c>
      <c r="I9341">
        <v>0</v>
      </c>
      <c r="J9341">
        <v>10201.6379845633</v>
      </c>
      <c r="K9341">
        <v>9033.5523042618606</v>
      </c>
      <c r="L9341">
        <v>75.209999999999994</v>
      </c>
      <c r="M9341">
        <v>64.123000000000005</v>
      </c>
      <c r="N9341">
        <v>49.55</v>
      </c>
    </row>
    <row r="9342" spans="1:14" x14ac:dyDescent="0.45">
      <c r="A9342">
        <v>2023</v>
      </c>
      <c r="B9342" t="s">
        <v>238</v>
      </c>
      <c r="C9342">
        <v>0</v>
      </c>
      <c r="D9342">
        <v>1</v>
      </c>
      <c r="E9342">
        <v>0</v>
      </c>
      <c r="F9342">
        <v>0</v>
      </c>
      <c r="G9342">
        <v>0</v>
      </c>
      <c r="H9342">
        <v>1</v>
      </c>
      <c r="I9342">
        <v>1</v>
      </c>
      <c r="J9342">
        <v>44894.693464289798</v>
      </c>
      <c r="K9342">
        <v>43327.3069305803</v>
      </c>
      <c r="L9342">
        <v>0</v>
      </c>
      <c r="M9342">
        <v>76.370999999999995</v>
      </c>
      <c r="N9342">
        <v>14.897</v>
      </c>
    </row>
    <row r="9343" spans="1:14" x14ac:dyDescent="0.45">
      <c r="A9343">
        <v>2023</v>
      </c>
      <c r="B9343" t="s">
        <v>239</v>
      </c>
      <c r="C9343">
        <v>0</v>
      </c>
      <c r="D9343">
        <v>0</v>
      </c>
      <c r="E9343">
        <v>1</v>
      </c>
      <c r="F9343">
        <v>0</v>
      </c>
      <c r="G9343">
        <v>0</v>
      </c>
      <c r="H9343">
        <v>1</v>
      </c>
      <c r="I9343">
        <v>1</v>
      </c>
      <c r="J9343">
        <v>28635.356358174398</v>
      </c>
      <c r="K9343">
        <v>27800.632283121398</v>
      </c>
      <c r="L9343">
        <v>41.18</v>
      </c>
      <c r="M9343">
        <v>72.861999999999995</v>
      </c>
      <c r="N9343">
        <v>14.337</v>
      </c>
    </row>
    <row r="9344" spans="1:14" x14ac:dyDescent="0.45">
      <c r="A9344">
        <v>2023</v>
      </c>
      <c r="B9344" t="s">
        <v>240</v>
      </c>
      <c r="C9344">
        <v>0</v>
      </c>
      <c r="D9344">
        <v>0</v>
      </c>
      <c r="E9344">
        <v>0</v>
      </c>
      <c r="F9344">
        <v>0</v>
      </c>
      <c r="G9344">
        <v>0</v>
      </c>
      <c r="H9344">
        <v>0</v>
      </c>
      <c r="I9344">
        <v>0</v>
      </c>
      <c r="J9344">
        <v>4189.8375708776202</v>
      </c>
      <c r="K9344">
        <v>2748.22938357257</v>
      </c>
      <c r="L9344">
        <v>42.591000000000001</v>
      </c>
      <c r="M9344">
        <v>72.12</v>
      </c>
      <c r="N9344">
        <v>23.074999999999999</v>
      </c>
    </row>
    <row r="9345" spans="1:14" x14ac:dyDescent="0.45">
      <c r="A9345">
        <v>2023</v>
      </c>
      <c r="B9345" t="s">
        <v>241</v>
      </c>
      <c r="C9345">
        <v>0</v>
      </c>
      <c r="D9345">
        <v>1</v>
      </c>
      <c r="E9345">
        <v>0</v>
      </c>
      <c r="F9345">
        <v>0</v>
      </c>
      <c r="G9345">
        <v>0</v>
      </c>
      <c r="H9345">
        <v>1</v>
      </c>
      <c r="I9345">
        <v>1</v>
      </c>
      <c r="J9345">
        <v>31839.370538196901</v>
      </c>
      <c r="K9345">
        <v>49568.717636526198</v>
      </c>
      <c r="L9345">
        <v>5.7530000000000001</v>
      </c>
      <c r="M9345">
        <v>78.007999999999996</v>
      </c>
      <c r="N9345">
        <v>5.8109999999999999</v>
      </c>
    </row>
    <row r="9346" spans="1:14" x14ac:dyDescent="0.45">
      <c r="A9346">
        <v>2023</v>
      </c>
      <c r="B9346" t="s">
        <v>242</v>
      </c>
      <c r="C9346">
        <v>0</v>
      </c>
      <c r="D9346">
        <v>0</v>
      </c>
      <c r="E9346">
        <v>1</v>
      </c>
      <c r="F9346">
        <v>0</v>
      </c>
      <c r="G9346">
        <v>0</v>
      </c>
      <c r="H9346">
        <v>0</v>
      </c>
      <c r="I9346">
        <v>0</v>
      </c>
      <c r="J9346">
        <v>2641.4329504920802</v>
      </c>
      <c r="K9346">
        <v>2218.8992418152902</v>
      </c>
      <c r="L9346">
        <v>75.634</v>
      </c>
      <c r="M9346">
        <v>55.069000000000003</v>
      </c>
      <c r="N9346">
        <v>99.671999999999997</v>
      </c>
    </row>
    <row r="9347" spans="1:14" x14ac:dyDescent="0.45">
      <c r="A9347">
        <v>2023</v>
      </c>
      <c r="B9347" t="s">
        <v>243</v>
      </c>
      <c r="C9347">
        <v>0</v>
      </c>
      <c r="D9347">
        <v>0</v>
      </c>
      <c r="E9347">
        <v>1</v>
      </c>
      <c r="F9347">
        <v>0</v>
      </c>
      <c r="G9347">
        <v>0</v>
      </c>
      <c r="H9347">
        <v>0</v>
      </c>
      <c r="I9347">
        <v>0</v>
      </c>
      <c r="J9347">
        <v>2767.5165583442699</v>
      </c>
      <c r="K9347">
        <v>2299.9107146425599</v>
      </c>
      <c r="L9347">
        <v>55.51</v>
      </c>
      <c r="M9347">
        <v>62.738999999999997</v>
      </c>
      <c r="N9347">
        <v>58.469000000000001</v>
      </c>
    </row>
    <row r="9348" spans="1:14" x14ac:dyDescent="0.45">
      <c r="A9348">
        <v>2023</v>
      </c>
      <c r="B9348" t="s">
        <v>244</v>
      </c>
      <c r="C9348">
        <v>0</v>
      </c>
      <c r="D9348">
        <v>0</v>
      </c>
      <c r="E9348">
        <v>0</v>
      </c>
      <c r="F9348">
        <v>0</v>
      </c>
      <c r="G9348">
        <v>1</v>
      </c>
      <c r="H9348">
        <v>0</v>
      </c>
      <c r="I9348">
        <v>0</v>
      </c>
      <c r="J9348">
        <v>21191.454030927402</v>
      </c>
      <c r="K9348">
        <v>18532.5003078523</v>
      </c>
      <c r="L9348">
        <v>46.392000000000003</v>
      </c>
      <c r="M9348">
        <v>76.412000000000006</v>
      </c>
      <c r="N9348">
        <v>8.1050000000000004</v>
      </c>
    </row>
    <row r="9349" spans="1:14" x14ac:dyDescent="0.45">
      <c r="A9349">
        <v>2023</v>
      </c>
      <c r="B9349" t="s">
        <v>245</v>
      </c>
      <c r="C9349">
        <v>1</v>
      </c>
      <c r="D9349">
        <v>0</v>
      </c>
      <c r="E9349">
        <v>0</v>
      </c>
      <c r="F9349">
        <v>1</v>
      </c>
      <c r="G9349">
        <v>0</v>
      </c>
      <c r="H9349">
        <v>0</v>
      </c>
      <c r="I9349">
        <v>0</v>
      </c>
      <c r="J9349">
        <v>4472.3241378777002</v>
      </c>
      <c r="K9349">
        <v>4073.1030294509401</v>
      </c>
      <c r="L9349">
        <v>71.766000000000005</v>
      </c>
      <c r="M9349">
        <v>71.790000000000006</v>
      </c>
      <c r="N9349">
        <v>29.86</v>
      </c>
    </row>
    <row r="9350" spans="1:14" x14ac:dyDescent="0.45">
      <c r="A9350">
        <v>2023</v>
      </c>
      <c r="B9350" t="s">
        <v>246</v>
      </c>
      <c r="C9350">
        <v>1</v>
      </c>
      <c r="D9350">
        <v>0</v>
      </c>
      <c r="E9350">
        <v>0</v>
      </c>
      <c r="F9350">
        <v>0</v>
      </c>
      <c r="G9350">
        <v>1</v>
      </c>
      <c r="H9350">
        <v>0</v>
      </c>
      <c r="I9350">
        <v>0</v>
      </c>
      <c r="J9350">
        <v>17866.404180916899</v>
      </c>
      <c r="K9350">
        <v>16816.1976931791</v>
      </c>
      <c r="L9350">
        <v>45.997</v>
      </c>
      <c r="M9350">
        <v>70.072999999999993</v>
      </c>
      <c r="N9350">
        <v>39.508000000000003</v>
      </c>
    </row>
    <row r="9351" spans="1:14" x14ac:dyDescent="0.45">
      <c r="A9351">
        <v>2023</v>
      </c>
      <c r="B9351" t="s">
        <v>247</v>
      </c>
      <c r="C9351">
        <v>0</v>
      </c>
      <c r="D9351">
        <v>0</v>
      </c>
      <c r="E9351">
        <v>0</v>
      </c>
      <c r="F9351">
        <v>1</v>
      </c>
      <c r="G9351">
        <v>0</v>
      </c>
      <c r="H9351">
        <v>0</v>
      </c>
      <c r="I9351">
        <v>0</v>
      </c>
      <c r="J9351">
        <v>4330.4638556883101</v>
      </c>
      <c r="K9351">
        <v>3494.08951924435</v>
      </c>
      <c r="L9351">
        <v>67.543999999999997</v>
      </c>
      <c r="M9351">
        <v>67.688999999999993</v>
      </c>
      <c r="N9351">
        <v>46.646999999999998</v>
      </c>
    </row>
    <row r="9352" spans="1:14" x14ac:dyDescent="0.45">
      <c r="A9352">
        <v>2023</v>
      </c>
      <c r="B9352" t="s">
        <v>248</v>
      </c>
      <c r="C9352">
        <v>0</v>
      </c>
      <c r="D9352">
        <v>0</v>
      </c>
      <c r="E9352">
        <v>0</v>
      </c>
      <c r="F9352">
        <v>0</v>
      </c>
      <c r="G9352">
        <v>1</v>
      </c>
      <c r="H9352">
        <v>0</v>
      </c>
      <c r="I9352">
        <v>0</v>
      </c>
      <c r="J9352">
        <v>7075.5562477295098</v>
      </c>
      <c r="K9352">
        <v>6405.0147714395998</v>
      </c>
      <c r="L9352">
        <v>76.84</v>
      </c>
      <c r="M9352">
        <v>72.894999999999996</v>
      </c>
      <c r="N9352">
        <v>10.686999999999999</v>
      </c>
    </row>
    <row r="9353" spans="1:14" x14ac:dyDescent="0.45">
      <c r="A9353">
        <v>2023</v>
      </c>
      <c r="B9353" t="s">
        <v>249</v>
      </c>
      <c r="C9353">
        <v>0</v>
      </c>
      <c r="D9353">
        <v>1</v>
      </c>
      <c r="E9353">
        <v>0</v>
      </c>
      <c r="F9353">
        <v>0</v>
      </c>
      <c r="G9353">
        <v>0</v>
      </c>
      <c r="H9353">
        <v>1</v>
      </c>
      <c r="I9353">
        <v>1</v>
      </c>
      <c r="J9353">
        <v>31193.9157013861</v>
      </c>
      <c r="K9353">
        <v>26034.224470146801</v>
      </c>
      <c r="L9353">
        <v>46.561</v>
      </c>
      <c r="M9353">
        <v>73.489999999999995</v>
      </c>
      <c r="N9353">
        <v>16.003</v>
      </c>
    </row>
    <row r="9354" spans="1:14" x14ac:dyDescent="0.45">
      <c r="A9354">
        <v>2023</v>
      </c>
      <c r="B9354" t="s">
        <v>250</v>
      </c>
      <c r="C9354">
        <v>0</v>
      </c>
      <c r="D9354">
        <v>0</v>
      </c>
      <c r="E9354">
        <v>0</v>
      </c>
      <c r="F9354">
        <v>1</v>
      </c>
      <c r="G9354">
        <v>0</v>
      </c>
      <c r="H9354">
        <v>0</v>
      </c>
      <c r="I9354">
        <v>0</v>
      </c>
      <c r="J9354">
        <v>12622.960392941701</v>
      </c>
      <c r="K9354">
        <v>11000.6991241141</v>
      </c>
      <c r="L9354">
        <v>29.456</v>
      </c>
      <c r="M9354">
        <v>76.507999999999996</v>
      </c>
      <c r="N9354">
        <v>10.712</v>
      </c>
    </row>
    <row r="9355" spans="1:14" x14ac:dyDescent="0.45">
      <c r="A9355">
        <v>2023</v>
      </c>
      <c r="B9355" t="s">
        <v>251</v>
      </c>
      <c r="C9355">
        <v>1</v>
      </c>
      <c r="D9355">
        <v>0</v>
      </c>
      <c r="E9355">
        <v>0</v>
      </c>
      <c r="F9355">
        <v>0</v>
      </c>
      <c r="G9355">
        <v>1</v>
      </c>
      <c r="H9355">
        <v>0</v>
      </c>
      <c r="I9355">
        <v>0</v>
      </c>
      <c r="J9355">
        <v>34282.536504254698</v>
      </c>
      <c r="K9355">
        <v>34374.247791732501</v>
      </c>
      <c r="L9355">
        <v>22.536999999999999</v>
      </c>
      <c r="M9355">
        <v>77.156000000000006</v>
      </c>
      <c r="N9355">
        <v>13.105</v>
      </c>
    </row>
    <row r="9356" spans="1:14" x14ac:dyDescent="0.45">
      <c r="A9356">
        <v>2023</v>
      </c>
      <c r="B9356" t="s">
        <v>252</v>
      </c>
      <c r="C9356">
        <v>0</v>
      </c>
      <c r="D9356">
        <v>0</v>
      </c>
      <c r="E9356">
        <v>0</v>
      </c>
      <c r="F9356">
        <v>0</v>
      </c>
      <c r="G9356">
        <v>1</v>
      </c>
      <c r="H9356">
        <v>0</v>
      </c>
      <c r="I9356">
        <v>0</v>
      </c>
      <c r="J9356">
        <v>5812.39924537753</v>
      </c>
      <c r="K9356">
        <v>5258.21264426784</v>
      </c>
      <c r="L9356">
        <v>33.759</v>
      </c>
      <c r="M9356">
        <v>67.105000000000004</v>
      </c>
      <c r="N9356">
        <v>19.72</v>
      </c>
    </row>
    <row r="9357" spans="1:14" x14ac:dyDescent="0.45">
      <c r="A9357">
        <v>2023</v>
      </c>
      <c r="B9357" t="s">
        <v>253</v>
      </c>
      <c r="C9357">
        <v>0</v>
      </c>
      <c r="D9357">
        <v>0</v>
      </c>
      <c r="E9357">
        <v>0</v>
      </c>
      <c r="F9357">
        <v>0</v>
      </c>
      <c r="G9357">
        <v>0</v>
      </c>
      <c r="H9357">
        <v>1</v>
      </c>
      <c r="I9357">
        <v>1</v>
      </c>
      <c r="L9357">
        <v>35.43</v>
      </c>
      <c r="M9357">
        <v>80.558999999999997</v>
      </c>
      <c r="N9357">
        <v>4.1970000000000001</v>
      </c>
    </row>
    <row r="9358" spans="1:14" x14ac:dyDescent="0.45">
      <c r="A9358">
        <v>2023</v>
      </c>
      <c r="B9358" t="s">
        <v>254</v>
      </c>
      <c r="C9358">
        <v>0</v>
      </c>
      <c r="D9358">
        <v>0</v>
      </c>
      <c r="E9358">
        <v>1</v>
      </c>
      <c r="F9358">
        <v>1</v>
      </c>
      <c r="G9358">
        <v>0</v>
      </c>
      <c r="H9358">
        <v>0</v>
      </c>
      <c r="I9358">
        <v>0</v>
      </c>
      <c r="J9358">
        <v>3620.79345703125</v>
      </c>
      <c r="K9358">
        <v>2697.0086071690798</v>
      </c>
      <c r="L9358">
        <v>62.591000000000001</v>
      </c>
      <c r="M9358">
        <v>66.995000000000005</v>
      </c>
      <c r="N9358">
        <v>38.975999999999999</v>
      </c>
    </row>
    <row r="9359" spans="1:14" x14ac:dyDescent="0.45">
      <c r="A9359">
        <v>2023</v>
      </c>
      <c r="B9359" t="s">
        <v>255</v>
      </c>
      <c r="C9359">
        <v>0</v>
      </c>
      <c r="D9359">
        <v>0</v>
      </c>
      <c r="E9359">
        <v>1</v>
      </c>
      <c r="F9359">
        <v>0</v>
      </c>
      <c r="G9359">
        <v>0</v>
      </c>
      <c r="H9359">
        <v>0</v>
      </c>
      <c r="I9359">
        <v>0</v>
      </c>
      <c r="J9359">
        <v>2791.05576885861</v>
      </c>
      <c r="K9359">
        <v>2367.6653091636099</v>
      </c>
      <c r="L9359">
        <v>73.228999999999999</v>
      </c>
      <c r="M9359">
        <v>68.251999999999995</v>
      </c>
      <c r="N9359">
        <v>38.944000000000003</v>
      </c>
    </row>
    <row r="9360" spans="1:14" x14ac:dyDescent="0.45">
      <c r="A9360">
        <v>2023</v>
      </c>
      <c r="B9360" t="s">
        <v>256</v>
      </c>
      <c r="C9360">
        <v>1</v>
      </c>
      <c r="D9360">
        <v>0</v>
      </c>
      <c r="E9360">
        <v>0</v>
      </c>
      <c r="F9360">
        <v>0</v>
      </c>
      <c r="G9360">
        <v>1</v>
      </c>
      <c r="H9360">
        <v>0</v>
      </c>
      <c r="I9360">
        <v>0</v>
      </c>
      <c r="J9360">
        <v>15916.9580078125</v>
      </c>
      <c r="K9360">
        <v>11257.8341313046</v>
      </c>
      <c r="L9360">
        <v>29.905000000000001</v>
      </c>
      <c r="M9360">
        <v>73.421999999999997</v>
      </c>
      <c r="N9360">
        <v>6.9740000000000002</v>
      </c>
    </row>
    <row r="9361" spans="1:14" x14ac:dyDescent="0.45">
      <c r="A9361">
        <v>2023</v>
      </c>
      <c r="B9361" t="s">
        <v>257</v>
      </c>
      <c r="C9361">
        <v>0</v>
      </c>
      <c r="D9361">
        <v>1</v>
      </c>
      <c r="E9361">
        <v>0</v>
      </c>
      <c r="F9361">
        <v>0</v>
      </c>
      <c r="G9361">
        <v>0</v>
      </c>
      <c r="H9361">
        <v>1</v>
      </c>
      <c r="I9361">
        <v>1</v>
      </c>
      <c r="J9361">
        <v>31059.253707245902</v>
      </c>
      <c r="K9361">
        <v>24635.224128828999</v>
      </c>
      <c r="L9361">
        <v>4.2290000000000001</v>
      </c>
      <c r="M9361">
        <v>78.138000000000005</v>
      </c>
      <c r="N9361">
        <v>6.758</v>
      </c>
    </row>
    <row r="9362" spans="1:14" x14ac:dyDescent="0.45">
      <c r="A9362">
        <v>2023</v>
      </c>
      <c r="B9362" t="s">
        <v>258</v>
      </c>
      <c r="C9362">
        <v>0</v>
      </c>
      <c r="D9362">
        <v>0</v>
      </c>
      <c r="E9362">
        <v>0</v>
      </c>
      <c r="F9362">
        <v>0</v>
      </c>
      <c r="G9362">
        <v>0</v>
      </c>
      <c r="H9362">
        <v>1</v>
      </c>
      <c r="I9362">
        <v>1</v>
      </c>
      <c r="J9362">
        <v>74158.716416669005</v>
      </c>
      <c r="K9362">
        <v>67311.983801822804</v>
      </c>
      <c r="L9362">
        <v>16.702000000000002</v>
      </c>
      <c r="M9362">
        <v>79.304000000000002</v>
      </c>
      <c r="N9362">
        <v>6.1609999999999996</v>
      </c>
    </row>
    <row r="9363" spans="1:14" x14ac:dyDescent="0.45">
      <c r="A9363">
        <v>2023</v>
      </c>
      <c r="B9363" t="s">
        <v>259</v>
      </c>
      <c r="C9363">
        <v>1</v>
      </c>
      <c r="D9363">
        <v>0</v>
      </c>
      <c r="E9363">
        <v>0</v>
      </c>
      <c r="F9363">
        <v>1</v>
      </c>
      <c r="G9363">
        <v>0</v>
      </c>
      <c r="H9363">
        <v>0</v>
      </c>
      <c r="I9363">
        <v>0</v>
      </c>
      <c r="J9363">
        <v>10007.685502618</v>
      </c>
      <c r="K9363">
        <v>9722.8367691468993</v>
      </c>
      <c r="L9363">
        <v>49.468000000000004</v>
      </c>
      <c r="M9363">
        <v>72.388000000000005</v>
      </c>
      <c r="N9363">
        <v>13.593999999999999</v>
      </c>
    </row>
    <row r="9364" spans="1:14" x14ac:dyDescent="0.45">
      <c r="A9364">
        <v>2023</v>
      </c>
      <c r="B9364" t="s">
        <v>260</v>
      </c>
      <c r="C9364">
        <v>0</v>
      </c>
      <c r="D9364">
        <v>1</v>
      </c>
      <c r="E9364">
        <v>0</v>
      </c>
      <c r="F9364">
        <v>0</v>
      </c>
      <c r="G9364">
        <v>1</v>
      </c>
      <c r="H9364">
        <v>0</v>
      </c>
      <c r="I9364">
        <v>0</v>
      </c>
      <c r="J9364">
        <v>17858.2446468702</v>
      </c>
      <c r="K9364">
        <v>15607.412536317899</v>
      </c>
      <c r="L9364">
        <v>45.701000000000001</v>
      </c>
      <c r="M9364">
        <v>71.23</v>
      </c>
      <c r="N9364">
        <v>14.747</v>
      </c>
    </row>
    <row r="9365" spans="1:14" x14ac:dyDescent="0.45">
      <c r="A9365">
        <v>2023</v>
      </c>
      <c r="B9365" t="s">
        <v>261</v>
      </c>
      <c r="C9365">
        <v>0</v>
      </c>
      <c r="D9365">
        <v>1</v>
      </c>
      <c r="E9365">
        <v>0</v>
      </c>
      <c r="F9365">
        <v>0</v>
      </c>
      <c r="G9365">
        <v>1</v>
      </c>
      <c r="H9365">
        <v>0</v>
      </c>
      <c r="I9365">
        <v>0</v>
      </c>
      <c r="L9365">
        <v>11.561999999999999</v>
      </c>
      <c r="M9365">
        <v>72.513999999999996</v>
      </c>
      <c r="N9365">
        <v>18.835000000000001</v>
      </c>
    </row>
    <row r="9366" spans="1:14" x14ac:dyDescent="0.45">
      <c r="A9366">
        <v>2023</v>
      </c>
      <c r="B9366" t="s">
        <v>262</v>
      </c>
      <c r="C9366">
        <v>0</v>
      </c>
      <c r="D9366">
        <v>1</v>
      </c>
      <c r="E9366">
        <v>0</v>
      </c>
      <c r="F9366">
        <v>0</v>
      </c>
      <c r="G9366">
        <v>0</v>
      </c>
      <c r="H9366">
        <v>1</v>
      </c>
      <c r="I9366">
        <v>1</v>
      </c>
      <c r="L9366">
        <v>50.252000000000002</v>
      </c>
      <c r="M9366">
        <v>77.275999999999996</v>
      </c>
      <c r="N9366">
        <v>12.661</v>
      </c>
    </row>
    <row r="9367" spans="1:14" x14ac:dyDescent="0.45">
      <c r="A9367">
        <v>2023</v>
      </c>
      <c r="B9367" t="s">
        <v>263</v>
      </c>
      <c r="C9367">
        <v>0</v>
      </c>
      <c r="D9367">
        <v>1</v>
      </c>
      <c r="E9367">
        <v>0</v>
      </c>
      <c r="F9367">
        <v>0</v>
      </c>
      <c r="G9367">
        <v>0</v>
      </c>
      <c r="H9367">
        <v>1</v>
      </c>
      <c r="I9367">
        <v>1</v>
      </c>
      <c r="L9367">
        <v>3.7730000000000001</v>
      </c>
      <c r="M9367">
        <v>75.471999999999994</v>
      </c>
      <c r="N9367">
        <v>5.7510000000000003</v>
      </c>
    </row>
    <row r="9368" spans="1:14" x14ac:dyDescent="0.45">
      <c r="A9368">
        <v>2023</v>
      </c>
      <c r="B9368" t="s">
        <v>264</v>
      </c>
      <c r="C9368">
        <v>0</v>
      </c>
      <c r="D9368">
        <v>0</v>
      </c>
      <c r="E9368">
        <v>0</v>
      </c>
      <c r="F9368">
        <v>1</v>
      </c>
      <c r="G9368">
        <v>0</v>
      </c>
      <c r="H9368">
        <v>0</v>
      </c>
      <c r="I9368">
        <v>0</v>
      </c>
      <c r="J9368">
        <v>13545.934661675199</v>
      </c>
      <c r="K9368">
        <v>12070.5506202505</v>
      </c>
      <c r="L9368">
        <v>60.52</v>
      </c>
      <c r="M9368">
        <v>74.587999999999994</v>
      </c>
      <c r="N9368">
        <v>20.219000000000001</v>
      </c>
    </row>
    <row r="9369" spans="1:14" x14ac:dyDescent="0.45">
      <c r="A9369">
        <v>2023</v>
      </c>
      <c r="B9369" t="s">
        <v>265</v>
      </c>
      <c r="C9369">
        <v>0</v>
      </c>
      <c r="D9369">
        <v>0</v>
      </c>
      <c r="E9369">
        <v>0</v>
      </c>
      <c r="F9369">
        <v>1</v>
      </c>
      <c r="G9369">
        <v>0</v>
      </c>
      <c r="H9369">
        <v>0</v>
      </c>
      <c r="I9369">
        <v>0</v>
      </c>
      <c r="J9369">
        <v>3118.3960326568399</v>
      </c>
      <c r="K9369">
        <v>2820.9052482284801</v>
      </c>
      <c r="L9369">
        <v>74.024000000000001</v>
      </c>
      <c r="M9369">
        <v>71.477000000000004</v>
      </c>
      <c r="N9369">
        <v>17.651</v>
      </c>
    </row>
    <row r="9370" spans="1:14" x14ac:dyDescent="0.45">
      <c r="A9370">
        <v>2023</v>
      </c>
      <c r="B9370" t="s">
        <v>266</v>
      </c>
      <c r="C9370">
        <v>0</v>
      </c>
      <c r="D9370">
        <v>0</v>
      </c>
      <c r="E9370">
        <v>0</v>
      </c>
      <c r="F9370">
        <v>1</v>
      </c>
      <c r="G9370">
        <v>0</v>
      </c>
      <c r="H9370">
        <v>0</v>
      </c>
      <c r="I9370">
        <v>0</v>
      </c>
      <c r="J9370">
        <v>6340.6077100013899</v>
      </c>
      <c r="K9370">
        <v>5735.7222683681903</v>
      </c>
      <c r="L9370">
        <v>82.492000000000004</v>
      </c>
      <c r="M9370">
        <v>71.697999999999993</v>
      </c>
      <c r="N9370">
        <v>15.646000000000001</v>
      </c>
    </row>
    <row r="9371" spans="1:14" x14ac:dyDescent="0.45">
      <c r="A9371">
        <v>2023</v>
      </c>
      <c r="B9371" t="s">
        <v>267</v>
      </c>
      <c r="C9371">
        <v>1</v>
      </c>
      <c r="D9371">
        <v>0</v>
      </c>
      <c r="E9371">
        <v>0</v>
      </c>
      <c r="F9371">
        <v>0</v>
      </c>
      <c r="G9371">
        <v>1</v>
      </c>
      <c r="H9371">
        <v>0</v>
      </c>
      <c r="I9371">
        <v>0</v>
      </c>
      <c r="J9371">
        <v>14240.203032036499</v>
      </c>
      <c r="K9371">
        <v>12925.4483178553</v>
      </c>
      <c r="L9371">
        <v>42.887</v>
      </c>
      <c r="M9371">
        <v>78.033000000000001</v>
      </c>
      <c r="N9371">
        <v>9.0350000000000001</v>
      </c>
    </row>
    <row r="9372" spans="1:14" x14ac:dyDescent="0.45">
      <c r="A9372">
        <v>2023</v>
      </c>
      <c r="B9372" t="s">
        <v>268</v>
      </c>
      <c r="C9372">
        <v>0</v>
      </c>
      <c r="D9372">
        <v>0</v>
      </c>
      <c r="E9372">
        <v>0</v>
      </c>
      <c r="F9372">
        <v>0</v>
      </c>
      <c r="G9372">
        <v>0</v>
      </c>
      <c r="H9372">
        <v>0</v>
      </c>
      <c r="I9372">
        <v>0</v>
      </c>
      <c r="L9372">
        <v>60.168999999999997</v>
      </c>
      <c r="M9372">
        <v>69.295000000000002</v>
      </c>
      <c r="N9372">
        <v>39.802999999999997</v>
      </c>
    </row>
    <row r="9373" spans="1:14" x14ac:dyDescent="0.45">
      <c r="A9373">
        <v>2023</v>
      </c>
      <c r="B9373" t="s">
        <v>269</v>
      </c>
      <c r="C9373">
        <v>0</v>
      </c>
      <c r="D9373">
        <v>0</v>
      </c>
      <c r="E9373">
        <v>1</v>
      </c>
      <c r="F9373">
        <v>0</v>
      </c>
      <c r="G9373">
        <v>1</v>
      </c>
      <c r="H9373">
        <v>0</v>
      </c>
      <c r="I9373">
        <v>0</v>
      </c>
      <c r="J9373">
        <v>13690.389458307</v>
      </c>
      <c r="K9373">
        <v>12890.064804612901</v>
      </c>
      <c r="L9373">
        <v>31.181000000000001</v>
      </c>
      <c r="M9373">
        <v>66.138999999999996</v>
      </c>
      <c r="N9373">
        <v>37.369</v>
      </c>
    </row>
    <row r="9374" spans="1:14" x14ac:dyDescent="0.45">
      <c r="A9374">
        <v>2023</v>
      </c>
      <c r="B9374" t="s">
        <v>270</v>
      </c>
      <c r="C9374">
        <v>0</v>
      </c>
      <c r="D9374">
        <v>0</v>
      </c>
      <c r="E9374">
        <v>1</v>
      </c>
      <c r="F9374">
        <v>1</v>
      </c>
      <c r="G9374">
        <v>0</v>
      </c>
      <c r="H9374">
        <v>0</v>
      </c>
      <c r="I9374">
        <v>0</v>
      </c>
      <c r="J9374">
        <v>3673.4841969921999</v>
      </c>
      <c r="K9374">
        <v>3448.8773335299802</v>
      </c>
      <c r="L9374">
        <v>53.664999999999999</v>
      </c>
      <c r="M9374">
        <v>66.349000000000004</v>
      </c>
      <c r="N9374">
        <v>52.029000000000003</v>
      </c>
    </row>
    <row r="9375" spans="1:14" x14ac:dyDescent="0.45">
      <c r="A9375">
        <v>2023</v>
      </c>
      <c r="B9375" t="s">
        <v>271</v>
      </c>
      <c r="C9375">
        <v>0</v>
      </c>
      <c r="D9375">
        <v>0</v>
      </c>
      <c r="E9375">
        <v>1</v>
      </c>
      <c r="F9375">
        <v>1</v>
      </c>
      <c r="G9375">
        <v>0</v>
      </c>
      <c r="H9375">
        <v>0</v>
      </c>
      <c r="I9375">
        <v>0</v>
      </c>
      <c r="J9375">
        <v>3442.24888695458</v>
      </c>
      <c r="K9375">
        <v>2291.97284201611</v>
      </c>
      <c r="L9375">
        <v>67.483000000000004</v>
      </c>
      <c r="M9375">
        <v>62.774999999999999</v>
      </c>
      <c r="N9375">
        <v>45.71</v>
      </c>
    </row>
    <row r="9376" spans="1:14" x14ac:dyDescent="0.45">
      <c r="A9376">
        <v>2024</v>
      </c>
      <c r="B9376" t="s">
        <v>54</v>
      </c>
      <c r="C9376">
        <v>0</v>
      </c>
      <c r="D9376">
        <v>1</v>
      </c>
      <c r="E9376">
        <v>0</v>
      </c>
      <c r="F9376">
        <v>0</v>
      </c>
      <c r="G9376">
        <v>0</v>
      </c>
      <c r="H9376">
        <v>1</v>
      </c>
      <c r="I9376">
        <v>1</v>
      </c>
      <c r="J9376">
        <v>42244.720754234702</v>
      </c>
      <c r="K9376">
        <v>41112.8705778851</v>
      </c>
      <c r="L9376">
        <v>55.526000000000003</v>
      </c>
      <c r="M9376">
        <v>76.5</v>
      </c>
      <c r="N9376">
        <v>13.335000000000001</v>
      </c>
    </row>
    <row r="9377" spans="1:14" x14ac:dyDescent="0.45">
      <c r="A9377">
        <v>2024</v>
      </c>
      <c r="B9377" t="s">
        <v>55</v>
      </c>
      <c r="C9377">
        <v>0</v>
      </c>
      <c r="D9377">
        <v>0</v>
      </c>
      <c r="E9377">
        <v>0</v>
      </c>
      <c r="F9377">
        <v>0</v>
      </c>
      <c r="G9377">
        <v>0</v>
      </c>
      <c r="H9377">
        <v>0</v>
      </c>
      <c r="I9377">
        <v>0</v>
      </c>
      <c r="J9377">
        <v>1862.27788087466</v>
      </c>
      <c r="K9377">
        <v>1473.0452751821799</v>
      </c>
      <c r="L9377">
        <v>72.734999999999999</v>
      </c>
      <c r="M9377">
        <v>66.289000000000001</v>
      </c>
      <c r="N9377">
        <v>54.494</v>
      </c>
    </row>
    <row r="9378" spans="1:14" x14ac:dyDescent="0.45">
      <c r="A9378">
        <v>2024</v>
      </c>
      <c r="B9378" t="s">
        <v>56</v>
      </c>
      <c r="C9378">
        <v>0</v>
      </c>
      <c r="D9378">
        <v>0</v>
      </c>
      <c r="E9378">
        <v>1</v>
      </c>
      <c r="F9378">
        <v>1</v>
      </c>
      <c r="G9378">
        <v>0</v>
      </c>
      <c r="H9378">
        <v>0</v>
      </c>
      <c r="I9378">
        <v>0</v>
      </c>
      <c r="J9378">
        <v>7344.1453785539297</v>
      </c>
      <c r="K9378">
        <v>5679.6006704930596</v>
      </c>
      <c r="L9378">
        <v>30.719000000000001</v>
      </c>
      <c r="M9378">
        <v>64.805000000000007</v>
      </c>
      <c r="N9378">
        <v>63.08</v>
      </c>
    </row>
    <row r="9379" spans="1:14" x14ac:dyDescent="0.45">
      <c r="A9379">
        <v>2024</v>
      </c>
      <c r="B9379" t="s">
        <v>57</v>
      </c>
      <c r="C9379">
        <v>1</v>
      </c>
      <c r="D9379">
        <v>0</v>
      </c>
      <c r="E9379">
        <v>0</v>
      </c>
      <c r="F9379">
        <v>0</v>
      </c>
      <c r="G9379">
        <v>1</v>
      </c>
      <c r="H9379">
        <v>0</v>
      </c>
      <c r="I9379">
        <v>0</v>
      </c>
      <c r="J9379">
        <v>18919.806294255901</v>
      </c>
      <c r="K9379">
        <v>17140.476695019599</v>
      </c>
      <c r="L9379">
        <v>34.619999999999997</v>
      </c>
      <c r="M9379">
        <v>79.775999999999996</v>
      </c>
      <c r="N9379">
        <v>8.3260000000000005</v>
      </c>
    </row>
    <row r="9380" spans="1:14" x14ac:dyDescent="0.45">
      <c r="A9380">
        <v>2024</v>
      </c>
      <c r="B9380" t="s">
        <v>58</v>
      </c>
      <c r="C9380">
        <v>1</v>
      </c>
      <c r="D9380">
        <v>0</v>
      </c>
      <c r="E9380">
        <v>0</v>
      </c>
      <c r="F9380">
        <v>0</v>
      </c>
      <c r="G9380">
        <v>0</v>
      </c>
      <c r="H9380">
        <v>1</v>
      </c>
      <c r="I9380">
        <v>1</v>
      </c>
      <c r="J9380">
        <v>65928.307197100396</v>
      </c>
      <c r="K9380">
        <v>55341.7791809462</v>
      </c>
      <c r="L9380">
        <v>12.253</v>
      </c>
      <c r="M9380">
        <v>84.188000000000002</v>
      </c>
      <c r="N9380">
        <v>5.96</v>
      </c>
    </row>
    <row r="9381" spans="1:14" x14ac:dyDescent="0.45">
      <c r="A9381">
        <v>2024</v>
      </c>
      <c r="B9381" t="s">
        <v>59</v>
      </c>
      <c r="C9381">
        <v>0</v>
      </c>
      <c r="D9381">
        <v>0</v>
      </c>
      <c r="E9381">
        <v>0</v>
      </c>
      <c r="F9381">
        <v>0</v>
      </c>
      <c r="G9381">
        <v>0</v>
      </c>
      <c r="H9381">
        <v>1</v>
      </c>
      <c r="I9381">
        <v>1</v>
      </c>
      <c r="J9381">
        <v>68584.654915990002</v>
      </c>
      <c r="K9381">
        <v>67759.491685907706</v>
      </c>
      <c r="L9381">
        <v>11.992000000000001</v>
      </c>
      <c r="M9381">
        <v>83.069000000000003</v>
      </c>
      <c r="N9381">
        <v>6.173</v>
      </c>
    </row>
    <row r="9382" spans="1:14" x14ac:dyDescent="0.45">
      <c r="A9382">
        <v>2024</v>
      </c>
      <c r="B9382" t="s">
        <v>60</v>
      </c>
      <c r="C9382">
        <v>0</v>
      </c>
      <c r="D9382">
        <v>1</v>
      </c>
      <c r="E9382">
        <v>0</v>
      </c>
      <c r="F9382">
        <v>0</v>
      </c>
      <c r="G9382">
        <v>1</v>
      </c>
      <c r="H9382">
        <v>0</v>
      </c>
      <c r="I9382">
        <v>0</v>
      </c>
      <c r="J9382">
        <v>26547.050342936502</v>
      </c>
      <c r="K9382">
        <v>21909.540568853801</v>
      </c>
      <c r="L9382">
        <v>7.42100000000001</v>
      </c>
      <c r="M9382">
        <v>77.543000000000006</v>
      </c>
      <c r="N9382">
        <v>10.210000000000001</v>
      </c>
    </row>
    <row r="9383" spans="1:14" x14ac:dyDescent="0.45">
      <c r="A9383">
        <v>2024</v>
      </c>
      <c r="B9383" t="s">
        <v>61</v>
      </c>
      <c r="C9383">
        <v>1</v>
      </c>
      <c r="D9383">
        <v>0</v>
      </c>
      <c r="E9383">
        <v>0</v>
      </c>
      <c r="F9383">
        <v>0</v>
      </c>
      <c r="G9383">
        <v>1</v>
      </c>
      <c r="H9383">
        <v>0</v>
      </c>
      <c r="I9383">
        <v>0</v>
      </c>
      <c r="J9383">
        <v>20078.784898484399</v>
      </c>
      <c r="K9383">
        <v>17008.763411686701</v>
      </c>
      <c r="L9383">
        <v>36.070999999999998</v>
      </c>
      <c r="M9383">
        <v>75.846000000000004</v>
      </c>
      <c r="N9383">
        <v>10.356</v>
      </c>
    </row>
    <row r="9384" spans="1:14" x14ac:dyDescent="0.45">
      <c r="A9384">
        <v>2024</v>
      </c>
      <c r="B9384" t="s">
        <v>62</v>
      </c>
      <c r="C9384">
        <v>0</v>
      </c>
      <c r="D9384">
        <v>0</v>
      </c>
      <c r="E9384">
        <v>0</v>
      </c>
      <c r="F9384">
        <v>0</v>
      </c>
      <c r="G9384">
        <v>0</v>
      </c>
      <c r="H9384">
        <v>1</v>
      </c>
      <c r="I9384">
        <v>1</v>
      </c>
      <c r="L9384">
        <v>12.715999999999999</v>
      </c>
      <c r="M9384">
        <v>72.992000000000004</v>
      </c>
      <c r="N9384">
        <v>10.397</v>
      </c>
    </row>
    <row r="9385" spans="1:14" x14ac:dyDescent="0.45">
      <c r="A9385">
        <v>2024</v>
      </c>
      <c r="B9385" t="s">
        <v>63</v>
      </c>
      <c r="C9385">
        <v>0</v>
      </c>
      <c r="D9385">
        <v>1</v>
      </c>
      <c r="E9385">
        <v>0</v>
      </c>
      <c r="F9385">
        <v>0</v>
      </c>
      <c r="G9385">
        <v>0</v>
      </c>
      <c r="H9385">
        <v>1</v>
      </c>
      <c r="I9385">
        <v>1</v>
      </c>
      <c r="J9385">
        <v>29561.807425138999</v>
      </c>
      <c r="K9385">
        <v>23282.7858496515</v>
      </c>
      <c r="L9385">
        <v>75.662000000000006</v>
      </c>
      <c r="M9385">
        <v>77.766000000000005</v>
      </c>
      <c r="N9385">
        <v>9.2289999999999992</v>
      </c>
    </row>
    <row r="9386" spans="1:14" x14ac:dyDescent="0.45">
      <c r="A9386">
        <v>2024</v>
      </c>
      <c r="B9386" t="s">
        <v>64</v>
      </c>
      <c r="C9386">
        <v>0</v>
      </c>
      <c r="D9386">
        <v>0</v>
      </c>
      <c r="E9386">
        <v>0</v>
      </c>
      <c r="F9386">
        <v>0</v>
      </c>
      <c r="G9386">
        <v>0</v>
      </c>
      <c r="H9386">
        <v>1</v>
      </c>
      <c r="I9386">
        <v>1</v>
      </c>
      <c r="J9386">
        <v>60082.005786975002</v>
      </c>
      <c r="K9386">
        <v>52040.124899409602</v>
      </c>
      <c r="L9386">
        <v>13.25</v>
      </c>
      <c r="M9386">
        <v>84.072999999999993</v>
      </c>
      <c r="N9386">
        <v>3.157</v>
      </c>
    </row>
    <row r="9387" spans="1:14" x14ac:dyDescent="0.45">
      <c r="A9387">
        <v>2024</v>
      </c>
      <c r="B9387" t="s">
        <v>65</v>
      </c>
      <c r="C9387">
        <v>1</v>
      </c>
      <c r="D9387">
        <v>0</v>
      </c>
      <c r="E9387">
        <v>0</v>
      </c>
      <c r="F9387">
        <v>0</v>
      </c>
      <c r="G9387">
        <v>0</v>
      </c>
      <c r="H9387">
        <v>1</v>
      </c>
      <c r="I9387">
        <v>1</v>
      </c>
      <c r="J9387">
        <v>63314.462787645403</v>
      </c>
      <c r="K9387">
        <v>53953.769855257298</v>
      </c>
      <c r="L9387">
        <v>40.180999999999997</v>
      </c>
      <c r="M9387">
        <v>82.12</v>
      </c>
      <c r="N9387">
        <v>3.4060000000000001</v>
      </c>
    </row>
    <row r="9388" spans="1:14" x14ac:dyDescent="0.45">
      <c r="A9388">
        <v>2024</v>
      </c>
      <c r="B9388" t="s">
        <v>66</v>
      </c>
      <c r="C9388">
        <v>1</v>
      </c>
      <c r="D9388">
        <v>0</v>
      </c>
      <c r="E9388">
        <v>0</v>
      </c>
      <c r="F9388">
        <v>0</v>
      </c>
      <c r="G9388">
        <v>1</v>
      </c>
      <c r="H9388">
        <v>0</v>
      </c>
      <c r="I9388">
        <v>0</v>
      </c>
      <c r="J9388">
        <v>22072.1058327346</v>
      </c>
      <c r="K9388">
        <v>16073.1801731666</v>
      </c>
      <c r="L9388">
        <v>42.003</v>
      </c>
      <c r="M9388">
        <v>74.575999999999993</v>
      </c>
      <c r="N9388">
        <v>16.875</v>
      </c>
    </row>
    <row r="9389" spans="1:14" x14ac:dyDescent="0.45">
      <c r="A9389">
        <v>2024</v>
      </c>
      <c r="B9389" t="s">
        <v>67</v>
      </c>
      <c r="C9389">
        <v>0</v>
      </c>
      <c r="D9389">
        <v>0</v>
      </c>
      <c r="E9389">
        <v>1</v>
      </c>
      <c r="F9389">
        <v>0</v>
      </c>
      <c r="G9389">
        <v>0</v>
      </c>
      <c r="H9389">
        <v>0</v>
      </c>
      <c r="I9389">
        <v>0</v>
      </c>
      <c r="J9389">
        <v>835.62085924835606</v>
      </c>
      <c r="K9389">
        <v>722.06269453739799</v>
      </c>
      <c r="L9389">
        <v>84.84</v>
      </c>
      <c r="M9389">
        <v>63.817999999999998</v>
      </c>
      <c r="N9389">
        <v>47.939</v>
      </c>
    </row>
    <row r="9390" spans="1:14" x14ac:dyDescent="0.45">
      <c r="A9390">
        <v>2024</v>
      </c>
      <c r="B9390" t="s">
        <v>68</v>
      </c>
      <c r="C9390">
        <v>1</v>
      </c>
      <c r="D9390">
        <v>0</v>
      </c>
      <c r="E9390">
        <v>0</v>
      </c>
      <c r="F9390">
        <v>0</v>
      </c>
      <c r="G9390">
        <v>0</v>
      </c>
      <c r="H9390">
        <v>1</v>
      </c>
      <c r="I9390">
        <v>1</v>
      </c>
      <c r="J9390">
        <v>63083.184366907597</v>
      </c>
      <c r="K9390">
        <v>53085.5484956238</v>
      </c>
      <c r="L9390">
        <v>1.776</v>
      </c>
      <c r="M9390">
        <v>82.274000000000001</v>
      </c>
      <c r="N9390">
        <v>3.4220000000000002</v>
      </c>
    </row>
    <row r="9391" spans="1:14" x14ac:dyDescent="0.45">
      <c r="A9391">
        <v>2024</v>
      </c>
      <c r="B9391" t="s">
        <v>69</v>
      </c>
      <c r="C9391">
        <v>0</v>
      </c>
      <c r="D9391">
        <v>0</v>
      </c>
      <c r="E9391">
        <v>1</v>
      </c>
      <c r="F9391">
        <v>1</v>
      </c>
      <c r="G9391">
        <v>0</v>
      </c>
      <c r="H9391">
        <v>0</v>
      </c>
      <c r="I9391">
        <v>0</v>
      </c>
      <c r="J9391">
        <v>3901.3258849439198</v>
      </c>
      <c r="K9391">
        <v>3701.39028550381</v>
      </c>
      <c r="L9391">
        <v>49.331000000000003</v>
      </c>
      <c r="M9391">
        <v>60.960999999999999</v>
      </c>
      <c r="N9391">
        <v>77.474000000000004</v>
      </c>
    </row>
    <row r="9392" spans="1:14" x14ac:dyDescent="0.45">
      <c r="A9392">
        <v>2024</v>
      </c>
      <c r="B9392" t="s">
        <v>70</v>
      </c>
      <c r="C9392">
        <v>0</v>
      </c>
      <c r="D9392">
        <v>0</v>
      </c>
      <c r="E9392">
        <v>1</v>
      </c>
      <c r="F9392">
        <v>0</v>
      </c>
      <c r="G9392">
        <v>0</v>
      </c>
      <c r="H9392">
        <v>0</v>
      </c>
      <c r="I9392">
        <v>0</v>
      </c>
      <c r="J9392">
        <v>2547.9326438789899</v>
      </c>
      <c r="K9392">
        <v>2331.1980706025902</v>
      </c>
      <c r="L9392">
        <v>66.834000000000003</v>
      </c>
      <c r="M9392">
        <v>61.292000000000002</v>
      </c>
      <c r="N9392">
        <v>81.465000000000003</v>
      </c>
    </row>
    <row r="9393" spans="1:14" x14ac:dyDescent="0.45">
      <c r="A9393">
        <v>2024</v>
      </c>
      <c r="B9393" t="s">
        <v>71</v>
      </c>
      <c r="C9393">
        <v>0</v>
      </c>
      <c r="D9393">
        <v>0</v>
      </c>
      <c r="E9393">
        <v>0</v>
      </c>
      <c r="F9393">
        <v>1</v>
      </c>
      <c r="G9393">
        <v>0</v>
      </c>
      <c r="H9393">
        <v>0</v>
      </c>
      <c r="I9393">
        <v>0</v>
      </c>
      <c r="J9393">
        <v>8486.78495660517</v>
      </c>
      <c r="K9393">
        <v>6899.7100433854303</v>
      </c>
      <c r="L9393">
        <v>58.77</v>
      </c>
      <c r="M9393">
        <v>74.930000000000007</v>
      </c>
      <c r="N9393">
        <v>20.957999999999998</v>
      </c>
    </row>
    <row r="9394" spans="1:14" x14ac:dyDescent="0.45">
      <c r="A9394">
        <v>2024</v>
      </c>
      <c r="B9394" t="s">
        <v>72</v>
      </c>
      <c r="C9394">
        <v>1</v>
      </c>
      <c r="D9394">
        <v>0</v>
      </c>
      <c r="E9394">
        <v>0</v>
      </c>
      <c r="F9394">
        <v>0</v>
      </c>
      <c r="G9394">
        <v>0</v>
      </c>
      <c r="H9394">
        <v>1</v>
      </c>
      <c r="I9394">
        <v>1</v>
      </c>
      <c r="J9394">
        <v>34083.235362455503</v>
      </c>
      <c r="K9394">
        <v>28282.250732958899</v>
      </c>
      <c r="L9394">
        <v>22.963000000000001</v>
      </c>
      <c r="M9394">
        <v>75.795000000000002</v>
      </c>
      <c r="N9394">
        <v>5.91</v>
      </c>
    </row>
    <row r="9395" spans="1:14" x14ac:dyDescent="0.45">
      <c r="A9395">
        <v>2024</v>
      </c>
      <c r="B9395" t="s">
        <v>73</v>
      </c>
      <c r="C9395">
        <v>0</v>
      </c>
      <c r="D9395">
        <v>0</v>
      </c>
      <c r="E9395">
        <v>0</v>
      </c>
      <c r="F9395">
        <v>0</v>
      </c>
      <c r="G9395">
        <v>0</v>
      </c>
      <c r="H9395">
        <v>1</v>
      </c>
      <c r="I9395">
        <v>1</v>
      </c>
      <c r="J9395">
        <v>59129.140676300303</v>
      </c>
      <c r="K9395">
        <v>55094.301046283603</v>
      </c>
      <c r="L9395">
        <v>10.000999999999999</v>
      </c>
      <c r="M9395">
        <v>81.423000000000002</v>
      </c>
      <c r="N9395">
        <v>6.15</v>
      </c>
    </row>
    <row r="9396" spans="1:14" x14ac:dyDescent="0.45">
      <c r="A9396">
        <v>2024</v>
      </c>
      <c r="B9396" t="s">
        <v>74</v>
      </c>
      <c r="C9396">
        <v>0</v>
      </c>
      <c r="D9396">
        <v>1</v>
      </c>
      <c r="E9396">
        <v>0</v>
      </c>
      <c r="F9396">
        <v>0</v>
      </c>
      <c r="G9396">
        <v>0</v>
      </c>
      <c r="H9396">
        <v>1</v>
      </c>
      <c r="I9396">
        <v>1</v>
      </c>
      <c r="J9396">
        <v>36244.036048993599</v>
      </c>
      <c r="K9396">
        <v>37595.430628011003</v>
      </c>
      <c r="L9396">
        <v>16.236000000000001</v>
      </c>
      <c r="M9396">
        <v>74.709999999999994</v>
      </c>
      <c r="N9396">
        <v>12.542999999999999</v>
      </c>
    </row>
    <row r="9397" spans="1:14" x14ac:dyDescent="0.45">
      <c r="A9397">
        <v>2024</v>
      </c>
      <c r="B9397" t="s">
        <v>75</v>
      </c>
      <c r="C9397">
        <v>1</v>
      </c>
      <c r="D9397">
        <v>0</v>
      </c>
      <c r="E9397">
        <v>0</v>
      </c>
      <c r="F9397">
        <v>0</v>
      </c>
      <c r="G9397">
        <v>1</v>
      </c>
      <c r="H9397">
        <v>0</v>
      </c>
      <c r="I9397">
        <v>0</v>
      </c>
      <c r="J9397">
        <v>20428.5259995456</v>
      </c>
      <c r="K9397">
        <v>17647.4128496331</v>
      </c>
      <c r="L9397">
        <v>49.292000000000002</v>
      </c>
      <c r="M9397">
        <v>78.043999999999997</v>
      </c>
      <c r="N9397">
        <v>5.4459999999999997</v>
      </c>
    </row>
    <row r="9398" spans="1:14" x14ac:dyDescent="0.45">
      <c r="A9398">
        <v>2024</v>
      </c>
      <c r="B9398" t="s">
        <v>76</v>
      </c>
      <c r="C9398">
        <v>1</v>
      </c>
      <c r="D9398">
        <v>0</v>
      </c>
      <c r="E9398">
        <v>0</v>
      </c>
      <c r="F9398">
        <v>0</v>
      </c>
      <c r="G9398">
        <v>1</v>
      </c>
      <c r="H9398">
        <v>0</v>
      </c>
      <c r="I9398">
        <v>0</v>
      </c>
      <c r="J9398">
        <v>29037.5291400434</v>
      </c>
      <c r="K9398">
        <v>20964.952833969601</v>
      </c>
      <c r="L9398">
        <v>18.875</v>
      </c>
      <c r="M9398">
        <v>74.623999999999995</v>
      </c>
      <c r="N9398">
        <v>3.1019999999999999</v>
      </c>
    </row>
    <row r="9399" spans="1:14" x14ac:dyDescent="0.45">
      <c r="A9399">
        <v>2024</v>
      </c>
      <c r="B9399" t="s">
        <v>77</v>
      </c>
      <c r="C9399">
        <v>0</v>
      </c>
      <c r="D9399">
        <v>1</v>
      </c>
      <c r="E9399">
        <v>0</v>
      </c>
      <c r="F9399">
        <v>0</v>
      </c>
      <c r="G9399">
        <v>1</v>
      </c>
      <c r="H9399">
        <v>0</v>
      </c>
      <c r="I9399">
        <v>0</v>
      </c>
      <c r="J9399">
        <v>13277.935265825399</v>
      </c>
      <c r="K9399">
        <v>10464.2501913378</v>
      </c>
      <c r="L9399">
        <v>53.161999999999999</v>
      </c>
      <c r="M9399">
        <v>73.739000000000004</v>
      </c>
      <c r="N9399">
        <v>10.454000000000001</v>
      </c>
    </row>
    <row r="9400" spans="1:14" x14ac:dyDescent="0.45">
      <c r="A9400">
        <v>2024</v>
      </c>
      <c r="B9400" t="s">
        <v>78</v>
      </c>
      <c r="C9400">
        <v>0</v>
      </c>
      <c r="D9400">
        <v>0</v>
      </c>
      <c r="E9400">
        <v>0</v>
      </c>
      <c r="F9400">
        <v>0</v>
      </c>
      <c r="G9400">
        <v>0</v>
      </c>
      <c r="H9400">
        <v>1</v>
      </c>
      <c r="I9400">
        <v>1</v>
      </c>
      <c r="J9400">
        <v>105322.91117467399</v>
      </c>
      <c r="K9400">
        <v>93575.606343600404</v>
      </c>
      <c r="L9400">
        <v>0</v>
      </c>
      <c r="M9400">
        <v>82.49</v>
      </c>
      <c r="N9400">
        <v>2.2709999999999999</v>
      </c>
    </row>
    <row r="9401" spans="1:14" x14ac:dyDescent="0.45">
      <c r="A9401">
        <v>2024</v>
      </c>
      <c r="B9401" t="s">
        <v>79</v>
      </c>
      <c r="C9401">
        <v>0</v>
      </c>
      <c r="D9401">
        <v>1</v>
      </c>
      <c r="E9401">
        <v>0</v>
      </c>
      <c r="F9401">
        <v>1</v>
      </c>
      <c r="G9401">
        <v>0</v>
      </c>
      <c r="H9401">
        <v>0</v>
      </c>
      <c r="I9401">
        <v>0</v>
      </c>
      <c r="J9401">
        <v>9844.2768516762899</v>
      </c>
      <c r="K9401">
        <v>8688.0686294221105</v>
      </c>
      <c r="L9401">
        <v>28.454999999999998</v>
      </c>
      <c r="M9401">
        <v>68.739000000000004</v>
      </c>
      <c r="N9401">
        <v>40.396999999999998</v>
      </c>
    </row>
    <row r="9402" spans="1:14" x14ac:dyDescent="0.45">
      <c r="A9402">
        <v>2024</v>
      </c>
      <c r="B9402" t="s">
        <v>80</v>
      </c>
      <c r="C9402">
        <v>0</v>
      </c>
      <c r="D9402">
        <v>1</v>
      </c>
      <c r="E9402">
        <v>0</v>
      </c>
      <c r="F9402">
        <v>0</v>
      </c>
      <c r="G9402">
        <v>1</v>
      </c>
      <c r="H9402">
        <v>0</v>
      </c>
      <c r="I9402">
        <v>0</v>
      </c>
      <c r="J9402">
        <v>19647.909632992501</v>
      </c>
      <c r="K9402">
        <v>16138.972581591301</v>
      </c>
      <c r="L9402">
        <v>11.984</v>
      </c>
      <c r="M9402">
        <v>76.022999999999996</v>
      </c>
      <c r="N9402">
        <v>13.73</v>
      </c>
    </row>
    <row r="9403" spans="1:14" x14ac:dyDescent="0.45">
      <c r="A9403">
        <v>2024</v>
      </c>
      <c r="B9403" t="s">
        <v>81</v>
      </c>
      <c r="C9403">
        <v>0</v>
      </c>
      <c r="D9403">
        <v>1</v>
      </c>
      <c r="E9403">
        <v>0</v>
      </c>
      <c r="F9403">
        <v>0</v>
      </c>
      <c r="G9403">
        <v>0</v>
      </c>
      <c r="H9403">
        <v>1</v>
      </c>
      <c r="I9403">
        <v>1</v>
      </c>
      <c r="J9403">
        <v>19945.737193851099</v>
      </c>
      <c r="K9403">
        <v>19050.165005770501</v>
      </c>
      <c r="L9403">
        <v>68.451999999999998</v>
      </c>
      <c r="M9403">
        <v>76.331999999999994</v>
      </c>
      <c r="N9403">
        <v>12.253</v>
      </c>
    </row>
    <row r="9404" spans="1:14" x14ac:dyDescent="0.45">
      <c r="A9404">
        <v>2024</v>
      </c>
      <c r="B9404" t="s">
        <v>82</v>
      </c>
      <c r="C9404">
        <v>0</v>
      </c>
      <c r="D9404">
        <v>0</v>
      </c>
      <c r="E9404">
        <v>0</v>
      </c>
      <c r="F9404">
        <v>0</v>
      </c>
      <c r="G9404">
        <v>0</v>
      </c>
      <c r="H9404">
        <v>1</v>
      </c>
      <c r="I9404">
        <v>1</v>
      </c>
      <c r="J9404">
        <v>79184.092038922405</v>
      </c>
      <c r="K9404">
        <v>61827.293314305498</v>
      </c>
      <c r="L9404">
        <v>20.561</v>
      </c>
      <c r="M9404">
        <v>75.501000000000005</v>
      </c>
      <c r="N9404">
        <v>9.32</v>
      </c>
    </row>
    <row r="9405" spans="1:14" x14ac:dyDescent="0.45">
      <c r="A9405">
        <v>2024</v>
      </c>
      <c r="B9405" t="s">
        <v>83</v>
      </c>
      <c r="C9405">
        <v>0</v>
      </c>
      <c r="D9405">
        <v>0</v>
      </c>
      <c r="E9405">
        <v>0</v>
      </c>
      <c r="F9405">
        <v>1</v>
      </c>
      <c r="G9405">
        <v>0</v>
      </c>
      <c r="H9405">
        <v>0</v>
      </c>
      <c r="I9405">
        <v>0</v>
      </c>
      <c r="J9405">
        <v>15256.0019305028</v>
      </c>
      <c r="K9405">
        <v>13213.626960953899</v>
      </c>
      <c r="L9405">
        <v>55</v>
      </c>
      <c r="M9405">
        <v>73.262</v>
      </c>
      <c r="N9405">
        <v>21.526</v>
      </c>
    </row>
    <row r="9406" spans="1:14" x14ac:dyDescent="0.45">
      <c r="A9406">
        <v>2024</v>
      </c>
      <c r="B9406" t="s">
        <v>84</v>
      </c>
      <c r="C9406">
        <v>0</v>
      </c>
      <c r="D9406">
        <v>0</v>
      </c>
      <c r="E9406">
        <v>1</v>
      </c>
      <c r="F9406">
        <v>0</v>
      </c>
      <c r="G9406">
        <v>1</v>
      </c>
      <c r="H9406">
        <v>0</v>
      </c>
      <c r="I9406">
        <v>0</v>
      </c>
      <c r="J9406">
        <v>18068.5050698005</v>
      </c>
      <c r="K9406">
        <v>16348.138287313101</v>
      </c>
      <c r="L9406">
        <v>26.51</v>
      </c>
      <c r="M9406">
        <v>69.293000000000006</v>
      </c>
      <c r="N9406">
        <v>36.826000000000001</v>
      </c>
    </row>
    <row r="9407" spans="1:14" x14ac:dyDescent="0.45">
      <c r="A9407">
        <v>2024</v>
      </c>
      <c r="B9407" t="s">
        <v>85</v>
      </c>
      <c r="C9407">
        <v>0</v>
      </c>
      <c r="D9407">
        <v>0</v>
      </c>
      <c r="E9407">
        <v>1</v>
      </c>
      <c r="F9407">
        <v>0</v>
      </c>
      <c r="G9407">
        <v>0</v>
      </c>
      <c r="H9407">
        <v>0</v>
      </c>
      <c r="I9407">
        <v>0</v>
      </c>
      <c r="J9407">
        <v>1111.65331166746</v>
      </c>
      <c r="K9407">
        <v>890.04558388882901</v>
      </c>
      <c r="L9407">
        <v>55.87</v>
      </c>
      <c r="M9407">
        <v>57.670999999999999</v>
      </c>
      <c r="N9407">
        <v>92.62</v>
      </c>
    </row>
    <row r="9408" spans="1:14" x14ac:dyDescent="0.45">
      <c r="A9408">
        <v>2024</v>
      </c>
      <c r="B9408" t="s">
        <v>86</v>
      </c>
      <c r="C9408">
        <v>0</v>
      </c>
      <c r="D9408">
        <v>0</v>
      </c>
      <c r="E9408">
        <v>0</v>
      </c>
      <c r="F9408">
        <v>0</v>
      </c>
      <c r="G9408">
        <v>0</v>
      </c>
      <c r="H9408">
        <v>1</v>
      </c>
      <c r="I9408">
        <v>1</v>
      </c>
      <c r="J9408">
        <v>56691.907010050301</v>
      </c>
      <c r="K9408">
        <v>49073.454406968602</v>
      </c>
      <c r="L9408">
        <v>18.02</v>
      </c>
      <c r="M9408">
        <v>82.718999999999994</v>
      </c>
      <c r="N9408">
        <v>4.6760000000000002</v>
      </c>
    </row>
    <row r="9409" spans="1:14" x14ac:dyDescent="0.45">
      <c r="A9409">
        <v>2024</v>
      </c>
      <c r="B9409" t="s">
        <v>87</v>
      </c>
      <c r="C9409">
        <v>1</v>
      </c>
      <c r="D9409">
        <v>0</v>
      </c>
      <c r="E9409">
        <v>0</v>
      </c>
      <c r="F9409">
        <v>0</v>
      </c>
      <c r="G9409">
        <v>0</v>
      </c>
      <c r="H9409">
        <v>1</v>
      </c>
      <c r="I9409">
        <v>1</v>
      </c>
      <c r="J9409">
        <v>82026.408730459094</v>
      </c>
      <c r="K9409">
        <v>71360.260648372801</v>
      </c>
      <c r="L9409">
        <v>25.672999999999998</v>
      </c>
      <c r="M9409">
        <v>84.087999999999994</v>
      </c>
      <c r="N9409">
        <v>3.6240000000000001</v>
      </c>
    </row>
    <row r="9410" spans="1:14" x14ac:dyDescent="0.45">
      <c r="A9410">
        <v>2024</v>
      </c>
      <c r="B9410" t="s">
        <v>88</v>
      </c>
      <c r="C9410">
        <v>1</v>
      </c>
      <c r="D9410">
        <v>0</v>
      </c>
      <c r="E9410">
        <v>0</v>
      </c>
      <c r="F9410">
        <v>0</v>
      </c>
      <c r="G9410">
        <v>0</v>
      </c>
      <c r="H9410">
        <v>1</v>
      </c>
      <c r="I9410">
        <v>1</v>
      </c>
      <c r="L9410">
        <v>68.742999999999995</v>
      </c>
      <c r="M9410">
        <v>81.1898973270048</v>
      </c>
      <c r="N9410">
        <v>8.6186836420303798</v>
      </c>
    </row>
    <row r="9411" spans="1:14" x14ac:dyDescent="0.45">
      <c r="A9411">
        <v>2024</v>
      </c>
      <c r="B9411" t="s">
        <v>89</v>
      </c>
      <c r="C9411">
        <v>0</v>
      </c>
      <c r="D9411">
        <v>1</v>
      </c>
      <c r="E9411">
        <v>0</v>
      </c>
      <c r="F9411">
        <v>0</v>
      </c>
      <c r="G9411">
        <v>0</v>
      </c>
      <c r="H9411">
        <v>1</v>
      </c>
      <c r="I9411">
        <v>1</v>
      </c>
      <c r="J9411">
        <v>30182.7871224714</v>
      </c>
      <c r="K9411">
        <v>26291.680972627299</v>
      </c>
      <c r="L9411">
        <v>11.884</v>
      </c>
      <c r="M9411">
        <v>81.358999999999995</v>
      </c>
      <c r="N9411">
        <v>6.4</v>
      </c>
    </row>
    <row r="9412" spans="1:14" x14ac:dyDescent="0.45">
      <c r="A9412">
        <v>2024</v>
      </c>
      <c r="B9412" t="s">
        <v>90</v>
      </c>
      <c r="C9412">
        <v>0</v>
      </c>
      <c r="D9412">
        <v>0</v>
      </c>
      <c r="E9412">
        <v>0</v>
      </c>
      <c r="F9412">
        <v>0</v>
      </c>
      <c r="G9412">
        <v>1</v>
      </c>
      <c r="H9412">
        <v>0</v>
      </c>
      <c r="I9412">
        <v>0</v>
      </c>
      <c r="J9412">
        <v>23845.6197217259</v>
      </c>
      <c r="K9412">
        <v>21376.054085989501</v>
      </c>
      <c r="L9412">
        <v>34.456000000000003</v>
      </c>
      <c r="M9412">
        <v>78.016999999999996</v>
      </c>
      <c r="N9412">
        <v>7.976</v>
      </c>
    </row>
    <row r="9413" spans="1:14" x14ac:dyDescent="0.45">
      <c r="A9413">
        <v>2024</v>
      </c>
      <c r="B9413" t="s">
        <v>91</v>
      </c>
      <c r="C9413">
        <v>0</v>
      </c>
      <c r="D9413">
        <v>0</v>
      </c>
      <c r="E9413">
        <v>1</v>
      </c>
      <c r="F9413">
        <v>1</v>
      </c>
      <c r="G9413">
        <v>0</v>
      </c>
      <c r="H9413">
        <v>0</v>
      </c>
      <c r="I9413">
        <v>0</v>
      </c>
      <c r="J9413">
        <v>6733.1540238266798</v>
      </c>
      <c r="K9413">
        <v>5683.77360314013</v>
      </c>
      <c r="L9413">
        <v>46.356000000000002</v>
      </c>
      <c r="M9413">
        <v>62.11</v>
      </c>
      <c r="N9413">
        <v>66.272999999999996</v>
      </c>
    </row>
    <row r="9414" spans="1:14" x14ac:dyDescent="0.45">
      <c r="A9414">
        <v>2024</v>
      </c>
      <c r="B9414" t="s">
        <v>92</v>
      </c>
      <c r="C9414">
        <v>0</v>
      </c>
      <c r="D9414">
        <v>0</v>
      </c>
      <c r="E9414">
        <v>1</v>
      </c>
      <c r="F9414">
        <v>1</v>
      </c>
      <c r="G9414">
        <v>0</v>
      </c>
      <c r="H9414">
        <v>0</v>
      </c>
      <c r="I9414">
        <v>0</v>
      </c>
      <c r="J9414">
        <v>4919.1416693997699</v>
      </c>
      <c r="K9414">
        <v>3862.5718472705898</v>
      </c>
      <c r="L9414">
        <v>40.107999999999997</v>
      </c>
      <c r="M9414">
        <v>63.968000000000004</v>
      </c>
      <c r="N9414">
        <v>65.781000000000006</v>
      </c>
    </row>
    <row r="9415" spans="1:14" x14ac:dyDescent="0.45">
      <c r="A9415">
        <v>2024</v>
      </c>
      <c r="B9415" t="s">
        <v>93</v>
      </c>
      <c r="C9415">
        <v>0</v>
      </c>
      <c r="D9415">
        <v>0</v>
      </c>
      <c r="E9415">
        <v>1</v>
      </c>
      <c r="F9415">
        <v>0</v>
      </c>
      <c r="G9415">
        <v>0</v>
      </c>
      <c r="H9415">
        <v>0</v>
      </c>
      <c r="I9415">
        <v>0</v>
      </c>
      <c r="J9415">
        <v>1504.1437401180599</v>
      </c>
      <c r="K9415">
        <v>1204.16410454686</v>
      </c>
      <c r="L9415">
        <v>51.945</v>
      </c>
      <c r="M9415">
        <v>62.073999999999998</v>
      </c>
      <c r="N9415">
        <v>72.353999999999999</v>
      </c>
    </row>
    <row r="9416" spans="1:14" x14ac:dyDescent="0.45">
      <c r="A9416">
        <v>2024</v>
      </c>
      <c r="B9416" t="s">
        <v>94</v>
      </c>
      <c r="C9416">
        <v>0</v>
      </c>
      <c r="D9416">
        <v>0</v>
      </c>
      <c r="E9416">
        <v>1</v>
      </c>
      <c r="F9416">
        <v>1</v>
      </c>
      <c r="G9416">
        <v>0</v>
      </c>
      <c r="H9416">
        <v>0</v>
      </c>
      <c r="I9416">
        <v>0</v>
      </c>
      <c r="J9416">
        <v>6181.4705329357203</v>
      </c>
      <c r="K9416">
        <v>3726.4699118355202</v>
      </c>
      <c r="L9416">
        <v>30.361999999999998</v>
      </c>
      <c r="M9416">
        <v>66.001000000000005</v>
      </c>
      <c r="N9416">
        <v>38.72</v>
      </c>
    </row>
    <row r="9417" spans="1:14" x14ac:dyDescent="0.45">
      <c r="A9417">
        <v>2024</v>
      </c>
      <c r="B9417" t="s">
        <v>95</v>
      </c>
      <c r="C9417">
        <v>0</v>
      </c>
      <c r="D9417">
        <v>1</v>
      </c>
      <c r="E9417">
        <v>0</v>
      </c>
      <c r="F9417">
        <v>0</v>
      </c>
      <c r="G9417">
        <v>1</v>
      </c>
      <c r="H9417">
        <v>0</v>
      </c>
      <c r="I9417">
        <v>0</v>
      </c>
      <c r="J9417">
        <v>18503.670601146499</v>
      </c>
      <c r="K9417">
        <v>15406.331644792001</v>
      </c>
      <c r="L9417">
        <v>17.347999999999999</v>
      </c>
      <c r="M9417">
        <v>77.912999999999997</v>
      </c>
      <c r="N9417">
        <v>11.673999999999999</v>
      </c>
    </row>
    <row r="9418" spans="1:14" x14ac:dyDescent="0.45">
      <c r="A9418">
        <v>2024</v>
      </c>
      <c r="B9418" t="s">
        <v>96</v>
      </c>
      <c r="C9418">
        <v>0</v>
      </c>
      <c r="D9418">
        <v>0</v>
      </c>
      <c r="E9418">
        <v>1</v>
      </c>
      <c r="F9418">
        <v>1</v>
      </c>
      <c r="G9418">
        <v>0</v>
      </c>
      <c r="H9418">
        <v>0</v>
      </c>
      <c r="I9418">
        <v>0</v>
      </c>
      <c r="J9418">
        <v>3567.5138651157599</v>
      </c>
      <c r="K9418">
        <v>3689.26462730815</v>
      </c>
      <c r="L9418">
        <v>69.581999999999994</v>
      </c>
      <c r="M9418">
        <v>67.022999999999996</v>
      </c>
      <c r="N9418">
        <v>44.792000000000002</v>
      </c>
    </row>
    <row r="9419" spans="1:14" x14ac:dyDescent="0.45">
      <c r="A9419">
        <v>2024</v>
      </c>
      <c r="B9419" t="s">
        <v>97</v>
      </c>
      <c r="C9419">
        <v>0</v>
      </c>
      <c r="D9419">
        <v>0</v>
      </c>
      <c r="E9419">
        <v>1</v>
      </c>
      <c r="F9419">
        <v>0</v>
      </c>
      <c r="G9419">
        <v>1</v>
      </c>
      <c r="H9419">
        <v>0</v>
      </c>
      <c r="I9419">
        <v>0</v>
      </c>
      <c r="J9419">
        <v>9907.5884749847392</v>
      </c>
      <c r="K9419">
        <v>9548.0827743723494</v>
      </c>
      <c r="L9419">
        <v>31.588000000000001</v>
      </c>
      <c r="M9419">
        <v>76.224000000000004</v>
      </c>
      <c r="N9419">
        <v>11.587999999999999</v>
      </c>
    </row>
    <row r="9420" spans="1:14" x14ac:dyDescent="0.45">
      <c r="A9420">
        <v>2024</v>
      </c>
      <c r="B9420" t="s">
        <v>98</v>
      </c>
      <c r="C9420">
        <v>0</v>
      </c>
      <c r="D9420">
        <v>1</v>
      </c>
      <c r="E9420">
        <v>0</v>
      </c>
      <c r="F9420">
        <v>0</v>
      </c>
      <c r="G9420">
        <v>0</v>
      </c>
      <c r="H9420">
        <v>1</v>
      </c>
      <c r="I9420">
        <v>1</v>
      </c>
      <c r="J9420">
        <v>26973.436158102799</v>
      </c>
      <c r="K9420">
        <v>24150.785880569802</v>
      </c>
      <c r="L9420">
        <v>16.832999999999998</v>
      </c>
      <c r="M9420">
        <v>80.995999999999995</v>
      </c>
      <c r="N9420">
        <v>7.532</v>
      </c>
    </row>
    <row r="9421" spans="1:14" x14ac:dyDescent="0.45">
      <c r="A9421">
        <v>2024</v>
      </c>
      <c r="B9421" t="s">
        <v>99</v>
      </c>
      <c r="C9421">
        <v>0</v>
      </c>
      <c r="D9421">
        <v>1</v>
      </c>
      <c r="E9421">
        <v>0</v>
      </c>
      <c r="F9421">
        <v>0</v>
      </c>
      <c r="G9421">
        <v>1</v>
      </c>
      <c r="H9421">
        <v>0</v>
      </c>
      <c r="I9421">
        <v>0</v>
      </c>
      <c r="L9421">
        <v>22.343</v>
      </c>
      <c r="M9421">
        <v>78.263999999999996</v>
      </c>
      <c r="N9421">
        <v>5.6289999999999996</v>
      </c>
    </row>
    <row r="9422" spans="1:14" x14ac:dyDescent="0.45">
      <c r="A9422">
        <v>2024</v>
      </c>
      <c r="B9422" t="s">
        <v>100</v>
      </c>
      <c r="C9422">
        <v>0</v>
      </c>
      <c r="D9422">
        <v>1</v>
      </c>
      <c r="E9422">
        <v>0</v>
      </c>
      <c r="F9422">
        <v>0</v>
      </c>
      <c r="G9422">
        <v>0</v>
      </c>
      <c r="H9422">
        <v>1</v>
      </c>
      <c r="I9422">
        <v>1</v>
      </c>
      <c r="L9422">
        <v>10.967000000000001</v>
      </c>
      <c r="M9422">
        <v>76.989000000000004</v>
      </c>
      <c r="N9422">
        <v>9.8659999999999997</v>
      </c>
    </row>
    <row r="9423" spans="1:14" x14ac:dyDescent="0.45">
      <c r="A9423">
        <v>2024</v>
      </c>
      <c r="B9423" t="s">
        <v>101</v>
      </c>
      <c r="C9423">
        <v>0</v>
      </c>
      <c r="D9423">
        <v>1</v>
      </c>
      <c r="E9423">
        <v>0</v>
      </c>
      <c r="F9423">
        <v>0</v>
      </c>
      <c r="G9423">
        <v>0</v>
      </c>
      <c r="H9423">
        <v>1</v>
      </c>
      <c r="I9423">
        <v>1</v>
      </c>
      <c r="L9423">
        <v>0</v>
      </c>
      <c r="M9423">
        <v>80.540000000000006</v>
      </c>
      <c r="N9423">
        <v>1.538</v>
      </c>
    </row>
    <row r="9424" spans="1:14" x14ac:dyDescent="0.45">
      <c r="A9424">
        <v>2024</v>
      </c>
      <c r="B9424" t="s">
        <v>102</v>
      </c>
      <c r="C9424">
        <v>1</v>
      </c>
      <c r="D9424">
        <v>0</v>
      </c>
      <c r="E9424">
        <v>0</v>
      </c>
      <c r="F9424">
        <v>0</v>
      </c>
      <c r="G9424">
        <v>0</v>
      </c>
      <c r="H9424">
        <v>1</v>
      </c>
      <c r="I9424">
        <v>1</v>
      </c>
      <c r="J9424">
        <v>53252.4609375</v>
      </c>
      <c r="K9424">
        <v>47439.536914596203</v>
      </c>
      <c r="L9424">
        <v>32.917999999999999</v>
      </c>
      <c r="M9424">
        <v>81.820999999999998</v>
      </c>
      <c r="N9424">
        <v>2.9430000000000001</v>
      </c>
    </row>
    <row r="9425" spans="1:14" x14ac:dyDescent="0.45">
      <c r="A9425">
        <v>2024</v>
      </c>
      <c r="B9425" t="s">
        <v>103</v>
      </c>
      <c r="C9425">
        <v>1</v>
      </c>
      <c r="D9425">
        <v>0</v>
      </c>
      <c r="E9425">
        <v>0</v>
      </c>
      <c r="F9425">
        <v>0</v>
      </c>
      <c r="G9425">
        <v>0</v>
      </c>
      <c r="H9425">
        <v>1</v>
      </c>
      <c r="I9425">
        <v>1</v>
      </c>
      <c r="J9425">
        <v>47961.809513148299</v>
      </c>
      <c r="K9425">
        <v>39933.124566840503</v>
      </c>
      <c r="L9425">
        <v>25.262</v>
      </c>
      <c r="M9425">
        <v>79.97</v>
      </c>
      <c r="N9425">
        <v>2.5920000000000001</v>
      </c>
    </row>
    <row r="9426" spans="1:14" x14ac:dyDescent="0.45">
      <c r="A9426">
        <v>2024</v>
      </c>
      <c r="B9426" t="s">
        <v>104</v>
      </c>
      <c r="C9426">
        <v>1</v>
      </c>
      <c r="D9426">
        <v>0</v>
      </c>
      <c r="E9426">
        <v>0</v>
      </c>
      <c r="F9426">
        <v>0</v>
      </c>
      <c r="G9426">
        <v>0</v>
      </c>
      <c r="H9426">
        <v>1</v>
      </c>
      <c r="I9426">
        <v>1</v>
      </c>
      <c r="J9426">
        <v>62829.796003119402</v>
      </c>
      <c r="K9426">
        <v>54476.708643860002</v>
      </c>
      <c r="L9426">
        <v>22.105</v>
      </c>
      <c r="M9426">
        <v>81.539000000000001</v>
      </c>
      <c r="N9426">
        <v>3.403</v>
      </c>
    </row>
    <row r="9427" spans="1:14" x14ac:dyDescent="0.45">
      <c r="A9427">
        <v>2024</v>
      </c>
      <c r="B9427" t="s">
        <v>105</v>
      </c>
      <c r="C9427">
        <v>0</v>
      </c>
      <c r="D9427">
        <v>0</v>
      </c>
      <c r="E9427">
        <v>0</v>
      </c>
      <c r="F9427">
        <v>1</v>
      </c>
      <c r="G9427">
        <v>0</v>
      </c>
      <c r="H9427">
        <v>0</v>
      </c>
      <c r="I9427">
        <v>0</v>
      </c>
      <c r="J9427">
        <v>6841.1665316337203</v>
      </c>
      <c r="K9427">
        <v>5900.8539741447703</v>
      </c>
      <c r="L9427">
        <v>21.268000000000001</v>
      </c>
      <c r="M9427">
        <v>66.201999999999998</v>
      </c>
      <c r="N9427">
        <v>49.112000000000002</v>
      </c>
    </row>
    <row r="9428" spans="1:14" x14ac:dyDescent="0.45">
      <c r="A9428">
        <v>2024</v>
      </c>
      <c r="B9428" t="s">
        <v>106</v>
      </c>
      <c r="C9428">
        <v>0</v>
      </c>
      <c r="D9428">
        <v>1</v>
      </c>
      <c r="E9428">
        <v>0</v>
      </c>
      <c r="F9428">
        <v>0</v>
      </c>
      <c r="G9428">
        <v>1</v>
      </c>
      <c r="H9428">
        <v>0</v>
      </c>
      <c r="I9428">
        <v>0</v>
      </c>
      <c r="J9428">
        <v>18739.3640404986</v>
      </c>
      <c r="K9428">
        <v>14583.5039895263</v>
      </c>
      <c r="L9428">
        <v>27.687999999999999</v>
      </c>
      <c r="M9428">
        <v>71.293999999999997</v>
      </c>
      <c r="N9428">
        <v>31.684000000000001</v>
      </c>
    </row>
    <row r="9429" spans="1:14" x14ac:dyDescent="0.45">
      <c r="A9429">
        <v>2024</v>
      </c>
      <c r="B9429" t="s">
        <v>107</v>
      </c>
      <c r="C9429">
        <v>1</v>
      </c>
      <c r="D9429">
        <v>0</v>
      </c>
      <c r="E9429">
        <v>0</v>
      </c>
      <c r="F9429">
        <v>0</v>
      </c>
      <c r="G9429">
        <v>0</v>
      </c>
      <c r="H9429">
        <v>1</v>
      </c>
      <c r="I9429">
        <v>1</v>
      </c>
      <c r="J9429">
        <v>73709.001835861898</v>
      </c>
      <c r="K9429">
        <v>62294.948302199198</v>
      </c>
      <c r="L9429">
        <v>11.374000000000001</v>
      </c>
      <c r="M9429">
        <v>82.093999999999994</v>
      </c>
      <c r="N9429">
        <v>3.3620000000000001</v>
      </c>
    </row>
    <row r="9430" spans="1:14" x14ac:dyDescent="0.45">
      <c r="A9430">
        <v>2024</v>
      </c>
      <c r="B9430" t="s">
        <v>108</v>
      </c>
      <c r="C9430">
        <v>0</v>
      </c>
      <c r="D9430">
        <v>1</v>
      </c>
      <c r="E9430">
        <v>0</v>
      </c>
      <c r="F9430">
        <v>0</v>
      </c>
      <c r="G9430">
        <v>1</v>
      </c>
      <c r="H9430">
        <v>0</v>
      </c>
      <c r="I9430">
        <v>0</v>
      </c>
      <c r="J9430">
        <v>24229.468122274498</v>
      </c>
      <c r="K9430">
        <v>20930.020225123699</v>
      </c>
      <c r="L9430">
        <v>14.989000000000001</v>
      </c>
      <c r="M9430">
        <v>73.867999999999995</v>
      </c>
      <c r="N9430">
        <v>31.475999999999999</v>
      </c>
    </row>
    <row r="9431" spans="1:14" x14ac:dyDescent="0.45">
      <c r="A9431">
        <v>2024</v>
      </c>
      <c r="B9431" t="s">
        <v>109</v>
      </c>
      <c r="C9431">
        <v>0</v>
      </c>
      <c r="D9431">
        <v>0</v>
      </c>
      <c r="E9431">
        <v>0</v>
      </c>
      <c r="F9431">
        <v>0</v>
      </c>
      <c r="G9431">
        <v>1</v>
      </c>
      <c r="H9431">
        <v>0</v>
      </c>
      <c r="I9431">
        <v>0</v>
      </c>
      <c r="J9431">
        <v>15442.1244460542</v>
      </c>
      <c r="K9431">
        <v>13506.208968934099</v>
      </c>
      <c r="L9431">
        <v>24.251999999999999</v>
      </c>
      <c r="M9431">
        <v>76.474999999999994</v>
      </c>
      <c r="N9431">
        <v>20.481999999999999</v>
      </c>
    </row>
    <row r="9432" spans="1:14" x14ac:dyDescent="0.45">
      <c r="A9432">
        <v>2024</v>
      </c>
      <c r="B9432" t="s">
        <v>110</v>
      </c>
      <c r="C9432">
        <v>0</v>
      </c>
      <c r="D9432">
        <v>1</v>
      </c>
      <c r="E9432">
        <v>0</v>
      </c>
      <c r="F9432">
        <v>0</v>
      </c>
      <c r="G9432">
        <v>1</v>
      </c>
      <c r="H9432">
        <v>0</v>
      </c>
      <c r="I9432">
        <v>0</v>
      </c>
      <c r="J9432">
        <v>13935.5391125402</v>
      </c>
      <c r="K9432">
        <v>11590.8536669028</v>
      </c>
      <c r="L9432">
        <v>34.970999999999997</v>
      </c>
      <c r="M9432">
        <v>77.578999999999994</v>
      </c>
      <c r="N9432">
        <v>12.084</v>
      </c>
    </row>
    <row r="9433" spans="1:14" x14ac:dyDescent="0.45">
      <c r="A9433">
        <v>2024</v>
      </c>
      <c r="B9433" t="s">
        <v>111</v>
      </c>
      <c r="C9433">
        <v>0</v>
      </c>
      <c r="D9433">
        <v>0</v>
      </c>
      <c r="E9433">
        <v>0</v>
      </c>
      <c r="F9433">
        <v>1</v>
      </c>
      <c r="G9433">
        <v>0</v>
      </c>
      <c r="H9433">
        <v>0</v>
      </c>
      <c r="I9433">
        <v>0</v>
      </c>
      <c r="J9433">
        <v>16798.151577863999</v>
      </c>
      <c r="K9433">
        <v>13330.7300664083</v>
      </c>
      <c r="L9433">
        <v>56.741999999999997</v>
      </c>
      <c r="M9433">
        <v>71.805999999999997</v>
      </c>
      <c r="N9433">
        <v>16.187000000000001</v>
      </c>
    </row>
    <row r="9434" spans="1:14" x14ac:dyDescent="0.45">
      <c r="A9434">
        <v>2024</v>
      </c>
      <c r="B9434" t="s">
        <v>112</v>
      </c>
      <c r="C9434">
        <v>0</v>
      </c>
      <c r="D9434">
        <v>0</v>
      </c>
      <c r="E9434">
        <v>1</v>
      </c>
      <c r="F9434">
        <v>0</v>
      </c>
      <c r="G9434">
        <v>0</v>
      </c>
      <c r="H9434">
        <v>0</v>
      </c>
      <c r="I9434">
        <v>0</v>
      </c>
      <c r="L9434">
        <v>56.088999999999999</v>
      </c>
      <c r="M9434">
        <v>68.893000000000001</v>
      </c>
      <c r="N9434">
        <v>33.875999999999998</v>
      </c>
    </row>
    <row r="9435" spans="1:14" x14ac:dyDescent="0.45">
      <c r="A9435">
        <v>2024</v>
      </c>
      <c r="B9435" t="s">
        <v>113</v>
      </c>
      <c r="C9435">
        <v>1</v>
      </c>
      <c r="D9435">
        <v>0</v>
      </c>
      <c r="E9435">
        <v>0</v>
      </c>
      <c r="F9435">
        <v>0</v>
      </c>
      <c r="G9435">
        <v>0</v>
      </c>
      <c r="H9435">
        <v>1</v>
      </c>
      <c r="I9435">
        <v>1</v>
      </c>
      <c r="J9435">
        <v>48373.045569918497</v>
      </c>
      <c r="K9435">
        <v>42569.566636378098</v>
      </c>
      <c r="L9435">
        <v>18.198</v>
      </c>
      <c r="M9435">
        <v>83.799000000000007</v>
      </c>
      <c r="N9435">
        <v>2.8519999999999999</v>
      </c>
    </row>
    <row r="9436" spans="1:14" x14ac:dyDescent="0.45">
      <c r="A9436">
        <v>2024</v>
      </c>
      <c r="B9436" t="s">
        <v>114</v>
      </c>
      <c r="C9436">
        <v>1</v>
      </c>
      <c r="D9436">
        <v>0</v>
      </c>
      <c r="E9436">
        <v>0</v>
      </c>
      <c r="F9436">
        <v>0</v>
      </c>
      <c r="G9436">
        <v>0</v>
      </c>
      <c r="H9436">
        <v>1</v>
      </c>
      <c r="I9436">
        <v>1</v>
      </c>
      <c r="J9436">
        <v>41546.120186812201</v>
      </c>
      <c r="K9436">
        <v>35247.972455715702</v>
      </c>
      <c r="L9436">
        <v>29.981000000000002</v>
      </c>
      <c r="M9436">
        <v>79.308999999999997</v>
      </c>
      <c r="N9436">
        <v>2.262</v>
      </c>
    </row>
    <row r="9437" spans="1:14" x14ac:dyDescent="0.45">
      <c r="A9437">
        <v>2024</v>
      </c>
      <c r="B9437" t="s">
        <v>115</v>
      </c>
      <c r="C9437">
        <v>0</v>
      </c>
      <c r="D9437">
        <v>0</v>
      </c>
      <c r="E9437">
        <v>1</v>
      </c>
      <c r="F9437">
        <v>0</v>
      </c>
      <c r="G9437">
        <v>0</v>
      </c>
      <c r="H9437">
        <v>0</v>
      </c>
      <c r="I9437">
        <v>0</v>
      </c>
      <c r="J9437">
        <v>2884.2646071234499</v>
      </c>
      <c r="K9437">
        <v>2601.2905685456999</v>
      </c>
      <c r="L9437">
        <v>76.338999999999999</v>
      </c>
      <c r="M9437">
        <v>67.602999999999994</v>
      </c>
      <c r="N9437">
        <v>43.164000000000001</v>
      </c>
    </row>
    <row r="9438" spans="1:14" x14ac:dyDescent="0.45">
      <c r="A9438">
        <v>2024</v>
      </c>
      <c r="B9438" t="s">
        <v>116</v>
      </c>
      <c r="C9438">
        <v>1</v>
      </c>
      <c r="D9438">
        <v>0</v>
      </c>
      <c r="E9438">
        <v>0</v>
      </c>
      <c r="F9438">
        <v>0</v>
      </c>
      <c r="G9438">
        <v>0</v>
      </c>
      <c r="H9438">
        <v>1</v>
      </c>
      <c r="I9438">
        <v>1</v>
      </c>
      <c r="J9438">
        <v>55628.681512763098</v>
      </c>
      <c r="K9438">
        <v>46766.076394110598</v>
      </c>
      <c r="L9438">
        <v>14.128</v>
      </c>
      <c r="M9438">
        <v>82.076999999999998</v>
      </c>
      <c r="N9438">
        <v>2.2549999999999999</v>
      </c>
    </row>
    <row r="9439" spans="1:14" x14ac:dyDescent="0.45">
      <c r="A9439">
        <v>2024</v>
      </c>
      <c r="B9439" t="s">
        <v>117</v>
      </c>
      <c r="C9439">
        <v>0</v>
      </c>
      <c r="D9439">
        <v>0</v>
      </c>
      <c r="E9439">
        <v>0</v>
      </c>
      <c r="F9439">
        <v>0</v>
      </c>
      <c r="G9439">
        <v>1</v>
      </c>
      <c r="H9439">
        <v>0</v>
      </c>
      <c r="I9439">
        <v>0</v>
      </c>
      <c r="J9439">
        <v>14104.443580446499</v>
      </c>
      <c r="K9439">
        <v>13812.519649657601</v>
      </c>
      <c r="L9439">
        <v>40.808</v>
      </c>
      <c r="M9439">
        <v>67.462999999999994</v>
      </c>
      <c r="N9439">
        <v>20.422999999999998</v>
      </c>
    </row>
    <row r="9440" spans="1:14" x14ac:dyDescent="0.45">
      <c r="A9440">
        <v>2024</v>
      </c>
      <c r="B9440" t="s">
        <v>118</v>
      </c>
      <c r="C9440">
        <v>1</v>
      </c>
      <c r="D9440">
        <v>0</v>
      </c>
      <c r="E9440">
        <v>0</v>
      </c>
      <c r="F9440">
        <v>0</v>
      </c>
      <c r="G9440">
        <v>0</v>
      </c>
      <c r="H9440">
        <v>1</v>
      </c>
      <c r="I9440">
        <v>1</v>
      </c>
      <c r="J9440">
        <v>54464.981669575398</v>
      </c>
      <c r="K9440">
        <v>45472.747173613003</v>
      </c>
      <c r="L9440">
        <v>17.956</v>
      </c>
      <c r="M9440">
        <v>83.457999999999998</v>
      </c>
      <c r="N9440">
        <v>3.758</v>
      </c>
    </row>
    <row r="9441" spans="1:14" x14ac:dyDescent="0.45">
      <c r="A9441">
        <v>2024</v>
      </c>
      <c r="B9441" t="s">
        <v>119</v>
      </c>
      <c r="C9441">
        <v>1</v>
      </c>
      <c r="D9441">
        <v>0</v>
      </c>
      <c r="E9441">
        <v>0</v>
      </c>
      <c r="F9441">
        <v>0</v>
      </c>
      <c r="G9441">
        <v>0</v>
      </c>
      <c r="H9441">
        <v>1</v>
      </c>
      <c r="I9441">
        <v>1</v>
      </c>
      <c r="L9441">
        <v>56.793999999999997</v>
      </c>
      <c r="M9441">
        <v>80.394000000000005</v>
      </c>
      <c r="N9441">
        <v>7.0069999999999997</v>
      </c>
    </row>
    <row r="9442" spans="1:14" x14ac:dyDescent="0.45">
      <c r="A9442">
        <v>2024</v>
      </c>
      <c r="B9442" t="s">
        <v>120</v>
      </c>
      <c r="C9442">
        <v>0</v>
      </c>
      <c r="D9442">
        <v>0</v>
      </c>
      <c r="E9442">
        <v>0</v>
      </c>
      <c r="F9442">
        <v>1</v>
      </c>
      <c r="G9442">
        <v>0</v>
      </c>
      <c r="H9442">
        <v>0</v>
      </c>
      <c r="I9442">
        <v>0</v>
      </c>
      <c r="J9442">
        <v>3823.6041100233901</v>
      </c>
      <c r="K9442">
        <v>3460.88934110828</v>
      </c>
      <c r="L9442">
        <v>76.444999999999993</v>
      </c>
      <c r="M9442">
        <v>67.356999999999999</v>
      </c>
      <c r="N9442">
        <v>22.34</v>
      </c>
    </row>
    <row r="9443" spans="1:14" x14ac:dyDescent="0.45">
      <c r="A9443">
        <v>2024</v>
      </c>
      <c r="B9443" t="s">
        <v>121</v>
      </c>
      <c r="C9443">
        <v>0</v>
      </c>
      <c r="D9443">
        <v>0</v>
      </c>
      <c r="E9443">
        <v>1</v>
      </c>
      <c r="F9443">
        <v>0</v>
      </c>
      <c r="G9443">
        <v>1</v>
      </c>
      <c r="H9443">
        <v>0</v>
      </c>
      <c r="I9443">
        <v>0</v>
      </c>
      <c r="J9443">
        <v>18923.0900476678</v>
      </c>
      <c r="K9443">
        <v>14317.96530195</v>
      </c>
      <c r="L9443">
        <v>8.6929999999999996</v>
      </c>
      <c r="M9443">
        <v>68.510999999999996</v>
      </c>
      <c r="N9443">
        <v>36.345999999999997</v>
      </c>
    </row>
    <row r="9444" spans="1:14" x14ac:dyDescent="0.45">
      <c r="A9444">
        <v>2024</v>
      </c>
      <c r="B9444" t="s">
        <v>122</v>
      </c>
      <c r="C9444">
        <v>1</v>
      </c>
      <c r="D9444">
        <v>0</v>
      </c>
      <c r="E9444">
        <v>0</v>
      </c>
      <c r="F9444">
        <v>0</v>
      </c>
      <c r="G9444">
        <v>0</v>
      </c>
      <c r="H9444">
        <v>1</v>
      </c>
      <c r="I9444">
        <v>1</v>
      </c>
      <c r="J9444">
        <v>52517.984857494499</v>
      </c>
      <c r="K9444">
        <v>45245.827732487902</v>
      </c>
      <c r="L9444">
        <v>15.116</v>
      </c>
      <c r="M9444">
        <v>81.447999999999993</v>
      </c>
      <c r="N9444">
        <v>4.234</v>
      </c>
    </row>
    <row r="9445" spans="1:14" x14ac:dyDescent="0.45">
      <c r="A9445">
        <v>2024</v>
      </c>
      <c r="B9445" t="s">
        <v>123</v>
      </c>
      <c r="C9445">
        <v>1</v>
      </c>
      <c r="D9445">
        <v>0</v>
      </c>
      <c r="E9445">
        <v>0</v>
      </c>
      <c r="F9445">
        <v>0</v>
      </c>
      <c r="G9445">
        <v>1</v>
      </c>
      <c r="H9445">
        <v>0</v>
      </c>
      <c r="I9445">
        <v>0</v>
      </c>
      <c r="J9445">
        <v>25000.632641698099</v>
      </c>
      <c r="K9445">
        <v>21122.676504474399</v>
      </c>
      <c r="L9445">
        <v>38.838000000000001</v>
      </c>
      <c r="M9445">
        <v>74.656999999999996</v>
      </c>
      <c r="N9445">
        <v>7.67</v>
      </c>
    </row>
    <row r="9446" spans="1:14" x14ac:dyDescent="0.45">
      <c r="A9446">
        <v>2024</v>
      </c>
      <c r="B9446" t="s">
        <v>124</v>
      </c>
      <c r="C9446">
        <v>0</v>
      </c>
      <c r="D9446">
        <v>0</v>
      </c>
      <c r="E9446">
        <v>1</v>
      </c>
      <c r="F9446">
        <v>1</v>
      </c>
      <c r="G9446">
        <v>0</v>
      </c>
      <c r="H9446">
        <v>0</v>
      </c>
      <c r="I9446">
        <v>0</v>
      </c>
      <c r="J9446">
        <v>7061.9340279918497</v>
      </c>
      <c r="K9446">
        <v>6092.63221774063</v>
      </c>
      <c r="L9446">
        <v>40.146000000000001</v>
      </c>
      <c r="M9446">
        <v>65.694999999999993</v>
      </c>
      <c r="N9446">
        <v>40.103000000000002</v>
      </c>
    </row>
    <row r="9447" spans="1:14" x14ac:dyDescent="0.45">
      <c r="A9447">
        <v>2024</v>
      </c>
      <c r="B9447" t="s">
        <v>125</v>
      </c>
      <c r="C9447">
        <v>1</v>
      </c>
      <c r="D9447">
        <v>0</v>
      </c>
      <c r="E9447">
        <v>0</v>
      </c>
      <c r="F9447">
        <v>0</v>
      </c>
      <c r="G9447">
        <v>0</v>
      </c>
      <c r="H9447">
        <v>1</v>
      </c>
      <c r="I9447">
        <v>1</v>
      </c>
      <c r="L9447">
        <v>0</v>
      </c>
      <c r="M9447">
        <v>83.63</v>
      </c>
      <c r="N9447">
        <v>10.42</v>
      </c>
    </row>
    <row r="9448" spans="1:14" x14ac:dyDescent="0.45">
      <c r="A9448">
        <v>2024</v>
      </c>
      <c r="B9448" t="s">
        <v>126</v>
      </c>
      <c r="C9448">
        <v>0</v>
      </c>
      <c r="D9448">
        <v>0</v>
      </c>
      <c r="E9448">
        <v>1</v>
      </c>
      <c r="F9448">
        <v>1</v>
      </c>
      <c r="G9448">
        <v>0</v>
      </c>
      <c r="H9448">
        <v>0</v>
      </c>
      <c r="I9448">
        <v>0</v>
      </c>
      <c r="J9448">
        <v>4028.4834738089899</v>
      </c>
      <c r="K9448">
        <v>3248.0284967838602</v>
      </c>
      <c r="L9448">
        <v>61.482999999999997</v>
      </c>
      <c r="M9448">
        <v>60.904000000000003</v>
      </c>
      <c r="N9448">
        <v>92.028000000000006</v>
      </c>
    </row>
    <row r="9449" spans="1:14" x14ac:dyDescent="0.45">
      <c r="A9449">
        <v>2024</v>
      </c>
      <c r="B9449" t="s">
        <v>127</v>
      </c>
      <c r="C9449">
        <v>0</v>
      </c>
      <c r="D9449">
        <v>0</v>
      </c>
      <c r="E9449">
        <v>1</v>
      </c>
      <c r="F9449">
        <v>0</v>
      </c>
      <c r="G9449">
        <v>0</v>
      </c>
      <c r="H9449">
        <v>0</v>
      </c>
      <c r="I9449">
        <v>0</v>
      </c>
      <c r="J9449">
        <v>3030.9740835672901</v>
      </c>
      <c r="K9449">
        <v>2439.6218414862501</v>
      </c>
      <c r="L9449">
        <v>34.92</v>
      </c>
      <c r="M9449">
        <v>66.057000000000002</v>
      </c>
      <c r="N9449">
        <v>43.088999999999999</v>
      </c>
    </row>
    <row r="9450" spans="1:14" x14ac:dyDescent="0.45">
      <c r="A9450">
        <v>2024</v>
      </c>
      <c r="B9450" t="s">
        <v>128</v>
      </c>
      <c r="C9450">
        <v>0</v>
      </c>
      <c r="D9450">
        <v>0</v>
      </c>
      <c r="E9450">
        <v>1</v>
      </c>
      <c r="F9450">
        <v>0</v>
      </c>
      <c r="G9450">
        <v>0</v>
      </c>
      <c r="H9450">
        <v>0</v>
      </c>
      <c r="I9450">
        <v>0</v>
      </c>
      <c r="J9450">
        <v>2685.6174278335998</v>
      </c>
      <c r="K9450">
        <v>2415.9772718859999</v>
      </c>
      <c r="L9450">
        <v>54.106999999999999</v>
      </c>
      <c r="M9450">
        <v>64.254000000000005</v>
      </c>
      <c r="N9450">
        <v>68.248999999999995</v>
      </c>
    </row>
    <row r="9451" spans="1:14" x14ac:dyDescent="0.45">
      <c r="A9451">
        <v>2024</v>
      </c>
      <c r="B9451" t="s">
        <v>129</v>
      </c>
      <c r="C9451">
        <v>0</v>
      </c>
      <c r="D9451">
        <v>0</v>
      </c>
      <c r="E9451">
        <v>1</v>
      </c>
      <c r="F9451">
        <v>0</v>
      </c>
      <c r="G9451">
        <v>1</v>
      </c>
      <c r="H9451">
        <v>0</v>
      </c>
      <c r="I9451">
        <v>0</v>
      </c>
      <c r="J9451">
        <v>15454.428493564001</v>
      </c>
      <c r="K9451">
        <v>12804.1911822072</v>
      </c>
      <c r="L9451">
        <v>25.126000000000001</v>
      </c>
      <c r="M9451">
        <v>63.905999999999999</v>
      </c>
      <c r="N9451">
        <v>69.174000000000007</v>
      </c>
    </row>
    <row r="9452" spans="1:14" x14ac:dyDescent="0.45">
      <c r="A9452">
        <v>2024</v>
      </c>
      <c r="B9452" t="s">
        <v>130</v>
      </c>
      <c r="C9452">
        <v>1</v>
      </c>
      <c r="D9452">
        <v>0</v>
      </c>
      <c r="E9452">
        <v>0</v>
      </c>
      <c r="F9452">
        <v>0</v>
      </c>
      <c r="G9452">
        <v>0</v>
      </c>
      <c r="H9452">
        <v>1</v>
      </c>
      <c r="I9452">
        <v>1</v>
      </c>
      <c r="J9452">
        <v>37752.632117266403</v>
      </c>
      <c r="K9452">
        <v>33795.933991791702</v>
      </c>
      <c r="L9452">
        <v>19.015999999999998</v>
      </c>
      <c r="M9452">
        <v>82.031000000000006</v>
      </c>
      <c r="N9452">
        <v>3.3780000000000001</v>
      </c>
    </row>
    <row r="9453" spans="1:14" x14ac:dyDescent="0.45">
      <c r="A9453">
        <v>2024</v>
      </c>
      <c r="B9453" t="s">
        <v>131</v>
      </c>
      <c r="C9453">
        <v>0</v>
      </c>
      <c r="D9453">
        <v>1</v>
      </c>
      <c r="E9453">
        <v>0</v>
      </c>
      <c r="F9453">
        <v>0</v>
      </c>
      <c r="G9453">
        <v>1</v>
      </c>
      <c r="H9453">
        <v>0</v>
      </c>
      <c r="I9453">
        <v>0</v>
      </c>
      <c r="J9453">
        <v>17742.1755724633</v>
      </c>
      <c r="K9453">
        <v>16370.7953931635</v>
      </c>
      <c r="L9453">
        <v>62.732999999999997</v>
      </c>
      <c r="M9453">
        <v>75.367000000000004</v>
      </c>
      <c r="N9453">
        <v>14.416</v>
      </c>
    </row>
    <row r="9454" spans="1:14" x14ac:dyDescent="0.45">
      <c r="A9454">
        <v>2024</v>
      </c>
      <c r="B9454" t="s">
        <v>132</v>
      </c>
      <c r="C9454">
        <v>1</v>
      </c>
      <c r="D9454">
        <v>0</v>
      </c>
      <c r="E9454">
        <v>0</v>
      </c>
      <c r="F9454">
        <v>0</v>
      </c>
      <c r="G9454">
        <v>0</v>
      </c>
      <c r="H9454">
        <v>1</v>
      </c>
      <c r="I9454">
        <v>1</v>
      </c>
      <c r="L9454">
        <v>11.851000000000001</v>
      </c>
      <c r="M9454">
        <v>70.194000000000003</v>
      </c>
      <c r="N9454">
        <v>11.356</v>
      </c>
    </row>
    <row r="9455" spans="1:14" x14ac:dyDescent="0.45">
      <c r="A9455">
        <v>2024</v>
      </c>
      <c r="B9455" t="s">
        <v>133</v>
      </c>
      <c r="C9455">
        <v>0</v>
      </c>
      <c r="D9455">
        <v>1</v>
      </c>
      <c r="E9455">
        <v>0</v>
      </c>
      <c r="F9455">
        <v>0</v>
      </c>
      <c r="G9455">
        <v>1</v>
      </c>
      <c r="H9455">
        <v>0</v>
      </c>
      <c r="I9455">
        <v>0</v>
      </c>
      <c r="J9455">
        <v>12640.887111710101</v>
      </c>
      <c r="K9455">
        <v>10980.8309513161</v>
      </c>
      <c r="L9455">
        <v>46.457999999999998</v>
      </c>
      <c r="M9455">
        <v>72.745999999999995</v>
      </c>
      <c r="N9455">
        <v>21.222000000000001</v>
      </c>
    </row>
    <row r="9456" spans="1:14" x14ac:dyDescent="0.45">
      <c r="A9456">
        <v>2024</v>
      </c>
      <c r="B9456" t="s">
        <v>134</v>
      </c>
      <c r="C9456">
        <v>0</v>
      </c>
      <c r="D9456">
        <v>0</v>
      </c>
      <c r="E9456">
        <v>0</v>
      </c>
      <c r="F9456">
        <v>0</v>
      </c>
      <c r="G9456">
        <v>0</v>
      </c>
      <c r="H9456">
        <v>1</v>
      </c>
      <c r="I9456">
        <v>1</v>
      </c>
      <c r="L9456">
        <v>4.7600000000000096</v>
      </c>
      <c r="M9456">
        <v>77.421999999999997</v>
      </c>
      <c r="N9456">
        <v>11.756</v>
      </c>
    </row>
    <row r="9457" spans="1:14" x14ac:dyDescent="0.45">
      <c r="A9457">
        <v>2024</v>
      </c>
      <c r="B9457" t="s">
        <v>135</v>
      </c>
      <c r="C9457">
        <v>0</v>
      </c>
      <c r="D9457">
        <v>1</v>
      </c>
      <c r="E9457">
        <v>0</v>
      </c>
      <c r="F9457">
        <v>0</v>
      </c>
      <c r="G9457">
        <v>0</v>
      </c>
      <c r="H9457">
        <v>1</v>
      </c>
      <c r="I9457">
        <v>1</v>
      </c>
      <c r="J9457">
        <v>70297.403093890898</v>
      </c>
      <c r="K9457">
        <v>67230.969796278907</v>
      </c>
      <c r="L9457">
        <v>72.683999999999997</v>
      </c>
      <c r="M9457">
        <v>70.319000000000003</v>
      </c>
      <c r="N9457">
        <v>22.239000000000001</v>
      </c>
    </row>
    <row r="9458" spans="1:14" x14ac:dyDescent="0.45">
      <c r="A9458">
        <v>2024</v>
      </c>
      <c r="B9458" t="s">
        <v>136</v>
      </c>
      <c r="C9458">
        <v>0</v>
      </c>
      <c r="D9458">
        <v>0</v>
      </c>
      <c r="E9458">
        <v>0</v>
      </c>
      <c r="F9458">
        <v>0</v>
      </c>
      <c r="G9458">
        <v>0</v>
      </c>
      <c r="H9458">
        <v>1</v>
      </c>
      <c r="I9458">
        <v>1</v>
      </c>
      <c r="J9458">
        <v>66171.358324729401</v>
      </c>
      <c r="K9458">
        <v>59719.879039487903</v>
      </c>
      <c r="L9458">
        <v>0</v>
      </c>
      <c r="M9458">
        <v>85.634</v>
      </c>
      <c r="N9458">
        <v>1.9139999999999999</v>
      </c>
    </row>
    <row r="9459" spans="1:14" x14ac:dyDescent="0.45">
      <c r="A9459">
        <v>2024</v>
      </c>
      <c r="B9459" t="s">
        <v>137</v>
      </c>
      <c r="C9459">
        <v>0</v>
      </c>
      <c r="D9459">
        <v>1</v>
      </c>
      <c r="E9459">
        <v>0</v>
      </c>
      <c r="F9459">
        <v>1</v>
      </c>
      <c r="G9459">
        <v>0</v>
      </c>
      <c r="H9459">
        <v>0</v>
      </c>
      <c r="I9459">
        <v>0</v>
      </c>
      <c r="J9459">
        <v>6585.8553571786097</v>
      </c>
      <c r="K9459">
        <v>6068.7210361626803</v>
      </c>
      <c r="L9459">
        <v>39.182000000000002</v>
      </c>
      <c r="M9459">
        <v>73.043999999999997</v>
      </c>
      <c r="N9459">
        <v>14.993</v>
      </c>
    </row>
    <row r="9460" spans="1:14" x14ac:dyDescent="0.45">
      <c r="A9460">
        <v>2024</v>
      </c>
      <c r="B9460" t="s">
        <v>138</v>
      </c>
      <c r="C9460">
        <v>1</v>
      </c>
      <c r="D9460">
        <v>0</v>
      </c>
      <c r="E9460">
        <v>0</v>
      </c>
      <c r="F9460">
        <v>0</v>
      </c>
      <c r="G9460">
        <v>0</v>
      </c>
      <c r="H9460">
        <v>1</v>
      </c>
      <c r="I9460">
        <v>1</v>
      </c>
      <c r="J9460">
        <v>42631.315196894502</v>
      </c>
      <c r="K9460">
        <v>36765.6358887522</v>
      </c>
      <c r="L9460">
        <v>41.055</v>
      </c>
      <c r="M9460">
        <v>78.751000000000005</v>
      </c>
      <c r="N9460">
        <v>4.0359999999999996</v>
      </c>
    </row>
    <row r="9461" spans="1:14" x14ac:dyDescent="0.45">
      <c r="A9461">
        <v>2024</v>
      </c>
      <c r="B9461" t="s">
        <v>139</v>
      </c>
      <c r="C9461">
        <v>0</v>
      </c>
      <c r="D9461">
        <v>1</v>
      </c>
      <c r="E9461">
        <v>0</v>
      </c>
      <c r="F9461">
        <v>1</v>
      </c>
      <c r="G9461">
        <v>0</v>
      </c>
      <c r="H9461">
        <v>0</v>
      </c>
      <c r="I9461">
        <v>0</v>
      </c>
      <c r="J9461">
        <v>2800.6610663659399</v>
      </c>
      <c r="K9461">
        <v>2691.8715154162001</v>
      </c>
      <c r="L9461">
        <v>39.527999999999999</v>
      </c>
      <c r="M9461">
        <v>65.119</v>
      </c>
      <c r="N9461">
        <v>56.755000000000003</v>
      </c>
    </row>
    <row r="9462" spans="1:14" x14ac:dyDescent="0.45">
      <c r="A9462">
        <v>2024</v>
      </c>
      <c r="B9462" t="s">
        <v>140</v>
      </c>
      <c r="C9462">
        <v>1</v>
      </c>
      <c r="D9462">
        <v>0</v>
      </c>
      <c r="E9462">
        <v>0</v>
      </c>
      <c r="F9462">
        <v>0</v>
      </c>
      <c r="G9462">
        <v>0</v>
      </c>
      <c r="H9462">
        <v>1</v>
      </c>
      <c r="I9462">
        <v>1</v>
      </c>
      <c r="J9462">
        <v>40702.153513596801</v>
      </c>
      <c r="K9462">
        <v>35468.568041302497</v>
      </c>
      <c r="L9462">
        <v>26.821000000000002</v>
      </c>
      <c r="M9462">
        <v>77.180999999999997</v>
      </c>
      <c r="N9462">
        <v>3.56</v>
      </c>
    </row>
    <row r="9463" spans="1:14" x14ac:dyDescent="0.45">
      <c r="A9463">
        <v>2024</v>
      </c>
      <c r="B9463" t="s">
        <v>141</v>
      </c>
      <c r="C9463">
        <v>0</v>
      </c>
      <c r="D9463">
        <v>0</v>
      </c>
      <c r="E9463">
        <v>0</v>
      </c>
      <c r="F9463">
        <v>0</v>
      </c>
      <c r="G9463">
        <v>1</v>
      </c>
      <c r="H9463">
        <v>0</v>
      </c>
      <c r="I9463">
        <v>0</v>
      </c>
      <c r="J9463">
        <v>14470.437202057799</v>
      </c>
      <c r="K9463">
        <v>13136.8762460343</v>
      </c>
      <c r="L9463">
        <v>40.795999999999999</v>
      </c>
      <c r="M9463">
        <v>71.287999999999997</v>
      </c>
      <c r="N9463">
        <v>19.905999999999999</v>
      </c>
    </row>
    <row r="9464" spans="1:14" x14ac:dyDescent="0.45">
      <c r="A9464">
        <v>2024</v>
      </c>
      <c r="B9464" t="s">
        <v>142</v>
      </c>
      <c r="C9464">
        <v>1</v>
      </c>
      <c r="D9464">
        <v>0</v>
      </c>
      <c r="E9464">
        <v>0</v>
      </c>
      <c r="F9464">
        <v>0</v>
      </c>
      <c r="G9464">
        <v>0</v>
      </c>
      <c r="H9464">
        <v>1</v>
      </c>
      <c r="I9464">
        <v>1</v>
      </c>
      <c r="L9464">
        <v>46.292000000000002</v>
      </c>
      <c r="M9464">
        <v>81.090999999999994</v>
      </c>
      <c r="N9464">
        <v>13.394</v>
      </c>
    </row>
    <row r="9465" spans="1:14" x14ac:dyDescent="0.45">
      <c r="A9465">
        <v>2024</v>
      </c>
      <c r="B9465" t="s">
        <v>143</v>
      </c>
      <c r="C9465">
        <v>0</v>
      </c>
      <c r="D9465">
        <v>0</v>
      </c>
      <c r="E9465">
        <v>0</v>
      </c>
      <c r="F9465">
        <v>1</v>
      </c>
      <c r="G9465">
        <v>0</v>
      </c>
      <c r="H9465">
        <v>0</v>
      </c>
      <c r="I9465">
        <v>0</v>
      </c>
      <c r="J9465">
        <v>9817.0708209704808</v>
      </c>
      <c r="K9465">
        <v>8233.43344825858</v>
      </c>
      <c r="L9465">
        <v>63.133000000000003</v>
      </c>
      <c r="M9465">
        <v>72.234999999999999</v>
      </c>
      <c r="N9465">
        <v>28.195</v>
      </c>
    </row>
    <row r="9466" spans="1:14" x14ac:dyDescent="0.45">
      <c r="A9466">
        <v>2024</v>
      </c>
      <c r="B9466" t="s">
        <v>144</v>
      </c>
      <c r="C9466">
        <v>1</v>
      </c>
      <c r="D9466">
        <v>0</v>
      </c>
      <c r="E9466">
        <v>0</v>
      </c>
      <c r="F9466">
        <v>0</v>
      </c>
      <c r="G9466">
        <v>0</v>
      </c>
      <c r="H9466">
        <v>1</v>
      </c>
      <c r="I9466">
        <v>1</v>
      </c>
      <c r="J9466">
        <v>115337.16670137399</v>
      </c>
      <c r="K9466">
        <v>106046.50736957</v>
      </c>
      <c r="L9466">
        <v>35.24</v>
      </c>
      <c r="M9466">
        <v>82.58</v>
      </c>
      <c r="N9466">
        <v>3.2389999999999999</v>
      </c>
    </row>
    <row r="9467" spans="1:14" x14ac:dyDescent="0.45">
      <c r="A9467">
        <v>2024</v>
      </c>
      <c r="B9467" t="s">
        <v>145</v>
      </c>
      <c r="C9467">
        <v>0</v>
      </c>
      <c r="D9467">
        <v>0</v>
      </c>
      <c r="E9467">
        <v>0</v>
      </c>
      <c r="F9467">
        <v>0</v>
      </c>
      <c r="G9467">
        <v>1</v>
      </c>
      <c r="H9467">
        <v>0</v>
      </c>
      <c r="I9467">
        <v>0</v>
      </c>
      <c r="J9467">
        <v>16224.035344583501</v>
      </c>
      <c r="K9467">
        <v>16183.3888131323</v>
      </c>
      <c r="L9467">
        <v>22.302</v>
      </c>
      <c r="M9467">
        <v>77.853999999999999</v>
      </c>
      <c r="N9467">
        <v>10.875</v>
      </c>
    </row>
    <row r="9468" spans="1:14" x14ac:dyDescent="0.45">
      <c r="A9468">
        <v>2024</v>
      </c>
      <c r="B9468" t="s">
        <v>146</v>
      </c>
      <c r="C9468">
        <v>0</v>
      </c>
      <c r="D9468">
        <v>0</v>
      </c>
      <c r="E9468">
        <v>0</v>
      </c>
      <c r="F9468">
        <v>0</v>
      </c>
      <c r="G9468">
        <v>1</v>
      </c>
      <c r="H9468">
        <v>0</v>
      </c>
      <c r="I9468">
        <v>0</v>
      </c>
      <c r="J9468">
        <v>12725.0431260393</v>
      </c>
      <c r="K9468">
        <v>8995.1900470599994</v>
      </c>
      <c r="L9468">
        <v>28.146999999999998</v>
      </c>
      <c r="M9468">
        <v>72.424000000000007</v>
      </c>
      <c r="N9468">
        <v>22.437000000000001</v>
      </c>
    </row>
    <row r="9469" spans="1:14" x14ac:dyDescent="0.45">
      <c r="A9469">
        <v>2024</v>
      </c>
      <c r="B9469" t="s">
        <v>147</v>
      </c>
      <c r="C9469">
        <v>1</v>
      </c>
      <c r="D9469">
        <v>0</v>
      </c>
      <c r="E9469">
        <v>0</v>
      </c>
      <c r="F9469">
        <v>0</v>
      </c>
      <c r="G9469">
        <v>0</v>
      </c>
      <c r="H9469">
        <v>1</v>
      </c>
      <c r="I9469">
        <v>1</v>
      </c>
      <c r="J9469">
        <v>65645.094856754004</v>
      </c>
      <c r="K9469">
        <v>56801.970986466702</v>
      </c>
      <c r="L9469">
        <v>5.9060000000000104</v>
      </c>
      <c r="M9469">
        <v>83.013000000000005</v>
      </c>
      <c r="N9469">
        <v>1.6259999999999999</v>
      </c>
    </row>
    <row r="9470" spans="1:14" x14ac:dyDescent="0.45">
      <c r="A9470">
        <v>2024</v>
      </c>
      <c r="B9470" t="s">
        <v>148</v>
      </c>
      <c r="C9470">
        <v>0</v>
      </c>
      <c r="D9470">
        <v>0</v>
      </c>
      <c r="E9470">
        <v>0</v>
      </c>
      <c r="F9470">
        <v>0</v>
      </c>
      <c r="G9470">
        <v>0</v>
      </c>
      <c r="H9470">
        <v>1</v>
      </c>
      <c r="I9470">
        <v>1</v>
      </c>
      <c r="J9470">
        <v>47338.8424624205</v>
      </c>
      <c r="K9470">
        <v>43422.839660570797</v>
      </c>
      <c r="L9470">
        <v>7.0540000000000003</v>
      </c>
      <c r="M9470">
        <v>82.727000000000004</v>
      </c>
      <c r="N9470">
        <v>3.698</v>
      </c>
    </row>
    <row r="9471" spans="1:14" x14ac:dyDescent="0.45">
      <c r="A9471">
        <v>2024</v>
      </c>
      <c r="B9471" t="s">
        <v>149</v>
      </c>
      <c r="C9471">
        <v>1</v>
      </c>
      <c r="D9471">
        <v>0</v>
      </c>
      <c r="E9471">
        <v>0</v>
      </c>
      <c r="F9471">
        <v>0</v>
      </c>
      <c r="G9471">
        <v>0</v>
      </c>
      <c r="H9471">
        <v>1</v>
      </c>
      <c r="I9471">
        <v>1</v>
      </c>
      <c r="J9471">
        <v>53115.135099657302</v>
      </c>
      <c r="K9471">
        <v>45241.725442399998</v>
      </c>
      <c r="L9471">
        <v>27.707999999999998</v>
      </c>
      <c r="M9471">
        <v>83.869</v>
      </c>
      <c r="N9471">
        <v>2.641</v>
      </c>
    </row>
    <row r="9472" spans="1:14" x14ac:dyDescent="0.45">
      <c r="A9472">
        <v>2024</v>
      </c>
      <c r="B9472" t="s">
        <v>150</v>
      </c>
      <c r="C9472">
        <v>0</v>
      </c>
      <c r="D9472">
        <v>1</v>
      </c>
      <c r="E9472">
        <v>0</v>
      </c>
      <c r="F9472">
        <v>0</v>
      </c>
      <c r="G9472">
        <v>1</v>
      </c>
      <c r="H9472">
        <v>0</v>
      </c>
      <c r="I9472">
        <v>0</v>
      </c>
      <c r="J9472">
        <v>10259.9951095504</v>
      </c>
      <c r="K9472">
        <v>10111.5345965488</v>
      </c>
      <c r="L9472">
        <v>42.238</v>
      </c>
      <c r="M9472">
        <v>71.605999999999995</v>
      </c>
      <c r="N9472">
        <v>18.850000000000001</v>
      </c>
    </row>
    <row r="9473" spans="1:14" x14ac:dyDescent="0.45">
      <c r="A9473">
        <v>2024</v>
      </c>
      <c r="B9473" t="s">
        <v>151</v>
      </c>
      <c r="C9473">
        <v>0</v>
      </c>
      <c r="D9473">
        <v>0</v>
      </c>
      <c r="E9473">
        <v>0</v>
      </c>
      <c r="F9473">
        <v>1</v>
      </c>
      <c r="G9473">
        <v>0</v>
      </c>
      <c r="H9473">
        <v>0</v>
      </c>
      <c r="I9473">
        <v>0</v>
      </c>
      <c r="J9473">
        <v>9520.2506449745397</v>
      </c>
      <c r="K9473">
        <v>9444.5198227265701</v>
      </c>
      <c r="L9473">
        <v>7.7939999999999996</v>
      </c>
      <c r="M9473">
        <v>77.980999999999995</v>
      </c>
      <c r="N9473">
        <v>13.329000000000001</v>
      </c>
    </row>
    <row r="9474" spans="1:14" x14ac:dyDescent="0.45">
      <c r="A9474">
        <v>2024</v>
      </c>
      <c r="B9474" t="s">
        <v>152</v>
      </c>
      <c r="C9474">
        <v>0</v>
      </c>
      <c r="D9474">
        <v>0</v>
      </c>
      <c r="E9474">
        <v>0</v>
      </c>
      <c r="F9474">
        <v>0</v>
      </c>
      <c r="G9474">
        <v>0</v>
      </c>
      <c r="H9474">
        <v>1</v>
      </c>
      <c r="I9474">
        <v>1</v>
      </c>
      <c r="J9474">
        <v>46097.429977301203</v>
      </c>
      <c r="K9474">
        <v>42701.539411990401</v>
      </c>
      <c r="L9474">
        <v>7.8659999999999997</v>
      </c>
      <c r="M9474">
        <v>84.852000000000004</v>
      </c>
      <c r="N9474">
        <v>2.3239999999999998</v>
      </c>
    </row>
    <row r="9475" spans="1:14" x14ac:dyDescent="0.45">
      <c r="A9475">
        <v>2024</v>
      </c>
      <c r="B9475" t="s">
        <v>153</v>
      </c>
      <c r="C9475">
        <v>1</v>
      </c>
      <c r="D9475">
        <v>0</v>
      </c>
      <c r="E9475">
        <v>0</v>
      </c>
      <c r="F9475">
        <v>0</v>
      </c>
      <c r="G9475">
        <v>1</v>
      </c>
      <c r="H9475">
        <v>0</v>
      </c>
      <c r="I9475">
        <v>0</v>
      </c>
      <c r="J9475">
        <v>35905.441493890503</v>
      </c>
      <c r="K9475">
        <v>27304.630920096599</v>
      </c>
      <c r="L9475">
        <v>41.613</v>
      </c>
      <c r="M9475">
        <v>74.531000000000006</v>
      </c>
      <c r="N9475">
        <v>7.9119999999999999</v>
      </c>
    </row>
    <row r="9476" spans="1:14" x14ac:dyDescent="0.45">
      <c r="A9476">
        <v>2024</v>
      </c>
      <c r="B9476" t="s">
        <v>154</v>
      </c>
      <c r="C9476">
        <v>0</v>
      </c>
      <c r="D9476">
        <v>0</v>
      </c>
      <c r="E9476">
        <v>1</v>
      </c>
      <c r="F9476">
        <v>1</v>
      </c>
      <c r="G9476">
        <v>0</v>
      </c>
      <c r="H9476">
        <v>0</v>
      </c>
      <c r="I9476">
        <v>0</v>
      </c>
      <c r="J9476">
        <v>5823.4075946439098</v>
      </c>
      <c r="K9476">
        <v>5018.8819347693698</v>
      </c>
      <c r="L9476">
        <v>69.950999999999993</v>
      </c>
      <c r="M9476">
        <v>63.834000000000003</v>
      </c>
      <c r="N9476">
        <v>40.140999999999998</v>
      </c>
    </row>
    <row r="9477" spans="1:14" x14ac:dyDescent="0.45">
      <c r="A9477">
        <v>2024</v>
      </c>
      <c r="B9477" t="s">
        <v>155</v>
      </c>
      <c r="C9477">
        <v>1</v>
      </c>
      <c r="D9477">
        <v>0</v>
      </c>
      <c r="E9477">
        <v>0</v>
      </c>
      <c r="F9477">
        <v>1</v>
      </c>
      <c r="G9477">
        <v>0</v>
      </c>
      <c r="H9477">
        <v>0</v>
      </c>
      <c r="I9477">
        <v>0</v>
      </c>
      <c r="J9477">
        <v>7046.3102741348803</v>
      </c>
      <c r="K9477">
        <v>5955.3162119035796</v>
      </c>
      <c r="L9477">
        <v>61.834000000000003</v>
      </c>
      <c r="M9477">
        <v>71.823999999999998</v>
      </c>
      <c r="N9477">
        <v>14.611000000000001</v>
      </c>
    </row>
    <row r="9478" spans="1:14" x14ac:dyDescent="0.45">
      <c r="A9478">
        <v>2024</v>
      </c>
      <c r="B9478" t="s">
        <v>156</v>
      </c>
      <c r="C9478">
        <v>0</v>
      </c>
      <c r="D9478">
        <v>0</v>
      </c>
      <c r="E9478">
        <v>0</v>
      </c>
      <c r="F9478">
        <v>1</v>
      </c>
      <c r="G9478">
        <v>0</v>
      </c>
      <c r="H9478">
        <v>0</v>
      </c>
      <c r="I9478">
        <v>0</v>
      </c>
      <c r="J9478">
        <v>7011.5814690347597</v>
      </c>
      <c r="K9478">
        <v>6287.0627459616198</v>
      </c>
      <c r="L9478">
        <v>73.965000000000003</v>
      </c>
      <c r="M9478">
        <v>70.816999999999993</v>
      </c>
      <c r="N9478">
        <v>22.23</v>
      </c>
    </row>
    <row r="9479" spans="1:14" x14ac:dyDescent="0.45">
      <c r="A9479">
        <v>2024</v>
      </c>
      <c r="B9479" t="s">
        <v>157</v>
      </c>
      <c r="C9479">
        <v>0</v>
      </c>
      <c r="D9479">
        <v>0</v>
      </c>
      <c r="E9479">
        <v>0</v>
      </c>
      <c r="F9479">
        <v>1</v>
      </c>
      <c r="G9479">
        <v>0</v>
      </c>
      <c r="H9479">
        <v>0</v>
      </c>
      <c r="I9479">
        <v>0</v>
      </c>
      <c r="J9479">
        <v>3257.1363464741098</v>
      </c>
      <c r="K9479">
        <v>2946.4032504900101</v>
      </c>
      <c r="L9479">
        <v>41.552</v>
      </c>
      <c r="M9479">
        <v>66.599999999999994</v>
      </c>
      <c r="N9479">
        <v>53.95</v>
      </c>
    </row>
    <row r="9480" spans="1:14" x14ac:dyDescent="0.45">
      <c r="A9480">
        <v>2024</v>
      </c>
      <c r="B9480" t="s">
        <v>158</v>
      </c>
      <c r="C9480">
        <v>0</v>
      </c>
      <c r="D9480">
        <v>1</v>
      </c>
      <c r="E9480">
        <v>0</v>
      </c>
      <c r="F9480">
        <v>0</v>
      </c>
      <c r="G9480">
        <v>0</v>
      </c>
      <c r="H9480">
        <v>1</v>
      </c>
      <c r="I9480">
        <v>1</v>
      </c>
      <c r="J9480">
        <v>31270.688820024399</v>
      </c>
      <c r="K9480">
        <v>30884.058593272501</v>
      </c>
      <c r="L9480">
        <v>68.778999999999996</v>
      </c>
      <c r="M9480">
        <v>72.281000000000006</v>
      </c>
      <c r="N9480">
        <v>14.484999999999999</v>
      </c>
    </row>
    <row r="9481" spans="1:14" x14ac:dyDescent="0.45">
      <c r="A9481">
        <v>2024</v>
      </c>
      <c r="B9481" t="s">
        <v>159</v>
      </c>
      <c r="C9481">
        <v>0</v>
      </c>
      <c r="D9481">
        <v>0</v>
      </c>
      <c r="E9481">
        <v>0</v>
      </c>
      <c r="F9481">
        <v>0</v>
      </c>
      <c r="G9481">
        <v>0</v>
      </c>
      <c r="H9481">
        <v>1</v>
      </c>
      <c r="I9481">
        <v>1</v>
      </c>
      <c r="J9481">
        <v>51082.494698884402</v>
      </c>
      <c r="K9481">
        <v>46567.951346601803</v>
      </c>
      <c r="L9481">
        <v>18.501999999999999</v>
      </c>
      <c r="M9481">
        <v>84.433999999999997</v>
      </c>
      <c r="N9481">
        <v>2.5550000000000002</v>
      </c>
    </row>
    <row r="9482" spans="1:14" x14ac:dyDescent="0.45">
      <c r="A9482">
        <v>2024</v>
      </c>
      <c r="B9482" t="s">
        <v>160</v>
      </c>
      <c r="C9482">
        <v>0</v>
      </c>
      <c r="D9482">
        <v>0</v>
      </c>
      <c r="E9482">
        <v>0</v>
      </c>
      <c r="F9482">
        <v>0</v>
      </c>
      <c r="G9482">
        <v>0</v>
      </c>
      <c r="H9482">
        <v>1</v>
      </c>
      <c r="I9482">
        <v>1</v>
      </c>
      <c r="J9482">
        <v>45426.945395787203</v>
      </c>
      <c r="K9482">
        <v>40457.243257591799</v>
      </c>
      <c r="L9482">
        <v>0</v>
      </c>
      <c r="M9482">
        <v>80.599999999999994</v>
      </c>
      <c r="N9482">
        <v>7.617</v>
      </c>
    </row>
    <row r="9483" spans="1:14" x14ac:dyDescent="0.45">
      <c r="A9483">
        <v>2024</v>
      </c>
      <c r="B9483" t="s">
        <v>161</v>
      </c>
      <c r="C9483">
        <v>0</v>
      </c>
      <c r="D9483">
        <v>0</v>
      </c>
      <c r="E9483">
        <v>0</v>
      </c>
      <c r="F9483">
        <v>1</v>
      </c>
      <c r="G9483">
        <v>0</v>
      </c>
      <c r="H9483">
        <v>0</v>
      </c>
      <c r="I9483">
        <v>0</v>
      </c>
      <c r="J9483">
        <v>8610.9016627966594</v>
      </c>
      <c r="K9483">
        <v>8274.2808120786704</v>
      </c>
      <c r="L9483">
        <v>61.094000000000001</v>
      </c>
      <c r="M9483">
        <v>69.224999999999994</v>
      </c>
      <c r="N9483">
        <v>37.244</v>
      </c>
    </row>
    <row r="9484" spans="1:14" x14ac:dyDescent="0.45">
      <c r="A9484">
        <v>2024</v>
      </c>
      <c r="B9484" t="s">
        <v>162</v>
      </c>
      <c r="C9484">
        <v>0</v>
      </c>
      <c r="D9484">
        <v>0</v>
      </c>
      <c r="E9484">
        <v>0</v>
      </c>
      <c r="F9484">
        <v>1</v>
      </c>
      <c r="G9484">
        <v>0</v>
      </c>
      <c r="H9484">
        <v>0</v>
      </c>
      <c r="I9484">
        <v>0</v>
      </c>
      <c r="J9484">
        <v>11183.163384251</v>
      </c>
      <c r="K9484">
        <v>14535.8020537718</v>
      </c>
      <c r="L9484">
        <v>10.397</v>
      </c>
      <c r="M9484">
        <v>77.944999999999993</v>
      </c>
      <c r="N9484">
        <v>18.128</v>
      </c>
    </row>
    <row r="9485" spans="1:14" x14ac:dyDescent="0.45">
      <c r="A9485">
        <v>2024</v>
      </c>
      <c r="B9485" t="s">
        <v>163</v>
      </c>
      <c r="C9485">
        <v>0</v>
      </c>
      <c r="D9485">
        <v>0</v>
      </c>
      <c r="E9485">
        <v>1</v>
      </c>
      <c r="F9485">
        <v>0</v>
      </c>
      <c r="G9485">
        <v>0</v>
      </c>
      <c r="H9485">
        <v>0</v>
      </c>
      <c r="I9485">
        <v>0</v>
      </c>
      <c r="J9485">
        <v>1658.2599942500999</v>
      </c>
      <c r="K9485">
        <v>2449.9886802287801</v>
      </c>
      <c r="L9485">
        <v>45.923000000000002</v>
      </c>
      <c r="M9485">
        <v>62.323999999999998</v>
      </c>
      <c r="N9485">
        <v>70.061999999999998</v>
      </c>
    </row>
    <row r="9486" spans="1:14" x14ac:dyDescent="0.45">
      <c r="A9486">
        <v>2024</v>
      </c>
      <c r="B9486" t="s">
        <v>164</v>
      </c>
      <c r="C9486">
        <v>0</v>
      </c>
      <c r="D9486">
        <v>0</v>
      </c>
      <c r="E9486">
        <v>0</v>
      </c>
      <c r="F9486">
        <v>0</v>
      </c>
      <c r="G9486">
        <v>1</v>
      </c>
      <c r="H9486">
        <v>0</v>
      </c>
      <c r="I9486">
        <v>0</v>
      </c>
      <c r="J9486">
        <v>12275.9104976538</v>
      </c>
      <c r="K9486">
        <v>14346.7969907728</v>
      </c>
      <c r="L9486">
        <v>18.093</v>
      </c>
      <c r="M9486">
        <v>71.120999999999995</v>
      </c>
      <c r="N9486">
        <v>14.845000000000001</v>
      </c>
    </row>
    <row r="9487" spans="1:14" x14ac:dyDescent="0.45">
      <c r="A9487">
        <v>2024</v>
      </c>
      <c r="B9487" t="s">
        <v>165</v>
      </c>
      <c r="C9487">
        <v>0</v>
      </c>
      <c r="D9487">
        <v>1</v>
      </c>
      <c r="E9487">
        <v>0</v>
      </c>
      <c r="F9487">
        <v>0</v>
      </c>
      <c r="G9487">
        <v>1</v>
      </c>
      <c r="H9487">
        <v>0</v>
      </c>
      <c r="I9487">
        <v>0</v>
      </c>
      <c r="J9487">
        <v>24252.468858849101</v>
      </c>
      <c r="K9487">
        <v>17447.396042509899</v>
      </c>
      <c r="L9487">
        <v>80.694000000000003</v>
      </c>
      <c r="M9487">
        <v>72.846000000000004</v>
      </c>
      <c r="N9487">
        <v>16.588999999999999</v>
      </c>
    </row>
    <row r="9488" spans="1:14" x14ac:dyDescent="0.45">
      <c r="A9488">
        <v>2024</v>
      </c>
      <c r="B9488" t="s">
        <v>166</v>
      </c>
      <c r="C9488">
        <v>1</v>
      </c>
      <c r="D9488">
        <v>0</v>
      </c>
      <c r="E9488">
        <v>0</v>
      </c>
      <c r="F9488">
        <v>0</v>
      </c>
      <c r="G9488">
        <v>0</v>
      </c>
      <c r="H9488">
        <v>1</v>
      </c>
      <c r="I9488">
        <v>1</v>
      </c>
      <c r="L9488">
        <v>85.293000000000006</v>
      </c>
      <c r="M9488">
        <v>83.748000000000005</v>
      </c>
      <c r="N9488">
        <v>6.4219999999999997</v>
      </c>
    </row>
    <row r="9489" spans="1:14" x14ac:dyDescent="0.45">
      <c r="A9489">
        <v>2024</v>
      </c>
      <c r="B9489" t="s">
        <v>167</v>
      </c>
      <c r="C9489">
        <v>0</v>
      </c>
      <c r="D9489">
        <v>0</v>
      </c>
      <c r="E9489">
        <v>0</v>
      </c>
      <c r="F9489">
        <v>1</v>
      </c>
      <c r="G9489">
        <v>0</v>
      </c>
      <c r="H9489">
        <v>0</v>
      </c>
      <c r="I9489">
        <v>0</v>
      </c>
      <c r="J9489">
        <v>13752.836740385999</v>
      </c>
      <c r="K9489">
        <v>12844.932150553799</v>
      </c>
      <c r="L9489">
        <v>80.584000000000003</v>
      </c>
      <c r="M9489">
        <v>77.671999999999997</v>
      </c>
      <c r="N9489">
        <v>6.2039999999999997</v>
      </c>
    </row>
    <row r="9490" spans="1:14" x14ac:dyDescent="0.45">
      <c r="A9490">
        <v>2024</v>
      </c>
      <c r="B9490" t="s">
        <v>168</v>
      </c>
      <c r="C9490">
        <v>0</v>
      </c>
      <c r="D9490">
        <v>0</v>
      </c>
      <c r="E9490">
        <v>1</v>
      </c>
      <c r="F9490">
        <v>1</v>
      </c>
      <c r="G9490">
        <v>0</v>
      </c>
      <c r="H9490">
        <v>0</v>
      </c>
      <c r="I9490">
        <v>0</v>
      </c>
      <c r="J9490">
        <v>2637.9165102339498</v>
      </c>
      <c r="K9490">
        <v>2362.0437179618598</v>
      </c>
      <c r="L9490">
        <v>69.102999999999994</v>
      </c>
      <c r="M9490">
        <v>57.798000000000002</v>
      </c>
      <c r="N9490">
        <v>69.245999999999995</v>
      </c>
    </row>
    <row r="9491" spans="1:14" x14ac:dyDescent="0.45">
      <c r="A9491">
        <v>2024</v>
      </c>
      <c r="B9491" t="s">
        <v>169</v>
      </c>
      <c r="C9491">
        <v>1</v>
      </c>
      <c r="D9491">
        <v>0</v>
      </c>
      <c r="E9491">
        <v>0</v>
      </c>
      <c r="F9491">
        <v>0</v>
      </c>
      <c r="G9491">
        <v>0</v>
      </c>
      <c r="H9491">
        <v>1</v>
      </c>
      <c r="I9491">
        <v>1</v>
      </c>
      <c r="J9491">
        <v>47169.008419028702</v>
      </c>
      <c r="K9491">
        <v>40356.231958436802</v>
      </c>
      <c r="L9491">
        <v>31.064</v>
      </c>
      <c r="M9491">
        <v>76.167000000000002</v>
      </c>
      <c r="N9491">
        <v>3.7570000000000001</v>
      </c>
    </row>
    <row r="9492" spans="1:14" x14ac:dyDescent="0.45">
      <c r="A9492">
        <v>2024</v>
      </c>
      <c r="B9492" t="s">
        <v>170</v>
      </c>
      <c r="C9492">
        <v>1</v>
      </c>
      <c r="D9492">
        <v>0</v>
      </c>
      <c r="E9492">
        <v>0</v>
      </c>
      <c r="F9492">
        <v>0</v>
      </c>
      <c r="G9492">
        <v>0</v>
      </c>
      <c r="H9492">
        <v>1</v>
      </c>
      <c r="I9492">
        <v>1</v>
      </c>
      <c r="J9492">
        <v>128181.70334482301</v>
      </c>
      <c r="K9492">
        <v>109539.124736332</v>
      </c>
      <c r="L9492">
        <v>7.7339999999999902</v>
      </c>
      <c r="M9492">
        <v>82.361000000000004</v>
      </c>
      <c r="N9492">
        <v>3.6840000000000002</v>
      </c>
    </row>
    <row r="9493" spans="1:14" x14ac:dyDescent="0.45">
      <c r="A9493">
        <v>2024</v>
      </c>
      <c r="B9493" t="s">
        <v>171</v>
      </c>
      <c r="C9493">
        <v>1</v>
      </c>
      <c r="D9493">
        <v>0</v>
      </c>
      <c r="E9493">
        <v>0</v>
      </c>
      <c r="F9493">
        <v>0</v>
      </c>
      <c r="G9493">
        <v>0</v>
      </c>
      <c r="H9493">
        <v>1</v>
      </c>
      <c r="I9493">
        <v>1</v>
      </c>
      <c r="J9493">
        <v>38936.0453870454</v>
      </c>
      <c r="K9493">
        <v>33780.4957375714</v>
      </c>
      <c r="L9493">
        <v>31.184999999999999</v>
      </c>
      <c r="M9493">
        <v>76.33</v>
      </c>
      <c r="N9493">
        <v>3.4239999999999999</v>
      </c>
    </row>
    <row r="9494" spans="1:14" x14ac:dyDescent="0.45">
      <c r="A9494">
        <v>2024</v>
      </c>
      <c r="B9494" t="s">
        <v>172</v>
      </c>
      <c r="C9494">
        <v>0</v>
      </c>
      <c r="D9494">
        <v>0</v>
      </c>
      <c r="E9494">
        <v>0</v>
      </c>
      <c r="F9494">
        <v>0</v>
      </c>
      <c r="G9494">
        <v>0</v>
      </c>
      <c r="H9494">
        <v>1</v>
      </c>
      <c r="I9494">
        <v>1</v>
      </c>
      <c r="J9494">
        <v>112843.96274392999</v>
      </c>
      <c r="K9494">
        <v>102263.880448904</v>
      </c>
      <c r="L9494">
        <v>0</v>
      </c>
      <c r="M9494">
        <v>83.227999999999994</v>
      </c>
      <c r="N9494">
        <v>3.4129999999999998</v>
      </c>
    </row>
    <row r="9495" spans="1:14" x14ac:dyDescent="0.45">
      <c r="A9495">
        <v>2024</v>
      </c>
      <c r="B9495" t="s">
        <v>173</v>
      </c>
      <c r="C9495">
        <v>0</v>
      </c>
      <c r="D9495">
        <v>1</v>
      </c>
      <c r="E9495">
        <v>0</v>
      </c>
      <c r="F9495">
        <v>0</v>
      </c>
      <c r="G9495">
        <v>0</v>
      </c>
      <c r="H9495">
        <v>1</v>
      </c>
      <c r="I9495">
        <v>1</v>
      </c>
      <c r="L9495">
        <v>0</v>
      </c>
      <c r="M9495">
        <v>80.438000000000002</v>
      </c>
      <c r="N9495">
        <v>9.3140000000000001</v>
      </c>
    </row>
    <row r="9496" spans="1:14" x14ac:dyDescent="0.45">
      <c r="A9496">
        <v>2024</v>
      </c>
      <c r="B9496" t="s">
        <v>174</v>
      </c>
      <c r="C9496">
        <v>0</v>
      </c>
      <c r="D9496">
        <v>0</v>
      </c>
      <c r="E9496">
        <v>0</v>
      </c>
      <c r="F9496">
        <v>1</v>
      </c>
      <c r="G9496">
        <v>0</v>
      </c>
      <c r="H9496">
        <v>0</v>
      </c>
      <c r="I9496">
        <v>0</v>
      </c>
      <c r="J9496">
        <v>9065.9140625</v>
      </c>
      <c r="K9496">
        <v>8706.6177425627502</v>
      </c>
      <c r="L9496">
        <v>34.356999999999999</v>
      </c>
      <c r="M9496">
        <v>75.492999999999995</v>
      </c>
      <c r="N9496">
        <v>16.347999999999999</v>
      </c>
    </row>
    <row r="9497" spans="1:14" x14ac:dyDescent="0.45">
      <c r="A9497">
        <v>2024</v>
      </c>
      <c r="B9497" t="s">
        <v>175</v>
      </c>
      <c r="C9497">
        <v>1</v>
      </c>
      <c r="D9497">
        <v>0</v>
      </c>
      <c r="E9497">
        <v>0</v>
      </c>
      <c r="F9497">
        <v>0</v>
      </c>
      <c r="G9497">
        <v>0</v>
      </c>
      <c r="H9497">
        <v>1</v>
      </c>
      <c r="I9497">
        <v>1</v>
      </c>
      <c r="L9497">
        <v>0</v>
      </c>
      <c r="M9497">
        <v>86.497</v>
      </c>
      <c r="N9497">
        <v>4.49</v>
      </c>
    </row>
    <row r="9498" spans="1:14" x14ac:dyDescent="0.45">
      <c r="A9498">
        <v>2024</v>
      </c>
      <c r="B9498" t="s">
        <v>176</v>
      </c>
      <c r="C9498">
        <v>1</v>
      </c>
      <c r="D9498">
        <v>0</v>
      </c>
      <c r="E9498">
        <v>0</v>
      </c>
      <c r="F9498">
        <v>0</v>
      </c>
      <c r="G9498">
        <v>1</v>
      </c>
      <c r="H9498">
        <v>0</v>
      </c>
      <c r="I9498">
        <v>0</v>
      </c>
      <c r="J9498">
        <v>16465.928687609699</v>
      </c>
      <c r="K9498">
        <v>14122.9528153186</v>
      </c>
      <c r="L9498">
        <v>56.401000000000003</v>
      </c>
      <c r="M9498">
        <v>71.331999999999994</v>
      </c>
      <c r="N9498">
        <v>11.792999999999999</v>
      </c>
    </row>
    <row r="9499" spans="1:14" x14ac:dyDescent="0.45">
      <c r="A9499">
        <v>2024</v>
      </c>
      <c r="B9499" t="s">
        <v>177</v>
      </c>
      <c r="C9499">
        <v>0</v>
      </c>
      <c r="D9499">
        <v>0</v>
      </c>
      <c r="E9499">
        <v>1</v>
      </c>
      <c r="F9499">
        <v>0</v>
      </c>
      <c r="G9499">
        <v>0</v>
      </c>
      <c r="H9499">
        <v>0</v>
      </c>
      <c r="I9499">
        <v>0</v>
      </c>
      <c r="J9499">
        <v>1657.0497062251</v>
      </c>
      <c r="K9499">
        <v>1535.1348331164299</v>
      </c>
      <c r="L9499">
        <v>58.768999999999998</v>
      </c>
      <c r="M9499">
        <v>63.835000000000001</v>
      </c>
      <c r="N9499">
        <v>64.356999999999999</v>
      </c>
    </row>
    <row r="9500" spans="1:14" x14ac:dyDescent="0.45">
      <c r="A9500">
        <v>2024</v>
      </c>
      <c r="B9500" t="s">
        <v>178</v>
      </c>
      <c r="C9500">
        <v>0</v>
      </c>
      <c r="D9500">
        <v>0</v>
      </c>
      <c r="E9500">
        <v>0</v>
      </c>
      <c r="F9500">
        <v>0</v>
      </c>
      <c r="G9500">
        <v>1</v>
      </c>
      <c r="H9500">
        <v>0</v>
      </c>
      <c r="I9500">
        <v>0</v>
      </c>
      <c r="J9500">
        <v>23351.053899033199</v>
      </c>
      <c r="K9500">
        <v>23037.7597791876</v>
      </c>
      <c r="L9500">
        <v>57.593000000000004</v>
      </c>
      <c r="M9500">
        <v>81.284999999999997</v>
      </c>
      <c r="N9500">
        <v>5.3979999999999997</v>
      </c>
    </row>
    <row r="9501" spans="1:14" x14ac:dyDescent="0.45">
      <c r="A9501">
        <v>2024</v>
      </c>
      <c r="B9501" t="s">
        <v>179</v>
      </c>
      <c r="C9501">
        <v>0</v>
      </c>
      <c r="D9501">
        <v>1</v>
      </c>
      <c r="E9501">
        <v>0</v>
      </c>
      <c r="F9501">
        <v>0</v>
      </c>
      <c r="G9501">
        <v>1</v>
      </c>
      <c r="H9501">
        <v>0</v>
      </c>
      <c r="I9501">
        <v>0</v>
      </c>
      <c r="J9501">
        <v>22033.274449661902</v>
      </c>
      <c r="K9501">
        <v>20483.788641078001</v>
      </c>
      <c r="L9501">
        <v>18.138000000000002</v>
      </c>
      <c r="M9501">
        <v>75.263999999999996</v>
      </c>
      <c r="N9501">
        <v>12.478</v>
      </c>
    </row>
    <row r="9502" spans="1:14" x14ac:dyDescent="0.45">
      <c r="A9502">
        <v>2024</v>
      </c>
      <c r="B9502" t="s">
        <v>180</v>
      </c>
      <c r="C9502">
        <v>0</v>
      </c>
      <c r="D9502">
        <v>0</v>
      </c>
      <c r="E9502">
        <v>0</v>
      </c>
      <c r="F9502">
        <v>0</v>
      </c>
      <c r="G9502">
        <v>1</v>
      </c>
      <c r="H9502">
        <v>0</v>
      </c>
      <c r="I9502">
        <v>0</v>
      </c>
      <c r="J9502">
        <v>7212.3343275610796</v>
      </c>
      <c r="K9502">
        <v>6523.4473988028303</v>
      </c>
      <c r="L9502">
        <v>20.792000000000002</v>
      </c>
      <c r="M9502">
        <v>67.075000000000003</v>
      </c>
      <c r="N9502">
        <v>27.207000000000001</v>
      </c>
    </row>
    <row r="9503" spans="1:14" x14ac:dyDescent="0.45">
      <c r="A9503">
        <v>2024</v>
      </c>
      <c r="B9503" t="s">
        <v>181</v>
      </c>
      <c r="C9503">
        <v>1</v>
      </c>
      <c r="D9503">
        <v>0</v>
      </c>
      <c r="E9503">
        <v>0</v>
      </c>
      <c r="F9503">
        <v>0</v>
      </c>
      <c r="G9503">
        <v>1</v>
      </c>
      <c r="H9503">
        <v>0</v>
      </c>
      <c r="I9503">
        <v>0</v>
      </c>
      <c r="J9503">
        <v>24463.9851463341</v>
      </c>
      <c r="K9503">
        <v>20652.199726979099</v>
      </c>
      <c r="L9503">
        <v>40.131999999999998</v>
      </c>
      <c r="M9503">
        <v>77.540000000000006</v>
      </c>
      <c r="N9503">
        <v>6.9059999999999997</v>
      </c>
    </row>
    <row r="9504" spans="1:14" x14ac:dyDescent="0.45">
      <c r="A9504">
        <v>2024</v>
      </c>
      <c r="B9504" t="s">
        <v>182</v>
      </c>
      <c r="C9504">
        <v>0</v>
      </c>
      <c r="D9504">
        <v>0</v>
      </c>
      <c r="E9504">
        <v>1</v>
      </c>
      <c r="F9504">
        <v>0</v>
      </c>
      <c r="G9504">
        <v>0</v>
      </c>
      <c r="H9504">
        <v>0</v>
      </c>
      <c r="I9504">
        <v>0</v>
      </c>
      <c r="J9504">
        <v>2910.81542295398</v>
      </c>
      <c r="K9504">
        <v>2694.2792284976199</v>
      </c>
      <c r="L9504">
        <v>53.066000000000003</v>
      </c>
      <c r="M9504">
        <v>60.674999999999997</v>
      </c>
      <c r="N9504">
        <v>92.2</v>
      </c>
    </row>
    <row r="9505" spans="1:14" x14ac:dyDescent="0.45">
      <c r="A9505">
        <v>2024</v>
      </c>
      <c r="B9505" t="s">
        <v>183</v>
      </c>
      <c r="C9505">
        <v>0</v>
      </c>
      <c r="D9505">
        <v>0</v>
      </c>
      <c r="E9505">
        <v>0</v>
      </c>
      <c r="F9505">
        <v>0</v>
      </c>
      <c r="G9505">
        <v>0</v>
      </c>
      <c r="H9505">
        <v>1</v>
      </c>
      <c r="I9505">
        <v>1</v>
      </c>
      <c r="J9505">
        <v>60469.780799095402</v>
      </c>
      <c r="K9505">
        <v>52309.3201308676</v>
      </c>
      <c r="L9505">
        <v>4.9939999999999998</v>
      </c>
      <c r="M9505">
        <v>83.466999999999999</v>
      </c>
      <c r="N9505">
        <v>5.452</v>
      </c>
    </row>
    <row r="9506" spans="1:14" x14ac:dyDescent="0.45">
      <c r="A9506">
        <v>2024</v>
      </c>
      <c r="B9506" t="s">
        <v>184</v>
      </c>
      <c r="C9506">
        <v>0</v>
      </c>
      <c r="D9506">
        <v>0</v>
      </c>
      <c r="E9506">
        <v>0</v>
      </c>
      <c r="F9506">
        <v>1</v>
      </c>
      <c r="G9506">
        <v>0</v>
      </c>
      <c r="H9506">
        <v>0</v>
      </c>
      <c r="I9506">
        <v>0</v>
      </c>
      <c r="J9506">
        <v>5276.2943398785301</v>
      </c>
      <c r="K9506">
        <v>4224.7454038179503</v>
      </c>
      <c r="L9506">
        <v>67.53</v>
      </c>
      <c r="M9506">
        <v>67.094999999999999</v>
      </c>
      <c r="N9506">
        <v>41.366</v>
      </c>
    </row>
    <row r="9507" spans="1:14" x14ac:dyDescent="0.45">
      <c r="A9507">
        <v>2024</v>
      </c>
      <c r="B9507" t="s">
        <v>185</v>
      </c>
      <c r="C9507">
        <v>1</v>
      </c>
      <c r="D9507">
        <v>0</v>
      </c>
      <c r="E9507">
        <v>0</v>
      </c>
      <c r="F9507">
        <v>0</v>
      </c>
      <c r="G9507">
        <v>1</v>
      </c>
      <c r="H9507">
        <v>0</v>
      </c>
      <c r="I9507">
        <v>0</v>
      </c>
      <c r="J9507">
        <v>27852.041338451399</v>
      </c>
      <c r="K9507">
        <v>23533.2746432803</v>
      </c>
      <c r="L9507">
        <v>31.16</v>
      </c>
      <c r="M9507">
        <v>77.254000000000005</v>
      </c>
      <c r="N9507">
        <v>3.351</v>
      </c>
    </row>
    <row r="9508" spans="1:14" x14ac:dyDescent="0.45">
      <c r="A9508">
        <v>2024</v>
      </c>
      <c r="B9508" t="s">
        <v>186</v>
      </c>
      <c r="C9508">
        <v>0</v>
      </c>
      <c r="D9508">
        <v>0</v>
      </c>
      <c r="E9508">
        <v>0</v>
      </c>
      <c r="F9508">
        <v>0</v>
      </c>
      <c r="G9508">
        <v>1</v>
      </c>
      <c r="H9508">
        <v>0</v>
      </c>
      <c r="I9508">
        <v>0</v>
      </c>
      <c r="J9508">
        <v>16801.306793135202</v>
      </c>
      <c r="K9508">
        <v>12945.001998641999</v>
      </c>
      <c r="L9508">
        <v>30.736999999999998</v>
      </c>
      <c r="M9508">
        <v>71.984999999999999</v>
      </c>
      <c r="N9508">
        <v>11.276999999999999</v>
      </c>
    </row>
    <row r="9509" spans="1:14" x14ac:dyDescent="0.45">
      <c r="A9509">
        <v>2024</v>
      </c>
      <c r="B9509" t="s">
        <v>187</v>
      </c>
      <c r="C9509">
        <v>0</v>
      </c>
      <c r="D9509">
        <v>0</v>
      </c>
      <c r="E9509">
        <v>0</v>
      </c>
      <c r="F9509">
        <v>0</v>
      </c>
      <c r="G9509">
        <v>0</v>
      </c>
      <c r="H9509">
        <v>1</v>
      </c>
      <c r="I9509">
        <v>1</v>
      </c>
      <c r="L9509">
        <v>7.82899999999999</v>
      </c>
      <c r="M9509">
        <v>78.947000000000003</v>
      </c>
      <c r="N9509">
        <v>6.0549999999999997</v>
      </c>
    </row>
    <row r="9510" spans="1:14" x14ac:dyDescent="0.45">
      <c r="A9510">
        <v>2024</v>
      </c>
      <c r="B9510" t="s">
        <v>188</v>
      </c>
      <c r="C9510">
        <v>0</v>
      </c>
      <c r="D9510">
        <v>0</v>
      </c>
      <c r="E9510">
        <v>1</v>
      </c>
      <c r="F9510">
        <v>0</v>
      </c>
      <c r="G9510">
        <v>0</v>
      </c>
      <c r="H9510">
        <v>0</v>
      </c>
      <c r="I9510">
        <v>0</v>
      </c>
      <c r="J9510">
        <v>1495.3224081402</v>
      </c>
      <c r="K9510">
        <v>1252.03331105195</v>
      </c>
      <c r="L9510">
        <v>60.673999999999999</v>
      </c>
      <c r="M9510">
        <v>63.796999999999997</v>
      </c>
      <c r="N9510">
        <v>63.018999999999998</v>
      </c>
    </row>
    <row r="9511" spans="1:14" x14ac:dyDescent="0.45">
      <c r="A9511">
        <v>2024</v>
      </c>
      <c r="B9511" t="s">
        <v>189</v>
      </c>
      <c r="C9511">
        <v>0</v>
      </c>
      <c r="D9511">
        <v>0</v>
      </c>
      <c r="E9511">
        <v>1</v>
      </c>
      <c r="F9511">
        <v>1</v>
      </c>
      <c r="G9511">
        <v>0</v>
      </c>
      <c r="H9511">
        <v>0</v>
      </c>
      <c r="I9511">
        <v>0</v>
      </c>
      <c r="J9511">
        <v>6396.9912582736597</v>
      </c>
      <c r="K9511">
        <v>5659.5036983869704</v>
      </c>
      <c r="L9511">
        <v>41.542000000000002</v>
      </c>
      <c r="M9511">
        <v>68.712999999999994</v>
      </c>
      <c r="N9511">
        <v>36.607999999999997</v>
      </c>
    </row>
    <row r="9512" spans="1:14" x14ac:dyDescent="0.45">
      <c r="A9512">
        <v>2024</v>
      </c>
      <c r="B9512" t="s">
        <v>190</v>
      </c>
      <c r="C9512">
        <v>0</v>
      </c>
      <c r="D9512">
        <v>0</v>
      </c>
      <c r="E9512">
        <v>1</v>
      </c>
      <c r="F9512">
        <v>0</v>
      </c>
      <c r="G9512">
        <v>1</v>
      </c>
      <c r="H9512">
        <v>0</v>
      </c>
      <c r="I9512">
        <v>0</v>
      </c>
      <c r="J9512">
        <v>27317.185283654999</v>
      </c>
      <c r="K9512">
        <v>25640.584385558199</v>
      </c>
      <c r="L9512">
        <v>59.055999999999997</v>
      </c>
      <c r="M9512">
        <v>75.102000000000004</v>
      </c>
      <c r="N9512">
        <v>13.372</v>
      </c>
    </row>
    <row r="9513" spans="1:14" x14ac:dyDescent="0.45">
      <c r="A9513">
        <v>2024</v>
      </c>
      <c r="B9513" t="s">
        <v>191</v>
      </c>
      <c r="C9513">
        <v>0</v>
      </c>
      <c r="D9513">
        <v>0</v>
      </c>
      <c r="E9513">
        <v>1</v>
      </c>
      <c r="F9513">
        <v>0</v>
      </c>
      <c r="G9513">
        <v>0</v>
      </c>
      <c r="H9513">
        <v>0</v>
      </c>
      <c r="I9513">
        <v>0</v>
      </c>
      <c r="J9513">
        <v>1635.85689673716</v>
      </c>
      <c r="K9513">
        <v>1399.7395512759299</v>
      </c>
      <c r="L9513">
        <v>81.402000000000001</v>
      </c>
      <c r="M9513">
        <v>67.561000000000007</v>
      </c>
      <c r="N9513">
        <v>38.209000000000003</v>
      </c>
    </row>
    <row r="9514" spans="1:14" x14ac:dyDescent="0.45">
      <c r="A9514">
        <v>2024</v>
      </c>
      <c r="B9514" t="s">
        <v>192</v>
      </c>
      <c r="C9514">
        <v>0</v>
      </c>
      <c r="D9514">
        <v>0</v>
      </c>
      <c r="E9514">
        <v>0</v>
      </c>
      <c r="F9514">
        <v>0</v>
      </c>
      <c r="G9514">
        <v>1</v>
      </c>
      <c r="H9514">
        <v>0</v>
      </c>
      <c r="I9514">
        <v>0</v>
      </c>
      <c r="J9514">
        <v>34071.944955471103</v>
      </c>
      <c r="K9514">
        <v>30456.298596012701</v>
      </c>
      <c r="L9514">
        <v>20.798999999999999</v>
      </c>
      <c r="M9514">
        <v>76.820999999999998</v>
      </c>
      <c r="N9514">
        <v>6.2149999999999999</v>
      </c>
    </row>
    <row r="9515" spans="1:14" x14ac:dyDescent="0.45">
      <c r="A9515">
        <v>2024</v>
      </c>
      <c r="B9515" t="s">
        <v>193</v>
      </c>
      <c r="C9515">
        <v>0</v>
      </c>
      <c r="D9515">
        <v>0</v>
      </c>
      <c r="E9515">
        <v>1</v>
      </c>
      <c r="F9515">
        <v>1</v>
      </c>
      <c r="G9515">
        <v>0</v>
      </c>
      <c r="H9515">
        <v>0</v>
      </c>
      <c r="I9515">
        <v>0</v>
      </c>
      <c r="J9515">
        <v>10281.335637034401</v>
      </c>
      <c r="K9515">
        <v>8910.8315856648496</v>
      </c>
      <c r="L9515">
        <v>44.204999999999998</v>
      </c>
      <c r="M9515">
        <v>67.516000000000005</v>
      </c>
      <c r="N9515">
        <v>36.268999999999998</v>
      </c>
    </row>
    <row r="9516" spans="1:14" x14ac:dyDescent="0.45">
      <c r="A9516">
        <v>2024</v>
      </c>
      <c r="B9516" t="s">
        <v>194</v>
      </c>
      <c r="C9516">
        <v>0</v>
      </c>
      <c r="D9516">
        <v>0</v>
      </c>
      <c r="E9516">
        <v>0</v>
      </c>
      <c r="F9516">
        <v>0</v>
      </c>
      <c r="G9516">
        <v>0</v>
      </c>
      <c r="H9516">
        <v>1</v>
      </c>
      <c r="I9516">
        <v>1</v>
      </c>
      <c r="L9516">
        <v>26.893999999999998</v>
      </c>
      <c r="M9516">
        <v>78.921000000000006</v>
      </c>
      <c r="N9516">
        <v>10.571</v>
      </c>
    </row>
    <row r="9517" spans="1:14" x14ac:dyDescent="0.45">
      <c r="A9517">
        <v>2024</v>
      </c>
      <c r="B9517" t="s">
        <v>195</v>
      </c>
      <c r="C9517">
        <v>0</v>
      </c>
      <c r="D9517">
        <v>0</v>
      </c>
      <c r="E9517">
        <v>1</v>
      </c>
      <c r="F9517">
        <v>0</v>
      </c>
      <c r="G9517">
        <v>0</v>
      </c>
      <c r="H9517">
        <v>0</v>
      </c>
      <c r="I9517">
        <v>0</v>
      </c>
      <c r="J9517">
        <v>1772.72451186128</v>
      </c>
      <c r="K9517">
        <v>1409.01849527945</v>
      </c>
      <c r="L9517">
        <v>82.768000000000001</v>
      </c>
      <c r="M9517">
        <v>61.433</v>
      </c>
      <c r="N9517">
        <v>113.724</v>
      </c>
    </row>
    <row r="9518" spans="1:14" x14ac:dyDescent="0.45">
      <c r="A9518">
        <v>2024</v>
      </c>
      <c r="B9518" t="s">
        <v>196</v>
      </c>
      <c r="C9518">
        <v>0</v>
      </c>
      <c r="D9518">
        <v>0</v>
      </c>
      <c r="E9518">
        <v>1</v>
      </c>
      <c r="F9518">
        <v>1</v>
      </c>
      <c r="G9518">
        <v>0</v>
      </c>
      <c r="H9518">
        <v>0</v>
      </c>
      <c r="I9518">
        <v>0</v>
      </c>
      <c r="J9518">
        <v>5665.4515771619699</v>
      </c>
      <c r="K9518">
        <v>5009.0227723872604</v>
      </c>
      <c r="L9518">
        <v>44.97</v>
      </c>
      <c r="M9518">
        <v>54.634999999999998</v>
      </c>
      <c r="N9518">
        <v>102.77200000000001</v>
      </c>
    </row>
    <row r="9519" spans="1:14" x14ac:dyDescent="0.45">
      <c r="A9519">
        <v>2024</v>
      </c>
      <c r="B9519" t="s">
        <v>197</v>
      </c>
      <c r="C9519">
        <v>0</v>
      </c>
      <c r="D9519">
        <v>1</v>
      </c>
      <c r="E9519">
        <v>0</v>
      </c>
      <c r="F9519">
        <v>1</v>
      </c>
      <c r="G9519">
        <v>0</v>
      </c>
      <c r="H9519">
        <v>0</v>
      </c>
      <c r="I9519">
        <v>0</v>
      </c>
      <c r="J9519">
        <v>7661.6020272281803</v>
      </c>
      <c r="K9519">
        <v>6453.1003923179596</v>
      </c>
      <c r="L9519">
        <v>39.844999999999999</v>
      </c>
      <c r="M9519">
        <v>75.099999999999994</v>
      </c>
      <c r="N9519">
        <v>13.196</v>
      </c>
    </row>
    <row r="9520" spans="1:14" x14ac:dyDescent="0.45">
      <c r="A9520">
        <v>2024</v>
      </c>
      <c r="B9520" t="s">
        <v>198</v>
      </c>
      <c r="C9520">
        <v>1</v>
      </c>
      <c r="D9520">
        <v>0</v>
      </c>
      <c r="E9520">
        <v>0</v>
      </c>
      <c r="F9520">
        <v>0</v>
      </c>
      <c r="G9520">
        <v>0</v>
      </c>
      <c r="H9520">
        <v>1</v>
      </c>
      <c r="I9520">
        <v>1</v>
      </c>
      <c r="J9520">
        <v>70901.838417315797</v>
      </c>
      <c r="K9520">
        <v>59851.292358151397</v>
      </c>
      <c r="L9520">
        <v>6.5469999999999997</v>
      </c>
      <c r="M9520">
        <v>82.304000000000002</v>
      </c>
      <c r="N9520">
        <v>3.5790000000000002</v>
      </c>
    </row>
    <row r="9521" spans="1:14" x14ac:dyDescent="0.45">
      <c r="A9521">
        <v>2024</v>
      </c>
      <c r="B9521" t="s">
        <v>199</v>
      </c>
      <c r="C9521">
        <v>1</v>
      </c>
      <c r="D9521">
        <v>0</v>
      </c>
      <c r="E9521">
        <v>0</v>
      </c>
      <c r="F9521">
        <v>0</v>
      </c>
      <c r="G9521">
        <v>0</v>
      </c>
      <c r="H9521">
        <v>1</v>
      </c>
      <c r="I9521">
        <v>1</v>
      </c>
      <c r="J9521">
        <v>91108.236970464495</v>
      </c>
      <c r="K9521">
        <v>67318.747219690704</v>
      </c>
      <c r="L9521">
        <v>15.682</v>
      </c>
      <c r="M9521">
        <v>83.46</v>
      </c>
      <c r="N9521">
        <v>2.1110000000000002</v>
      </c>
    </row>
    <row r="9522" spans="1:14" x14ac:dyDescent="0.45">
      <c r="A9522">
        <v>2024</v>
      </c>
      <c r="B9522" t="s">
        <v>200</v>
      </c>
      <c r="C9522">
        <v>0</v>
      </c>
      <c r="D9522">
        <v>0</v>
      </c>
      <c r="E9522">
        <v>0</v>
      </c>
      <c r="F9522">
        <v>1</v>
      </c>
      <c r="G9522">
        <v>0</v>
      </c>
      <c r="H9522">
        <v>0</v>
      </c>
      <c r="I9522">
        <v>0</v>
      </c>
      <c r="J9522">
        <v>5046.8159297294596</v>
      </c>
      <c r="K9522">
        <v>4467.9810800632804</v>
      </c>
      <c r="L9522">
        <v>77.634</v>
      </c>
      <c r="M9522">
        <v>70.635999999999996</v>
      </c>
      <c r="N9522">
        <v>24.754999999999999</v>
      </c>
    </row>
    <row r="9523" spans="1:14" x14ac:dyDescent="0.45">
      <c r="A9523">
        <v>2024</v>
      </c>
      <c r="B9523" t="s">
        <v>201</v>
      </c>
      <c r="C9523">
        <v>0</v>
      </c>
      <c r="D9523">
        <v>0</v>
      </c>
      <c r="E9523">
        <v>0</v>
      </c>
      <c r="F9523">
        <v>0</v>
      </c>
      <c r="G9523">
        <v>0</v>
      </c>
      <c r="H9523">
        <v>1</v>
      </c>
      <c r="I9523">
        <v>1</v>
      </c>
      <c r="J9523">
        <v>12604.062534187</v>
      </c>
      <c r="K9523">
        <v>11403.153372307301</v>
      </c>
      <c r="L9523">
        <v>0</v>
      </c>
      <c r="M9523">
        <v>62.279000000000003</v>
      </c>
      <c r="N9523">
        <v>25.323</v>
      </c>
    </row>
    <row r="9524" spans="1:14" x14ac:dyDescent="0.45">
      <c r="A9524">
        <v>2024</v>
      </c>
      <c r="B9524" t="s">
        <v>202</v>
      </c>
      <c r="C9524">
        <v>0</v>
      </c>
      <c r="D9524">
        <v>0</v>
      </c>
      <c r="E9524">
        <v>0</v>
      </c>
      <c r="F9524">
        <v>0</v>
      </c>
      <c r="G9524">
        <v>0</v>
      </c>
      <c r="H9524">
        <v>1</v>
      </c>
      <c r="I9524">
        <v>1</v>
      </c>
      <c r="J9524">
        <v>48162.861086863399</v>
      </c>
      <c r="K9524">
        <v>43806.626629200502</v>
      </c>
      <c r="L9524">
        <v>12.909000000000001</v>
      </c>
      <c r="M9524">
        <v>82.245000000000005</v>
      </c>
      <c r="N9524">
        <v>4.66</v>
      </c>
    </row>
    <row r="9525" spans="1:14" x14ac:dyDescent="0.45">
      <c r="A9525">
        <v>2024</v>
      </c>
      <c r="B9525" t="s">
        <v>203</v>
      </c>
      <c r="C9525">
        <v>0</v>
      </c>
      <c r="D9525">
        <v>0</v>
      </c>
      <c r="E9525">
        <v>0</v>
      </c>
      <c r="F9525">
        <v>0</v>
      </c>
      <c r="G9525">
        <v>0</v>
      </c>
      <c r="H9525">
        <v>1</v>
      </c>
      <c r="I9525">
        <v>1</v>
      </c>
      <c r="J9525">
        <v>36654.231160612297</v>
      </c>
      <c r="K9525">
        <v>31849.616031620499</v>
      </c>
      <c r="L9525">
        <v>11.002000000000001</v>
      </c>
      <c r="M9525">
        <v>80.245999999999995</v>
      </c>
      <c r="N9525">
        <v>10.099</v>
      </c>
    </row>
    <row r="9526" spans="1:14" x14ac:dyDescent="0.45">
      <c r="A9526">
        <v>2024</v>
      </c>
      <c r="B9526" t="s">
        <v>204</v>
      </c>
      <c r="C9526">
        <v>0</v>
      </c>
      <c r="D9526">
        <v>0</v>
      </c>
      <c r="E9526">
        <v>0</v>
      </c>
      <c r="F9526">
        <v>1</v>
      </c>
      <c r="G9526">
        <v>0</v>
      </c>
      <c r="H9526">
        <v>0</v>
      </c>
      <c r="I9526">
        <v>0</v>
      </c>
      <c r="J9526">
        <v>5530.9961292591597</v>
      </c>
      <c r="K9526">
        <v>5264.9484684110503</v>
      </c>
      <c r="L9526">
        <v>61.634999999999998</v>
      </c>
      <c r="M9526">
        <v>67.799000000000007</v>
      </c>
      <c r="N9526">
        <v>58.100999999999999</v>
      </c>
    </row>
    <row r="9527" spans="1:14" x14ac:dyDescent="0.45">
      <c r="A9527">
        <v>2024</v>
      </c>
      <c r="B9527" t="s">
        <v>205</v>
      </c>
      <c r="C9527">
        <v>0</v>
      </c>
      <c r="D9527">
        <v>1</v>
      </c>
      <c r="E9527">
        <v>0</v>
      </c>
      <c r="F9527">
        <v>0</v>
      </c>
      <c r="G9527">
        <v>0</v>
      </c>
      <c r="H9527">
        <v>1</v>
      </c>
      <c r="I9527">
        <v>1</v>
      </c>
      <c r="J9527">
        <v>36426.007943645003</v>
      </c>
      <c r="K9527">
        <v>38195.511709319399</v>
      </c>
      <c r="L9527">
        <v>30.111999999999998</v>
      </c>
      <c r="M9527">
        <v>79.775000000000006</v>
      </c>
      <c r="N9527">
        <v>13.164999999999999</v>
      </c>
    </row>
    <row r="9528" spans="1:14" x14ac:dyDescent="0.45">
      <c r="A9528">
        <v>2024</v>
      </c>
      <c r="B9528" t="s">
        <v>206</v>
      </c>
      <c r="C9528">
        <v>0</v>
      </c>
      <c r="D9528">
        <v>1</v>
      </c>
      <c r="E9528">
        <v>0</v>
      </c>
      <c r="F9528">
        <v>0</v>
      </c>
      <c r="G9528">
        <v>1</v>
      </c>
      <c r="H9528">
        <v>0</v>
      </c>
      <c r="I9528">
        <v>0</v>
      </c>
      <c r="J9528">
        <v>15661.7497711956</v>
      </c>
      <c r="K9528">
        <v>13086.711022532299</v>
      </c>
      <c r="L9528">
        <v>20.861000000000001</v>
      </c>
      <c r="M9528">
        <v>77.941000000000003</v>
      </c>
      <c r="N9528">
        <v>12.786</v>
      </c>
    </row>
    <row r="9529" spans="1:14" x14ac:dyDescent="0.45">
      <c r="A9529">
        <v>2024</v>
      </c>
      <c r="B9529" t="s">
        <v>207</v>
      </c>
      <c r="C9529">
        <v>0</v>
      </c>
      <c r="D9529">
        <v>0</v>
      </c>
      <c r="E9529">
        <v>0</v>
      </c>
      <c r="F9529">
        <v>1</v>
      </c>
      <c r="G9529">
        <v>0</v>
      </c>
      <c r="H9529">
        <v>0</v>
      </c>
      <c r="I9529">
        <v>0</v>
      </c>
      <c r="J9529">
        <v>10375.940417993799</v>
      </c>
      <c r="K9529">
        <v>9396.4575963300704</v>
      </c>
      <c r="L9529">
        <v>51.386000000000003</v>
      </c>
      <c r="M9529">
        <v>69.945999999999998</v>
      </c>
      <c r="N9529">
        <v>26.515999999999998</v>
      </c>
    </row>
    <row r="9530" spans="1:14" x14ac:dyDescent="0.45">
      <c r="A9530">
        <v>2024</v>
      </c>
      <c r="B9530" t="s">
        <v>208</v>
      </c>
      <c r="C9530">
        <v>0</v>
      </c>
      <c r="D9530">
        <v>0</v>
      </c>
      <c r="E9530">
        <v>0</v>
      </c>
      <c r="F9530">
        <v>0</v>
      </c>
      <c r="G9530">
        <v>0</v>
      </c>
      <c r="H9530">
        <v>1</v>
      </c>
      <c r="I9530">
        <v>1</v>
      </c>
      <c r="J9530">
        <v>16125.726464341</v>
      </c>
      <c r="K9530">
        <v>14589.274816273801</v>
      </c>
      <c r="L9530">
        <v>17.161000000000001</v>
      </c>
      <c r="M9530">
        <v>69.382999999999996</v>
      </c>
      <c r="N9530">
        <v>21.434999999999999</v>
      </c>
    </row>
    <row r="9531" spans="1:14" x14ac:dyDescent="0.45">
      <c r="A9531">
        <v>2024</v>
      </c>
      <c r="B9531" t="s">
        <v>209</v>
      </c>
      <c r="C9531">
        <v>0</v>
      </c>
      <c r="D9531">
        <v>0</v>
      </c>
      <c r="E9531">
        <v>0</v>
      </c>
      <c r="F9531">
        <v>1</v>
      </c>
      <c r="G9531">
        <v>0</v>
      </c>
      <c r="H9531">
        <v>0</v>
      </c>
      <c r="I9531">
        <v>0</v>
      </c>
      <c r="J9531">
        <v>4300.7259708662796</v>
      </c>
      <c r="K9531">
        <v>3890.44250164496</v>
      </c>
      <c r="L9531">
        <v>86.12</v>
      </c>
      <c r="M9531">
        <v>66.256</v>
      </c>
      <c r="N9531">
        <v>39.201999999999998</v>
      </c>
    </row>
    <row r="9532" spans="1:14" x14ac:dyDescent="0.45">
      <c r="A9532">
        <v>2024</v>
      </c>
      <c r="B9532" t="s">
        <v>210</v>
      </c>
      <c r="C9532">
        <v>1</v>
      </c>
      <c r="D9532">
        <v>0</v>
      </c>
      <c r="E9532">
        <v>0</v>
      </c>
      <c r="F9532">
        <v>0</v>
      </c>
      <c r="G9532">
        <v>0</v>
      </c>
      <c r="H9532">
        <v>1</v>
      </c>
      <c r="I9532">
        <v>1</v>
      </c>
      <c r="J9532">
        <v>45112.599399319603</v>
      </c>
      <c r="K9532">
        <v>38939.8904014707</v>
      </c>
      <c r="L9532">
        <v>39.67</v>
      </c>
      <c r="M9532">
        <v>78.81</v>
      </c>
      <c r="N9532">
        <v>3.8109999999999999</v>
      </c>
    </row>
    <row r="9533" spans="1:14" x14ac:dyDescent="0.45">
      <c r="A9533">
        <v>2024</v>
      </c>
      <c r="B9533" t="s">
        <v>211</v>
      </c>
      <c r="C9533">
        <v>0</v>
      </c>
      <c r="D9533">
        <v>1</v>
      </c>
      <c r="E9533">
        <v>0</v>
      </c>
      <c r="F9533">
        <v>0</v>
      </c>
      <c r="G9533">
        <v>0</v>
      </c>
      <c r="H9533">
        <v>1</v>
      </c>
      <c r="I9533">
        <v>1</v>
      </c>
      <c r="J9533">
        <v>44124.540955238503</v>
      </c>
      <c r="K9533">
        <v>33898.2696286887</v>
      </c>
      <c r="L9533">
        <v>6.3360000000000003</v>
      </c>
      <c r="M9533">
        <v>81.902000000000001</v>
      </c>
      <c r="N9533">
        <v>6.524</v>
      </c>
    </row>
    <row r="9534" spans="1:14" x14ac:dyDescent="0.45">
      <c r="A9534">
        <v>2024</v>
      </c>
      <c r="B9534" t="s">
        <v>212</v>
      </c>
      <c r="C9534">
        <v>0</v>
      </c>
      <c r="D9534">
        <v>0</v>
      </c>
      <c r="E9534">
        <v>0</v>
      </c>
      <c r="F9534">
        <v>0</v>
      </c>
      <c r="G9534">
        <v>0</v>
      </c>
      <c r="H9534">
        <v>0</v>
      </c>
      <c r="I9534">
        <v>0</v>
      </c>
      <c r="L9534">
        <v>36.497</v>
      </c>
      <c r="M9534">
        <v>73.742999999999995</v>
      </c>
      <c r="N9534">
        <v>16.713000000000001</v>
      </c>
    </row>
    <row r="9535" spans="1:14" x14ac:dyDescent="0.45">
      <c r="A9535">
        <v>2024</v>
      </c>
      <c r="B9535" t="s">
        <v>213</v>
      </c>
      <c r="C9535">
        <v>1</v>
      </c>
      <c r="D9535">
        <v>0</v>
      </c>
      <c r="E9535">
        <v>0</v>
      </c>
      <c r="F9535">
        <v>0</v>
      </c>
      <c r="G9535">
        <v>0</v>
      </c>
      <c r="H9535">
        <v>1</v>
      </c>
      <c r="I9535">
        <v>1</v>
      </c>
      <c r="J9535">
        <v>41883.851420216401</v>
      </c>
      <c r="K9535">
        <v>36203.693073343202</v>
      </c>
      <c r="L9535">
        <v>31.577000000000002</v>
      </c>
      <c r="M9535">
        <v>82.55</v>
      </c>
      <c r="N9535">
        <v>3.0289999999999999</v>
      </c>
    </row>
    <row r="9536" spans="1:14" x14ac:dyDescent="0.45">
      <c r="A9536">
        <v>2024</v>
      </c>
      <c r="B9536" t="s">
        <v>214</v>
      </c>
      <c r="C9536">
        <v>0</v>
      </c>
      <c r="D9536">
        <v>1</v>
      </c>
      <c r="E9536">
        <v>0</v>
      </c>
      <c r="F9536">
        <v>0</v>
      </c>
      <c r="G9536">
        <v>1</v>
      </c>
      <c r="H9536">
        <v>0</v>
      </c>
      <c r="I9536">
        <v>0</v>
      </c>
      <c r="J9536">
        <v>16296.2836189267</v>
      </c>
      <c r="K9536">
        <v>14867.7356692505</v>
      </c>
      <c r="L9536">
        <v>36.511000000000003</v>
      </c>
      <c r="M9536">
        <v>73.981999999999999</v>
      </c>
      <c r="N9536">
        <v>19.274000000000001</v>
      </c>
    </row>
    <row r="9537" spans="1:14" x14ac:dyDescent="0.45">
      <c r="A9537">
        <v>2024</v>
      </c>
      <c r="B9537" t="s">
        <v>215</v>
      </c>
      <c r="C9537">
        <v>0</v>
      </c>
      <c r="D9537">
        <v>0</v>
      </c>
      <c r="E9537">
        <v>0</v>
      </c>
      <c r="F9537">
        <v>1</v>
      </c>
      <c r="G9537">
        <v>0</v>
      </c>
      <c r="H9537">
        <v>0</v>
      </c>
      <c r="I9537">
        <v>0</v>
      </c>
      <c r="J9537">
        <v>3845.50297375419</v>
      </c>
      <c r="K9537">
        <v>3279.0021961710199</v>
      </c>
      <c r="L9537">
        <v>22.123000000000001</v>
      </c>
      <c r="M9537">
        <v>69.212999999999994</v>
      </c>
      <c r="N9537">
        <v>27.53</v>
      </c>
    </row>
    <row r="9538" spans="1:14" x14ac:dyDescent="0.45">
      <c r="A9538">
        <v>2024</v>
      </c>
      <c r="B9538" t="s">
        <v>216</v>
      </c>
      <c r="C9538">
        <v>0</v>
      </c>
      <c r="D9538">
        <v>0</v>
      </c>
      <c r="E9538">
        <v>0</v>
      </c>
      <c r="F9538">
        <v>0</v>
      </c>
      <c r="G9538">
        <v>0</v>
      </c>
      <c r="H9538">
        <v>1</v>
      </c>
      <c r="I9538">
        <v>1</v>
      </c>
      <c r="L9538">
        <v>37.58</v>
      </c>
      <c r="M9538">
        <v>84.191999999999993</v>
      </c>
      <c r="N9538">
        <v>5.9610000000000003</v>
      </c>
    </row>
    <row r="9539" spans="1:14" x14ac:dyDescent="0.45">
      <c r="A9539">
        <v>2024</v>
      </c>
      <c r="B9539" t="s">
        <v>217</v>
      </c>
      <c r="C9539">
        <v>0</v>
      </c>
      <c r="D9539">
        <v>0</v>
      </c>
      <c r="E9539">
        <v>0</v>
      </c>
      <c r="F9539">
        <v>0</v>
      </c>
      <c r="G9539">
        <v>0</v>
      </c>
      <c r="H9539">
        <v>1</v>
      </c>
      <c r="I9539">
        <v>1</v>
      </c>
      <c r="J9539">
        <v>110945.880494642</v>
      </c>
      <c r="K9539">
        <v>95801.530599032194</v>
      </c>
      <c r="L9539">
        <v>0.61299999999999999</v>
      </c>
      <c r="M9539">
        <v>82.522000000000006</v>
      </c>
      <c r="N9539">
        <v>6.8360000000000003</v>
      </c>
    </row>
    <row r="9540" spans="1:14" x14ac:dyDescent="0.45">
      <c r="A9540">
        <v>2024</v>
      </c>
      <c r="B9540" t="s">
        <v>218</v>
      </c>
      <c r="C9540">
        <v>1</v>
      </c>
      <c r="D9540">
        <v>0</v>
      </c>
      <c r="E9540">
        <v>0</v>
      </c>
      <c r="F9540">
        <v>0</v>
      </c>
      <c r="G9540">
        <v>0</v>
      </c>
      <c r="H9540">
        <v>1</v>
      </c>
      <c r="I9540">
        <v>1</v>
      </c>
      <c r="J9540">
        <v>40608.418979361799</v>
      </c>
      <c r="K9540">
        <v>33007.987494551999</v>
      </c>
      <c r="L9540">
        <v>45.12</v>
      </c>
      <c r="M9540">
        <v>76.093000000000004</v>
      </c>
      <c r="N9540">
        <v>6.2850000000000001</v>
      </c>
    </row>
    <row r="9541" spans="1:14" x14ac:dyDescent="0.45">
      <c r="A9541">
        <v>2024</v>
      </c>
      <c r="B9541" t="s">
        <v>219</v>
      </c>
      <c r="C9541">
        <v>1</v>
      </c>
      <c r="D9541">
        <v>0</v>
      </c>
      <c r="E9541">
        <v>0</v>
      </c>
      <c r="F9541">
        <v>0</v>
      </c>
      <c r="G9541">
        <v>0</v>
      </c>
      <c r="H9541">
        <v>1</v>
      </c>
      <c r="I9541">
        <v>1</v>
      </c>
      <c r="J9541">
        <v>41704.7109375</v>
      </c>
      <c r="K9541">
        <v>30223.4524918436</v>
      </c>
      <c r="L9541">
        <v>24.452000000000002</v>
      </c>
      <c r="M9541">
        <v>73.343000000000004</v>
      </c>
      <c r="N9541">
        <v>5.2889999999999997</v>
      </c>
    </row>
    <row r="9542" spans="1:14" x14ac:dyDescent="0.45">
      <c r="A9542">
        <v>2024</v>
      </c>
      <c r="B9542" t="s">
        <v>220</v>
      </c>
      <c r="C9542">
        <v>0</v>
      </c>
      <c r="D9542">
        <v>0</v>
      </c>
      <c r="E9542">
        <v>1</v>
      </c>
      <c r="F9542">
        <v>0</v>
      </c>
      <c r="G9542">
        <v>0</v>
      </c>
      <c r="H9542">
        <v>0</v>
      </c>
      <c r="I9542">
        <v>0</v>
      </c>
      <c r="J9542">
        <v>3264.6445147439199</v>
      </c>
      <c r="K9542">
        <v>2732.0303541583498</v>
      </c>
      <c r="L9542">
        <v>81.918999999999997</v>
      </c>
      <c r="M9542">
        <v>68.016999999999996</v>
      </c>
      <c r="N9542">
        <v>35.387999999999998</v>
      </c>
    </row>
    <row r="9543" spans="1:14" x14ac:dyDescent="0.45">
      <c r="A9543">
        <v>2024</v>
      </c>
      <c r="B9543" t="s">
        <v>221</v>
      </c>
      <c r="C9543">
        <v>0</v>
      </c>
      <c r="D9543">
        <v>0</v>
      </c>
      <c r="E9543">
        <v>0</v>
      </c>
      <c r="F9543">
        <v>0</v>
      </c>
      <c r="G9543">
        <v>0</v>
      </c>
      <c r="H9543">
        <v>1</v>
      </c>
      <c r="I9543">
        <v>1</v>
      </c>
      <c r="J9543">
        <v>62676.697980373297</v>
      </c>
      <c r="K9543">
        <v>57460.620372848898</v>
      </c>
      <c r="L9543">
        <v>14.829000000000001</v>
      </c>
      <c r="M9543">
        <v>78.981999999999999</v>
      </c>
      <c r="N9543">
        <v>7.3579999999999997</v>
      </c>
    </row>
    <row r="9544" spans="1:14" x14ac:dyDescent="0.45">
      <c r="A9544">
        <v>2024</v>
      </c>
      <c r="B9544" t="s">
        <v>222</v>
      </c>
      <c r="C9544">
        <v>0</v>
      </c>
      <c r="D9544">
        <v>0</v>
      </c>
      <c r="E9544">
        <v>1</v>
      </c>
      <c r="F9544">
        <v>0</v>
      </c>
      <c r="G9544">
        <v>0</v>
      </c>
      <c r="H9544">
        <v>0</v>
      </c>
      <c r="I9544">
        <v>0</v>
      </c>
      <c r="J9544">
        <v>1871.58911132813</v>
      </c>
      <c r="K9544">
        <v>1959.8006139782501</v>
      </c>
      <c r="L9544">
        <v>63.247999999999998</v>
      </c>
      <c r="M9544">
        <v>66.521000000000001</v>
      </c>
      <c r="N9544">
        <v>52.997</v>
      </c>
    </row>
    <row r="9545" spans="1:14" x14ac:dyDescent="0.45">
      <c r="A9545">
        <v>2024</v>
      </c>
      <c r="B9545" t="s">
        <v>223</v>
      </c>
      <c r="C9545">
        <v>0</v>
      </c>
      <c r="D9545">
        <v>0</v>
      </c>
      <c r="E9545">
        <v>1</v>
      </c>
      <c r="F9545">
        <v>1</v>
      </c>
      <c r="G9545">
        <v>0</v>
      </c>
      <c r="H9545">
        <v>0</v>
      </c>
      <c r="I9545">
        <v>0</v>
      </c>
      <c r="J9545">
        <v>4495.8948934583796</v>
      </c>
      <c r="K9545">
        <v>3756.04597394234</v>
      </c>
      <c r="L9545">
        <v>49.92</v>
      </c>
      <c r="M9545">
        <v>68.924000000000007</v>
      </c>
      <c r="N9545">
        <v>34.179000000000002</v>
      </c>
    </row>
    <row r="9546" spans="1:14" x14ac:dyDescent="0.45">
      <c r="A9546">
        <v>2024</v>
      </c>
      <c r="B9546" t="s">
        <v>224</v>
      </c>
      <c r="C9546">
        <v>0</v>
      </c>
      <c r="D9546">
        <v>0</v>
      </c>
      <c r="E9546">
        <v>0</v>
      </c>
      <c r="F9546">
        <v>0</v>
      </c>
      <c r="G9546">
        <v>0</v>
      </c>
      <c r="H9546">
        <v>1</v>
      </c>
      <c r="I9546">
        <v>1</v>
      </c>
      <c r="J9546">
        <v>132569.52522579499</v>
      </c>
      <c r="K9546">
        <v>108977.09632400201</v>
      </c>
      <c r="L9546">
        <v>0</v>
      </c>
      <c r="M9546">
        <v>83.863</v>
      </c>
      <c r="N9546">
        <v>2.2309999999999999</v>
      </c>
    </row>
    <row r="9547" spans="1:14" x14ac:dyDescent="0.45">
      <c r="A9547">
        <v>2024</v>
      </c>
      <c r="B9547" t="s">
        <v>225</v>
      </c>
      <c r="C9547">
        <v>0</v>
      </c>
      <c r="D9547">
        <v>0</v>
      </c>
      <c r="E9547">
        <v>0</v>
      </c>
      <c r="F9547">
        <v>1</v>
      </c>
      <c r="G9547">
        <v>0</v>
      </c>
      <c r="H9547">
        <v>0</v>
      </c>
      <c r="I9547">
        <v>0</v>
      </c>
      <c r="J9547">
        <v>2527.0748592155801</v>
      </c>
      <c r="K9547">
        <v>2285.9235853662499</v>
      </c>
      <c r="L9547">
        <v>73.512</v>
      </c>
      <c r="M9547">
        <v>70.694000000000003</v>
      </c>
      <c r="N9547">
        <v>17.135999999999999</v>
      </c>
    </row>
    <row r="9548" spans="1:14" x14ac:dyDescent="0.45">
      <c r="A9548">
        <v>2024</v>
      </c>
      <c r="B9548" t="s">
        <v>226</v>
      </c>
      <c r="C9548">
        <v>0</v>
      </c>
      <c r="D9548">
        <v>0</v>
      </c>
      <c r="E9548">
        <v>1</v>
      </c>
      <c r="F9548">
        <v>0</v>
      </c>
      <c r="G9548">
        <v>0</v>
      </c>
      <c r="H9548">
        <v>0</v>
      </c>
      <c r="I9548">
        <v>0</v>
      </c>
      <c r="J9548">
        <v>3092.8305770948</v>
      </c>
      <c r="K9548">
        <v>2807.2713255382</v>
      </c>
      <c r="L9548">
        <v>55.220999999999997</v>
      </c>
      <c r="M9548">
        <v>61.963999999999999</v>
      </c>
      <c r="N9548">
        <v>95.738</v>
      </c>
    </row>
    <row r="9549" spans="1:14" x14ac:dyDescent="0.45">
      <c r="A9549">
        <v>2024</v>
      </c>
      <c r="B9549" t="s">
        <v>227</v>
      </c>
      <c r="C9549">
        <v>0</v>
      </c>
      <c r="D9549">
        <v>1</v>
      </c>
      <c r="E9549">
        <v>0</v>
      </c>
      <c r="F9549">
        <v>0</v>
      </c>
      <c r="G9549">
        <v>1</v>
      </c>
      <c r="H9549">
        <v>0</v>
      </c>
      <c r="I9549">
        <v>0</v>
      </c>
      <c r="J9549">
        <v>11669.081713564399</v>
      </c>
      <c r="K9549">
        <v>10394.2391501086</v>
      </c>
      <c r="L9549">
        <v>24.004000000000001</v>
      </c>
      <c r="M9549">
        <v>72.302000000000007</v>
      </c>
      <c r="N9549">
        <v>11.316000000000001</v>
      </c>
    </row>
    <row r="9550" spans="1:14" x14ac:dyDescent="0.45">
      <c r="A9550">
        <v>2024</v>
      </c>
      <c r="B9550" t="s">
        <v>228</v>
      </c>
      <c r="C9550">
        <v>1</v>
      </c>
      <c r="D9550">
        <v>0</v>
      </c>
      <c r="E9550">
        <v>0</v>
      </c>
      <c r="F9550">
        <v>0</v>
      </c>
      <c r="G9550">
        <v>0</v>
      </c>
      <c r="H9550">
        <v>1</v>
      </c>
      <c r="I9550">
        <v>1</v>
      </c>
      <c r="J9550">
        <v>76324.062478124295</v>
      </c>
      <c r="K9550">
        <v>67270.069549399399</v>
      </c>
      <c r="L9550">
        <v>2.0680000000000001</v>
      </c>
      <c r="M9550">
        <v>85.816999999999993</v>
      </c>
      <c r="N9550">
        <v>1.369</v>
      </c>
    </row>
    <row r="9551" spans="1:14" x14ac:dyDescent="0.45">
      <c r="A9551">
        <v>2024</v>
      </c>
      <c r="B9551" t="s">
        <v>229</v>
      </c>
      <c r="C9551">
        <v>0</v>
      </c>
      <c r="D9551">
        <v>0</v>
      </c>
      <c r="E9551">
        <v>1</v>
      </c>
      <c r="F9551">
        <v>0</v>
      </c>
      <c r="G9551">
        <v>0</v>
      </c>
      <c r="H9551">
        <v>0</v>
      </c>
      <c r="I9551">
        <v>0</v>
      </c>
      <c r="J9551">
        <v>1408.27829822017</v>
      </c>
      <c r="K9551">
        <v>1306.22640199241</v>
      </c>
      <c r="L9551">
        <v>51.481000000000002</v>
      </c>
      <c r="M9551">
        <v>58.966999999999999</v>
      </c>
      <c r="N9551">
        <v>102.104</v>
      </c>
    </row>
    <row r="9552" spans="1:14" x14ac:dyDescent="0.45">
      <c r="A9552">
        <v>2024</v>
      </c>
      <c r="B9552" t="s">
        <v>230</v>
      </c>
      <c r="C9552">
        <v>1</v>
      </c>
      <c r="D9552">
        <v>0</v>
      </c>
      <c r="E9552">
        <v>0</v>
      </c>
      <c r="F9552">
        <v>0</v>
      </c>
      <c r="G9552">
        <v>1</v>
      </c>
      <c r="H9552">
        <v>0</v>
      </c>
      <c r="I9552">
        <v>0</v>
      </c>
      <c r="J9552">
        <v>26884.462773827101</v>
      </c>
      <c r="K9552">
        <v>23640.146952174098</v>
      </c>
      <c r="L9552">
        <v>42.628999999999998</v>
      </c>
      <c r="M9552">
        <v>76.938999999999993</v>
      </c>
      <c r="N9552">
        <v>4.7370000000000001</v>
      </c>
    </row>
    <row r="9553" spans="1:14" x14ac:dyDescent="0.45">
      <c r="A9553">
        <v>2024</v>
      </c>
      <c r="B9553" t="s">
        <v>231</v>
      </c>
      <c r="C9553">
        <v>0</v>
      </c>
      <c r="D9553">
        <v>0</v>
      </c>
      <c r="E9553">
        <v>1</v>
      </c>
      <c r="F9553">
        <v>0</v>
      </c>
      <c r="G9553">
        <v>0</v>
      </c>
      <c r="H9553">
        <v>0</v>
      </c>
      <c r="I9553">
        <v>0</v>
      </c>
      <c r="L9553">
        <v>78.44</v>
      </c>
      <c r="M9553">
        <v>57.738</v>
      </c>
      <c r="N9553">
        <v>98.161000000000001</v>
      </c>
    </row>
    <row r="9554" spans="1:14" x14ac:dyDescent="0.45">
      <c r="A9554">
        <v>2024</v>
      </c>
      <c r="B9554" t="s">
        <v>232</v>
      </c>
      <c r="C9554">
        <v>0</v>
      </c>
      <c r="D9554">
        <v>0</v>
      </c>
      <c r="E9554">
        <v>1</v>
      </c>
      <c r="F9554">
        <v>1</v>
      </c>
      <c r="G9554">
        <v>0</v>
      </c>
      <c r="H9554">
        <v>0</v>
      </c>
      <c r="I9554">
        <v>0</v>
      </c>
      <c r="J9554">
        <v>5480.4352610576798</v>
      </c>
      <c r="K9554">
        <v>3410.9367632316698</v>
      </c>
      <c r="L9554">
        <v>22.986000000000001</v>
      </c>
      <c r="M9554">
        <v>69.905000000000001</v>
      </c>
      <c r="N9554">
        <v>13.167999999999999</v>
      </c>
    </row>
    <row r="9555" spans="1:14" x14ac:dyDescent="0.45">
      <c r="A9555">
        <v>2024</v>
      </c>
      <c r="B9555" t="s">
        <v>233</v>
      </c>
      <c r="C9555">
        <v>0</v>
      </c>
      <c r="D9555">
        <v>1</v>
      </c>
      <c r="E9555">
        <v>0</v>
      </c>
      <c r="F9555">
        <v>0</v>
      </c>
      <c r="G9555">
        <v>1</v>
      </c>
      <c r="H9555">
        <v>0</v>
      </c>
      <c r="I9555">
        <v>0</v>
      </c>
      <c r="J9555">
        <v>19413.297178706402</v>
      </c>
      <c r="K9555">
        <v>15452.589034958301</v>
      </c>
      <c r="L9555">
        <v>33.466999999999999</v>
      </c>
      <c r="M9555">
        <v>73.757000000000005</v>
      </c>
      <c r="N9555">
        <v>12.420999999999999</v>
      </c>
    </row>
    <row r="9556" spans="1:14" x14ac:dyDescent="0.45">
      <c r="A9556">
        <v>2024</v>
      </c>
      <c r="B9556" t="s">
        <v>234</v>
      </c>
      <c r="C9556">
        <v>1</v>
      </c>
      <c r="D9556">
        <v>0</v>
      </c>
      <c r="E9556">
        <v>0</v>
      </c>
      <c r="F9556">
        <v>0</v>
      </c>
      <c r="G9556">
        <v>0</v>
      </c>
      <c r="H9556">
        <v>1</v>
      </c>
      <c r="I9556">
        <v>1</v>
      </c>
      <c r="J9556">
        <v>40346.574813847801</v>
      </c>
      <c r="K9556">
        <v>34749.812314532101</v>
      </c>
      <c r="L9556">
        <v>45.828000000000003</v>
      </c>
      <c r="M9556">
        <v>78.492000000000004</v>
      </c>
      <c r="N9556">
        <v>4.7549999999999999</v>
      </c>
    </row>
    <row r="9557" spans="1:14" x14ac:dyDescent="0.45">
      <c r="A9557">
        <v>2024</v>
      </c>
      <c r="B9557" t="s">
        <v>235</v>
      </c>
      <c r="C9557">
        <v>1</v>
      </c>
      <c r="D9557">
        <v>0</v>
      </c>
      <c r="E9557">
        <v>0</v>
      </c>
      <c r="F9557">
        <v>0</v>
      </c>
      <c r="G9557">
        <v>0</v>
      </c>
      <c r="H9557">
        <v>1</v>
      </c>
      <c r="I9557">
        <v>1</v>
      </c>
      <c r="J9557">
        <v>48495.889687080999</v>
      </c>
      <c r="K9557">
        <v>41745.489357976898</v>
      </c>
      <c r="L9557">
        <v>43.561999999999998</v>
      </c>
      <c r="M9557">
        <v>81.777000000000001</v>
      </c>
      <c r="N9557">
        <v>1.78</v>
      </c>
    </row>
    <row r="9558" spans="1:14" x14ac:dyDescent="0.45">
      <c r="A9558">
        <v>2024</v>
      </c>
      <c r="B9558" t="s">
        <v>236</v>
      </c>
      <c r="C9558">
        <v>1</v>
      </c>
      <c r="D9558">
        <v>0</v>
      </c>
      <c r="E9558">
        <v>0</v>
      </c>
      <c r="F9558">
        <v>0</v>
      </c>
      <c r="G9558">
        <v>0</v>
      </c>
      <c r="H9558">
        <v>1</v>
      </c>
      <c r="I9558">
        <v>1</v>
      </c>
      <c r="J9558">
        <v>63258.9079924002</v>
      </c>
      <c r="K9558">
        <v>54036.926451532803</v>
      </c>
      <c r="L9558">
        <v>11.023999999999999</v>
      </c>
      <c r="M9558">
        <v>83.424000000000007</v>
      </c>
      <c r="N9558">
        <v>2.431</v>
      </c>
    </row>
    <row r="9559" spans="1:14" x14ac:dyDescent="0.45">
      <c r="A9559">
        <v>2024</v>
      </c>
      <c r="B9559" t="s">
        <v>237</v>
      </c>
      <c r="C9559">
        <v>0</v>
      </c>
      <c r="D9559">
        <v>0</v>
      </c>
      <c r="E9559">
        <v>1</v>
      </c>
      <c r="F9559">
        <v>1</v>
      </c>
      <c r="G9559">
        <v>0</v>
      </c>
      <c r="H9559">
        <v>0</v>
      </c>
      <c r="I9559">
        <v>0</v>
      </c>
      <c r="J9559">
        <v>10367.268255418399</v>
      </c>
      <c r="K9559">
        <v>9180.2179394473696</v>
      </c>
      <c r="L9559">
        <v>74.986999999999995</v>
      </c>
      <c r="M9559">
        <v>64.263999999999996</v>
      </c>
      <c r="N9559">
        <v>48.786000000000001</v>
      </c>
    </row>
    <row r="9560" spans="1:14" x14ac:dyDescent="0.45">
      <c r="A9560">
        <v>2024</v>
      </c>
      <c r="B9560" t="s">
        <v>238</v>
      </c>
      <c r="C9560">
        <v>0</v>
      </c>
      <c r="D9560">
        <v>1</v>
      </c>
      <c r="E9560">
        <v>0</v>
      </c>
      <c r="F9560">
        <v>0</v>
      </c>
      <c r="G9560">
        <v>0</v>
      </c>
      <c r="H9560">
        <v>1</v>
      </c>
      <c r="I9560">
        <v>1</v>
      </c>
      <c r="J9560">
        <v>45821.807720567398</v>
      </c>
      <c r="K9560">
        <v>44222.053299066101</v>
      </c>
      <c r="L9560">
        <v>0</v>
      </c>
      <c r="M9560">
        <v>76.528000000000006</v>
      </c>
      <c r="N9560">
        <v>14.451000000000001</v>
      </c>
    </row>
    <row r="9561" spans="1:14" x14ac:dyDescent="0.45">
      <c r="A9561">
        <v>2024</v>
      </c>
      <c r="B9561" t="s">
        <v>239</v>
      </c>
      <c r="C9561">
        <v>0</v>
      </c>
      <c r="D9561">
        <v>0</v>
      </c>
      <c r="E9561">
        <v>1</v>
      </c>
      <c r="F9561">
        <v>0</v>
      </c>
      <c r="G9561">
        <v>0</v>
      </c>
      <c r="H9561">
        <v>1</v>
      </c>
      <c r="I9561">
        <v>1</v>
      </c>
      <c r="J9561">
        <v>29241.775804882502</v>
      </c>
      <c r="K9561">
        <v>28389.374530167101</v>
      </c>
      <c r="L9561">
        <v>40.758000000000003</v>
      </c>
      <c r="M9561">
        <v>72.986000000000004</v>
      </c>
      <c r="N9561">
        <v>12.398999999999999</v>
      </c>
    </row>
    <row r="9562" spans="1:14" x14ac:dyDescent="0.45">
      <c r="A9562">
        <v>2024</v>
      </c>
      <c r="B9562" t="s">
        <v>240</v>
      </c>
      <c r="C9562">
        <v>0</v>
      </c>
      <c r="D9562">
        <v>0</v>
      </c>
      <c r="E9562">
        <v>0</v>
      </c>
      <c r="F9562">
        <v>0</v>
      </c>
      <c r="G9562">
        <v>0</v>
      </c>
      <c r="H9562">
        <v>0</v>
      </c>
      <c r="I9562">
        <v>0</v>
      </c>
      <c r="J9562">
        <v>3940.8767646115698</v>
      </c>
      <c r="K9562">
        <v>2584.9291621286702</v>
      </c>
      <c r="L9562">
        <v>41.956000000000003</v>
      </c>
      <c r="M9562">
        <v>72.56</v>
      </c>
      <c r="N9562">
        <v>21.361999999999998</v>
      </c>
    </row>
    <row r="9563" spans="1:14" x14ac:dyDescent="0.45">
      <c r="A9563">
        <v>2024</v>
      </c>
      <c r="B9563" t="s">
        <v>241</v>
      </c>
      <c r="C9563">
        <v>0</v>
      </c>
      <c r="D9563">
        <v>1</v>
      </c>
      <c r="E9563">
        <v>0</v>
      </c>
      <c r="F9563">
        <v>0</v>
      </c>
      <c r="G9563">
        <v>0</v>
      </c>
      <c r="H9563">
        <v>1</v>
      </c>
      <c r="I9563">
        <v>1</v>
      </c>
      <c r="J9563">
        <v>33390.526714805899</v>
      </c>
      <c r="K9563">
        <v>51983.615331700203</v>
      </c>
      <c r="L9563">
        <v>5.5669999999999904</v>
      </c>
      <c r="M9563">
        <v>78.180999999999997</v>
      </c>
      <c r="N9563">
        <v>5.6420000000000003</v>
      </c>
    </row>
    <row r="9564" spans="1:14" x14ac:dyDescent="0.45">
      <c r="A9564">
        <v>2024</v>
      </c>
      <c r="B9564" t="s">
        <v>242</v>
      </c>
      <c r="C9564">
        <v>0</v>
      </c>
      <c r="D9564">
        <v>0</v>
      </c>
      <c r="E9564">
        <v>1</v>
      </c>
      <c r="F9564">
        <v>0</v>
      </c>
      <c r="G9564">
        <v>0</v>
      </c>
      <c r="H9564">
        <v>0</v>
      </c>
      <c r="I9564">
        <v>0</v>
      </c>
      <c r="J9564">
        <v>2605.7716418397399</v>
      </c>
      <c r="K9564">
        <v>2188.9424523703501</v>
      </c>
      <c r="L9564">
        <v>75.308999999999997</v>
      </c>
      <c r="M9564">
        <v>55.238</v>
      </c>
      <c r="N9564">
        <v>98.272999999999996</v>
      </c>
    </row>
    <row r="9565" spans="1:14" x14ac:dyDescent="0.45">
      <c r="A9565">
        <v>2024</v>
      </c>
      <c r="B9565" t="s">
        <v>243</v>
      </c>
      <c r="C9565">
        <v>0</v>
      </c>
      <c r="D9565">
        <v>0</v>
      </c>
      <c r="E9565">
        <v>1</v>
      </c>
      <c r="F9565">
        <v>0</v>
      </c>
      <c r="G9565">
        <v>0</v>
      </c>
      <c r="H9565">
        <v>0</v>
      </c>
      <c r="I9565">
        <v>0</v>
      </c>
      <c r="J9565">
        <v>2849.6038496617098</v>
      </c>
      <c r="K9565">
        <v>2368.1283519563299</v>
      </c>
      <c r="L9565">
        <v>54.936</v>
      </c>
      <c r="M9565">
        <v>62.932000000000002</v>
      </c>
      <c r="N9565">
        <v>57.348999999999997</v>
      </c>
    </row>
    <row r="9566" spans="1:14" x14ac:dyDescent="0.45">
      <c r="A9566">
        <v>2024</v>
      </c>
      <c r="B9566" t="s">
        <v>244</v>
      </c>
      <c r="C9566">
        <v>0</v>
      </c>
      <c r="D9566">
        <v>0</v>
      </c>
      <c r="E9566">
        <v>0</v>
      </c>
      <c r="F9566">
        <v>0</v>
      </c>
      <c r="G9566">
        <v>1</v>
      </c>
      <c r="H9566">
        <v>0</v>
      </c>
      <c r="I9566">
        <v>0</v>
      </c>
      <c r="J9566">
        <v>21737.177972012902</v>
      </c>
      <c r="K9566">
        <v>19009.750669786401</v>
      </c>
      <c r="L9566">
        <v>45.68</v>
      </c>
      <c r="M9566">
        <v>76.563999999999993</v>
      </c>
      <c r="N9566">
        <v>9.9830000000000005</v>
      </c>
    </row>
    <row r="9567" spans="1:14" x14ac:dyDescent="0.45">
      <c r="A9567">
        <v>2024</v>
      </c>
      <c r="B9567" t="s">
        <v>245</v>
      </c>
      <c r="C9567">
        <v>1</v>
      </c>
      <c r="D9567">
        <v>0</v>
      </c>
      <c r="E9567">
        <v>0</v>
      </c>
      <c r="F9567">
        <v>1</v>
      </c>
      <c r="G9567">
        <v>0</v>
      </c>
      <c r="H9567">
        <v>0</v>
      </c>
      <c r="I9567">
        <v>0</v>
      </c>
      <c r="J9567">
        <v>4755.9329670471898</v>
      </c>
      <c r="K9567">
        <v>4331.3955739214398</v>
      </c>
      <c r="L9567">
        <v>71.477000000000004</v>
      </c>
      <c r="M9567">
        <v>71.927000000000007</v>
      </c>
      <c r="N9567">
        <v>25.896000000000001</v>
      </c>
    </row>
    <row r="9568" spans="1:14" x14ac:dyDescent="0.45">
      <c r="A9568">
        <v>2024</v>
      </c>
      <c r="B9568" t="s">
        <v>246</v>
      </c>
      <c r="C9568">
        <v>1</v>
      </c>
      <c r="D9568">
        <v>0</v>
      </c>
      <c r="E9568">
        <v>0</v>
      </c>
      <c r="F9568">
        <v>0</v>
      </c>
      <c r="G9568">
        <v>1</v>
      </c>
      <c r="H9568">
        <v>0</v>
      </c>
      <c r="I9568">
        <v>0</v>
      </c>
      <c r="J9568">
        <v>17953.845786757702</v>
      </c>
      <c r="K9568">
        <v>16898.499387215499</v>
      </c>
      <c r="L9568">
        <v>45.475999999999999</v>
      </c>
      <c r="M9568">
        <v>70.200999999999993</v>
      </c>
      <c r="N9568">
        <v>35.78</v>
      </c>
    </row>
    <row r="9569" spans="1:14" x14ac:dyDescent="0.45">
      <c r="A9569">
        <v>2024</v>
      </c>
      <c r="B9569" t="s">
        <v>247</v>
      </c>
      <c r="C9569">
        <v>0</v>
      </c>
      <c r="D9569">
        <v>0</v>
      </c>
      <c r="E9569">
        <v>0</v>
      </c>
      <c r="F9569">
        <v>1</v>
      </c>
      <c r="G9569">
        <v>0</v>
      </c>
      <c r="H9569">
        <v>0</v>
      </c>
      <c r="I9569">
        <v>0</v>
      </c>
      <c r="J9569">
        <v>4186.2147088798101</v>
      </c>
      <c r="K9569">
        <v>3377.7002711591899</v>
      </c>
      <c r="L9569">
        <v>67.158000000000001</v>
      </c>
      <c r="M9569">
        <v>67.903999999999996</v>
      </c>
      <c r="N9569">
        <v>45.082000000000001</v>
      </c>
    </row>
    <row r="9570" spans="1:14" x14ac:dyDescent="0.45">
      <c r="A9570">
        <v>2024</v>
      </c>
      <c r="B9570" t="s">
        <v>248</v>
      </c>
      <c r="C9570">
        <v>0</v>
      </c>
      <c r="D9570">
        <v>0</v>
      </c>
      <c r="E9570">
        <v>0</v>
      </c>
      <c r="F9570">
        <v>0</v>
      </c>
      <c r="G9570">
        <v>1</v>
      </c>
      <c r="H9570">
        <v>0</v>
      </c>
      <c r="I9570">
        <v>0</v>
      </c>
      <c r="J9570">
        <v>7247.7718976078004</v>
      </c>
      <c r="K9570">
        <v>6560.9097629743601</v>
      </c>
      <c r="L9570">
        <v>76.790000000000006</v>
      </c>
      <c r="M9570">
        <v>73.069999999999993</v>
      </c>
      <c r="N9570">
        <v>10.332000000000001</v>
      </c>
    </row>
    <row r="9571" spans="1:14" x14ac:dyDescent="0.45">
      <c r="A9571">
        <v>2024</v>
      </c>
      <c r="B9571" t="s">
        <v>249</v>
      </c>
      <c r="C9571">
        <v>0</v>
      </c>
      <c r="D9571">
        <v>1</v>
      </c>
      <c r="E9571">
        <v>0</v>
      </c>
      <c r="F9571">
        <v>0</v>
      </c>
      <c r="G9571">
        <v>0</v>
      </c>
      <c r="H9571">
        <v>1</v>
      </c>
      <c r="I9571">
        <v>1</v>
      </c>
      <c r="J9571">
        <v>31689.731884292301</v>
      </c>
      <c r="K9571">
        <v>26448.029198135398</v>
      </c>
      <c r="L9571">
        <v>46.438000000000002</v>
      </c>
      <c r="M9571">
        <v>73.617000000000004</v>
      </c>
      <c r="N9571">
        <v>15.842000000000001</v>
      </c>
    </row>
    <row r="9572" spans="1:14" x14ac:dyDescent="0.45">
      <c r="A9572">
        <v>2024</v>
      </c>
      <c r="B9572" t="s">
        <v>250</v>
      </c>
      <c r="C9572">
        <v>0</v>
      </c>
      <c r="D9572">
        <v>0</v>
      </c>
      <c r="E9572">
        <v>0</v>
      </c>
      <c r="F9572">
        <v>1</v>
      </c>
      <c r="G9572">
        <v>0</v>
      </c>
      <c r="H9572">
        <v>0</v>
      </c>
      <c r="I9572">
        <v>0</v>
      </c>
      <c r="J9572">
        <v>12713.549847382101</v>
      </c>
      <c r="K9572">
        <v>11079.646320420999</v>
      </c>
      <c r="L9572">
        <v>29.12</v>
      </c>
      <c r="M9572">
        <v>76.710999999999999</v>
      </c>
      <c r="N9572">
        <v>11.525</v>
      </c>
    </row>
    <row r="9573" spans="1:14" x14ac:dyDescent="0.45">
      <c r="A9573">
        <v>2024</v>
      </c>
      <c r="B9573" t="s">
        <v>251</v>
      </c>
      <c r="C9573">
        <v>1</v>
      </c>
      <c r="D9573">
        <v>0</v>
      </c>
      <c r="E9573">
        <v>0</v>
      </c>
      <c r="F9573">
        <v>0</v>
      </c>
      <c r="G9573">
        <v>1</v>
      </c>
      <c r="H9573">
        <v>0</v>
      </c>
      <c r="I9573">
        <v>0</v>
      </c>
      <c r="J9573">
        <v>35294.393677792599</v>
      </c>
      <c r="K9573">
        <v>35388.811845612203</v>
      </c>
      <c r="L9573">
        <v>22.106999999999999</v>
      </c>
      <c r="M9573">
        <v>77.421000000000006</v>
      </c>
      <c r="N9573">
        <v>11.324</v>
      </c>
    </row>
    <row r="9574" spans="1:14" x14ac:dyDescent="0.45">
      <c r="A9574">
        <v>2024</v>
      </c>
      <c r="B9574" t="s">
        <v>252</v>
      </c>
      <c r="C9574">
        <v>0</v>
      </c>
      <c r="D9574">
        <v>0</v>
      </c>
      <c r="E9574">
        <v>0</v>
      </c>
      <c r="F9574">
        <v>0</v>
      </c>
      <c r="G9574">
        <v>1</v>
      </c>
      <c r="H9574">
        <v>0</v>
      </c>
      <c r="I9574">
        <v>0</v>
      </c>
      <c r="J9574">
        <v>6147.3627164145</v>
      </c>
      <c r="K9574">
        <v>5561.2388275044996</v>
      </c>
      <c r="L9574">
        <v>33.072000000000003</v>
      </c>
      <c r="M9574">
        <v>67.259</v>
      </c>
      <c r="N9574">
        <v>19.274000000000001</v>
      </c>
    </row>
    <row r="9575" spans="1:14" x14ac:dyDescent="0.45">
      <c r="A9575">
        <v>2024</v>
      </c>
      <c r="B9575" t="s">
        <v>253</v>
      </c>
      <c r="C9575">
        <v>0</v>
      </c>
      <c r="D9575">
        <v>0</v>
      </c>
      <c r="E9575">
        <v>0</v>
      </c>
      <c r="F9575">
        <v>0</v>
      </c>
      <c r="G9575">
        <v>0</v>
      </c>
      <c r="H9575">
        <v>1</v>
      </c>
      <c r="I9575">
        <v>1</v>
      </c>
      <c r="L9575">
        <v>34.456000000000003</v>
      </c>
      <c r="M9575">
        <v>80.75</v>
      </c>
      <c r="N9575">
        <v>4.3520000000000003</v>
      </c>
    </row>
    <row r="9576" spans="1:14" x14ac:dyDescent="0.45">
      <c r="A9576">
        <v>2024</v>
      </c>
      <c r="B9576" t="s">
        <v>254</v>
      </c>
      <c r="C9576">
        <v>0</v>
      </c>
      <c r="D9576">
        <v>0</v>
      </c>
      <c r="E9576">
        <v>1</v>
      </c>
      <c r="F9576">
        <v>1</v>
      </c>
      <c r="G9576">
        <v>0</v>
      </c>
      <c r="H9576">
        <v>0</v>
      </c>
      <c r="I9576">
        <v>0</v>
      </c>
      <c r="J9576">
        <v>3713.26293945313</v>
      </c>
      <c r="K9576">
        <v>2765.8860487994498</v>
      </c>
      <c r="L9576">
        <v>61.863999999999997</v>
      </c>
      <c r="M9576">
        <v>67.212000000000003</v>
      </c>
      <c r="N9576">
        <v>37.954999999999998</v>
      </c>
    </row>
    <row r="9577" spans="1:14" x14ac:dyDescent="0.45">
      <c r="A9577">
        <v>2024</v>
      </c>
      <c r="B9577" t="s">
        <v>255</v>
      </c>
      <c r="C9577">
        <v>0</v>
      </c>
      <c r="D9577">
        <v>0</v>
      </c>
      <c r="E9577">
        <v>1</v>
      </c>
      <c r="F9577">
        <v>0</v>
      </c>
      <c r="G9577">
        <v>0</v>
      </c>
      <c r="H9577">
        <v>0</v>
      </c>
      <c r="I9577">
        <v>0</v>
      </c>
      <c r="J9577">
        <v>2881.8659466843001</v>
      </c>
      <c r="K9577">
        <v>2444.6999962364498</v>
      </c>
      <c r="L9577">
        <v>72.611000000000004</v>
      </c>
      <c r="M9577">
        <v>68.486999999999995</v>
      </c>
      <c r="N9577">
        <v>37.655000000000001</v>
      </c>
    </row>
    <row r="9578" spans="1:14" x14ac:dyDescent="0.45">
      <c r="A9578">
        <v>2024</v>
      </c>
      <c r="B9578" t="s">
        <v>256</v>
      </c>
      <c r="C9578">
        <v>1</v>
      </c>
      <c r="D9578">
        <v>0</v>
      </c>
      <c r="E9578">
        <v>0</v>
      </c>
      <c r="F9578">
        <v>0</v>
      </c>
      <c r="G9578">
        <v>1</v>
      </c>
      <c r="H9578">
        <v>0</v>
      </c>
      <c r="I9578">
        <v>0</v>
      </c>
      <c r="J9578">
        <v>16319.8447265625</v>
      </c>
      <c r="K9578">
        <v>11542.7900789905</v>
      </c>
      <c r="L9578">
        <v>29.716000000000001</v>
      </c>
      <c r="M9578">
        <v>74.691999999999993</v>
      </c>
      <c r="N9578">
        <v>6.0519999999999996</v>
      </c>
    </row>
    <row r="9579" spans="1:14" x14ac:dyDescent="0.45">
      <c r="A9579">
        <v>2024</v>
      </c>
      <c r="B9579" t="s">
        <v>257</v>
      </c>
      <c r="C9579">
        <v>0</v>
      </c>
      <c r="D9579">
        <v>1</v>
      </c>
      <c r="E9579">
        <v>0</v>
      </c>
      <c r="F9579">
        <v>0</v>
      </c>
      <c r="G9579">
        <v>0</v>
      </c>
      <c r="H9579">
        <v>1</v>
      </c>
      <c r="I9579">
        <v>1</v>
      </c>
      <c r="J9579">
        <v>32038.7727288227</v>
      </c>
      <c r="K9579">
        <v>25412.147839309699</v>
      </c>
      <c r="L9579">
        <v>4.1479999999999997</v>
      </c>
      <c r="M9579">
        <v>78.287000000000006</v>
      </c>
      <c r="N9579">
        <v>7.0250000000000004</v>
      </c>
    </row>
    <row r="9580" spans="1:14" x14ac:dyDescent="0.45">
      <c r="A9580">
        <v>2024</v>
      </c>
      <c r="B9580" t="s">
        <v>258</v>
      </c>
      <c r="C9580">
        <v>0</v>
      </c>
      <c r="D9580">
        <v>0</v>
      </c>
      <c r="E9580">
        <v>0</v>
      </c>
      <c r="F9580">
        <v>0</v>
      </c>
      <c r="G9580">
        <v>0</v>
      </c>
      <c r="H9580">
        <v>1</v>
      </c>
      <c r="I9580">
        <v>1</v>
      </c>
      <c r="J9580">
        <v>75491.608434890295</v>
      </c>
      <c r="K9580">
        <v>68521.816041043203</v>
      </c>
      <c r="L9580">
        <v>16.484999999999999</v>
      </c>
      <c r="M9580">
        <v>79.462999999999994</v>
      </c>
      <c r="N9580">
        <v>5.9</v>
      </c>
    </row>
    <row r="9581" spans="1:14" x14ac:dyDescent="0.45">
      <c r="A9581">
        <v>2024</v>
      </c>
      <c r="B9581" t="s">
        <v>259</v>
      </c>
      <c r="C9581">
        <v>1</v>
      </c>
      <c r="D9581">
        <v>0</v>
      </c>
      <c r="E9581">
        <v>0</v>
      </c>
      <c r="F9581">
        <v>1</v>
      </c>
      <c r="G9581">
        <v>0</v>
      </c>
      <c r="H9581">
        <v>0</v>
      </c>
      <c r="I9581">
        <v>0</v>
      </c>
      <c r="J9581">
        <v>10450.205140285199</v>
      </c>
      <c r="K9581">
        <v>10152.760971206901</v>
      </c>
      <c r="L9581">
        <v>49.374000000000002</v>
      </c>
      <c r="M9581">
        <v>72.528000000000006</v>
      </c>
      <c r="N9581">
        <v>14.765000000000001</v>
      </c>
    </row>
    <row r="9582" spans="1:14" x14ac:dyDescent="0.45">
      <c r="A9582">
        <v>2024</v>
      </c>
      <c r="B9582" t="s">
        <v>260</v>
      </c>
      <c r="C9582">
        <v>0</v>
      </c>
      <c r="D9582">
        <v>1</v>
      </c>
      <c r="E9582">
        <v>0</v>
      </c>
      <c r="F9582">
        <v>0</v>
      </c>
      <c r="G9582">
        <v>1</v>
      </c>
      <c r="H9582">
        <v>0</v>
      </c>
      <c r="I9582">
        <v>0</v>
      </c>
      <c r="J9582">
        <v>18714.198849353001</v>
      </c>
      <c r="K9582">
        <v>16355.483279804101</v>
      </c>
      <c r="L9582">
        <v>45.274999999999999</v>
      </c>
      <c r="M9582">
        <v>71.382000000000005</v>
      </c>
      <c r="N9582">
        <v>14.183</v>
      </c>
    </row>
    <row r="9583" spans="1:14" x14ac:dyDescent="0.45">
      <c r="A9583">
        <v>2024</v>
      </c>
      <c r="B9583" t="s">
        <v>261</v>
      </c>
      <c r="C9583">
        <v>0</v>
      </c>
      <c r="D9583">
        <v>1</v>
      </c>
      <c r="E9583">
        <v>0</v>
      </c>
      <c r="F9583">
        <v>0</v>
      </c>
      <c r="G9583">
        <v>1</v>
      </c>
      <c r="H9583">
        <v>0</v>
      </c>
      <c r="I9583">
        <v>0</v>
      </c>
      <c r="L9583">
        <v>11.494999999999999</v>
      </c>
      <c r="M9583">
        <v>72.673000000000002</v>
      </c>
      <c r="N9583">
        <v>17.864000000000001</v>
      </c>
    </row>
    <row r="9584" spans="1:14" x14ac:dyDescent="0.45">
      <c r="A9584">
        <v>2024</v>
      </c>
      <c r="B9584" t="s">
        <v>262</v>
      </c>
      <c r="C9584">
        <v>0</v>
      </c>
      <c r="D9584">
        <v>1</v>
      </c>
      <c r="E9584">
        <v>0</v>
      </c>
      <c r="F9584">
        <v>0</v>
      </c>
      <c r="G9584">
        <v>0</v>
      </c>
      <c r="H9584">
        <v>1</v>
      </c>
      <c r="I9584">
        <v>1</v>
      </c>
      <c r="L9584">
        <v>49.829000000000001</v>
      </c>
      <c r="M9584">
        <v>77.430999999999997</v>
      </c>
      <c r="N9584">
        <v>12.256</v>
      </c>
    </row>
    <row r="9585" spans="1:14" x14ac:dyDescent="0.45">
      <c r="A9585">
        <v>2024</v>
      </c>
      <c r="B9585" t="s">
        <v>263</v>
      </c>
      <c r="C9585">
        <v>0</v>
      </c>
      <c r="D9585">
        <v>1</v>
      </c>
      <c r="E9585">
        <v>0</v>
      </c>
      <c r="F9585">
        <v>0</v>
      </c>
      <c r="G9585">
        <v>0</v>
      </c>
      <c r="H9585">
        <v>1</v>
      </c>
      <c r="I9585">
        <v>1</v>
      </c>
      <c r="L9585">
        <v>3.6860000000000102</v>
      </c>
      <c r="M9585">
        <v>75.698999999999998</v>
      </c>
      <c r="N9585">
        <v>5.55</v>
      </c>
    </row>
    <row r="9586" spans="1:14" x14ac:dyDescent="0.45">
      <c r="A9586">
        <v>2024</v>
      </c>
      <c r="B9586" t="s">
        <v>264</v>
      </c>
      <c r="C9586">
        <v>0</v>
      </c>
      <c r="D9586">
        <v>0</v>
      </c>
      <c r="E9586">
        <v>0</v>
      </c>
      <c r="F9586">
        <v>1</v>
      </c>
      <c r="G9586">
        <v>0</v>
      </c>
      <c r="H9586">
        <v>0</v>
      </c>
      <c r="I9586">
        <v>0</v>
      </c>
      <c r="J9586">
        <v>14415.2159532813</v>
      </c>
      <c r="K9586">
        <v>12845.152306707399</v>
      </c>
      <c r="L9586">
        <v>59.805</v>
      </c>
      <c r="M9586">
        <v>74.736000000000004</v>
      </c>
      <c r="N9586">
        <v>19.722000000000001</v>
      </c>
    </row>
    <row r="9587" spans="1:14" x14ac:dyDescent="0.45">
      <c r="A9587">
        <v>2024</v>
      </c>
      <c r="B9587" t="s">
        <v>265</v>
      </c>
      <c r="C9587">
        <v>0</v>
      </c>
      <c r="D9587">
        <v>0</v>
      </c>
      <c r="E9587">
        <v>0</v>
      </c>
      <c r="F9587">
        <v>1</v>
      </c>
      <c r="G9587">
        <v>0</v>
      </c>
      <c r="H9587">
        <v>0</v>
      </c>
      <c r="I9587">
        <v>0</v>
      </c>
      <c r="J9587">
        <v>3169.2324293351498</v>
      </c>
      <c r="K9587">
        <v>2866.8919210849999</v>
      </c>
      <c r="L9587">
        <v>73.852999999999994</v>
      </c>
      <c r="M9587">
        <v>71.653999999999996</v>
      </c>
      <c r="N9587">
        <v>16.986999999999998</v>
      </c>
    </row>
    <row r="9588" spans="1:14" x14ac:dyDescent="0.45">
      <c r="A9588">
        <v>2024</v>
      </c>
      <c r="B9588" t="s">
        <v>266</v>
      </c>
      <c r="C9588">
        <v>0</v>
      </c>
      <c r="D9588">
        <v>0</v>
      </c>
      <c r="E9588">
        <v>0</v>
      </c>
      <c r="F9588">
        <v>0</v>
      </c>
      <c r="G9588">
        <v>1</v>
      </c>
      <c r="H9588">
        <v>0</v>
      </c>
      <c r="I9588">
        <v>0</v>
      </c>
      <c r="J9588">
        <v>6894.8898553256504</v>
      </c>
      <c r="K9588">
        <v>6237.1266430435899</v>
      </c>
      <c r="L9588">
        <v>82.58</v>
      </c>
      <c r="M9588">
        <v>71.825999999999993</v>
      </c>
      <c r="N9588">
        <v>15.194000000000001</v>
      </c>
    </row>
    <row r="9589" spans="1:14" x14ac:dyDescent="0.45">
      <c r="A9589">
        <v>2024</v>
      </c>
      <c r="B9589" t="s">
        <v>267</v>
      </c>
      <c r="C9589">
        <v>1</v>
      </c>
      <c r="D9589">
        <v>0</v>
      </c>
      <c r="E9589">
        <v>0</v>
      </c>
      <c r="F9589">
        <v>0</v>
      </c>
      <c r="G9589">
        <v>1</v>
      </c>
      <c r="H9589">
        <v>0</v>
      </c>
      <c r="I9589">
        <v>0</v>
      </c>
      <c r="J9589">
        <v>16380.868590194401</v>
      </c>
      <c r="K9589">
        <v>14868.472723865199</v>
      </c>
      <c r="L9589">
        <v>42.628999999999998</v>
      </c>
      <c r="M9589">
        <v>78.221999999999994</v>
      </c>
      <c r="N9589">
        <v>9.9879999999999995</v>
      </c>
    </row>
    <row r="9590" spans="1:14" x14ac:dyDescent="0.45">
      <c r="A9590">
        <v>2024</v>
      </c>
      <c r="B9590" t="s">
        <v>268</v>
      </c>
      <c r="C9590">
        <v>0</v>
      </c>
      <c r="D9590">
        <v>0</v>
      </c>
      <c r="E9590">
        <v>0</v>
      </c>
      <c r="F9590">
        <v>0</v>
      </c>
      <c r="G9590">
        <v>0</v>
      </c>
      <c r="H9590">
        <v>0</v>
      </c>
      <c r="I9590">
        <v>0</v>
      </c>
      <c r="L9590">
        <v>59.523000000000003</v>
      </c>
      <c r="M9590">
        <v>69.438999999999993</v>
      </c>
      <c r="N9590">
        <v>38.817999999999998</v>
      </c>
    </row>
    <row r="9591" spans="1:14" x14ac:dyDescent="0.45">
      <c r="A9591">
        <v>2024</v>
      </c>
      <c r="B9591" t="s">
        <v>269</v>
      </c>
      <c r="C9591">
        <v>0</v>
      </c>
      <c r="D9591">
        <v>0</v>
      </c>
      <c r="E9591">
        <v>1</v>
      </c>
      <c r="F9591">
        <v>0</v>
      </c>
      <c r="G9591">
        <v>1</v>
      </c>
      <c r="H9591">
        <v>0</v>
      </c>
      <c r="I9591">
        <v>0</v>
      </c>
      <c r="J9591">
        <v>13598.7888656984</v>
      </c>
      <c r="K9591">
        <v>12803.8190788458</v>
      </c>
      <c r="L9591">
        <v>30.702000000000002</v>
      </c>
      <c r="M9591">
        <v>66.311999999999998</v>
      </c>
      <c r="N9591">
        <v>31.193999999999999</v>
      </c>
    </row>
    <row r="9592" spans="1:14" x14ac:dyDescent="0.45">
      <c r="A9592">
        <v>2024</v>
      </c>
      <c r="B9592" t="s">
        <v>270</v>
      </c>
      <c r="C9592">
        <v>0</v>
      </c>
      <c r="D9592">
        <v>0</v>
      </c>
      <c r="E9592">
        <v>1</v>
      </c>
      <c r="F9592">
        <v>1</v>
      </c>
      <c r="G9592">
        <v>0</v>
      </c>
      <c r="H9592">
        <v>0</v>
      </c>
      <c r="I9592">
        <v>0</v>
      </c>
      <c r="J9592">
        <v>3716.0373533309998</v>
      </c>
      <c r="K9592">
        <v>3488.8286735921502</v>
      </c>
      <c r="L9592">
        <v>53.085999999999999</v>
      </c>
      <c r="M9592">
        <v>66.528000000000006</v>
      </c>
      <c r="N9592">
        <v>50.832999999999998</v>
      </c>
    </row>
    <row r="9593" spans="1:14" x14ac:dyDescent="0.45">
      <c r="A9593">
        <v>2024</v>
      </c>
      <c r="B9593" t="s">
        <v>271</v>
      </c>
      <c r="C9593">
        <v>0</v>
      </c>
      <c r="D9593">
        <v>0</v>
      </c>
      <c r="E9593">
        <v>1</v>
      </c>
      <c r="F9593">
        <v>1</v>
      </c>
      <c r="G9593">
        <v>0</v>
      </c>
      <c r="H9593">
        <v>0</v>
      </c>
      <c r="I9593">
        <v>0</v>
      </c>
      <c r="J9593">
        <v>3450.1297076871501</v>
      </c>
      <c r="K9593">
        <v>2297.2201752813799</v>
      </c>
      <c r="L9593">
        <v>67.33</v>
      </c>
      <c r="M9593">
        <v>63.064</v>
      </c>
      <c r="N9593">
        <v>44.329000000000001</v>
      </c>
    </row>
    <row r="9594" spans="1:14" x14ac:dyDescent="0.45">
      <c r="A9594">
        <v>2025</v>
      </c>
      <c r="B9594" t="s">
        <v>54</v>
      </c>
      <c r="C9594">
        <v>0</v>
      </c>
      <c r="D9594">
        <v>1</v>
      </c>
      <c r="E9594">
        <v>0</v>
      </c>
      <c r="F9594">
        <v>0</v>
      </c>
      <c r="G9594">
        <v>0</v>
      </c>
      <c r="H9594">
        <v>1</v>
      </c>
      <c r="I9594">
        <v>1</v>
      </c>
      <c r="J9594">
        <v>45002.556751996002</v>
      </c>
      <c r="K9594">
        <v>43796.816700067197</v>
      </c>
      <c r="L9594">
        <v>55.289000000000001</v>
      </c>
      <c r="M9594">
        <v>76.641000000000005</v>
      </c>
      <c r="N9594">
        <v>12.914</v>
      </c>
    </row>
    <row r="9595" spans="1:14" x14ac:dyDescent="0.45">
      <c r="A9595">
        <v>2025</v>
      </c>
      <c r="B9595" t="s">
        <v>55</v>
      </c>
      <c r="C9595">
        <v>0</v>
      </c>
      <c r="D9595">
        <v>0</v>
      </c>
      <c r="E9595">
        <v>0</v>
      </c>
      <c r="F9595">
        <v>0</v>
      </c>
      <c r="G9595">
        <v>0</v>
      </c>
      <c r="H9595">
        <v>0</v>
      </c>
      <c r="I9595">
        <v>0</v>
      </c>
      <c r="J9595">
        <v>1851.82971477809</v>
      </c>
      <c r="K9595">
        <v>1464.78086853217</v>
      </c>
      <c r="L9595">
        <v>72.387</v>
      </c>
      <c r="M9595">
        <v>66.537999999999997</v>
      </c>
      <c r="N9595">
        <v>52.860999999999997</v>
      </c>
    </row>
    <row r="9596" spans="1:14" x14ac:dyDescent="0.45">
      <c r="A9596">
        <v>2025</v>
      </c>
      <c r="B9596" t="s">
        <v>56</v>
      </c>
      <c r="C9596">
        <v>0</v>
      </c>
      <c r="D9596">
        <v>0</v>
      </c>
      <c r="E9596">
        <v>1</v>
      </c>
      <c r="F9596">
        <v>1</v>
      </c>
      <c r="G9596">
        <v>0</v>
      </c>
      <c r="H9596">
        <v>0</v>
      </c>
      <c r="I9596">
        <v>0</v>
      </c>
      <c r="J9596">
        <v>7437.3968639862696</v>
      </c>
      <c r="K9596">
        <v>5751.71678093017</v>
      </c>
      <c r="L9596">
        <v>30.14</v>
      </c>
      <c r="M9596">
        <v>64.984999999999999</v>
      </c>
      <c r="N9596">
        <v>61.905999999999999</v>
      </c>
    </row>
    <row r="9597" spans="1:14" x14ac:dyDescent="0.45">
      <c r="A9597">
        <v>2025</v>
      </c>
      <c r="B9597" t="s">
        <v>57</v>
      </c>
      <c r="C9597">
        <v>1</v>
      </c>
      <c r="D9597">
        <v>0</v>
      </c>
      <c r="E9597">
        <v>0</v>
      </c>
      <c r="F9597">
        <v>0</v>
      </c>
      <c r="G9597">
        <v>1</v>
      </c>
      <c r="H9597">
        <v>0</v>
      </c>
      <c r="I9597">
        <v>0</v>
      </c>
      <c r="J9597">
        <v>19816.785494036802</v>
      </c>
      <c r="K9597">
        <v>17953.0987076684</v>
      </c>
      <c r="L9597">
        <v>33.869999999999997</v>
      </c>
      <c r="M9597">
        <v>79.953000000000003</v>
      </c>
      <c r="N9597">
        <v>8.0779999999999994</v>
      </c>
    </row>
    <row r="9598" spans="1:14" x14ac:dyDescent="0.45">
      <c r="A9598">
        <v>2025</v>
      </c>
      <c r="B9598" t="s">
        <v>58</v>
      </c>
      <c r="C9598">
        <v>1</v>
      </c>
      <c r="D9598">
        <v>0</v>
      </c>
      <c r="E9598">
        <v>0</v>
      </c>
      <c r="F9598">
        <v>0</v>
      </c>
      <c r="G9598">
        <v>0</v>
      </c>
      <c r="H9598">
        <v>1</v>
      </c>
      <c r="I9598">
        <v>1</v>
      </c>
      <c r="J9598">
        <v>66590.137672933197</v>
      </c>
      <c r="K9598">
        <v>55897.335323761501</v>
      </c>
      <c r="L9598">
        <v>12.268000000000001</v>
      </c>
      <c r="M9598">
        <v>84.331000000000003</v>
      </c>
      <c r="N9598">
        <v>5.8</v>
      </c>
    </row>
    <row r="9599" spans="1:14" x14ac:dyDescent="0.45">
      <c r="A9599">
        <v>2025</v>
      </c>
      <c r="B9599" t="s">
        <v>59</v>
      </c>
      <c r="C9599">
        <v>0</v>
      </c>
      <c r="D9599">
        <v>0</v>
      </c>
      <c r="E9599">
        <v>0</v>
      </c>
      <c r="F9599">
        <v>0</v>
      </c>
      <c r="G9599">
        <v>0</v>
      </c>
      <c r="H9599">
        <v>1</v>
      </c>
      <c r="I9599">
        <v>1</v>
      </c>
      <c r="J9599">
        <v>68771.201857864202</v>
      </c>
      <c r="K9599">
        <v>67943.794223734003</v>
      </c>
      <c r="L9599">
        <v>11.77</v>
      </c>
      <c r="M9599">
        <v>83.234999999999999</v>
      </c>
      <c r="N9599">
        <v>5.9470000000000001</v>
      </c>
    </row>
    <row r="9600" spans="1:14" x14ac:dyDescent="0.45">
      <c r="A9600">
        <v>2025</v>
      </c>
      <c r="B9600" t="s">
        <v>60</v>
      </c>
      <c r="C9600">
        <v>0</v>
      </c>
      <c r="D9600">
        <v>1</v>
      </c>
      <c r="E9600">
        <v>0</v>
      </c>
      <c r="F9600">
        <v>0</v>
      </c>
      <c r="G9600">
        <v>1</v>
      </c>
      <c r="H9600">
        <v>0</v>
      </c>
      <c r="I9600">
        <v>0</v>
      </c>
      <c r="J9600">
        <v>25979.2047682142</v>
      </c>
      <c r="K9600">
        <v>21440.892056288201</v>
      </c>
      <c r="L9600">
        <v>7.3070000000000004</v>
      </c>
      <c r="M9600">
        <v>77.688999999999993</v>
      </c>
      <c r="N9600">
        <v>9.9920000000000009</v>
      </c>
    </row>
    <row r="9601" spans="1:14" x14ac:dyDescent="0.45">
      <c r="A9601">
        <v>2025</v>
      </c>
      <c r="B9601" t="s">
        <v>61</v>
      </c>
      <c r="C9601">
        <v>1</v>
      </c>
      <c r="D9601">
        <v>0</v>
      </c>
      <c r="E9601">
        <v>0</v>
      </c>
      <c r="F9601">
        <v>0</v>
      </c>
      <c r="G9601">
        <v>1</v>
      </c>
      <c r="H9601">
        <v>0</v>
      </c>
      <c r="I9601">
        <v>0</v>
      </c>
      <c r="J9601">
        <v>21045.7322349963</v>
      </c>
      <c r="K9601">
        <v>17827.8656911047</v>
      </c>
      <c r="L9601">
        <v>35.857999999999997</v>
      </c>
      <c r="M9601">
        <v>76.012</v>
      </c>
      <c r="N9601">
        <v>10.036</v>
      </c>
    </row>
    <row r="9602" spans="1:14" x14ac:dyDescent="0.45">
      <c r="A9602">
        <v>2025</v>
      </c>
      <c r="B9602" t="s">
        <v>62</v>
      </c>
      <c r="C9602">
        <v>0</v>
      </c>
      <c r="D9602">
        <v>0</v>
      </c>
      <c r="E9602">
        <v>0</v>
      </c>
      <c r="F9602">
        <v>0</v>
      </c>
      <c r="G9602">
        <v>0</v>
      </c>
      <c r="H9602">
        <v>1</v>
      </c>
      <c r="I9602">
        <v>1</v>
      </c>
      <c r="L9602">
        <v>12.656000000000001</v>
      </c>
      <c r="M9602">
        <v>73.126000000000005</v>
      </c>
      <c r="N9602">
        <v>10.164999999999999</v>
      </c>
    </row>
    <row r="9603" spans="1:14" x14ac:dyDescent="0.45">
      <c r="A9603">
        <v>2025</v>
      </c>
      <c r="B9603" t="s">
        <v>63</v>
      </c>
      <c r="C9603">
        <v>0</v>
      </c>
      <c r="D9603">
        <v>1</v>
      </c>
      <c r="E9603">
        <v>0</v>
      </c>
      <c r="F9603">
        <v>0</v>
      </c>
      <c r="G9603">
        <v>0</v>
      </c>
      <c r="H9603">
        <v>1</v>
      </c>
      <c r="I9603">
        <v>1</v>
      </c>
      <c r="J9603">
        <v>30090.1368160481</v>
      </c>
      <c r="K9603">
        <v>23698.896403708899</v>
      </c>
      <c r="L9603">
        <v>75.637</v>
      </c>
      <c r="M9603">
        <v>77.941000000000003</v>
      </c>
      <c r="N9603">
        <v>8.9459999999999997</v>
      </c>
    </row>
    <row r="9604" spans="1:14" x14ac:dyDescent="0.45">
      <c r="A9604">
        <v>2025</v>
      </c>
      <c r="B9604" t="s">
        <v>64</v>
      </c>
      <c r="C9604">
        <v>0</v>
      </c>
      <c r="D9604">
        <v>0</v>
      </c>
      <c r="E9604">
        <v>0</v>
      </c>
      <c r="F9604">
        <v>0</v>
      </c>
      <c r="G9604">
        <v>0</v>
      </c>
      <c r="H9604">
        <v>1</v>
      </c>
      <c r="I9604">
        <v>1</v>
      </c>
      <c r="J9604">
        <v>60198.766729708397</v>
      </c>
      <c r="K9604">
        <v>52141.257575718002</v>
      </c>
      <c r="L9604">
        <v>13.113</v>
      </c>
      <c r="M9604">
        <v>84.212999999999994</v>
      </c>
      <c r="N9604">
        <v>3.0830000000000002</v>
      </c>
    </row>
    <row r="9605" spans="1:14" x14ac:dyDescent="0.45">
      <c r="A9605">
        <v>2025</v>
      </c>
      <c r="B9605" t="s">
        <v>65</v>
      </c>
      <c r="C9605">
        <v>1</v>
      </c>
      <c r="D9605">
        <v>0</v>
      </c>
      <c r="E9605">
        <v>0</v>
      </c>
      <c r="F9605">
        <v>0</v>
      </c>
      <c r="G9605">
        <v>0</v>
      </c>
      <c r="H9605">
        <v>1</v>
      </c>
      <c r="I9605">
        <v>1</v>
      </c>
      <c r="J9605">
        <v>63144.131434017698</v>
      </c>
      <c r="K9605">
        <v>53808.621049626803</v>
      </c>
      <c r="L9605">
        <v>39.878</v>
      </c>
      <c r="M9605">
        <v>82.290999999999997</v>
      </c>
      <c r="N9605">
        <v>3.286</v>
      </c>
    </row>
    <row r="9606" spans="1:14" x14ac:dyDescent="0.45">
      <c r="A9606">
        <v>2025</v>
      </c>
      <c r="B9606" t="s">
        <v>66</v>
      </c>
      <c r="C9606">
        <v>1</v>
      </c>
      <c r="D9606">
        <v>0</v>
      </c>
      <c r="E9606">
        <v>0</v>
      </c>
      <c r="F9606">
        <v>0</v>
      </c>
      <c r="G9606">
        <v>1</v>
      </c>
      <c r="H9606">
        <v>0</v>
      </c>
      <c r="I9606">
        <v>0</v>
      </c>
      <c r="J9606">
        <v>22936.226304010299</v>
      </c>
      <c r="K9606">
        <v>16702.443376749899</v>
      </c>
      <c r="L9606">
        <v>41.569000000000003</v>
      </c>
      <c r="M9606">
        <v>74.731999999999999</v>
      </c>
      <c r="N9606">
        <v>16.353999999999999</v>
      </c>
    </row>
    <row r="9607" spans="1:14" x14ac:dyDescent="0.45">
      <c r="A9607">
        <v>2025</v>
      </c>
      <c r="B9607" t="s">
        <v>67</v>
      </c>
      <c r="C9607">
        <v>0</v>
      </c>
      <c r="D9607">
        <v>0</v>
      </c>
      <c r="E9607">
        <v>1</v>
      </c>
      <c r="F9607">
        <v>0</v>
      </c>
      <c r="G9607">
        <v>0</v>
      </c>
      <c r="H9607">
        <v>0</v>
      </c>
      <c r="I9607">
        <v>0</v>
      </c>
      <c r="J9607">
        <v>842.80626499870596</v>
      </c>
      <c r="K9607">
        <v>728.27162694977096</v>
      </c>
      <c r="L9607">
        <v>84.456000000000003</v>
      </c>
      <c r="M9607">
        <v>63.972999999999999</v>
      </c>
      <c r="N9607">
        <v>47.398000000000003</v>
      </c>
    </row>
    <row r="9608" spans="1:14" x14ac:dyDescent="0.45">
      <c r="A9608">
        <v>2025</v>
      </c>
      <c r="B9608" t="s">
        <v>68</v>
      </c>
      <c r="C9608">
        <v>1</v>
      </c>
      <c r="D9608">
        <v>0</v>
      </c>
      <c r="E9608">
        <v>0</v>
      </c>
      <c r="F9608">
        <v>0</v>
      </c>
      <c r="G9608">
        <v>0</v>
      </c>
      <c r="H9608">
        <v>1</v>
      </c>
      <c r="I9608">
        <v>1</v>
      </c>
      <c r="J9608">
        <v>63595.276732379803</v>
      </c>
      <c r="K9608">
        <v>53516.482735458601</v>
      </c>
      <c r="L9608">
        <v>1.742</v>
      </c>
      <c r="M9608">
        <v>82.432000000000002</v>
      </c>
      <c r="N9608">
        <v>3.3180000000000001</v>
      </c>
    </row>
    <row r="9609" spans="1:14" x14ac:dyDescent="0.45">
      <c r="A9609">
        <v>2025</v>
      </c>
      <c r="B9609" t="s">
        <v>69</v>
      </c>
      <c r="C9609">
        <v>0</v>
      </c>
      <c r="D9609">
        <v>0</v>
      </c>
      <c r="E9609">
        <v>1</v>
      </c>
      <c r="F9609">
        <v>1</v>
      </c>
      <c r="G9609">
        <v>0</v>
      </c>
      <c r="H9609">
        <v>0</v>
      </c>
      <c r="I9609">
        <v>0</v>
      </c>
      <c r="J9609">
        <v>4091.9418431223398</v>
      </c>
      <c r="K9609">
        <v>3882.2375350469601</v>
      </c>
      <c r="L9609">
        <v>48.759</v>
      </c>
      <c r="M9609">
        <v>61.140999999999998</v>
      </c>
      <c r="N9609">
        <v>76.515000000000001</v>
      </c>
    </row>
    <row r="9610" spans="1:14" x14ac:dyDescent="0.45">
      <c r="A9610">
        <v>2025</v>
      </c>
      <c r="B9610" t="s">
        <v>70</v>
      </c>
      <c r="C9610">
        <v>0</v>
      </c>
      <c r="D9610">
        <v>0</v>
      </c>
      <c r="E9610">
        <v>1</v>
      </c>
      <c r="F9610">
        <v>0</v>
      </c>
      <c r="G9610">
        <v>0</v>
      </c>
      <c r="H9610">
        <v>0</v>
      </c>
      <c r="I9610">
        <v>0</v>
      </c>
      <c r="J9610">
        <v>2613.4204469618098</v>
      </c>
      <c r="K9610">
        <v>2391.11529037739</v>
      </c>
      <c r="L9610">
        <v>66.183000000000007</v>
      </c>
      <c r="M9610">
        <v>61.472999999999999</v>
      </c>
      <c r="N9610">
        <v>80.290999999999997</v>
      </c>
    </row>
    <row r="9611" spans="1:14" x14ac:dyDescent="0.45">
      <c r="A9611">
        <v>2025</v>
      </c>
      <c r="B9611" t="s">
        <v>71</v>
      </c>
      <c r="C9611">
        <v>0</v>
      </c>
      <c r="D9611">
        <v>0</v>
      </c>
      <c r="E9611">
        <v>0</v>
      </c>
      <c r="F9611">
        <v>1</v>
      </c>
      <c r="G9611">
        <v>0</v>
      </c>
      <c r="H9611">
        <v>0</v>
      </c>
      <c r="I9611">
        <v>0</v>
      </c>
      <c r="J9611">
        <v>8694.5465783609798</v>
      </c>
      <c r="K9611">
        <v>7068.6191126723697</v>
      </c>
      <c r="L9611">
        <v>58.018000000000001</v>
      </c>
      <c r="M9611">
        <v>75.194999999999993</v>
      </c>
      <c r="N9611">
        <v>20.015999999999998</v>
      </c>
    </row>
    <row r="9612" spans="1:14" x14ac:dyDescent="0.45">
      <c r="A9612">
        <v>2025</v>
      </c>
      <c r="B9612" t="s">
        <v>72</v>
      </c>
      <c r="C9612">
        <v>1</v>
      </c>
      <c r="D9612">
        <v>0</v>
      </c>
      <c r="E9612">
        <v>0</v>
      </c>
      <c r="F9612">
        <v>0</v>
      </c>
      <c r="G9612">
        <v>0</v>
      </c>
      <c r="H9612">
        <v>1</v>
      </c>
      <c r="I9612">
        <v>1</v>
      </c>
      <c r="J9612">
        <v>35235.181505566397</v>
      </c>
      <c r="K9612">
        <v>29238.135035134401</v>
      </c>
      <c r="L9612">
        <v>22.626999999999999</v>
      </c>
      <c r="M9612">
        <v>75.960999999999999</v>
      </c>
      <c r="N9612">
        <v>5.7220000000000004</v>
      </c>
    </row>
    <row r="9613" spans="1:14" x14ac:dyDescent="0.45">
      <c r="A9613">
        <v>2025</v>
      </c>
      <c r="B9613" t="s">
        <v>73</v>
      </c>
      <c r="C9613">
        <v>0</v>
      </c>
      <c r="D9613">
        <v>0</v>
      </c>
      <c r="E9613">
        <v>0</v>
      </c>
      <c r="F9613">
        <v>0</v>
      </c>
      <c r="G9613">
        <v>0</v>
      </c>
      <c r="H9613">
        <v>1</v>
      </c>
      <c r="I9613">
        <v>1</v>
      </c>
      <c r="J9613">
        <v>59486.297064757098</v>
      </c>
      <c r="K9613">
        <v>55427.085885724598</v>
      </c>
      <c r="L9613">
        <v>9.8670000000000009</v>
      </c>
      <c r="M9613">
        <v>81.578999999999994</v>
      </c>
      <c r="N9613">
        <v>6.0179999999999998</v>
      </c>
    </row>
    <row r="9614" spans="1:14" x14ac:dyDescent="0.45">
      <c r="A9614">
        <v>2025</v>
      </c>
      <c r="B9614" t="s">
        <v>74</v>
      </c>
      <c r="C9614">
        <v>0</v>
      </c>
      <c r="D9614">
        <v>1</v>
      </c>
      <c r="E9614">
        <v>0</v>
      </c>
      <c r="F9614">
        <v>0</v>
      </c>
      <c r="G9614">
        <v>0</v>
      </c>
      <c r="H9614">
        <v>1</v>
      </c>
      <c r="I9614">
        <v>1</v>
      </c>
      <c r="J9614">
        <v>36763.049014233598</v>
      </c>
      <c r="K9614">
        <v>38133.795502809699</v>
      </c>
      <c r="L9614">
        <v>16.09</v>
      </c>
      <c r="M9614">
        <v>74.863</v>
      </c>
      <c r="N9614">
        <v>12.236000000000001</v>
      </c>
    </row>
    <row r="9615" spans="1:14" x14ac:dyDescent="0.45">
      <c r="A9615">
        <v>2025</v>
      </c>
      <c r="B9615" t="s">
        <v>75</v>
      </c>
      <c r="C9615">
        <v>1</v>
      </c>
      <c r="D9615">
        <v>0</v>
      </c>
      <c r="E9615">
        <v>0</v>
      </c>
      <c r="F9615">
        <v>0</v>
      </c>
      <c r="G9615">
        <v>1</v>
      </c>
      <c r="H9615">
        <v>0</v>
      </c>
      <c r="I9615">
        <v>0</v>
      </c>
      <c r="J9615">
        <v>21097.5765075659</v>
      </c>
      <c r="K9615">
        <v>18225.3796854467</v>
      </c>
      <c r="L9615">
        <v>48.841000000000001</v>
      </c>
      <c r="M9615">
        <v>78.236999999999995</v>
      </c>
      <c r="N9615">
        <v>5.2320000000000002</v>
      </c>
    </row>
    <row r="9616" spans="1:14" x14ac:dyDescent="0.45">
      <c r="A9616">
        <v>2025</v>
      </c>
      <c r="B9616" t="s">
        <v>76</v>
      </c>
      <c r="C9616">
        <v>1</v>
      </c>
      <c r="D9616">
        <v>0</v>
      </c>
      <c r="E9616">
        <v>0</v>
      </c>
      <c r="F9616">
        <v>0</v>
      </c>
      <c r="G9616">
        <v>1</v>
      </c>
      <c r="H9616">
        <v>0</v>
      </c>
      <c r="I9616">
        <v>0</v>
      </c>
      <c r="J9616">
        <v>30395.708459517598</v>
      </c>
      <c r="K9616">
        <v>21945.551604461602</v>
      </c>
      <c r="L9616">
        <v>18.491</v>
      </c>
      <c r="M9616">
        <v>74.793000000000006</v>
      </c>
      <c r="N9616">
        <v>2.9550000000000001</v>
      </c>
    </row>
    <row r="9617" spans="1:14" x14ac:dyDescent="0.45">
      <c r="A9617">
        <v>2025</v>
      </c>
      <c r="B9617" t="s">
        <v>77</v>
      </c>
      <c r="C9617">
        <v>0</v>
      </c>
      <c r="D9617">
        <v>1</v>
      </c>
      <c r="E9617">
        <v>0</v>
      </c>
      <c r="F9617">
        <v>0</v>
      </c>
      <c r="G9617">
        <v>1</v>
      </c>
      <c r="H9617">
        <v>0</v>
      </c>
      <c r="I9617">
        <v>0</v>
      </c>
      <c r="J9617">
        <v>14161.217033216701</v>
      </c>
      <c r="K9617">
        <v>11160.3585258331</v>
      </c>
      <c r="L9617">
        <v>52.914999999999999</v>
      </c>
      <c r="M9617">
        <v>73.903000000000006</v>
      </c>
      <c r="N9617">
        <v>10.208</v>
      </c>
    </row>
    <row r="9618" spans="1:14" x14ac:dyDescent="0.45">
      <c r="A9618">
        <v>2025</v>
      </c>
      <c r="B9618" t="s">
        <v>78</v>
      </c>
      <c r="C9618">
        <v>0</v>
      </c>
      <c r="D9618">
        <v>0</v>
      </c>
      <c r="E9618">
        <v>0</v>
      </c>
      <c r="F9618">
        <v>0</v>
      </c>
      <c r="G9618">
        <v>0</v>
      </c>
      <c r="H9618">
        <v>1</v>
      </c>
      <c r="I9618">
        <v>1</v>
      </c>
      <c r="L9618">
        <v>0</v>
      </c>
      <c r="M9618">
        <v>82.662000000000006</v>
      </c>
      <c r="N9618">
        <v>2.206</v>
      </c>
    </row>
    <row r="9619" spans="1:14" x14ac:dyDescent="0.45">
      <c r="A9619">
        <v>2025</v>
      </c>
      <c r="B9619" t="s">
        <v>79</v>
      </c>
      <c r="C9619">
        <v>0</v>
      </c>
      <c r="D9619">
        <v>1</v>
      </c>
      <c r="E9619">
        <v>0</v>
      </c>
      <c r="F9619">
        <v>1</v>
      </c>
      <c r="G9619">
        <v>0</v>
      </c>
      <c r="H9619">
        <v>0</v>
      </c>
      <c r="I9619">
        <v>0</v>
      </c>
      <c r="J9619">
        <v>9846.0708293749194</v>
      </c>
      <c r="K9619">
        <v>8689.6519048216396</v>
      </c>
      <c r="L9619">
        <v>28.094999999999999</v>
      </c>
      <c r="M9619">
        <v>68.905000000000001</v>
      </c>
      <c r="N9619">
        <v>39.454999999999998</v>
      </c>
    </row>
    <row r="9620" spans="1:14" x14ac:dyDescent="0.45">
      <c r="A9620">
        <v>2025</v>
      </c>
      <c r="B9620" t="s">
        <v>80</v>
      </c>
      <c r="C9620">
        <v>0</v>
      </c>
      <c r="D9620">
        <v>1</v>
      </c>
      <c r="E9620">
        <v>0</v>
      </c>
      <c r="F9620">
        <v>0</v>
      </c>
      <c r="G9620">
        <v>1</v>
      </c>
      <c r="H9620">
        <v>0</v>
      </c>
      <c r="I9620">
        <v>0</v>
      </c>
      <c r="J9620">
        <v>20233.731844145201</v>
      </c>
      <c r="K9620">
        <v>16620.172301056798</v>
      </c>
      <c r="L9620">
        <v>11.762</v>
      </c>
      <c r="M9620">
        <v>76.2</v>
      </c>
      <c r="N9620">
        <v>13.291</v>
      </c>
    </row>
    <row r="9621" spans="1:14" x14ac:dyDescent="0.45">
      <c r="A9621">
        <v>2025</v>
      </c>
      <c r="B9621" t="s">
        <v>81</v>
      </c>
      <c r="C9621">
        <v>0</v>
      </c>
      <c r="D9621">
        <v>1</v>
      </c>
      <c r="E9621">
        <v>0</v>
      </c>
      <c r="F9621">
        <v>0</v>
      </c>
      <c r="G9621">
        <v>0</v>
      </c>
      <c r="H9621">
        <v>1</v>
      </c>
      <c r="I9621">
        <v>1</v>
      </c>
      <c r="J9621">
        <v>20694.072631231498</v>
      </c>
      <c r="K9621">
        <v>19764.8998598002</v>
      </c>
      <c r="L9621">
        <v>68.305999999999997</v>
      </c>
      <c r="M9621">
        <v>76.492000000000004</v>
      </c>
      <c r="N9621">
        <v>12.000999999999999</v>
      </c>
    </row>
    <row r="9622" spans="1:14" x14ac:dyDescent="0.45">
      <c r="A9622">
        <v>2025</v>
      </c>
      <c r="B9622" t="s">
        <v>82</v>
      </c>
      <c r="C9622">
        <v>0</v>
      </c>
      <c r="D9622">
        <v>0</v>
      </c>
      <c r="E9622">
        <v>0</v>
      </c>
      <c r="F9622">
        <v>0</v>
      </c>
      <c r="G9622">
        <v>0</v>
      </c>
      <c r="H9622">
        <v>1</v>
      </c>
      <c r="I9622">
        <v>1</v>
      </c>
      <c r="J9622">
        <v>80396.972989023707</v>
      </c>
      <c r="K9622">
        <v>62774.3161862782</v>
      </c>
      <c r="L9622">
        <v>20.274000000000001</v>
      </c>
      <c r="M9622">
        <v>75.668000000000006</v>
      </c>
      <c r="N9622">
        <v>9.0429999999999993</v>
      </c>
    </row>
    <row r="9623" spans="1:14" x14ac:dyDescent="0.45">
      <c r="A9623">
        <v>2025</v>
      </c>
      <c r="B9623" t="s">
        <v>83</v>
      </c>
      <c r="C9623">
        <v>0</v>
      </c>
      <c r="D9623">
        <v>0</v>
      </c>
      <c r="E9623">
        <v>0</v>
      </c>
      <c r="F9623">
        <v>1</v>
      </c>
      <c r="G9623">
        <v>0</v>
      </c>
      <c r="H9623">
        <v>0</v>
      </c>
      <c r="I9623">
        <v>0</v>
      </c>
      <c r="J9623">
        <v>15899.6425372214</v>
      </c>
      <c r="K9623">
        <v>13771.101121801899</v>
      </c>
      <c r="L9623">
        <v>54.363999999999997</v>
      </c>
      <c r="M9623">
        <v>73.528000000000006</v>
      </c>
      <c r="N9623">
        <v>20.494</v>
      </c>
    </row>
    <row r="9624" spans="1:14" x14ac:dyDescent="0.45">
      <c r="A9624">
        <v>2025</v>
      </c>
      <c r="B9624" t="s">
        <v>84</v>
      </c>
      <c r="C9624">
        <v>0</v>
      </c>
      <c r="D9624">
        <v>0</v>
      </c>
      <c r="E9624">
        <v>1</v>
      </c>
      <c r="F9624">
        <v>0</v>
      </c>
      <c r="G9624">
        <v>1</v>
      </c>
      <c r="H9624">
        <v>0</v>
      </c>
      <c r="I9624">
        <v>0</v>
      </c>
      <c r="J9624">
        <v>17242.1561561411</v>
      </c>
      <c r="K9624">
        <v>15600.4689996832</v>
      </c>
      <c r="L9624">
        <v>25.907</v>
      </c>
      <c r="M9624">
        <v>69.429000000000002</v>
      </c>
      <c r="N9624">
        <v>36.012999999999998</v>
      </c>
    </row>
    <row r="9625" spans="1:14" x14ac:dyDescent="0.45">
      <c r="A9625">
        <v>2025</v>
      </c>
      <c r="B9625" t="s">
        <v>85</v>
      </c>
      <c r="C9625">
        <v>0</v>
      </c>
      <c r="D9625">
        <v>0</v>
      </c>
      <c r="E9625">
        <v>1</v>
      </c>
      <c r="F9625">
        <v>0</v>
      </c>
      <c r="G9625">
        <v>0</v>
      </c>
      <c r="H9625">
        <v>0</v>
      </c>
      <c r="I9625">
        <v>0</v>
      </c>
      <c r="J9625">
        <v>1090.5945670895701</v>
      </c>
      <c r="K9625">
        <v>873.18489322468804</v>
      </c>
      <c r="L9625">
        <v>55.334000000000003</v>
      </c>
      <c r="M9625">
        <v>57.902999999999999</v>
      </c>
      <c r="N9625">
        <v>91.147000000000006</v>
      </c>
    </row>
    <row r="9626" spans="1:14" x14ac:dyDescent="0.45">
      <c r="A9626">
        <v>2025</v>
      </c>
      <c r="B9626" t="s">
        <v>86</v>
      </c>
      <c r="C9626">
        <v>0</v>
      </c>
      <c r="D9626">
        <v>0</v>
      </c>
      <c r="E9626">
        <v>0</v>
      </c>
      <c r="F9626">
        <v>0</v>
      </c>
      <c r="G9626">
        <v>0</v>
      </c>
      <c r="H9626">
        <v>1</v>
      </c>
      <c r="I9626">
        <v>1</v>
      </c>
      <c r="J9626">
        <v>56421.198125505201</v>
      </c>
      <c r="K9626">
        <v>48839.124309359897</v>
      </c>
      <c r="L9626">
        <v>17.891999999999999</v>
      </c>
      <c r="M9626">
        <v>82.882999999999996</v>
      </c>
      <c r="N9626">
        <v>4.5449999999999999</v>
      </c>
    </row>
    <row r="9627" spans="1:14" x14ac:dyDescent="0.45">
      <c r="A9627">
        <v>2025</v>
      </c>
      <c r="B9627" t="s">
        <v>87</v>
      </c>
      <c r="C9627">
        <v>1</v>
      </c>
      <c r="D9627">
        <v>0</v>
      </c>
      <c r="E9627">
        <v>0</v>
      </c>
      <c r="F9627">
        <v>0</v>
      </c>
      <c r="G9627">
        <v>0</v>
      </c>
      <c r="H9627">
        <v>1</v>
      </c>
      <c r="I9627">
        <v>1</v>
      </c>
      <c r="J9627">
        <v>82838.629603418696</v>
      </c>
      <c r="K9627">
        <v>72066.865924594298</v>
      </c>
      <c r="L9627">
        <v>25.533999999999999</v>
      </c>
      <c r="M9627">
        <v>84.228999999999999</v>
      </c>
      <c r="N9627">
        <v>3.5379999999999998</v>
      </c>
    </row>
    <row r="9628" spans="1:14" x14ac:dyDescent="0.45">
      <c r="A9628">
        <v>2025</v>
      </c>
      <c r="B9628" t="s">
        <v>88</v>
      </c>
      <c r="C9628">
        <v>1</v>
      </c>
      <c r="D9628">
        <v>0</v>
      </c>
      <c r="E9628">
        <v>0</v>
      </c>
      <c r="F9628">
        <v>0</v>
      </c>
      <c r="G9628">
        <v>0</v>
      </c>
      <c r="H9628">
        <v>1</v>
      </c>
      <c r="I9628">
        <v>1</v>
      </c>
      <c r="L9628">
        <v>68.629000000000005</v>
      </c>
      <c r="M9628">
        <v>81.336888873719303</v>
      </c>
      <c r="N9628">
        <v>8.4878449241983507</v>
      </c>
    </row>
    <row r="9629" spans="1:14" x14ac:dyDescent="0.45">
      <c r="A9629">
        <v>2025</v>
      </c>
      <c r="B9629" t="s">
        <v>89</v>
      </c>
      <c r="C9629">
        <v>0</v>
      </c>
      <c r="D9629">
        <v>1</v>
      </c>
      <c r="E9629">
        <v>0</v>
      </c>
      <c r="F9629">
        <v>0</v>
      </c>
      <c r="G9629">
        <v>0</v>
      </c>
      <c r="H9629">
        <v>1</v>
      </c>
      <c r="I9629">
        <v>1</v>
      </c>
      <c r="J9629">
        <v>30801.558495260098</v>
      </c>
      <c r="K9629">
        <v>26830.681544785999</v>
      </c>
      <c r="L9629">
        <v>11.773999999999999</v>
      </c>
      <c r="M9629">
        <v>81.539000000000001</v>
      </c>
      <c r="N9629">
        <v>6.2089999999999996</v>
      </c>
    </row>
    <row r="9630" spans="1:14" x14ac:dyDescent="0.45">
      <c r="A9630">
        <v>2025</v>
      </c>
      <c r="B9630" t="s">
        <v>90</v>
      </c>
      <c r="C9630">
        <v>0</v>
      </c>
      <c r="D9630">
        <v>0</v>
      </c>
      <c r="E9630">
        <v>0</v>
      </c>
      <c r="F9630">
        <v>0</v>
      </c>
      <c r="G9630">
        <v>1</v>
      </c>
      <c r="H9630">
        <v>0</v>
      </c>
      <c r="I9630">
        <v>0</v>
      </c>
      <c r="J9630">
        <v>25095.474335128201</v>
      </c>
      <c r="K9630">
        <v>22496.467819307902</v>
      </c>
      <c r="L9630">
        <v>33.518999999999998</v>
      </c>
      <c r="M9630">
        <v>78.372</v>
      </c>
      <c r="N9630">
        <v>7.5490000000000004</v>
      </c>
    </row>
    <row r="9631" spans="1:14" x14ac:dyDescent="0.45">
      <c r="A9631">
        <v>2025</v>
      </c>
      <c r="B9631" t="s">
        <v>91</v>
      </c>
      <c r="C9631">
        <v>0</v>
      </c>
      <c r="D9631">
        <v>0</v>
      </c>
      <c r="E9631">
        <v>1</v>
      </c>
      <c r="F9631">
        <v>1</v>
      </c>
      <c r="G9631">
        <v>0</v>
      </c>
      <c r="H9631">
        <v>0</v>
      </c>
      <c r="I9631">
        <v>0</v>
      </c>
      <c r="J9631">
        <v>6965.3699754555701</v>
      </c>
      <c r="K9631">
        <v>5879.7980652905198</v>
      </c>
      <c r="L9631">
        <v>45.856000000000002</v>
      </c>
      <c r="M9631">
        <v>62.277999999999999</v>
      </c>
      <c r="N9631">
        <v>65.366</v>
      </c>
    </row>
    <row r="9632" spans="1:14" x14ac:dyDescent="0.45">
      <c r="A9632">
        <v>2025</v>
      </c>
      <c r="B9632" t="s">
        <v>92</v>
      </c>
      <c r="C9632">
        <v>0</v>
      </c>
      <c r="D9632">
        <v>0</v>
      </c>
      <c r="E9632">
        <v>1</v>
      </c>
      <c r="F9632">
        <v>1</v>
      </c>
      <c r="G9632">
        <v>0</v>
      </c>
      <c r="H9632">
        <v>0</v>
      </c>
      <c r="I9632">
        <v>0</v>
      </c>
      <c r="J9632">
        <v>4960.0145066410596</v>
      </c>
      <c r="K9632">
        <v>3894.6657126350201</v>
      </c>
      <c r="L9632">
        <v>39.536000000000001</v>
      </c>
      <c r="M9632">
        <v>64.248999999999995</v>
      </c>
      <c r="N9632">
        <v>63.968000000000004</v>
      </c>
    </row>
    <row r="9633" spans="1:14" x14ac:dyDescent="0.45">
      <c r="A9633">
        <v>2025</v>
      </c>
      <c r="B9633" t="s">
        <v>93</v>
      </c>
      <c r="C9633">
        <v>0</v>
      </c>
      <c r="D9633">
        <v>0</v>
      </c>
      <c r="E9633">
        <v>1</v>
      </c>
      <c r="F9633">
        <v>0</v>
      </c>
      <c r="G9633">
        <v>0</v>
      </c>
      <c r="H9633">
        <v>0</v>
      </c>
      <c r="I9633">
        <v>0</v>
      </c>
      <c r="J9633">
        <v>1550.8029497846301</v>
      </c>
      <c r="K9633">
        <v>1241.5178121270999</v>
      </c>
      <c r="L9633">
        <v>51.331000000000003</v>
      </c>
      <c r="M9633">
        <v>62.228000000000002</v>
      </c>
      <c r="N9633">
        <v>71.474999999999994</v>
      </c>
    </row>
    <row r="9634" spans="1:14" x14ac:dyDescent="0.45">
      <c r="A9634">
        <v>2025</v>
      </c>
      <c r="B9634" t="s">
        <v>94</v>
      </c>
      <c r="C9634">
        <v>0</v>
      </c>
      <c r="D9634">
        <v>0</v>
      </c>
      <c r="E9634">
        <v>1</v>
      </c>
      <c r="F9634">
        <v>1</v>
      </c>
      <c r="G9634">
        <v>0</v>
      </c>
      <c r="H9634">
        <v>0</v>
      </c>
      <c r="I9634">
        <v>0</v>
      </c>
      <c r="J9634">
        <v>6191.8941797957004</v>
      </c>
      <c r="K9634">
        <v>3732.75375743316</v>
      </c>
      <c r="L9634">
        <v>29.914999999999999</v>
      </c>
      <c r="M9634">
        <v>66.203999999999994</v>
      </c>
      <c r="N9634">
        <v>37.840000000000003</v>
      </c>
    </row>
    <row r="9635" spans="1:14" x14ac:dyDescent="0.45">
      <c r="A9635">
        <v>2025</v>
      </c>
      <c r="B9635" t="s">
        <v>95</v>
      </c>
      <c r="C9635">
        <v>0</v>
      </c>
      <c r="D9635">
        <v>1</v>
      </c>
      <c r="E9635">
        <v>0</v>
      </c>
      <c r="F9635">
        <v>0</v>
      </c>
      <c r="G9635">
        <v>1</v>
      </c>
      <c r="H9635">
        <v>0</v>
      </c>
      <c r="I9635">
        <v>0</v>
      </c>
      <c r="J9635">
        <v>18598.811055652499</v>
      </c>
      <c r="K9635">
        <v>15485.546489595001</v>
      </c>
      <c r="L9635">
        <v>17.055</v>
      </c>
      <c r="M9635">
        <v>78.093999999999994</v>
      </c>
      <c r="N9635">
        <v>11.337</v>
      </c>
    </row>
    <row r="9636" spans="1:14" x14ac:dyDescent="0.45">
      <c r="A9636">
        <v>2025</v>
      </c>
      <c r="B9636" t="s">
        <v>96</v>
      </c>
      <c r="C9636">
        <v>0</v>
      </c>
      <c r="D9636">
        <v>0</v>
      </c>
      <c r="E9636">
        <v>1</v>
      </c>
      <c r="F9636">
        <v>1</v>
      </c>
      <c r="G9636">
        <v>0</v>
      </c>
      <c r="H9636">
        <v>0</v>
      </c>
      <c r="I9636">
        <v>0</v>
      </c>
      <c r="J9636">
        <v>3619.6793228864199</v>
      </c>
      <c r="K9636">
        <v>3743.2103680668602</v>
      </c>
      <c r="L9636">
        <v>69.278000000000006</v>
      </c>
      <c r="M9636">
        <v>67.248999999999995</v>
      </c>
      <c r="N9636">
        <v>43.253</v>
      </c>
    </row>
    <row r="9637" spans="1:14" x14ac:dyDescent="0.45">
      <c r="A9637">
        <v>2025</v>
      </c>
      <c r="B9637" t="s">
        <v>97</v>
      </c>
      <c r="C9637">
        <v>0</v>
      </c>
      <c r="D9637">
        <v>0</v>
      </c>
      <c r="E9637">
        <v>1</v>
      </c>
      <c r="F9637">
        <v>0</v>
      </c>
      <c r="G9637">
        <v>1</v>
      </c>
      <c r="H9637">
        <v>0</v>
      </c>
      <c r="I9637">
        <v>0</v>
      </c>
      <c r="J9637">
        <v>10579.275585593001</v>
      </c>
      <c r="K9637">
        <v>10195.3971179949</v>
      </c>
      <c r="L9637">
        <v>31.164999999999999</v>
      </c>
      <c r="M9637">
        <v>76.397000000000006</v>
      </c>
      <c r="N9637">
        <v>11.151999999999999</v>
      </c>
    </row>
    <row r="9638" spans="1:14" x14ac:dyDescent="0.45">
      <c r="A9638">
        <v>2025</v>
      </c>
      <c r="B9638" t="s">
        <v>98</v>
      </c>
      <c r="C9638">
        <v>0</v>
      </c>
      <c r="D9638">
        <v>1</v>
      </c>
      <c r="E9638">
        <v>0</v>
      </c>
      <c r="F9638">
        <v>0</v>
      </c>
      <c r="G9638">
        <v>0</v>
      </c>
      <c r="H9638">
        <v>1</v>
      </c>
      <c r="I9638">
        <v>1</v>
      </c>
      <c r="J9638">
        <v>27999.5625565339</v>
      </c>
      <c r="K9638">
        <v>25069.532709474101</v>
      </c>
      <c r="L9638">
        <v>16.321000000000002</v>
      </c>
      <c r="M9638">
        <v>81.191000000000003</v>
      </c>
      <c r="N9638">
        <v>7.2960000000000003</v>
      </c>
    </row>
    <row r="9639" spans="1:14" x14ac:dyDescent="0.45">
      <c r="A9639">
        <v>2025</v>
      </c>
      <c r="B9639" t="s">
        <v>99</v>
      </c>
      <c r="C9639">
        <v>0</v>
      </c>
      <c r="D9639">
        <v>1</v>
      </c>
      <c r="E9639">
        <v>0</v>
      </c>
      <c r="F9639">
        <v>0</v>
      </c>
      <c r="G9639">
        <v>1</v>
      </c>
      <c r="H9639">
        <v>0</v>
      </c>
      <c r="I9639">
        <v>0</v>
      </c>
      <c r="L9639">
        <v>22.196999999999999</v>
      </c>
      <c r="M9639">
        <v>78.447000000000003</v>
      </c>
      <c r="N9639">
        <v>5.5</v>
      </c>
    </row>
    <row r="9640" spans="1:14" x14ac:dyDescent="0.45">
      <c r="A9640">
        <v>2025</v>
      </c>
      <c r="B9640" t="s">
        <v>100</v>
      </c>
      <c r="C9640">
        <v>0</v>
      </c>
      <c r="D9640">
        <v>1</v>
      </c>
      <c r="E9640">
        <v>0</v>
      </c>
      <c r="F9640">
        <v>0</v>
      </c>
      <c r="G9640">
        <v>0</v>
      </c>
      <c r="H9640">
        <v>1</v>
      </c>
      <c r="I9640">
        <v>1</v>
      </c>
      <c r="L9640">
        <v>10.945</v>
      </c>
      <c r="M9640">
        <v>77.171999999999997</v>
      </c>
      <c r="N9640">
        <v>9.56</v>
      </c>
    </row>
    <row r="9641" spans="1:14" x14ac:dyDescent="0.45">
      <c r="A9641">
        <v>2025</v>
      </c>
      <c r="B9641" t="s">
        <v>101</v>
      </c>
      <c r="C9641">
        <v>0</v>
      </c>
      <c r="D9641">
        <v>1</v>
      </c>
      <c r="E9641">
        <v>0</v>
      </c>
      <c r="F9641">
        <v>0</v>
      </c>
      <c r="G9641">
        <v>0</v>
      </c>
      <c r="H9641">
        <v>1</v>
      </c>
      <c r="I9641">
        <v>1</v>
      </c>
      <c r="L9641">
        <v>0</v>
      </c>
      <c r="M9641">
        <v>80.716999999999999</v>
      </c>
      <c r="N9641">
        <v>1.5409999999999999</v>
      </c>
    </row>
    <row r="9642" spans="1:14" x14ac:dyDescent="0.45">
      <c r="A9642">
        <v>2025</v>
      </c>
      <c r="B9642" t="s">
        <v>102</v>
      </c>
      <c r="C9642">
        <v>1</v>
      </c>
      <c r="D9642">
        <v>0</v>
      </c>
      <c r="E9642">
        <v>0</v>
      </c>
      <c r="F9642">
        <v>0</v>
      </c>
      <c r="G9642">
        <v>0</v>
      </c>
      <c r="H9642">
        <v>1</v>
      </c>
      <c r="I9642">
        <v>1</v>
      </c>
      <c r="J9642">
        <v>54365.442643087401</v>
      </c>
      <c r="K9642">
        <v>48431.027932625402</v>
      </c>
      <c r="L9642">
        <v>32.802</v>
      </c>
      <c r="M9642">
        <v>81.991</v>
      </c>
      <c r="N9642">
        <v>2.8620000000000001</v>
      </c>
    </row>
    <row r="9643" spans="1:14" x14ac:dyDescent="0.45">
      <c r="A9643">
        <v>2025</v>
      </c>
      <c r="B9643" t="s">
        <v>103</v>
      </c>
      <c r="C9643">
        <v>1</v>
      </c>
      <c r="D9643">
        <v>0</v>
      </c>
      <c r="E9643">
        <v>0</v>
      </c>
      <c r="F9643">
        <v>0</v>
      </c>
      <c r="G9643">
        <v>0</v>
      </c>
      <c r="H9643">
        <v>1</v>
      </c>
      <c r="I9643">
        <v>1</v>
      </c>
      <c r="J9643">
        <v>48950.886150397899</v>
      </c>
      <c r="K9643">
        <v>40756.632290222202</v>
      </c>
      <c r="L9643">
        <v>25.065000000000001</v>
      </c>
      <c r="M9643">
        <v>80.106999999999999</v>
      </c>
      <c r="N9643">
        <v>2.5270000000000001</v>
      </c>
    </row>
    <row r="9644" spans="1:14" x14ac:dyDescent="0.45">
      <c r="A9644">
        <v>2025</v>
      </c>
      <c r="B9644" t="s">
        <v>104</v>
      </c>
      <c r="C9644">
        <v>1</v>
      </c>
      <c r="D9644">
        <v>0</v>
      </c>
      <c r="E9644">
        <v>0</v>
      </c>
      <c r="F9644">
        <v>0</v>
      </c>
      <c r="G9644">
        <v>0</v>
      </c>
      <c r="H9644">
        <v>1</v>
      </c>
      <c r="I9644">
        <v>1</v>
      </c>
      <c r="J9644">
        <v>63009.345163532002</v>
      </c>
      <c r="K9644">
        <v>54632.387126383903</v>
      </c>
      <c r="L9644">
        <v>21.963000000000001</v>
      </c>
      <c r="M9644">
        <v>81.706999999999994</v>
      </c>
      <c r="N9644">
        <v>3.2839999999999998</v>
      </c>
    </row>
    <row r="9645" spans="1:14" x14ac:dyDescent="0.45">
      <c r="A9645">
        <v>2025</v>
      </c>
      <c r="B9645" t="s">
        <v>105</v>
      </c>
      <c r="C9645">
        <v>0</v>
      </c>
      <c r="D9645">
        <v>0</v>
      </c>
      <c r="E9645">
        <v>0</v>
      </c>
      <c r="F9645">
        <v>1</v>
      </c>
      <c r="G9645">
        <v>0</v>
      </c>
      <c r="H9645">
        <v>0</v>
      </c>
      <c r="I9645">
        <v>0</v>
      </c>
      <c r="J9645">
        <v>7153.73746704927</v>
      </c>
      <c r="K9645">
        <v>6170.4622986783597</v>
      </c>
      <c r="L9645">
        <v>21.08</v>
      </c>
      <c r="M9645">
        <v>66.41</v>
      </c>
      <c r="N9645">
        <v>48.103000000000002</v>
      </c>
    </row>
    <row r="9646" spans="1:14" x14ac:dyDescent="0.45">
      <c r="A9646">
        <v>2025</v>
      </c>
      <c r="B9646" t="s">
        <v>106</v>
      </c>
      <c r="C9646">
        <v>0</v>
      </c>
      <c r="D9646">
        <v>1</v>
      </c>
      <c r="E9646">
        <v>0</v>
      </c>
      <c r="F9646">
        <v>0</v>
      </c>
      <c r="G9646">
        <v>1</v>
      </c>
      <c r="H9646">
        <v>0</v>
      </c>
      <c r="I9646">
        <v>0</v>
      </c>
      <c r="J9646">
        <v>19691.675490358299</v>
      </c>
      <c r="K9646">
        <v>15324.6197391476</v>
      </c>
      <c r="L9646">
        <v>27.381</v>
      </c>
      <c r="M9646">
        <v>71.450999999999993</v>
      </c>
      <c r="N9646">
        <v>30.721</v>
      </c>
    </row>
    <row r="9647" spans="1:14" x14ac:dyDescent="0.45">
      <c r="A9647">
        <v>2025</v>
      </c>
      <c r="B9647" t="s">
        <v>107</v>
      </c>
      <c r="C9647">
        <v>1</v>
      </c>
      <c r="D9647">
        <v>0</v>
      </c>
      <c r="E9647">
        <v>0</v>
      </c>
      <c r="F9647">
        <v>0</v>
      </c>
      <c r="G9647">
        <v>0</v>
      </c>
      <c r="H9647">
        <v>1</v>
      </c>
      <c r="I9647">
        <v>1</v>
      </c>
      <c r="J9647">
        <v>74300.8175810455</v>
      </c>
      <c r="K9647">
        <v>62795.119656204697</v>
      </c>
      <c r="L9647">
        <v>11.241</v>
      </c>
      <c r="M9647">
        <v>82.245000000000005</v>
      </c>
      <c r="N9647">
        <v>3.2690000000000001</v>
      </c>
    </row>
    <row r="9648" spans="1:14" x14ac:dyDescent="0.45">
      <c r="A9648">
        <v>2025</v>
      </c>
      <c r="B9648" t="s">
        <v>108</v>
      </c>
      <c r="C9648">
        <v>0</v>
      </c>
      <c r="D9648">
        <v>1</v>
      </c>
      <c r="E9648">
        <v>0</v>
      </c>
      <c r="F9648">
        <v>0</v>
      </c>
      <c r="G9648">
        <v>1</v>
      </c>
      <c r="H9648">
        <v>0</v>
      </c>
      <c r="I9648">
        <v>0</v>
      </c>
      <c r="J9648">
        <v>25226.569588884198</v>
      </c>
      <c r="K9648">
        <v>21791.341396406599</v>
      </c>
      <c r="L9648">
        <v>14.457000000000001</v>
      </c>
      <c r="M9648">
        <v>73.989999999999995</v>
      </c>
      <c r="N9648">
        <v>30.844999999999999</v>
      </c>
    </row>
    <row r="9649" spans="1:14" x14ac:dyDescent="0.45">
      <c r="A9649">
        <v>2025</v>
      </c>
      <c r="B9649" t="s">
        <v>109</v>
      </c>
      <c r="C9649">
        <v>0</v>
      </c>
      <c r="D9649">
        <v>0</v>
      </c>
      <c r="E9649">
        <v>0</v>
      </c>
      <c r="F9649">
        <v>0</v>
      </c>
      <c r="G9649">
        <v>1</v>
      </c>
      <c r="H9649">
        <v>0</v>
      </c>
      <c r="I9649">
        <v>0</v>
      </c>
      <c r="J9649">
        <v>15775.883312359099</v>
      </c>
      <c r="K9649">
        <v>13798.125862188999</v>
      </c>
      <c r="L9649">
        <v>23.788</v>
      </c>
      <c r="M9649">
        <v>76.686999999999998</v>
      </c>
      <c r="N9649">
        <v>19.707000000000001</v>
      </c>
    </row>
    <row r="9650" spans="1:14" x14ac:dyDescent="0.45">
      <c r="A9650">
        <v>2025</v>
      </c>
      <c r="B9650" t="s">
        <v>110</v>
      </c>
      <c r="C9650">
        <v>0</v>
      </c>
      <c r="D9650">
        <v>1</v>
      </c>
      <c r="E9650">
        <v>0</v>
      </c>
      <c r="F9650">
        <v>0</v>
      </c>
      <c r="G9650">
        <v>1</v>
      </c>
      <c r="H9650">
        <v>0</v>
      </c>
      <c r="I9650">
        <v>0</v>
      </c>
      <c r="J9650">
        <v>13470.729308707299</v>
      </c>
      <c r="K9650">
        <v>11204.2491462121</v>
      </c>
      <c r="L9650">
        <v>34.72</v>
      </c>
      <c r="M9650">
        <v>77.757000000000005</v>
      </c>
      <c r="N9650">
        <v>11.763999999999999</v>
      </c>
    </row>
    <row r="9651" spans="1:14" x14ac:dyDescent="0.45">
      <c r="A9651">
        <v>2025</v>
      </c>
      <c r="B9651" t="s">
        <v>111</v>
      </c>
      <c r="C9651">
        <v>0</v>
      </c>
      <c r="D9651">
        <v>0</v>
      </c>
      <c r="E9651">
        <v>0</v>
      </c>
      <c r="F9651">
        <v>1</v>
      </c>
      <c r="G9651">
        <v>0</v>
      </c>
      <c r="H9651">
        <v>0</v>
      </c>
      <c r="I9651">
        <v>0</v>
      </c>
      <c r="J9651">
        <v>17021.3021877881</v>
      </c>
      <c r="K9651">
        <v>13507.818630662799</v>
      </c>
      <c r="L9651">
        <v>56.555999999999997</v>
      </c>
      <c r="M9651">
        <v>71.986999999999995</v>
      </c>
      <c r="N9651">
        <v>15.446999999999999</v>
      </c>
    </row>
    <row r="9652" spans="1:14" x14ac:dyDescent="0.45">
      <c r="A9652">
        <v>2025</v>
      </c>
      <c r="B9652" t="s">
        <v>112</v>
      </c>
      <c r="C9652">
        <v>0</v>
      </c>
      <c r="D9652">
        <v>0</v>
      </c>
      <c r="E9652">
        <v>1</v>
      </c>
      <c r="F9652">
        <v>0</v>
      </c>
      <c r="G9652">
        <v>0</v>
      </c>
      <c r="H9652">
        <v>0</v>
      </c>
      <c r="I9652">
        <v>0</v>
      </c>
      <c r="L9652">
        <v>55.442999999999998</v>
      </c>
      <c r="M9652">
        <v>69.150999999999996</v>
      </c>
      <c r="N9652">
        <v>32.613</v>
      </c>
    </row>
    <row r="9653" spans="1:14" x14ac:dyDescent="0.45">
      <c r="A9653">
        <v>2025</v>
      </c>
      <c r="B9653" t="s">
        <v>113</v>
      </c>
      <c r="C9653">
        <v>1</v>
      </c>
      <c r="D9653">
        <v>0</v>
      </c>
      <c r="E9653">
        <v>0</v>
      </c>
      <c r="F9653">
        <v>0</v>
      </c>
      <c r="G9653">
        <v>0</v>
      </c>
      <c r="H9653">
        <v>1</v>
      </c>
      <c r="I9653">
        <v>1</v>
      </c>
      <c r="J9653">
        <v>49789.013136423397</v>
      </c>
      <c r="K9653">
        <v>43815.655754131803</v>
      </c>
      <c r="L9653">
        <v>17.946999999999999</v>
      </c>
      <c r="M9653">
        <v>83.96</v>
      </c>
      <c r="N9653">
        <v>2.7559999999999998</v>
      </c>
    </row>
    <row r="9654" spans="1:14" x14ac:dyDescent="0.45">
      <c r="A9654">
        <v>2025</v>
      </c>
      <c r="B9654" t="s">
        <v>114</v>
      </c>
      <c r="C9654">
        <v>1</v>
      </c>
      <c r="D9654">
        <v>0</v>
      </c>
      <c r="E9654">
        <v>0</v>
      </c>
      <c r="F9654">
        <v>0</v>
      </c>
      <c r="G9654">
        <v>0</v>
      </c>
      <c r="H9654">
        <v>1</v>
      </c>
      <c r="I9654">
        <v>1</v>
      </c>
      <c r="J9654">
        <v>41667.538801995797</v>
      </c>
      <c r="K9654">
        <v>35350.984722188703</v>
      </c>
      <c r="L9654">
        <v>29.765000000000001</v>
      </c>
      <c r="M9654">
        <v>79.475999999999999</v>
      </c>
      <c r="N9654">
        <v>2.2010000000000001</v>
      </c>
    </row>
    <row r="9655" spans="1:14" x14ac:dyDescent="0.45">
      <c r="A9655">
        <v>2025</v>
      </c>
      <c r="B9655" t="s">
        <v>115</v>
      </c>
      <c r="C9655">
        <v>0</v>
      </c>
      <c r="D9655">
        <v>0</v>
      </c>
      <c r="E9655">
        <v>1</v>
      </c>
      <c r="F9655">
        <v>0</v>
      </c>
      <c r="G9655">
        <v>0</v>
      </c>
      <c r="H9655">
        <v>0</v>
      </c>
      <c r="I9655">
        <v>0</v>
      </c>
      <c r="J9655">
        <v>3015.88527088109</v>
      </c>
      <c r="K9655">
        <v>2719.9979820100898</v>
      </c>
      <c r="L9655">
        <v>75.826999999999998</v>
      </c>
      <c r="M9655">
        <v>67.876000000000005</v>
      </c>
      <c r="N9655">
        <v>41.863999999999997</v>
      </c>
    </row>
    <row r="9656" spans="1:14" x14ac:dyDescent="0.45">
      <c r="A9656">
        <v>2025</v>
      </c>
      <c r="B9656" t="s">
        <v>116</v>
      </c>
      <c r="C9656">
        <v>1</v>
      </c>
      <c r="D9656">
        <v>0</v>
      </c>
      <c r="E9656">
        <v>0</v>
      </c>
      <c r="F9656">
        <v>0</v>
      </c>
      <c r="G9656">
        <v>0</v>
      </c>
      <c r="H9656">
        <v>1</v>
      </c>
      <c r="I9656">
        <v>1</v>
      </c>
      <c r="J9656">
        <v>55372.895650574297</v>
      </c>
      <c r="K9656">
        <v>46551.041616252201</v>
      </c>
      <c r="L9656">
        <v>14.022</v>
      </c>
      <c r="M9656">
        <v>82.244</v>
      </c>
      <c r="N9656">
        <v>2.1829999999999998</v>
      </c>
    </row>
    <row r="9657" spans="1:14" x14ac:dyDescent="0.45">
      <c r="A9657">
        <v>2025</v>
      </c>
      <c r="B9657" t="s">
        <v>117</v>
      </c>
      <c r="C9657">
        <v>0</v>
      </c>
      <c r="D9657">
        <v>0</v>
      </c>
      <c r="E9657">
        <v>0</v>
      </c>
      <c r="F9657">
        <v>0</v>
      </c>
      <c r="G9657">
        <v>1</v>
      </c>
      <c r="H9657">
        <v>0</v>
      </c>
      <c r="I9657">
        <v>0</v>
      </c>
      <c r="J9657">
        <v>14567.2874974184</v>
      </c>
      <c r="K9657">
        <v>14265.783946220299</v>
      </c>
      <c r="L9657">
        <v>40.334000000000003</v>
      </c>
      <c r="M9657">
        <v>67.619</v>
      </c>
      <c r="N9657">
        <v>19.882000000000001</v>
      </c>
    </row>
    <row r="9658" spans="1:14" x14ac:dyDescent="0.45">
      <c r="A9658">
        <v>2025</v>
      </c>
      <c r="B9658" t="s">
        <v>118</v>
      </c>
      <c r="C9658">
        <v>1</v>
      </c>
      <c r="D9658">
        <v>0</v>
      </c>
      <c r="E9658">
        <v>0</v>
      </c>
      <c r="F9658">
        <v>0</v>
      </c>
      <c r="G9658">
        <v>0</v>
      </c>
      <c r="H9658">
        <v>1</v>
      </c>
      <c r="I9658">
        <v>1</v>
      </c>
      <c r="J9658">
        <v>54930.379464211299</v>
      </c>
      <c r="K9658">
        <v>45861.3072282004</v>
      </c>
      <c r="L9658">
        <v>17.687999999999999</v>
      </c>
      <c r="M9658">
        <v>83.58</v>
      </c>
      <c r="N9658">
        <v>3.6859999999999999</v>
      </c>
    </row>
    <row r="9659" spans="1:14" x14ac:dyDescent="0.45">
      <c r="A9659">
        <v>2025</v>
      </c>
      <c r="B9659" t="s">
        <v>119</v>
      </c>
      <c r="C9659">
        <v>1</v>
      </c>
      <c r="D9659">
        <v>0</v>
      </c>
      <c r="E9659">
        <v>0</v>
      </c>
      <c r="F9659">
        <v>0</v>
      </c>
      <c r="G9659">
        <v>0</v>
      </c>
      <c r="H9659">
        <v>1</v>
      </c>
      <c r="I9659">
        <v>1</v>
      </c>
      <c r="L9659">
        <v>56.563000000000002</v>
      </c>
      <c r="M9659">
        <v>80.599999999999994</v>
      </c>
      <c r="N9659">
        <v>6.7389999999999999</v>
      </c>
    </row>
    <row r="9660" spans="1:14" x14ac:dyDescent="0.45">
      <c r="A9660">
        <v>2025</v>
      </c>
      <c r="B9660" t="s">
        <v>120</v>
      </c>
      <c r="C9660">
        <v>0</v>
      </c>
      <c r="D9660">
        <v>0</v>
      </c>
      <c r="E9660">
        <v>0</v>
      </c>
      <c r="F9660">
        <v>1</v>
      </c>
      <c r="G9660">
        <v>0</v>
      </c>
      <c r="H9660">
        <v>0</v>
      </c>
      <c r="I9660">
        <v>0</v>
      </c>
      <c r="J9660">
        <v>3847.5585018808001</v>
      </c>
      <c r="K9660">
        <v>3482.5713712208499</v>
      </c>
      <c r="L9660">
        <v>76.256</v>
      </c>
      <c r="M9660">
        <v>67.503</v>
      </c>
      <c r="N9660">
        <v>22.074999999999999</v>
      </c>
    </row>
    <row r="9661" spans="1:14" x14ac:dyDescent="0.45">
      <c r="A9661">
        <v>2025</v>
      </c>
      <c r="B9661" t="s">
        <v>121</v>
      </c>
      <c r="C9661">
        <v>0</v>
      </c>
      <c r="D9661">
        <v>0</v>
      </c>
      <c r="E9661">
        <v>1</v>
      </c>
      <c r="F9661">
        <v>0</v>
      </c>
      <c r="G9661">
        <v>1</v>
      </c>
      <c r="H9661">
        <v>0</v>
      </c>
      <c r="I9661">
        <v>0</v>
      </c>
      <c r="J9661">
        <v>19056.4683768219</v>
      </c>
      <c r="K9661">
        <v>14418.884669984</v>
      </c>
      <c r="L9661">
        <v>8.4320000000000004</v>
      </c>
      <c r="M9661">
        <v>68.695999999999998</v>
      </c>
      <c r="N9661">
        <v>35.347999999999999</v>
      </c>
    </row>
    <row r="9662" spans="1:14" x14ac:dyDescent="0.45">
      <c r="A9662">
        <v>2025</v>
      </c>
      <c r="B9662" t="s">
        <v>122</v>
      </c>
      <c r="C9662">
        <v>1</v>
      </c>
      <c r="D9662">
        <v>0</v>
      </c>
      <c r="E9662">
        <v>0</v>
      </c>
      <c r="F9662">
        <v>0</v>
      </c>
      <c r="G9662">
        <v>0</v>
      </c>
      <c r="H9662">
        <v>1</v>
      </c>
      <c r="I9662">
        <v>1</v>
      </c>
      <c r="J9662">
        <v>52666.209848100203</v>
      </c>
      <c r="K9662">
        <v>45373.528031895701</v>
      </c>
      <c r="L9662">
        <v>14.875999999999999</v>
      </c>
      <c r="M9662">
        <v>81.599999999999994</v>
      </c>
      <c r="N9662">
        <v>4.1189999999999998</v>
      </c>
    </row>
    <row r="9663" spans="1:14" x14ac:dyDescent="0.45">
      <c r="A9663">
        <v>2025</v>
      </c>
      <c r="B9663" t="s">
        <v>123</v>
      </c>
      <c r="C9663">
        <v>1</v>
      </c>
      <c r="D9663">
        <v>0</v>
      </c>
      <c r="E9663">
        <v>0</v>
      </c>
      <c r="F9663">
        <v>0</v>
      </c>
      <c r="G9663">
        <v>1</v>
      </c>
      <c r="H9663">
        <v>0</v>
      </c>
      <c r="I9663">
        <v>0</v>
      </c>
      <c r="J9663">
        <v>27349.412927648002</v>
      </c>
      <c r="K9663">
        <v>23107.127333028999</v>
      </c>
      <c r="L9663">
        <v>38.396999999999998</v>
      </c>
      <c r="M9663">
        <v>74.816000000000003</v>
      </c>
      <c r="N9663">
        <v>7.3559999999999999</v>
      </c>
    </row>
    <row r="9664" spans="1:14" x14ac:dyDescent="0.45">
      <c r="A9664">
        <v>2025</v>
      </c>
      <c r="B9664" t="s">
        <v>124</v>
      </c>
      <c r="C9664">
        <v>0</v>
      </c>
      <c r="D9664">
        <v>0</v>
      </c>
      <c r="E9664">
        <v>1</v>
      </c>
      <c r="F9664">
        <v>1</v>
      </c>
      <c r="G9664">
        <v>0</v>
      </c>
      <c r="H9664">
        <v>0</v>
      </c>
      <c r="I9664">
        <v>0</v>
      </c>
      <c r="J9664">
        <v>7325.8095628122601</v>
      </c>
      <c r="K9664">
        <v>6320.2889161107696</v>
      </c>
      <c r="L9664">
        <v>39.536999999999999</v>
      </c>
      <c r="M9664">
        <v>65.885999999999996</v>
      </c>
      <c r="N9664">
        <v>39.427999999999997</v>
      </c>
    </row>
    <row r="9665" spans="1:14" x14ac:dyDescent="0.45">
      <c r="A9665">
        <v>2025</v>
      </c>
      <c r="B9665" t="s">
        <v>125</v>
      </c>
      <c r="C9665">
        <v>1</v>
      </c>
      <c r="D9665">
        <v>0</v>
      </c>
      <c r="E9665">
        <v>0</v>
      </c>
      <c r="F9665">
        <v>0</v>
      </c>
      <c r="G9665">
        <v>0</v>
      </c>
      <c r="H9665">
        <v>1</v>
      </c>
      <c r="I9665">
        <v>1</v>
      </c>
      <c r="L9665">
        <v>0</v>
      </c>
      <c r="M9665">
        <v>83.777000000000001</v>
      </c>
      <c r="N9665">
        <v>10.250999999999999</v>
      </c>
    </row>
    <row r="9666" spans="1:14" x14ac:dyDescent="0.45">
      <c r="A9666">
        <v>2025</v>
      </c>
      <c r="B9666" t="s">
        <v>126</v>
      </c>
      <c r="C9666">
        <v>0</v>
      </c>
      <c r="D9666">
        <v>0</v>
      </c>
      <c r="E9666">
        <v>1</v>
      </c>
      <c r="F9666">
        <v>1</v>
      </c>
      <c r="G9666">
        <v>0</v>
      </c>
      <c r="H9666">
        <v>0</v>
      </c>
      <c r="I9666">
        <v>0</v>
      </c>
      <c r="J9666">
        <v>4157.2971938193896</v>
      </c>
      <c r="K9666">
        <v>3351.88659526947</v>
      </c>
      <c r="L9666">
        <v>61.036999999999999</v>
      </c>
      <c r="M9666">
        <v>61.064</v>
      </c>
      <c r="N9666">
        <v>90.941000000000003</v>
      </c>
    </row>
    <row r="9667" spans="1:14" x14ac:dyDescent="0.45">
      <c r="A9667">
        <v>2025</v>
      </c>
      <c r="B9667" t="s">
        <v>127</v>
      </c>
      <c r="C9667">
        <v>0</v>
      </c>
      <c r="D9667">
        <v>0</v>
      </c>
      <c r="E9667">
        <v>1</v>
      </c>
      <c r="F9667">
        <v>0</v>
      </c>
      <c r="G9667">
        <v>0</v>
      </c>
      <c r="H9667">
        <v>0</v>
      </c>
      <c r="I9667">
        <v>0</v>
      </c>
      <c r="J9667">
        <v>3131.60514192548</v>
      </c>
      <c r="K9667">
        <v>2520.6194749643801</v>
      </c>
      <c r="L9667">
        <v>34.322000000000003</v>
      </c>
      <c r="M9667">
        <v>66.253</v>
      </c>
      <c r="N9667">
        <v>42.298000000000002</v>
      </c>
    </row>
    <row r="9668" spans="1:14" x14ac:dyDescent="0.45">
      <c r="A9668">
        <v>2025</v>
      </c>
      <c r="B9668" t="s">
        <v>128</v>
      </c>
      <c r="C9668">
        <v>0</v>
      </c>
      <c r="D9668">
        <v>0</v>
      </c>
      <c r="E9668">
        <v>1</v>
      </c>
      <c r="F9668">
        <v>0</v>
      </c>
      <c r="G9668">
        <v>0</v>
      </c>
      <c r="H9668">
        <v>0</v>
      </c>
      <c r="I9668">
        <v>0</v>
      </c>
      <c r="J9668">
        <v>2753.14033036419</v>
      </c>
      <c r="K9668">
        <v>2476.7207702543701</v>
      </c>
      <c r="L9668">
        <v>53.677999999999997</v>
      </c>
      <c r="M9668">
        <v>64.411000000000001</v>
      </c>
      <c r="N9668">
        <v>67.2</v>
      </c>
    </row>
    <row r="9669" spans="1:14" x14ac:dyDescent="0.45">
      <c r="A9669">
        <v>2025</v>
      </c>
      <c r="B9669" t="s">
        <v>129</v>
      </c>
      <c r="C9669">
        <v>0</v>
      </c>
      <c r="D9669">
        <v>0</v>
      </c>
      <c r="E9669">
        <v>1</v>
      </c>
      <c r="F9669">
        <v>0</v>
      </c>
      <c r="G9669">
        <v>1</v>
      </c>
      <c r="H9669">
        <v>0</v>
      </c>
      <c r="I9669">
        <v>0</v>
      </c>
      <c r="J9669">
        <v>15223.009136791799</v>
      </c>
      <c r="K9669">
        <v>12612.4572925582</v>
      </c>
      <c r="L9669">
        <v>24.71</v>
      </c>
      <c r="M9669">
        <v>64.099999999999994</v>
      </c>
      <c r="N9669">
        <v>67.852999999999994</v>
      </c>
    </row>
    <row r="9670" spans="1:14" x14ac:dyDescent="0.45">
      <c r="A9670">
        <v>2025</v>
      </c>
      <c r="B9670" t="s">
        <v>130</v>
      </c>
      <c r="C9670">
        <v>1</v>
      </c>
      <c r="D9670">
        <v>0</v>
      </c>
      <c r="E9670">
        <v>0</v>
      </c>
      <c r="F9670">
        <v>0</v>
      </c>
      <c r="G9670">
        <v>0</v>
      </c>
      <c r="H9670">
        <v>1</v>
      </c>
      <c r="I9670">
        <v>1</v>
      </c>
      <c r="J9670">
        <v>39374.316401005999</v>
      </c>
      <c r="K9670">
        <v>35247.656214458097</v>
      </c>
      <c r="L9670">
        <v>18.707999999999998</v>
      </c>
      <c r="M9670">
        <v>82.224999999999994</v>
      </c>
      <c r="N9670">
        <v>3.22</v>
      </c>
    </row>
    <row r="9671" spans="1:14" x14ac:dyDescent="0.45">
      <c r="A9671">
        <v>2025</v>
      </c>
      <c r="B9671" t="s">
        <v>131</v>
      </c>
      <c r="C9671">
        <v>0</v>
      </c>
      <c r="D9671">
        <v>1</v>
      </c>
      <c r="E9671">
        <v>0</v>
      </c>
      <c r="F9671">
        <v>0</v>
      </c>
      <c r="G9671">
        <v>1</v>
      </c>
      <c r="H9671">
        <v>0</v>
      </c>
      <c r="I9671">
        <v>0</v>
      </c>
      <c r="J9671">
        <v>18378.857623581502</v>
      </c>
      <c r="K9671">
        <v>16958.265151130101</v>
      </c>
      <c r="L9671">
        <v>62.509</v>
      </c>
      <c r="M9671">
        <v>75.518000000000001</v>
      </c>
      <c r="N9671">
        <v>14.048999999999999</v>
      </c>
    </row>
    <row r="9672" spans="1:14" x14ac:dyDescent="0.45">
      <c r="A9672">
        <v>2025</v>
      </c>
      <c r="B9672" t="s">
        <v>132</v>
      </c>
      <c r="C9672">
        <v>1</v>
      </c>
      <c r="D9672">
        <v>0</v>
      </c>
      <c r="E9672">
        <v>0</v>
      </c>
      <c r="F9672">
        <v>0</v>
      </c>
      <c r="G9672">
        <v>0</v>
      </c>
      <c r="H9672">
        <v>1</v>
      </c>
      <c r="I9672">
        <v>1</v>
      </c>
      <c r="L9672">
        <v>11.647</v>
      </c>
      <c r="M9672">
        <v>70.316000000000003</v>
      </c>
      <c r="N9672">
        <v>11.121</v>
      </c>
    </row>
    <row r="9673" spans="1:14" x14ac:dyDescent="0.45">
      <c r="A9673">
        <v>2025</v>
      </c>
      <c r="B9673" t="s">
        <v>133</v>
      </c>
      <c r="C9673">
        <v>0</v>
      </c>
      <c r="D9673">
        <v>1</v>
      </c>
      <c r="E9673">
        <v>0</v>
      </c>
      <c r="F9673">
        <v>0</v>
      </c>
      <c r="G9673">
        <v>1</v>
      </c>
      <c r="H9673">
        <v>0</v>
      </c>
      <c r="I9673">
        <v>0</v>
      </c>
      <c r="J9673">
        <v>12908.107033779999</v>
      </c>
      <c r="K9673">
        <v>11212.9583934127</v>
      </c>
      <c r="L9673">
        <v>46.003999999999998</v>
      </c>
      <c r="M9673">
        <v>72.894999999999996</v>
      </c>
      <c r="N9673">
        <v>20.7</v>
      </c>
    </row>
    <row r="9674" spans="1:14" x14ac:dyDescent="0.45">
      <c r="A9674">
        <v>2025</v>
      </c>
      <c r="B9674" t="s">
        <v>134</v>
      </c>
      <c r="C9674">
        <v>0</v>
      </c>
      <c r="D9674">
        <v>0</v>
      </c>
      <c r="E9674">
        <v>0</v>
      </c>
      <c r="F9674">
        <v>0</v>
      </c>
      <c r="G9674">
        <v>0</v>
      </c>
      <c r="H9674">
        <v>1</v>
      </c>
      <c r="I9674">
        <v>1</v>
      </c>
      <c r="L9674">
        <v>4.6870000000000003</v>
      </c>
      <c r="M9674">
        <v>77.626000000000005</v>
      </c>
      <c r="N9674">
        <v>11.407</v>
      </c>
    </row>
    <row r="9675" spans="1:14" x14ac:dyDescent="0.45">
      <c r="A9675">
        <v>2025</v>
      </c>
      <c r="B9675" t="s">
        <v>135</v>
      </c>
      <c r="C9675">
        <v>0</v>
      </c>
      <c r="D9675">
        <v>1</v>
      </c>
      <c r="E9675">
        <v>0</v>
      </c>
      <c r="F9675">
        <v>0</v>
      </c>
      <c r="G9675">
        <v>0</v>
      </c>
      <c r="H9675">
        <v>1</v>
      </c>
      <c r="I9675">
        <v>1</v>
      </c>
      <c r="J9675">
        <v>100232.269976792</v>
      </c>
      <c r="K9675">
        <v>95860.0519911351</v>
      </c>
      <c r="L9675">
        <v>72.516000000000005</v>
      </c>
      <c r="M9675">
        <v>70.447000000000003</v>
      </c>
      <c r="N9675">
        <v>21.83</v>
      </c>
    </row>
    <row r="9676" spans="1:14" x14ac:dyDescent="0.45">
      <c r="A9676">
        <v>2025</v>
      </c>
      <c r="B9676" t="s">
        <v>136</v>
      </c>
      <c r="C9676">
        <v>0</v>
      </c>
      <c r="D9676">
        <v>0</v>
      </c>
      <c r="E9676">
        <v>0</v>
      </c>
      <c r="F9676">
        <v>0</v>
      </c>
      <c r="G9676">
        <v>0</v>
      </c>
      <c r="H9676">
        <v>1</v>
      </c>
      <c r="I9676">
        <v>1</v>
      </c>
      <c r="J9676">
        <v>68627.286121546698</v>
      </c>
      <c r="K9676">
        <v>61936.362343879002</v>
      </c>
      <c r="L9676">
        <v>0</v>
      </c>
      <c r="M9676">
        <v>85.769000000000005</v>
      </c>
      <c r="N9676">
        <v>1.8740000000000001</v>
      </c>
    </row>
    <row r="9677" spans="1:14" x14ac:dyDescent="0.45">
      <c r="A9677">
        <v>2025</v>
      </c>
      <c r="B9677" t="s">
        <v>137</v>
      </c>
      <c r="C9677">
        <v>0</v>
      </c>
      <c r="D9677">
        <v>1</v>
      </c>
      <c r="E9677">
        <v>0</v>
      </c>
      <c r="F9677">
        <v>1</v>
      </c>
      <c r="G9677">
        <v>0</v>
      </c>
      <c r="H9677">
        <v>0</v>
      </c>
      <c r="I9677">
        <v>0</v>
      </c>
      <c r="J9677">
        <v>6708.9634276134202</v>
      </c>
      <c r="K9677">
        <v>6182.1624186787403</v>
      </c>
      <c r="L9677">
        <v>38.582999999999998</v>
      </c>
      <c r="M9677">
        <v>73.218000000000004</v>
      </c>
      <c r="N9677">
        <v>14.576000000000001</v>
      </c>
    </row>
    <row r="9678" spans="1:14" x14ac:dyDescent="0.45">
      <c r="A9678">
        <v>2025</v>
      </c>
      <c r="B9678" t="s">
        <v>138</v>
      </c>
      <c r="C9678">
        <v>1</v>
      </c>
      <c r="D9678">
        <v>0</v>
      </c>
      <c r="E9678">
        <v>0</v>
      </c>
      <c r="F9678">
        <v>0</v>
      </c>
      <c r="G9678">
        <v>0</v>
      </c>
      <c r="H9678">
        <v>1</v>
      </c>
      <c r="I9678">
        <v>1</v>
      </c>
      <c r="J9678">
        <v>44530.510020682399</v>
      </c>
      <c r="K9678">
        <v>38403.518863994701</v>
      </c>
      <c r="L9678">
        <v>40.670999999999999</v>
      </c>
      <c r="M9678">
        <v>78.915000000000006</v>
      </c>
      <c r="N9678">
        <v>3.919</v>
      </c>
    </row>
    <row r="9679" spans="1:14" x14ac:dyDescent="0.45">
      <c r="A9679">
        <v>2025</v>
      </c>
      <c r="B9679" t="s">
        <v>139</v>
      </c>
      <c r="C9679">
        <v>0</v>
      </c>
      <c r="D9679">
        <v>1</v>
      </c>
      <c r="E9679">
        <v>0</v>
      </c>
      <c r="F9679">
        <v>1</v>
      </c>
      <c r="G9679">
        <v>0</v>
      </c>
      <c r="H9679">
        <v>0</v>
      </c>
      <c r="I9679">
        <v>0</v>
      </c>
      <c r="J9679">
        <v>2652.22968191058</v>
      </c>
      <c r="K9679">
        <v>2549.2058352996</v>
      </c>
      <c r="L9679">
        <v>38.734000000000002</v>
      </c>
      <c r="M9679">
        <v>65.298000000000002</v>
      </c>
      <c r="N9679">
        <v>55.658999999999999</v>
      </c>
    </row>
    <row r="9680" spans="1:14" x14ac:dyDescent="0.45">
      <c r="A9680">
        <v>2025</v>
      </c>
      <c r="B9680" t="s">
        <v>140</v>
      </c>
      <c r="C9680">
        <v>1</v>
      </c>
      <c r="D9680">
        <v>0</v>
      </c>
      <c r="E9680">
        <v>0</v>
      </c>
      <c r="F9680">
        <v>0</v>
      </c>
      <c r="G9680">
        <v>0</v>
      </c>
      <c r="H9680">
        <v>1</v>
      </c>
      <c r="I9680">
        <v>1</v>
      </c>
      <c r="J9680">
        <v>41420.2028341275</v>
      </c>
      <c r="K9680">
        <v>36094.288770642997</v>
      </c>
      <c r="L9680">
        <v>26.501999999999999</v>
      </c>
      <c r="M9680">
        <v>77.332999999999998</v>
      </c>
      <c r="N9680">
        <v>3.45</v>
      </c>
    </row>
    <row r="9681" spans="1:14" x14ac:dyDescent="0.45">
      <c r="A9681">
        <v>2025</v>
      </c>
      <c r="B9681" t="s">
        <v>141</v>
      </c>
      <c r="C9681">
        <v>0</v>
      </c>
      <c r="D9681">
        <v>0</v>
      </c>
      <c r="E9681">
        <v>0</v>
      </c>
      <c r="F9681">
        <v>0</v>
      </c>
      <c r="G9681">
        <v>1</v>
      </c>
      <c r="H9681">
        <v>0</v>
      </c>
      <c r="I9681">
        <v>0</v>
      </c>
      <c r="J9681">
        <v>15070.8005923165</v>
      </c>
      <c r="K9681">
        <v>13681.9115791309</v>
      </c>
      <c r="L9681">
        <v>40.171999999999997</v>
      </c>
      <c r="M9681">
        <v>71.438000000000002</v>
      </c>
      <c r="N9681">
        <v>19.361000000000001</v>
      </c>
    </row>
    <row r="9682" spans="1:14" x14ac:dyDescent="0.45">
      <c r="A9682">
        <v>2025</v>
      </c>
      <c r="B9682" t="s">
        <v>142</v>
      </c>
      <c r="C9682">
        <v>1</v>
      </c>
      <c r="D9682">
        <v>0</v>
      </c>
      <c r="E9682">
        <v>0</v>
      </c>
      <c r="F9682">
        <v>0</v>
      </c>
      <c r="G9682">
        <v>0</v>
      </c>
      <c r="H9682">
        <v>1</v>
      </c>
      <c r="I9682">
        <v>1</v>
      </c>
      <c r="L9682">
        <v>46.048999999999999</v>
      </c>
      <c r="M9682">
        <v>81.222999999999999</v>
      </c>
      <c r="N9682">
        <v>13.23</v>
      </c>
    </row>
    <row r="9683" spans="1:14" x14ac:dyDescent="0.45">
      <c r="A9683">
        <v>2025</v>
      </c>
      <c r="B9683" t="s">
        <v>143</v>
      </c>
      <c r="C9683">
        <v>0</v>
      </c>
      <c r="D9683">
        <v>0</v>
      </c>
      <c r="E9683">
        <v>0</v>
      </c>
      <c r="F9683">
        <v>1</v>
      </c>
      <c r="G9683">
        <v>0</v>
      </c>
      <c r="H9683">
        <v>0</v>
      </c>
      <c r="I9683">
        <v>0</v>
      </c>
      <c r="J9683">
        <v>10381.928907293501</v>
      </c>
      <c r="K9683">
        <v>8707.1716484064891</v>
      </c>
      <c r="L9683">
        <v>62.616999999999997</v>
      </c>
      <c r="M9683">
        <v>72.484999999999999</v>
      </c>
      <c r="N9683">
        <v>27.052</v>
      </c>
    </row>
    <row r="9684" spans="1:14" x14ac:dyDescent="0.45">
      <c r="A9684">
        <v>2025</v>
      </c>
      <c r="B9684" t="s">
        <v>144</v>
      </c>
      <c r="C9684">
        <v>1</v>
      </c>
      <c r="D9684">
        <v>0</v>
      </c>
      <c r="E9684">
        <v>0</v>
      </c>
      <c r="F9684">
        <v>0</v>
      </c>
      <c r="G9684">
        <v>0</v>
      </c>
      <c r="H9684">
        <v>1</v>
      </c>
      <c r="I9684">
        <v>1</v>
      </c>
      <c r="J9684">
        <v>113008.843091434</v>
      </c>
      <c r="K9684">
        <v>103905.735284371</v>
      </c>
      <c r="L9684">
        <v>34.935000000000002</v>
      </c>
      <c r="M9684">
        <v>82.745000000000005</v>
      </c>
      <c r="N9684">
        <v>3.141</v>
      </c>
    </row>
    <row r="9685" spans="1:14" x14ac:dyDescent="0.45">
      <c r="A9685">
        <v>2025</v>
      </c>
      <c r="B9685" t="s">
        <v>145</v>
      </c>
      <c r="C9685">
        <v>0</v>
      </c>
      <c r="D9685">
        <v>0</v>
      </c>
      <c r="E9685">
        <v>0</v>
      </c>
      <c r="F9685">
        <v>0</v>
      </c>
      <c r="G9685">
        <v>1</v>
      </c>
      <c r="H9685">
        <v>0</v>
      </c>
      <c r="I9685">
        <v>0</v>
      </c>
      <c r="J9685">
        <v>16535.7357460969</v>
      </c>
      <c r="K9685">
        <v>16494.308302874699</v>
      </c>
      <c r="L9685">
        <v>21.872</v>
      </c>
      <c r="M9685">
        <v>78.051000000000002</v>
      </c>
      <c r="N9685">
        <v>10.468999999999999</v>
      </c>
    </row>
    <row r="9686" spans="1:14" x14ac:dyDescent="0.45">
      <c r="A9686">
        <v>2025</v>
      </c>
      <c r="B9686" t="s">
        <v>146</v>
      </c>
      <c r="C9686">
        <v>0</v>
      </c>
      <c r="D9686">
        <v>0</v>
      </c>
      <c r="E9686">
        <v>0</v>
      </c>
      <c r="F9686">
        <v>0</v>
      </c>
      <c r="G9686">
        <v>1</v>
      </c>
      <c r="H9686">
        <v>0</v>
      </c>
      <c r="I9686">
        <v>0</v>
      </c>
      <c r="J9686">
        <v>12270.6554536885</v>
      </c>
      <c r="K9686">
        <v>8673.98850555221</v>
      </c>
      <c r="L9686">
        <v>27.882999999999999</v>
      </c>
      <c r="M9686">
        <v>72.534000000000006</v>
      </c>
      <c r="N9686">
        <v>22.007999999999999</v>
      </c>
    </row>
    <row r="9687" spans="1:14" x14ac:dyDescent="0.45">
      <c r="A9687">
        <v>2025</v>
      </c>
      <c r="B9687" t="s">
        <v>147</v>
      </c>
      <c r="C9687">
        <v>1</v>
      </c>
      <c r="D9687">
        <v>0</v>
      </c>
      <c r="E9687">
        <v>0</v>
      </c>
      <c r="F9687">
        <v>0</v>
      </c>
      <c r="G9687">
        <v>0</v>
      </c>
      <c r="H9687">
        <v>1</v>
      </c>
      <c r="I9687">
        <v>1</v>
      </c>
      <c r="J9687">
        <v>65689.871327378394</v>
      </c>
      <c r="K9687">
        <v>56840.715568843101</v>
      </c>
      <c r="L9687">
        <v>5.85299999999999</v>
      </c>
      <c r="M9687">
        <v>83.153000000000006</v>
      </c>
      <c r="N9687">
        <v>1.5640000000000001</v>
      </c>
    </row>
    <row r="9688" spans="1:14" x14ac:dyDescent="0.45">
      <c r="A9688">
        <v>2025</v>
      </c>
      <c r="B9688" t="s">
        <v>148</v>
      </c>
      <c r="C9688">
        <v>0</v>
      </c>
      <c r="D9688">
        <v>0</v>
      </c>
      <c r="E9688">
        <v>0</v>
      </c>
      <c r="F9688">
        <v>0</v>
      </c>
      <c r="G9688">
        <v>0</v>
      </c>
      <c r="H9688">
        <v>1</v>
      </c>
      <c r="I9688">
        <v>1</v>
      </c>
      <c r="J9688">
        <v>47625.454764558803</v>
      </c>
      <c r="K9688">
        <v>43685.742583268599</v>
      </c>
      <c r="L9688">
        <v>6.9610000000000003</v>
      </c>
      <c r="M9688">
        <v>82.774000000000001</v>
      </c>
      <c r="N9688">
        <v>3.6589999999999998</v>
      </c>
    </row>
    <row r="9689" spans="1:14" x14ac:dyDescent="0.45">
      <c r="A9689">
        <v>2025</v>
      </c>
      <c r="B9689" t="s">
        <v>149</v>
      </c>
      <c r="C9689">
        <v>1</v>
      </c>
      <c r="D9689">
        <v>0</v>
      </c>
      <c r="E9689">
        <v>0</v>
      </c>
      <c r="F9689">
        <v>0</v>
      </c>
      <c r="G9689">
        <v>0</v>
      </c>
      <c r="H9689">
        <v>1</v>
      </c>
      <c r="I9689">
        <v>1</v>
      </c>
      <c r="J9689">
        <v>53618.055586379996</v>
      </c>
      <c r="K9689">
        <v>45670.096574977899</v>
      </c>
      <c r="L9689">
        <v>27.385999999999999</v>
      </c>
      <c r="M9689">
        <v>84.028000000000006</v>
      </c>
      <c r="N9689">
        <v>2.544</v>
      </c>
    </row>
    <row r="9690" spans="1:14" x14ac:dyDescent="0.45">
      <c r="A9690">
        <v>2025</v>
      </c>
      <c r="B9690" t="s">
        <v>150</v>
      </c>
      <c r="C9690">
        <v>0</v>
      </c>
      <c r="D9690">
        <v>1</v>
      </c>
      <c r="E9690">
        <v>0</v>
      </c>
      <c r="F9690">
        <v>0</v>
      </c>
      <c r="G9690">
        <v>1</v>
      </c>
      <c r="H9690">
        <v>0</v>
      </c>
      <c r="I9690">
        <v>0</v>
      </c>
      <c r="J9690">
        <v>10190.367911990401</v>
      </c>
      <c r="K9690">
        <v>10042.914893569199</v>
      </c>
      <c r="L9690">
        <v>41.84</v>
      </c>
      <c r="M9690">
        <v>71.73</v>
      </c>
      <c r="N9690">
        <v>18.395</v>
      </c>
    </row>
    <row r="9691" spans="1:14" x14ac:dyDescent="0.45">
      <c r="A9691">
        <v>2025</v>
      </c>
      <c r="B9691" t="s">
        <v>151</v>
      </c>
      <c r="C9691">
        <v>0</v>
      </c>
      <c r="D9691">
        <v>0</v>
      </c>
      <c r="E9691">
        <v>0</v>
      </c>
      <c r="F9691">
        <v>1</v>
      </c>
      <c r="G9691">
        <v>0</v>
      </c>
      <c r="H9691">
        <v>0</v>
      </c>
      <c r="I9691">
        <v>0</v>
      </c>
      <c r="J9691">
        <v>9662.2497149836399</v>
      </c>
      <c r="K9691">
        <v>9585.3893314739798</v>
      </c>
      <c r="L9691">
        <v>7.6149999999999904</v>
      </c>
      <c r="M9691">
        <v>78.131</v>
      </c>
      <c r="N9691">
        <v>12.989000000000001</v>
      </c>
    </row>
    <row r="9692" spans="1:14" x14ac:dyDescent="0.45">
      <c r="A9692">
        <v>2025</v>
      </c>
      <c r="B9692" t="s">
        <v>152</v>
      </c>
      <c r="C9692">
        <v>0</v>
      </c>
      <c r="D9692">
        <v>0</v>
      </c>
      <c r="E9692">
        <v>0</v>
      </c>
      <c r="F9692">
        <v>0</v>
      </c>
      <c r="G9692">
        <v>0</v>
      </c>
      <c r="H9692">
        <v>1</v>
      </c>
      <c r="I9692">
        <v>1</v>
      </c>
      <c r="J9692">
        <v>46420.251759159699</v>
      </c>
      <c r="K9692">
        <v>43000.579663211996</v>
      </c>
      <c r="L9692">
        <v>7.774</v>
      </c>
      <c r="M9692">
        <v>85.001000000000005</v>
      </c>
      <c r="N9692">
        <v>2.2599999999999998</v>
      </c>
    </row>
    <row r="9693" spans="1:14" x14ac:dyDescent="0.45">
      <c r="A9693">
        <v>2025</v>
      </c>
      <c r="B9693" t="s">
        <v>153</v>
      </c>
      <c r="C9693">
        <v>1</v>
      </c>
      <c r="D9693">
        <v>0</v>
      </c>
      <c r="E9693">
        <v>0</v>
      </c>
      <c r="F9693">
        <v>0</v>
      </c>
      <c r="G9693">
        <v>1</v>
      </c>
      <c r="H9693">
        <v>0</v>
      </c>
      <c r="I9693">
        <v>0</v>
      </c>
      <c r="J9693">
        <v>37149.296504856902</v>
      </c>
      <c r="K9693">
        <v>28250.532170143299</v>
      </c>
      <c r="L9693">
        <v>41.387</v>
      </c>
      <c r="M9693">
        <v>74.671000000000006</v>
      </c>
      <c r="N9693">
        <v>7.7039999999999997</v>
      </c>
    </row>
    <row r="9694" spans="1:14" x14ac:dyDescent="0.45">
      <c r="A9694">
        <v>2025</v>
      </c>
      <c r="B9694" t="s">
        <v>154</v>
      </c>
      <c r="C9694">
        <v>0</v>
      </c>
      <c r="D9694">
        <v>0</v>
      </c>
      <c r="E9694">
        <v>1</v>
      </c>
      <c r="F9694">
        <v>1</v>
      </c>
      <c r="G9694">
        <v>0</v>
      </c>
      <c r="H9694">
        <v>0</v>
      </c>
      <c r="I9694">
        <v>0</v>
      </c>
      <c r="J9694">
        <v>5978.91659897723</v>
      </c>
      <c r="K9694">
        <v>5152.9067853156903</v>
      </c>
      <c r="L9694">
        <v>69.412000000000006</v>
      </c>
      <c r="M9694">
        <v>64.013999999999996</v>
      </c>
      <c r="N9694">
        <v>39.543999999999997</v>
      </c>
    </row>
    <row r="9695" spans="1:14" x14ac:dyDescent="0.45">
      <c r="A9695">
        <v>2025</v>
      </c>
      <c r="B9695" t="s">
        <v>155</v>
      </c>
      <c r="C9695">
        <v>1</v>
      </c>
      <c r="D9695">
        <v>0</v>
      </c>
      <c r="E9695">
        <v>0</v>
      </c>
      <c r="F9695">
        <v>1</v>
      </c>
      <c r="G9695">
        <v>0</v>
      </c>
      <c r="H9695">
        <v>0</v>
      </c>
      <c r="I9695">
        <v>0</v>
      </c>
      <c r="J9695">
        <v>7560.2445192519299</v>
      </c>
      <c r="K9695">
        <v>6389.6770082245603</v>
      </c>
      <c r="L9695">
        <v>61.442999999999998</v>
      </c>
      <c r="M9695">
        <v>71.968999999999994</v>
      </c>
      <c r="N9695">
        <v>14.14</v>
      </c>
    </row>
    <row r="9696" spans="1:14" x14ac:dyDescent="0.45">
      <c r="A9696">
        <v>2025</v>
      </c>
      <c r="B9696" t="s">
        <v>156</v>
      </c>
      <c r="C9696">
        <v>0</v>
      </c>
      <c r="D9696">
        <v>0</v>
      </c>
      <c r="E9696">
        <v>0</v>
      </c>
      <c r="F9696">
        <v>1</v>
      </c>
      <c r="G9696">
        <v>0</v>
      </c>
      <c r="H9696">
        <v>0</v>
      </c>
      <c r="I9696">
        <v>0</v>
      </c>
      <c r="J9696">
        <v>7341.7169655477901</v>
      </c>
      <c r="K9696">
        <v>6583.0847761431196</v>
      </c>
      <c r="L9696">
        <v>73.489999999999995</v>
      </c>
      <c r="M9696">
        <v>70.968999999999994</v>
      </c>
      <c r="N9696">
        <v>21.664000000000001</v>
      </c>
    </row>
    <row r="9697" spans="1:14" x14ac:dyDescent="0.45">
      <c r="A9697">
        <v>2025</v>
      </c>
      <c r="B9697" t="s">
        <v>157</v>
      </c>
      <c r="C9697">
        <v>0</v>
      </c>
      <c r="D9697">
        <v>0</v>
      </c>
      <c r="E9697">
        <v>0</v>
      </c>
      <c r="F9697">
        <v>1</v>
      </c>
      <c r="G9697">
        <v>0</v>
      </c>
      <c r="H9697">
        <v>0</v>
      </c>
      <c r="I9697">
        <v>0</v>
      </c>
      <c r="J9697">
        <v>3375.8683045130001</v>
      </c>
      <c r="K9697">
        <v>3053.8080963084899</v>
      </c>
      <c r="L9697">
        <v>40.884999999999998</v>
      </c>
      <c r="M9697">
        <v>66.724000000000004</v>
      </c>
      <c r="N9697">
        <v>53.133000000000003</v>
      </c>
    </row>
    <row r="9698" spans="1:14" x14ac:dyDescent="0.45">
      <c r="A9698">
        <v>2025</v>
      </c>
      <c r="B9698" t="s">
        <v>158</v>
      </c>
      <c r="C9698">
        <v>0</v>
      </c>
      <c r="D9698">
        <v>1</v>
      </c>
      <c r="E9698">
        <v>0</v>
      </c>
      <c r="F9698">
        <v>0</v>
      </c>
      <c r="G9698">
        <v>0</v>
      </c>
      <c r="H9698">
        <v>1</v>
      </c>
      <c r="I9698">
        <v>1</v>
      </c>
      <c r="J9698">
        <v>33366.178923892803</v>
      </c>
      <c r="K9698">
        <v>32953.640095681003</v>
      </c>
      <c r="L9698">
        <v>68.632000000000005</v>
      </c>
      <c r="M9698">
        <v>72.424999999999997</v>
      </c>
      <c r="N9698">
        <v>14.031000000000001</v>
      </c>
    </row>
    <row r="9699" spans="1:14" x14ac:dyDescent="0.45">
      <c r="A9699">
        <v>2025</v>
      </c>
      <c r="B9699" t="s">
        <v>159</v>
      </c>
      <c r="C9699">
        <v>0</v>
      </c>
      <c r="D9699">
        <v>0</v>
      </c>
      <c r="E9699">
        <v>0</v>
      </c>
      <c r="F9699">
        <v>0</v>
      </c>
      <c r="G9699">
        <v>0</v>
      </c>
      <c r="H9699">
        <v>1</v>
      </c>
      <c r="I9699">
        <v>1</v>
      </c>
      <c r="J9699">
        <v>52335.770707030002</v>
      </c>
      <c r="K9699">
        <v>47710.465949994097</v>
      </c>
      <c r="L9699">
        <v>18.445</v>
      </c>
      <c r="M9699">
        <v>84.534999999999997</v>
      </c>
      <c r="N9699">
        <v>2.5059999999999998</v>
      </c>
    </row>
    <row r="9700" spans="1:14" x14ac:dyDescent="0.45">
      <c r="A9700">
        <v>2025</v>
      </c>
      <c r="B9700" t="s">
        <v>160</v>
      </c>
      <c r="C9700">
        <v>0</v>
      </c>
      <c r="D9700">
        <v>0</v>
      </c>
      <c r="E9700">
        <v>0</v>
      </c>
      <c r="F9700">
        <v>0</v>
      </c>
      <c r="G9700">
        <v>0</v>
      </c>
      <c r="H9700">
        <v>1</v>
      </c>
      <c r="I9700">
        <v>1</v>
      </c>
      <c r="J9700">
        <v>43253.877596137703</v>
      </c>
      <c r="K9700">
        <v>38521.908803124803</v>
      </c>
      <c r="L9700">
        <v>0</v>
      </c>
      <c r="M9700">
        <v>80.778999999999996</v>
      </c>
      <c r="N9700">
        <v>7.3550000000000004</v>
      </c>
    </row>
    <row r="9701" spans="1:14" x14ac:dyDescent="0.45">
      <c r="A9701">
        <v>2025</v>
      </c>
      <c r="B9701" t="s">
        <v>161</v>
      </c>
      <c r="C9701">
        <v>0</v>
      </c>
      <c r="D9701">
        <v>0</v>
      </c>
      <c r="E9701">
        <v>0</v>
      </c>
      <c r="F9701">
        <v>1</v>
      </c>
      <c r="G9701">
        <v>0</v>
      </c>
      <c r="H9701">
        <v>0</v>
      </c>
      <c r="I9701">
        <v>0</v>
      </c>
      <c r="J9701">
        <v>8843.0121336960401</v>
      </c>
      <c r="K9701">
        <v>8497.3175265661903</v>
      </c>
      <c r="L9701">
        <v>60.433999999999997</v>
      </c>
      <c r="M9701">
        <v>69.472999999999999</v>
      </c>
      <c r="N9701">
        <v>35.68</v>
      </c>
    </row>
    <row r="9702" spans="1:14" x14ac:dyDescent="0.45">
      <c r="A9702">
        <v>2025</v>
      </c>
      <c r="B9702" t="s">
        <v>162</v>
      </c>
      <c r="C9702">
        <v>0</v>
      </c>
      <c r="D9702">
        <v>0</v>
      </c>
      <c r="E9702">
        <v>0</v>
      </c>
      <c r="F9702">
        <v>1</v>
      </c>
      <c r="G9702">
        <v>0</v>
      </c>
      <c r="H9702">
        <v>0</v>
      </c>
      <c r="I9702">
        <v>0</v>
      </c>
      <c r="J9702">
        <v>10331.0584814619</v>
      </c>
      <c r="K9702">
        <v>13428.2417177194</v>
      </c>
      <c r="L9702">
        <v>10.226000000000001</v>
      </c>
      <c r="M9702">
        <v>78.084000000000003</v>
      </c>
      <c r="N9702">
        <v>17.626999999999999</v>
      </c>
    </row>
    <row r="9703" spans="1:14" x14ac:dyDescent="0.45">
      <c r="A9703">
        <v>2025</v>
      </c>
      <c r="B9703" t="s">
        <v>163</v>
      </c>
      <c r="C9703">
        <v>0</v>
      </c>
      <c r="D9703">
        <v>0</v>
      </c>
      <c r="E9703">
        <v>1</v>
      </c>
      <c r="F9703">
        <v>0</v>
      </c>
      <c r="G9703">
        <v>0</v>
      </c>
      <c r="H9703">
        <v>0</v>
      </c>
      <c r="I9703">
        <v>0</v>
      </c>
      <c r="J9703">
        <v>1700.76805314955</v>
      </c>
      <c r="K9703">
        <v>2512.7920183562501</v>
      </c>
      <c r="L9703">
        <v>45.404000000000003</v>
      </c>
      <c r="M9703">
        <v>62.470999999999997</v>
      </c>
      <c r="N9703">
        <v>69.155000000000001</v>
      </c>
    </row>
    <row r="9704" spans="1:14" x14ac:dyDescent="0.45">
      <c r="A9704">
        <v>2025</v>
      </c>
      <c r="B9704" t="s">
        <v>164</v>
      </c>
      <c r="C9704">
        <v>0</v>
      </c>
      <c r="D9704">
        <v>0</v>
      </c>
      <c r="E9704">
        <v>0</v>
      </c>
      <c r="F9704">
        <v>0</v>
      </c>
      <c r="G9704">
        <v>1</v>
      </c>
      <c r="H9704">
        <v>0</v>
      </c>
      <c r="I9704">
        <v>0</v>
      </c>
      <c r="J9704">
        <v>11798.2005606657</v>
      </c>
      <c r="K9704">
        <v>13788.4997070191</v>
      </c>
      <c r="L9704">
        <v>17.795999999999999</v>
      </c>
      <c r="M9704">
        <v>73.191000000000003</v>
      </c>
      <c r="N9704">
        <v>12.055999999999999</v>
      </c>
    </row>
    <row r="9705" spans="1:14" x14ac:dyDescent="0.45">
      <c r="A9705">
        <v>2025</v>
      </c>
      <c r="B9705" t="s">
        <v>165</v>
      </c>
      <c r="C9705">
        <v>0</v>
      </c>
      <c r="D9705">
        <v>1</v>
      </c>
      <c r="E9705">
        <v>0</v>
      </c>
      <c r="F9705">
        <v>0</v>
      </c>
      <c r="G9705">
        <v>1</v>
      </c>
      <c r="H9705">
        <v>0</v>
      </c>
      <c r="I9705">
        <v>0</v>
      </c>
      <c r="J9705">
        <v>25085.586807297001</v>
      </c>
      <c r="K9705">
        <v>18046.746932569498</v>
      </c>
      <c r="L9705">
        <v>80.549000000000007</v>
      </c>
      <c r="M9705">
        <v>72.998999999999995</v>
      </c>
      <c r="N9705">
        <v>16.052</v>
      </c>
    </row>
    <row r="9706" spans="1:14" x14ac:dyDescent="0.45">
      <c r="A9706">
        <v>2025</v>
      </c>
      <c r="B9706" t="s">
        <v>166</v>
      </c>
      <c r="C9706">
        <v>1</v>
      </c>
      <c r="D9706">
        <v>0</v>
      </c>
      <c r="E9706">
        <v>0</v>
      </c>
      <c r="F9706">
        <v>0</v>
      </c>
      <c r="G9706">
        <v>0</v>
      </c>
      <c r="H9706">
        <v>1</v>
      </c>
      <c r="I9706">
        <v>1</v>
      </c>
      <c r="L9706">
        <v>85.191999999999993</v>
      </c>
      <c r="M9706">
        <v>83.927999999999997</v>
      </c>
      <c r="N9706">
        <v>6.2869999999999999</v>
      </c>
    </row>
    <row r="9707" spans="1:14" x14ac:dyDescent="0.45">
      <c r="A9707">
        <v>2025</v>
      </c>
      <c r="B9707" t="s">
        <v>167</v>
      </c>
      <c r="C9707">
        <v>0</v>
      </c>
      <c r="D9707">
        <v>0</v>
      </c>
      <c r="E9707">
        <v>0</v>
      </c>
      <c r="F9707">
        <v>1</v>
      </c>
      <c r="G9707">
        <v>0</v>
      </c>
      <c r="H9707">
        <v>0</v>
      </c>
      <c r="I9707">
        <v>0</v>
      </c>
      <c r="J9707">
        <v>14358.006487480599</v>
      </c>
      <c r="K9707">
        <v>13410.151129571501</v>
      </c>
      <c r="L9707">
        <v>80.358999999999995</v>
      </c>
      <c r="M9707">
        <v>77.853999999999999</v>
      </c>
      <c r="N9707">
        <v>6.0129999999999999</v>
      </c>
    </row>
    <row r="9708" spans="1:14" x14ac:dyDescent="0.45">
      <c r="A9708">
        <v>2025</v>
      </c>
      <c r="B9708" t="s">
        <v>168</v>
      </c>
      <c r="C9708">
        <v>0</v>
      </c>
      <c r="D9708">
        <v>0</v>
      </c>
      <c r="E9708">
        <v>1</v>
      </c>
      <c r="F9708">
        <v>1</v>
      </c>
      <c r="G9708">
        <v>0</v>
      </c>
      <c r="H9708">
        <v>0</v>
      </c>
      <c r="I9708">
        <v>0</v>
      </c>
      <c r="J9708">
        <v>2668.6276169848102</v>
      </c>
      <c r="K9708">
        <v>2389.5430631803802</v>
      </c>
      <c r="L9708">
        <v>68.61</v>
      </c>
      <c r="M9708">
        <v>58.216999999999999</v>
      </c>
      <c r="N9708">
        <v>67.186000000000007</v>
      </c>
    </row>
    <row r="9709" spans="1:14" x14ac:dyDescent="0.45">
      <c r="A9709">
        <v>2025</v>
      </c>
      <c r="B9709" t="s">
        <v>169</v>
      </c>
      <c r="C9709">
        <v>1</v>
      </c>
      <c r="D9709">
        <v>0</v>
      </c>
      <c r="E9709">
        <v>0</v>
      </c>
      <c r="F9709">
        <v>0</v>
      </c>
      <c r="G9709">
        <v>0</v>
      </c>
      <c r="H9709">
        <v>1</v>
      </c>
      <c r="I9709">
        <v>1</v>
      </c>
      <c r="J9709">
        <v>48433.537224653002</v>
      </c>
      <c r="K9709">
        <v>41438.120671138902</v>
      </c>
      <c r="L9709">
        <v>30.81</v>
      </c>
      <c r="M9709">
        <v>76.322000000000003</v>
      </c>
      <c r="N9709">
        <v>3.6549999999999998</v>
      </c>
    </row>
    <row r="9710" spans="1:14" x14ac:dyDescent="0.45">
      <c r="A9710">
        <v>2025</v>
      </c>
      <c r="B9710" t="s">
        <v>170</v>
      </c>
      <c r="C9710">
        <v>1</v>
      </c>
      <c r="D9710">
        <v>0</v>
      </c>
      <c r="E9710">
        <v>0</v>
      </c>
      <c r="F9710">
        <v>0</v>
      </c>
      <c r="G9710">
        <v>0</v>
      </c>
      <c r="H9710">
        <v>1</v>
      </c>
      <c r="I9710">
        <v>1</v>
      </c>
      <c r="J9710">
        <v>128129.150710214</v>
      </c>
      <c r="K9710">
        <v>109494.215287889</v>
      </c>
      <c r="L9710">
        <v>7.5550000000000104</v>
      </c>
      <c r="M9710">
        <v>82.494</v>
      </c>
      <c r="N9710">
        <v>3.5950000000000002</v>
      </c>
    </row>
    <row r="9711" spans="1:14" x14ac:dyDescent="0.45">
      <c r="A9711">
        <v>2025</v>
      </c>
      <c r="B9711" t="s">
        <v>171</v>
      </c>
      <c r="C9711">
        <v>1</v>
      </c>
      <c r="D9711">
        <v>0</v>
      </c>
      <c r="E9711">
        <v>0</v>
      </c>
      <c r="F9711">
        <v>0</v>
      </c>
      <c r="G9711">
        <v>0</v>
      </c>
      <c r="H9711">
        <v>1</v>
      </c>
      <c r="I9711">
        <v>1</v>
      </c>
      <c r="J9711">
        <v>39112.774224233399</v>
      </c>
      <c r="K9711">
        <v>33933.823782882399</v>
      </c>
      <c r="L9711">
        <v>31.027999999999999</v>
      </c>
      <c r="M9711">
        <v>76.477000000000004</v>
      </c>
      <c r="N9711">
        <v>3.339</v>
      </c>
    </row>
    <row r="9712" spans="1:14" x14ac:dyDescent="0.45">
      <c r="A9712">
        <v>2025</v>
      </c>
      <c r="B9712" t="s">
        <v>172</v>
      </c>
      <c r="C9712">
        <v>0</v>
      </c>
      <c r="D9712">
        <v>0</v>
      </c>
      <c r="E9712">
        <v>0</v>
      </c>
      <c r="F9712">
        <v>0</v>
      </c>
      <c r="G9712">
        <v>0</v>
      </c>
      <c r="H9712">
        <v>1</v>
      </c>
      <c r="I9712">
        <v>1</v>
      </c>
      <c r="J9712">
        <v>121962.977033756</v>
      </c>
      <c r="K9712">
        <v>110527.90950700099</v>
      </c>
      <c r="L9712">
        <v>0</v>
      </c>
      <c r="M9712">
        <v>83.415000000000006</v>
      </c>
      <c r="N9712">
        <v>3.3220000000000001</v>
      </c>
    </row>
    <row r="9713" spans="1:14" x14ac:dyDescent="0.45">
      <c r="A9713">
        <v>2025</v>
      </c>
      <c r="B9713" t="s">
        <v>173</v>
      </c>
      <c r="C9713">
        <v>0</v>
      </c>
      <c r="D9713">
        <v>1</v>
      </c>
      <c r="E9713">
        <v>0</v>
      </c>
      <c r="F9713">
        <v>0</v>
      </c>
      <c r="G9713">
        <v>0</v>
      </c>
      <c r="H9713">
        <v>1</v>
      </c>
      <c r="I9713">
        <v>1</v>
      </c>
      <c r="L9713">
        <v>0</v>
      </c>
      <c r="M9713">
        <v>80.646000000000001</v>
      </c>
      <c r="N9713">
        <v>9.0120000000000005</v>
      </c>
    </row>
    <row r="9714" spans="1:14" x14ac:dyDescent="0.45">
      <c r="A9714">
        <v>2025</v>
      </c>
      <c r="B9714" t="s">
        <v>174</v>
      </c>
      <c r="C9714">
        <v>0</v>
      </c>
      <c r="D9714">
        <v>0</v>
      </c>
      <c r="E9714">
        <v>0</v>
      </c>
      <c r="F9714">
        <v>1</v>
      </c>
      <c r="G9714">
        <v>0</v>
      </c>
      <c r="H9714">
        <v>0</v>
      </c>
      <c r="I9714">
        <v>0</v>
      </c>
      <c r="J9714">
        <v>9265.4467260884503</v>
      </c>
      <c r="K9714">
        <v>8898.2426153602901</v>
      </c>
      <c r="L9714">
        <v>33.840000000000003</v>
      </c>
      <c r="M9714">
        <v>75.683000000000007</v>
      </c>
      <c r="N9714">
        <v>15.738</v>
      </c>
    </row>
    <row r="9715" spans="1:14" x14ac:dyDescent="0.45">
      <c r="A9715">
        <v>2025</v>
      </c>
      <c r="B9715" t="s">
        <v>175</v>
      </c>
      <c r="C9715">
        <v>1</v>
      </c>
      <c r="D9715">
        <v>0</v>
      </c>
      <c r="E9715">
        <v>0</v>
      </c>
      <c r="F9715">
        <v>0</v>
      </c>
      <c r="G9715">
        <v>0</v>
      </c>
      <c r="H9715">
        <v>1</v>
      </c>
      <c r="I9715">
        <v>1</v>
      </c>
      <c r="L9715">
        <v>0</v>
      </c>
      <c r="M9715">
        <v>86.611000000000004</v>
      </c>
      <c r="N9715">
        <v>4.391</v>
      </c>
    </row>
    <row r="9716" spans="1:14" x14ac:dyDescent="0.45">
      <c r="A9716">
        <v>2025</v>
      </c>
      <c r="B9716" t="s">
        <v>176</v>
      </c>
      <c r="C9716">
        <v>1</v>
      </c>
      <c r="D9716">
        <v>0</v>
      </c>
      <c r="E9716">
        <v>0</v>
      </c>
      <c r="F9716">
        <v>0</v>
      </c>
      <c r="G9716">
        <v>1</v>
      </c>
      <c r="H9716">
        <v>0</v>
      </c>
      <c r="I9716">
        <v>0</v>
      </c>
      <c r="J9716">
        <v>16656.7736585481</v>
      </c>
      <c r="K9716">
        <v>14286.6420047192</v>
      </c>
      <c r="L9716">
        <v>56.148000000000003</v>
      </c>
      <c r="M9716">
        <v>71.466999999999999</v>
      </c>
      <c r="N9716">
        <v>11.494</v>
      </c>
    </row>
    <row r="9717" spans="1:14" x14ac:dyDescent="0.45">
      <c r="A9717">
        <v>2025</v>
      </c>
      <c r="B9717" t="s">
        <v>177</v>
      </c>
      <c r="C9717">
        <v>0</v>
      </c>
      <c r="D9717">
        <v>0</v>
      </c>
      <c r="E9717">
        <v>1</v>
      </c>
      <c r="F9717">
        <v>0</v>
      </c>
      <c r="G9717">
        <v>0</v>
      </c>
      <c r="H9717">
        <v>0</v>
      </c>
      <c r="I9717">
        <v>0</v>
      </c>
      <c r="J9717">
        <v>1685.1055561534399</v>
      </c>
      <c r="K9717">
        <v>1561.1265172137</v>
      </c>
      <c r="L9717">
        <v>58.095999999999997</v>
      </c>
      <c r="M9717">
        <v>64.037000000000006</v>
      </c>
      <c r="N9717">
        <v>63.173999999999999</v>
      </c>
    </row>
    <row r="9718" spans="1:14" x14ac:dyDescent="0.45">
      <c r="A9718">
        <v>2025</v>
      </c>
      <c r="B9718" t="s">
        <v>178</v>
      </c>
      <c r="C9718">
        <v>0</v>
      </c>
      <c r="D9718">
        <v>0</v>
      </c>
      <c r="E9718">
        <v>0</v>
      </c>
      <c r="F9718">
        <v>0</v>
      </c>
      <c r="G9718">
        <v>1</v>
      </c>
      <c r="H9718">
        <v>0</v>
      </c>
      <c r="I9718">
        <v>0</v>
      </c>
      <c r="J9718">
        <v>24551.111961543898</v>
      </c>
      <c r="K9718">
        <v>24221.717020892302</v>
      </c>
      <c r="L9718">
        <v>57.155000000000001</v>
      </c>
      <c r="M9718">
        <v>81.507999999999996</v>
      </c>
      <c r="N9718">
        <v>5.1840000000000002</v>
      </c>
    </row>
    <row r="9719" spans="1:14" x14ac:dyDescent="0.45">
      <c r="A9719">
        <v>2025</v>
      </c>
      <c r="B9719" t="s">
        <v>179</v>
      </c>
      <c r="C9719">
        <v>0</v>
      </c>
      <c r="D9719">
        <v>1</v>
      </c>
      <c r="E9719">
        <v>0</v>
      </c>
      <c r="F9719">
        <v>0</v>
      </c>
      <c r="G9719">
        <v>1</v>
      </c>
      <c r="H9719">
        <v>0</v>
      </c>
      <c r="I9719">
        <v>0</v>
      </c>
      <c r="J9719">
        <v>22172.155755139898</v>
      </c>
      <c r="K9719">
        <v>20612.903145329601</v>
      </c>
      <c r="L9719">
        <v>17.86</v>
      </c>
      <c r="M9719">
        <v>75.445999999999998</v>
      </c>
      <c r="N9719">
        <v>12.098000000000001</v>
      </c>
    </row>
    <row r="9720" spans="1:14" x14ac:dyDescent="0.45">
      <c r="A9720">
        <v>2025</v>
      </c>
      <c r="B9720" t="s">
        <v>180</v>
      </c>
      <c r="C9720">
        <v>0</v>
      </c>
      <c r="D9720">
        <v>0</v>
      </c>
      <c r="E9720">
        <v>0</v>
      </c>
      <c r="F9720">
        <v>0</v>
      </c>
      <c r="G9720">
        <v>1</v>
      </c>
      <c r="H9720">
        <v>0</v>
      </c>
      <c r="I9720">
        <v>0</v>
      </c>
      <c r="J9720">
        <v>7711.5801081936297</v>
      </c>
      <c r="K9720">
        <v>6975.0076622511297</v>
      </c>
      <c r="L9720">
        <v>20.460999999999999</v>
      </c>
      <c r="M9720">
        <v>67.2</v>
      </c>
      <c r="N9720">
        <v>26.803000000000001</v>
      </c>
    </row>
    <row r="9721" spans="1:14" x14ac:dyDescent="0.45">
      <c r="A9721">
        <v>2025</v>
      </c>
      <c r="B9721" t="s">
        <v>181</v>
      </c>
      <c r="C9721">
        <v>1</v>
      </c>
      <c r="D9721">
        <v>0</v>
      </c>
      <c r="E9721">
        <v>0</v>
      </c>
      <c r="F9721">
        <v>0</v>
      </c>
      <c r="G9721">
        <v>1</v>
      </c>
      <c r="H9721">
        <v>0</v>
      </c>
      <c r="I9721">
        <v>0</v>
      </c>
      <c r="J9721">
        <v>25270.278856525099</v>
      </c>
      <c r="K9721">
        <v>21332.863103852</v>
      </c>
      <c r="L9721">
        <v>39.715000000000003</v>
      </c>
      <c r="M9721">
        <v>77.676000000000002</v>
      </c>
      <c r="N9721">
        <v>6.718</v>
      </c>
    </row>
    <row r="9722" spans="1:14" x14ac:dyDescent="0.45">
      <c r="A9722">
        <v>2025</v>
      </c>
      <c r="B9722" t="s">
        <v>182</v>
      </c>
      <c r="C9722">
        <v>0</v>
      </c>
      <c r="D9722">
        <v>0</v>
      </c>
      <c r="E9722">
        <v>1</v>
      </c>
      <c r="F9722">
        <v>0</v>
      </c>
      <c r="G9722">
        <v>0</v>
      </c>
      <c r="H9722">
        <v>0</v>
      </c>
      <c r="I9722">
        <v>0</v>
      </c>
      <c r="J9722">
        <v>2939.50860435087</v>
      </c>
      <c r="K9722">
        <v>2720.83791786951</v>
      </c>
      <c r="L9722">
        <v>52.331000000000003</v>
      </c>
      <c r="M9722">
        <v>60.893999999999998</v>
      </c>
      <c r="N9722">
        <v>90.622</v>
      </c>
    </row>
    <row r="9723" spans="1:14" x14ac:dyDescent="0.45">
      <c r="A9723">
        <v>2025</v>
      </c>
      <c r="B9723" t="s">
        <v>183</v>
      </c>
      <c r="C9723">
        <v>0</v>
      </c>
      <c r="D9723">
        <v>0</v>
      </c>
      <c r="E9723">
        <v>0</v>
      </c>
      <c r="F9723">
        <v>0</v>
      </c>
      <c r="G9723">
        <v>0</v>
      </c>
      <c r="H9723">
        <v>1</v>
      </c>
      <c r="I9723">
        <v>1</v>
      </c>
      <c r="J9723">
        <v>62549.116148425303</v>
      </c>
      <c r="K9723">
        <v>54108.046982696302</v>
      </c>
      <c r="L9723">
        <v>4.9279999999999999</v>
      </c>
      <c r="M9723">
        <v>83.628</v>
      </c>
      <c r="N9723">
        <v>5.3280000000000003</v>
      </c>
    </row>
    <row r="9724" spans="1:14" x14ac:dyDescent="0.45">
      <c r="A9724">
        <v>2025</v>
      </c>
      <c r="B9724" t="s">
        <v>184</v>
      </c>
      <c r="C9724">
        <v>0</v>
      </c>
      <c r="D9724">
        <v>0</v>
      </c>
      <c r="E9724">
        <v>0</v>
      </c>
      <c r="F9724">
        <v>1</v>
      </c>
      <c r="G9724">
        <v>0</v>
      </c>
      <c r="H9724">
        <v>0</v>
      </c>
      <c r="I9724">
        <v>0</v>
      </c>
      <c r="J9724">
        <v>5188.42406834548</v>
      </c>
      <c r="K9724">
        <v>4154.3874021830297</v>
      </c>
      <c r="L9724">
        <v>67.153999999999996</v>
      </c>
      <c r="M9724">
        <v>67.302000000000007</v>
      </c>
      <c r="N9724">
        <v>40.326999999999998</v>
      </c>
    </row>
    <row r="9725" spans="1:14" x14ac:dyDescent="0.45">
      <c r="A9725">
        <v>2025</v>
      </c>
      <c r="B9725" t="s">
        <v>185</v>
      </c>
      <c r="C9725">
        <v>1</v>
      </c>
      <c r="D9725">
        <v>0</v>
      </c>
      <c r="E9725">
        <v>0</v>
      </c>
      <c r="F9725">
        <v>0</v>
      </c>
      <c r="G9725">
        <v>1</v>
      </c>
      <c r="H9725">
        <v>0</v>
      </c>
      <c r="I9725">
        <v>0</v>
      </c>
      <c r="J9725">
        <v>28466.227646740699</v>
      </c>
      <c r="K9725">
        <v>24052.224579461799</v>
      </c>
      <c r="L9725">
        <v>30.821000000000002</v>
      </c>
      <c r="M9725">
        <v>77.433999999999997</v>
      </c>
      <c r="N9725">
        <v>3.2429999999999999</v>
      </c>
    </row>
    <row r="9726" spans="1:14" x14ac:dyDescent="0.45">
      <c r="A9726">
        <v>2025</v>
      </c>
      <c r="B9726" t="s">
        <v>186</v>
      </c>
      <c r="C9726">
        <v>0</v>
      </c>
      <c r="D9726">
        <v>0</v>
      </c>
      <c r="E9726">
        <v>0</v>
      </c>
      <c r="F9726">
        <v>0</v>
      </c>
      <c r="G9726">
        <v>1</v>
      </c>
      <c r="H9726">
        <v>0</v>
      </c>
      <c r="I9726">
        <v>0</v>
      </c>
      <c r="J9726">
        <v>17420.024072504599</v>
      </c>
      <c r="K9726">
        <v>13421.708752267999</v>
      </c>
      <c r="L9726">
        <v>30.547999999999998</v>
      </c>
      <c r="M9726">
        <v>72.238</v>
      </c>
      <c r="N9726">
        <v>10.638999999999999</v>
      </c>
    </row>
    <row r="9727" spans="1:14" x14ac:dyDescent="0.45">
      <c r="A9727">
        <v>2025</v>
      </c>
      <c r="B9727" t="s">
        <v>187</v>
      </c>
      <c r="C9727">
        <v>0</v>
      </c>
      <c r="D9727">
        <v>0</v>
      </c>
      <c r="E9727">
        <v>0</v>
      </c>
      <c r="F9727">
        <v>0</v>
      </c>
      <c r="G9727">
        <v>0</v>
      </c>
      <c r="H9727">
        <v>1</v>
      </c>
      <c r="I9727">
        <v>1</v>
      </c>
      <c r="L9727">
        <v>7.7339999999999902</v>
      </c>
      <c r="M9727">
        <v>79.087999999999994</v>
      </c>
      <c r="N9727">
        <v>5.9240000000000004</v>
      </c>
    </row>
    <row r="9728" spans="1:14" x14ac:dyDescent="0.45">
      <c r="A9728">
        <v>2025</v>
      </c>
      <c r="B9728" t="s">
        <v>188</v>
      </c>
      <c r="C9728">
        <v>0</v>
      </c>
      <c r="D9728">
        <v>0</v>
      </c>
      <c r="E9728">
        <v>1</v>
      </c>
      <c r="F9728">
        <v>0</v>
      </c>
      <c r="G9728">
        <v>0</v>
      </c>
      <c r="H9728">
        <v>0</v>
      </c>
      <c r="I9728">
        <v>0</v>
      </c>
      <c r="J9728">
        <v>1478.4323049061099</v>
      </c>
      <c r="K9728">
        <v>1237.8912292098901</v>
      </c>
      <c r="L9728">
        <v>60.095999999999997</v>
      </c>
      <c r="M9728">
        <v>63.969000000000001</v>
      </c>
      <c r="N9728">
        <v>61.866</v>
      </c>
    </row>
    <row r="9729" spans="1:14" x14ac:dyDescent="0.45">
      <c r="A9729">
        <v>2025</v>
      </c>
      <c r="B9729" t="s">
        <v>189</v>
      </c>
      <c r="C9729">
        <v>0</v>
      </c>
      <c r="D9729">
        <v>0</v>
      </c>
      <c r="E9729">
        <v>1</v>
      </c>
      <c r="F9729">
        <v>1</v>
      </c>
      <c r="G9729">
        <v>0</v>
      </c>
      <c r="H9729">
        <v>0</v>
      </c>
      <c r="I9729">
        <v>0</v>
      </c>
      <c r="J9729">
        <v>6538.3266965865296</v>
      </c>
      <c r="K9729">
        <v>5784.5450504148102</v>
      </c>
      <c r="L9729">
        <v>40.798999999999999</v>
      </c>
      <c r="M9729">
        <v>68.936999999999998</v>
      </c>
      <c r="N9729">
        <v>35.298999999999999</v>
      </c>
    </row>
    <row r="9730" spans="1:14" x14ac:dyDescent="0.45">
      <c r="A9730">
        <v>2025</v>
      </c>
      <c r="B9730" t="s">
        <v>190</v>
      </c>
      <c r="C9730">
        <v>0</v>
      </c>
      <c r="D9730">
        <v>0</v>
      </c>
      <c r="E9730">
        <v>1</v>
      </c>
      <c r="F9730">
        <v>0</v>
      </c>
      <c r="G9730">
        <v>1</v>
      </c>
      <c r="H9730">
        <v>0</v>
      </c>
      <c r="I9730">
        <v>0</v>
      </c>
      <c r="J9730">
        <v>28655.520025117799</v>
      </c>
      <c r="K9730">
        <v>26896.778408415099</v>
      </c>
      <c r="L9730">
        <v>58.957000000000001</v>
      </c>
      <c r="M9730">
        <v>75.271000000000001</v>
      </c>
      <c r="N9730">
        <v>12.991</v>
      </c>
    </row>
    <row r="9731" spans="1:14" x14ac:dyDescent="0.45">
      <c r="A9731">
        <v>2025</v>
      </c>
      <c r="B9731" t="s">
        <v>191</v>
      </c>
      <c r="C9731">
        <v>0</v>
      </c>
      <c r="D9731">
        <v>0</v>
      </c>
      <c r="E9731">
        <v>1</v>
      </c>
      <c r="F9731">
        <v>0</v>
      </c>
      <c r="G9731">
        <v>0</v>
      </c>
      <c r="H9731">
        <v>0</v>
      </c>
      <c r="I9731">
        <v>0</v>
      </c>
      <c r="J9731">
        <v>1622.9452081382501</v>
      </c>
      <c r="K9731">
        <v>1388.69151813703</v>
      </c>
      <c r="L9731">
        <v>81.066999999999993</v>
      </c>
      <c r="M9731">
        <v>67.744</v>
      </c>
      <c r="N9731">
        <v>37.430999999999997</v>
      </c>
    </row>
    <row r="9732" spans="1:14" x14ac:dyDescent="0.45">
      <c r="A9732">
        <v>2025</v>
      </c>
      <c r="B9732" t="s">
        <v>192</v>
      </c>
      <c r="C9732">
        <v>0</v>
      </c>
      <c r="D9732">
        <v>0</v>
      </c>
      <c r="E9732">
        <v>0</v>
      </c>
      <c r="F9732">
        <v>0</v>
      </c>
      <c r="G9732">
        <v>1</v>
      </c>
      <c r="H9732">
        <v>0</v>
      </c>
      <c r="I9732">
        <v>0</v>
      </c>
      <c r="J9732">
        <v>35375.180325124602</v>
      </c>
      <c r="K9732">
        <v>31621.237246005399</v>
      </c>
      <c r="L9732">
        <v>20.329999999999998</v>
      </c>
      <c r="M9732">
        <v>76.986999999999995</v>
      </c>
      <c r="N9732">
        <v>6.0350000000000001</v>
      </c>
    </row>
    <row r="9733" spans="1:14" x14ac:dyDescent="0.45">
      <c r="A9733">
        <v>2025</v>
      </c>
      <c r="B9733" t="s">
        <v>193</v>
      </c>
      <c r="C9733">
        <v>0</v>
      </c>
      <c r="D9733">
        <v>0</v>
      </c>
      <c r="E9733">
        <v>1</v>
      </c>
      <c r="F9733">
        <v>1</v>
      </c>
      <c r="G9733">
        <v>0</v>
      </c>
      <c r="H9733">
        <v>0</v>
      </c>
      <c r="I9733">
        <v>0</v>
      </c>
      <c r="J9733">
        <v>10425.8732957231</v>
      </c>
      <c r="K9733">
        <v>9036.1023461798504</v>
      </c>
      <c r="L9733">
        <v>43.319000000000003</v>
      </c>
      <c r="M9733">
        <v>67.662999999999997</v>
      </c>
      <c r="N9733">
        <v>35.664999999999999</v>
      </c>
    </row>
    <row r="9734" spans="1:14" x14ac:dyDescent="0.45">
      <c r="A9734">
        <v>2025</v>
      </c>
      <c r="B9734" t="s">
        <v>194</v>
      </c>
      <c r="C9734">
        <v>0</v>
      </c>
      <c r="D9734">
        <v>0</v>
      </c>
      <c r="E9734">
        <v>0</v>
      </c>
      <c r="F9734">
        <v>0</v>
      </c>
      <c r="G9734">
        <v>0</v>
      </c>
      <c r="H9734">
        <v>1</v>
      </c>
      <c r="I9734">
        <v>1</v>
      </c>
      <c r="L9734">
        <v>26.513999999999999</v>
      </c>
      <c r="M9734">
        <v>79.067999999999998</v>
      </c>
      <c r="N9734">
        <v>10.307</v>
      </c>
    </row>
    <row r="9735" spans="1:14" x14ac:dyDescent="0.45">
      <c r="A9735">
        <v>2025</v>
      </c>
      <c r="B9735" t="s">
        <v>195</v>
      </c>
      <c r="C9735">
        <v>0</v>
      </c>
      <c r="D9735">
        <v>0</v>
      </c>
      <c r="E9735">
        <v>1</v>
      </c>
      <c r="F9735">
        <v>0</v>
      </c>
      <c r="G9735">
        <v>0</v>
      </c>
      <c r="H9735">
        <v>0</v>
      </c>
      <c r="I9735">
        <v>0</v>
      </c>
      <c r="J9735">
        <v>1859.60737995777</v>
      </c>
      <c r="K9735">
        <v>1478.0757950751999</v>
      </c>
      <c r="L9735">
        <v>82.572000000000003</v>
      </c>
      <c r="M9735">
        <v>61.66</v>
      </c>
      <c r="N9735">
        <v>111.61799999999999</v>
      </c>
    </row>
    <row r="9736" spans="1:14" x14ac:dyDescent="0.45">
      <c r="A9736">
        <v>2025</v>
      </c>
      <c r="B9736" t="s">
        <v>196</v>
      </c>
      <c r="C9736">
        <v>0</v>
      </c>
      <c r="D9736">
        <v>0</v>
      </c>
      <c r="E9736">
        <v>1</v>
      </c>
      <c r="F9736">
        <v>1</v>
      </c>
      <c r="G9736">
        <v>0</v>
      </c>
      <c r="H9736">
        <v>0</v>
      </c>
      <c r="I9736">
        <v>0</v>
      </c>
      <c r="J9736">
        <v>5737.31678797518</v>
      </c>
      <c r="K9736">
        <v>5072.5613045948103</v>
      </c>
      <c r="L9736">
        <v>44.238</v>
      </c>
      <c r="M9736">
        <v>54.783999999999999</v>
      </c>
      <c r="N9736">
        <v>101.82599999999999</v>
      </c>
    </row>
    <row r="9737" spans="1:14" x14ac:dyDescent="0.45">
      <c r="A9737">
        <v>2025</v>
      </c>
      <c r="B9737" t="s">
        <v>197</v>
      </c>
      <c r="C9737">
        <v>0</v>
      </c>
      <c r="D9737">
        <v>1</v>
      </c>
      <c r="E9737">
        <v>0</v>
      </c>
      <c r="F9737">
        <v>1</v>
      </c>
      <c r="G9737">
        <v>0</v>
      </c>
      <c r="H9737">
        <v>0</v>
      </c>
      <c r="I9737">
        <v>0</v>
      </c>
      <c r="J9737">
        <v>7831.2296969093604</v>
      </c>
      <c r="K9737">
        <v>6595.9718672232702</v>
      </c>
      <c r="L9737">
        <v>39.524999999999999</v>
      </c>
      <c r="M9737">
        <v>75.266999999999996</v>
      </c>
      <c r="N9737">
        <v>12.775</v>
      </c>
    </row>
    <row r="9738" spans="1:14" x14ac:dyDescent="0.45">
      <c r="A9738">
        <v>2025</v>
      </c>
      <c r="B9738" t="s">
        <v>198</v>
      </c>
      <c r="C9738">
        <v>1</v>
      </c>
      <c r="D9738">
        <v>0</v>
      </c>
      <c r="E9738">
        <v>0</v>
      </c>
      <c r="F9738">
        <v>0</v>
      </c>
      <c r="G9738">
        <v>0</v>
      </c>
      <c r="H9738">
        <v>1</v>
      </c>
      <c r="I9738">
        <v>1</v>
      </c>
      <c r="J9738">
        <v>71069.066869470698</v>
      </c>
      <c r="K9738">
        <v>59992.457089616</v>
      </c>
      <c r="L9738">
        <v>6.2919999999999998</v>
      </c>
      <c r="M9738">
        <v>82.447999999999993</v>
      </c>
      <c r="N9738">
        <v>3.476</v>
      </c>
    </row>
    <row r="9739" spans="1:14" x14ac:dyDescent="0.45">
      <c r="A9739">
        <v>2025</v>
      </c>
      <c r="B9739" t="s">
        <v>199</v>
      </c>
      <c r="C9739">
        <v>1</v>
      </c>
      <c r="D9739">
        <v>0</v>
      </c>
      <c r="E9739">
        <v>0</v>
      </c>
      <c r="F9739">
        <v>0</v>
      </c>
      <c r="G9739">
        <v>0</v>
      </c>
      <c r="H9739">
        <v>1</v>
      </c>
      <c r="I9739">
        <v>1</v>
      </c>
      <c r="J9739">
        <v>91346.770160702305</v>
      </c>
      <c r="K9739">
        <v>67494.996437885202</v>
      </c>
      <c r="L9739">
        <v>15.368</v>
      </c>
      <c r="M9739">
        <v>83.606999999999999</v>
      </c>
      <c r="N9739">
        <v>2.0379999999999998</v>
      </c>
    </row>
    <row r="9740" spans="1:14" x14ac:dyDescent="0.45">
      <c r="A9740">
        <v>2025</v>
      </c>
      <c r="B9740" t="s">
        <v>200</v>
      </c>
      <c r="C9740">
        <v>0</v>
      </c>
      <c r="D9740">
        <v>0</v>
      </c>
      <c r="E9740">
        <v>0</v>
      </c>
      <c r="F9740">
        <v>1</v>
      </c>
      <c r="G9740">
        <v>0</v>
      </c>
      <c r="H9740">
        <v>0</v>
      </c>
      <c r="I9740">
        <v>0</v>
      </c>
      <c r="J9740">
        <v>5266.5078040415401</v>
      </c>
      <c r="K9740">
        <v>4662.4758172475304</v>
      </c>
      <c r="L9740">
        <v>77.162000000000006</v>
      </c>
      <c r="M9740">
        <v>70.897000000000006</v>
      </c>
      <c r="N9740">
        <v>23.524000000000001</v>
      </c>
    </row>
    <row r="9741" spans="1:14" x14ac:dyDescent="0.45">
      <c r="A9741">
        <v>2025</v>
      </c>
      <c r="B9741" t="s">
        <v>201</v>
      </c>
      <c r="C9741">
        <v>0</v>
      </c>
      <c r="D9741">
        <v>0</v>
      </c>
      <c r="E9741">
        <v>0</v>
      </c>
      <c r="F9741">
        <v>0</v>
      </c>
      <c r="G9741">
        <v>0</v>
      </c>
      <c r="H9741">
        <v>1</v>
      </c>
      <c r="I9741">
        <v>1</v>
      </c>
      <c r="J9741">
        <v>12753.607933774199</v>
      </c>
      <c r="K9741">
        <v>11538.450156418799</v>
      </c>
      <c r="L9741">
        <v>0</v>
      </c>
      <c r="M9741">
        <v>62.442</v>
      </c>
      <c r="N9741">
        <v>24.946999999999999</v>
      </c>
    </row>
    <row r="9742" spans="1:14" x14ac:dyDescent="0.45">
      <c r="A9742">
        <v>2025</v>
      </c>
      <c r="B9742" t="s">
        <v>202</v>
      </c>
      <c r="C9742">
        <v>0</v>
      </c>
      <c r="D9742">
        <v>0</v>
      </c>
      <c r="E9742">
        <v>0</v>
      </c>
      <c r="F9742">
        <v>0</v>
      </c>
      <c r="G9742">
        <v>0</v>
      </c>
      <c r="H9742">
        <v>1</v>
      </c>
      <c r="I9742">
        <v>1</v>
      </c>
      <c r="J9742">
        <v>48103.534233514001</v>
      </c>
      <c r="K9742">
        <v>43752.665771080501</v>
      </c>
      <c r="L9742">
        <v>12.797000000000001</v>
      </c>
      <c r="M9742">
        <v>82.388000000000005</v>
      </c>
      <c r="N9742">
        <v>4.55</v>
      </c>
    </row>
    <row r="9743" spans="1:14" x14ac:dyDescent="0.45">
      <c r="A9743">
        <v>2025</v>
      </c>
      <c r="B9743" t="s">
        <v>203</v>
      </c>
      <c r="C9743">
        <v>0</v>
      </c>
      <c r="D9743">
        <v>0</v>
      </c>
      <c r="E9743">
        <v>0</v>
      </c>
      <c r="F9743">
        <v>0</v>
      </c>
      <c r="G9743">
        <v>0</v>
      </c>
      <c r="H9743">
        <v>1</v>
      </c>
      <c r="I9743">
        <v>1</v>
      </c>
      <c r="J9743">
        <v>35637.988496410399</v>
      </c>
      <c r="K9743">
        <v>30966.5818599868</v>
      </c>
      <c r="L9743">
        <v>10.452999999999999</v>
      </c>
      <c r="M9743">
        <v>80.450999999999993</v>
      </c>
      <c r="N9743">
        <v>9.7420000000000009</v>
      </c>
    </row>
    <row r="9744" spans="1:14" x14ac:dyDescent="0.45">
      <c r="A9744">
        <v>2025</v>
      </c>
      <c r="B9744" t="s">
        <v>204</v>
      </c>
      <c r="C9744">
        <v>0</v>
      </c>
      <c r="D9744">
        <v>0</v>
      </c>
      <c r="E9744">
        <v>0</v>
      </c>
      <c r="F9744">
        <v>1</v>
      </c>
      <c r="G9744">
        <v>0</v>
      </c>
      <c r="H9744">
        <v>0</v>
      </c>
      <c r="I9744">
        <v>0</v>
      </c>
      <c r="J9744">
        <v>5606.1231574242302</v>
      </c>
      <c r="K9744">
        <v>5336.4617948770701</v>
      </c>
      <c r="L9744">
        <v>61.292000000000002</v>
      </c>
      <c r="M9744">
        <v>67.936999999999998</v>
      </c>
      <c r="N9744">
        <v>56.901000000000003</v>
      </c>
    </row>
    <row r="9745" spans="1:14" x14ac:dyDescent="0.45">
      <c r="A9745">
        <v>2025</v>
      </c>
      <c r="B9745" t="s">
        <v>205</v>
      </c>
      <c r="C9745">
        <v>0</v>
      </c>
      <c r="D9745">
        <v>1</v>
      </c>
      <c r="E9745">
        <v>0</v>
      </c>
      <c r="F9745">
        <v>0</v>
      </c>
      <c r="G9745">
        <v>0</v>
      </c>
      <c r="H9745">
        <v>1</v>
      </c>
      <c r="I9745">
        <v>1</v>
      </c>
      <c r="J9745">
        <v>37010.733959191799</v>
      </c>
      <c r="K9745">
        <v>38808.642563738496</v>
      </c>
      <c r="L9745">
        <v>29.731999999999999</v>
      </c>
      <c r="M9745">
        <v>79.956999999999994</v>
      </c>
      <c r="N9745">
        <v>12.772</v>
      </c>
    </row>
    <row r="9746" spans="1:14" x14ac:dyDescent="0.45">
      <c r="A9746">
        <v>2025</v>
      </c>
      <c r="B9746" t="s">
        <v>206</v>
      </c>
      <c r="C9746">
        <v>0</v>
      </c>
      <c r="D9746">
        <v>1</v>
      </c>
      <c r="E9746">
        <v>0</v>
      </c>
      <c r="F9746">
        <v>0</v>
      </c>
      <c r="G9746">
        <v>1</v>
      </c>
      <c r="H9746">
        <v>0</v>
      </c>
      <c r="I9746">
        <v>0</v>
      </c>
      <c r="J9746">
        <v>16002.590871545</v>
      </c>
      <c r="K9746">
        <v>13371.512468733299</v>
      </c>
      <c r="L9746">
        <v>20.638000000000002</v>
      </c>
      <c r="M9746">
        <v>78.117000000000004</v>
      </c>
      <c r="N9746">
        <v>12.464</v>
      </c>
    </row>
    <row r="9747" spans="1:14" x14ac:dyDescent="0.45">
      <c r="A9747">
        <v>2025</v>
      </c>
      <c r="B9747" t="s">
        <v>207</v>
      </c>
      <c r="C9747">
        <v>0</v>
      </c>
      <c r="D9747">
        <v>0</v>
      </c>
      <c r="E9747">
        <v>0</v>
      </c>
      <c r="F9747">
        <v>1</v>
      </c>
      <c r="G9747">
        <v>0</v>
      </c>
      <c r="H9747">
        <v>0</v>
      </c>
      <c r="I9747">
        <v>0</v>
      </c>
      <c r="J9747">
        <v>10877.194369511501</v>
      </c>
      <c r="K9747">
        <v>9850.3934624478698</v>
      </c>
      <c r="L9747">
        <v>51.042000000000002</v>
      </c>
      <c r="M9747">
        <v>70.066999999999993</v>
      </c>
      <c r="N9747">
        <v>25.96</v>
      </c>
    </row>
    <row r="9748" spans="1:14" x14ac:dyDescent="0.45">
      <c r="A9748">
        <v>2025</v>
      </c>
      <c r="B9748" t="s">
        <v>208</v>
      </c>
      <c r="C9748">
        <v>0</v>
      </c>
      <c r="D9748">
        <v>0</v>
      </c>
      <c r="E9748">
        <v>0</v>
      </c>
      <c r="F9748">
        <v>0</v>
      </c>
      <c r="G9748">
        <v>0</v>
      </c>
      <c r="H9748">
        <v>1</v>
      </c>
      <c r="I9748">
        <v>1</v>
      </c>
      <c r="J9748">
        <v>17657.293442843002</v>
      </c>
      <c r="K9748">
        <v>15974.9148119854</v>
      </c>
      <c r="L9748">
        <v>16.748000000000001</v>
      </c>
      <c r="M9748">
        <v>69.492999999999995</v>
      </c>
      <c r="N9748">
        <v>20.984000000000002</v>
      </c>
    </row>
    <row r="9749" spans="1:14" x14ac:dyDescent="0.45">
      <c r="A9749">
        <v>2025</v>
      </c>
      <c r="B9749" t="s">
        <v>209</v>
      </c>
      <c r="C9749">
        <v>0</v>
      </c>
      <c r="D9749">
        <v>0</v>
      </c>
      <c r="E9749">
        <v>0</v>
      </c>
      <c r="F9749">
        <v>1</v>
      </c>
      <c r="G9749">
        <v>0</v>
      </c>
      <c r="H9749">
        <v>0</v>
      </c>
      <c r="I9749">
        <v>0</v>
      </c>
      <c r="J9749">
        <v>4385.2804153201296</v>
      </c>
      <c r="K9749">
        <v>3966.93056590076</v>
      </c>
      <c r="L9749">
        <v>85.945999999999998</v>
      </c>
      <c r="M9749">
        <v>66.385000000000005</v>
      </c>
      <c r="N9749">
        <v>38.607999999999997</v>
      </c>
    </row>
    <row r="9750" spans="1:14" x14ac:dyDescent="0.45">
      <c r="A9750">
        <v>2025</v>
      </c>
      <c r="B9750" t="s">
        <v>210</v>
      </c>
      <c r="C9750">
        <v>1</v>
      </c>
      <c r="D9750">
        <v>0</v>
      </c>
      <c r="E9750">
        <v>0</v>
      </c>
      <c r="F9750">
        <v>0</v>
      </c>
      <c r="G9750">
        <v>0</v>
      </c>
      <c r="H9750">
        <v>1</v>
      </c>
      <c r="I9750">
        <v>1</v>
      </c>
      <c r="J9750">
        <v>46690.246503832401</v>
      </c>
      <c r="K9750">
        <v>40301.669730525602</v>
      </c>
      <c r="L9750">
        <v>39.533000000000001</v>
      </c>
      <c r="M9750">
        <v>78.980999999999995</v>
      </c>
      <c r="N9750">
        <v>3.7069999999999999</v>
      </c>
    </row>
    <row r="9751" spans="1:14" x14ac:dyDescent="0.45">
      <c r="A9751">
        <v>2025</v>
      </c>
      <c r="B9751" t="s">
        <v>211</v>
      </c>
      <c r="C9751">
        <v>0</v>
      </c>
      <c r="D9751">
        <v>1</v>
      </c>
      <c r="E9751">
        <v>0</v>
      </c>
      <c r="F9751">
        <v>0</v>
      </c>
      <c r="G9751">
        <v>0</v>
      </c>
      <c r="H9751">
        <v>1</v>
      </c>
      <c r="I9751">
        <v>1</v>
      </c>
      <c r="J9751">
        <v>44789.734912717002</v>
      </c>
      <c r="K9751">
        <v>34409.298721293999</v>
      </c>
      <c r="L9751">
        <v>6.2990000000000101</v>
      </c>
      <c r="M9751">
        <v>82.084000000000003</v>
      </c>
      <c r="N9751">
        <v>6.3380000000000001</v>
      </c>
    </row>
    <row r="9752" spans="1:14" x14ac:dyDescent="0.45">
      <c r="A9752">
        <v>2025</v>
      </c>
      <c r="B9752" t="s">
        <v>212</v>
      </c>
      <c r="C9752">
        <v>0</v>
      </c>
      <c r="D9752">
        <v>0</v>
      </c>
      <c r="E9752">
        <v>0</v>
      </c>
      <c r="F9752">
        <v>0</v>
      </c>
      <c r="G9752">
        <v>0</v>
      </c>
      <c r="H9752">
        <v>0</v>
      </c>
      <c r="I9752">
        <v>0</v>
      </c>
      <c r="L9752">
        <v>36.185000000000002</v>
      </c>
      <c r="M9752">
        <v>73.858999999999995</v>
      </c>
      <c r="N9752">
        <v>16.385000000000002</v>
      </c>
    </row>
    <row r="9753" spans="1:14" x14ac:dyDescent="0.45">
      <c r="A9753">
        <v>2025</v>
      </c>
      <c r="B9753" t="s">
        <v>213</v>
      </c>
      <c r="C9753">
        <v>1</v>
      </c>
      <c r="D9753">
        <v>0</v>
      </c>
      <c r="E9753">
        <v>0</v>
      </c>
      <c r="F9753">
        <v>0</v>
      </c>
      <c r="G9753">
        <v>0</v>
      </c>
      <c r="H9753">
        <v>1</v>
      </c>
      <c r="I9753">
        <v>1</v>
      </c>
      <c r="J9753">
        <v>42568.5007713948</v>
      </c>
      <c r="K9753">
        <v>36795.492397723501</v>
      </c>
      <c r="L9753">
        <v>31.067</v>
      </c>
      <c r="M9753">
        <v>82.715999999999994</v>
      </c>
      <c r="N9753">
        <v>2.911</v>
      </c>
    </row>
    <row r="9754" spans="1:14" x14ac:dyDescent="0.45">
      <c r="A9754">
        <v>2025</v>
      </c>
      <c r="B9754" t="s">
        <v>214</v>
      </c>
      <c r="C9754">
        <v>0</v>
      </c>
      <c r="D9754">
        <v>1</v>
      </c>
      <c r="E9754">
        <v>0</v>
      </c>
      <c r="F9754">
        <v>0</v>
      </c>
      <c r="G9754">
        <v>1</v>
      </c>
      <c r="H9754">
        <v>0</v>
      </c>
      <c r="I9754">
        <v>0</v>
      </c>
      <c r="J9754">
        <v>16772.407118165502</v>
      </c>
      <c r="K9754">
        <v>15302.1217230365</v>
      </c>
      <c r="L9754">
        <v>36.161999999999999</v>
      </c>
      <c r="M9754">
        <v>74.111000000000004</v>
      </c>
      <c r="N9754">
        <v>18.853999999999999</v>
      </c>
    </row>
    <row r="9755" spans="1:14" x14ac:dyDescent="0.45">
      <c r="A9755">
        <v>2025</v>
      </c>
      <c r="B9755" t="s">
        <v>215</v>
      </c>
      <c r="C9755">
        <v>0</v>
      </c>
      <c r="D9755">
        <v>0</v>
      </c>
      <c r="E9755">
        <v>0</v>
      </c>
      <c r="F9755">
        <v>1</v>
      </c>
      <c r="G9755">
        <v>0</v>
      </c>
      <c r="H9755">
        <v>0</v>
      </c>
      <c r="I9755">
        <v>0</v>
      </c>
      <c r="J9755">
        <v>2778.3036799915599</v>
      </c>
      <c r="K9755">
        <v>2369.0175070723199</v>
      </c>
      <c r="L9755">
        <v>21.824000000000002</v>
      </c>
      <c r="M9755">
        <v>73.100999999999999</v>
      </c>
      <c r="N9755">
        <v>19.972999999999999</v>
      </c>
    </row>
    <row r="9756" spans="1:14" x14ac:dyDescent="0.45">
      <c r="A9756">
        <v>2025</v>
      </c>
      <c r="B9756" t="s">
        <v>216</v>
      </c>
      <c r="C9756">
        <v>0</v>
      </c>
      <c r="D9756">
        <v>0</v>
      </c>
      <c r="E9756">
        <v>0</v>
      </c>
      <c r="F9756">
        <v>0</v>
      </c>
      <c r="G9756">
        <v>0</v>
      </c>
      <c r="H9756">
        <v>1</v>
      </c>
      <c r="I9756">
        <v>1</v>
      </c>
      <c r="L9756">
        <v>37.436</v>
      </c>
      <c r="M9756">
        <v>84.311999999999998</v>
      </c>
      <c r="N9756">
        <v>5.8280000000000003</v>
      </c>
    </row>
    <row r="9757" spans="1:14" x14ac:dyDescent="0.45">
      <c r="A9757">
        <v>2025</v>
      </c>
      <c r="B9757" t="s">
        <v>217</v>
      </c>
      <c r="C9757">
        <v>0</v>
      </c>
      <c r="D9757">
        <v>0</v>
      </c>
      <c r="E9757">
        <v>0</v>
      </c>
      <c r="F9757">
        <v>0</v>
      </c>
      <c r="G9757">
        <v>0</v>
      </c>
      <c r="H9757">
        <v>1</v>
      </c>
      <c r="I9757">
        <v>1</v>
      </c>
      <c r="J9757">
        <v>111241.228912904</v>
      </c>
      <c r="K9757">
        <v>96056.563326731397</v>
      </c>
      <c r="L9757">
        <v>0.58299999999999796</v>
      </c>
      <c r="M9757">
        <v>82.68</v>
      </c>
      <c r="N9757">
        <v>6.6420000000000003</v>
      </c>
    </row>
    <row r="9758" spans="1:14" x14ac:dyDescent="0.45">
      <c r="A9758">
        <v>2025</v>
      </c>
      <c r="B9758" t="s">
        <v>218</v>
      </c>
      <c r="C9758">
        <v>1</v>
      </c>
      <c r="D9758">
        <v>0</v>
      </c>
      <c r="E9758">
        <v>0</v>
      </c>
      <c r="F9758">
        <v>0</v>
      </c>
      <c r="G9758">
        <v>0</v>
      </c>
      <c r="H9758">
        <v>1</v>
      </c>
      <c r="I9758">
        <v>1</v>
      </c>
      <c r="J9758">
        <v>41155.854862534499</v>
      </c>
      <c r="K9758">
        <v>33452.963123743997</v>
      </c>
      <c r="L9758">
        <v>44.887</v>
      </c>
      <c r="M9758">
        <v>76.245000000000005</v>
      </c>
      <c r="N9758">
        <v>6.0949999999999998</v>
      </c>
    </row>
    <row r="9759" spans="1:14" x14ac:dyDescent="0.45">
      <c r="A9759">
        <v>2025</v>
      </c>
      <c r="B9759" t="s">
        <v>219</v>
      </c>
      <c r="C9759">
        <v>1</v>
      </c>
      <c r="D9759">
        <v>0</v>
      </c>
      <c r="E9759">
        <v>0</v>
      </c>
      <c r="F9759">
        <v>0</v>
      </c>
      <c r="G9759">
        <v>0</v>
      </c>
      <c r="H9759">
        <v>1</v>
      </c>
      <c r="I9759">
        <v>1</v>
      </c>
      <c r="J9759">
        <v>43684.261575475197</v>
      </c>
      <c r="K9759">
        <v>31658.035140113301</v>
      </c>
      <c r="L9759">
        <v>24.224</v>
      </c>
      <c r="M9759">
        <v>73.522000000000006</v>
      </c>
      <c r="N9759">
        <v>5.0730000000000004</v>
      </c>
    </row>
    <row r="9760" spans="1:14" x14ac:dyDescent="0.45">
      <c r="A9760">
        <v>2025</v>
      </c>
      <c r="B9760" t="s">
        <v>220</v>
      </c>
      <c r="C9760">
        <v>0</v>
      </c>
      <c r="D9760">
        <v>0</v>
      </c>
      <c r="E9760">
        <v>1</v>
      </c>
      <c r="F9760">
        <v>0</v>
      </c>
      <c r="G9760">
        <v>0</v>
      </c>
      <c r="H9760">
        <v>0</v>
      </c>
      <c r="I9760">
        <v>0</v>
      </c>
      <c r="J9760">
        <v>3479.8632923155101</v>
      </c>
      <c r="K9760">
        <v>2912.1370182851701</v>
      </c>
      <c r="L9760">
        <v>81.710999999999999</v>
      </c>
      <c r="M9760">
        <v>68.242000000000004</v>
      </c>
      <c r="N9760">
        <v>34.238</v>
      </c>
    </row>
    <row r="9761" spans="1:14" x14ac:dyDescent="0.45">
      <c r="A9761">
        <v>2025</v>
      </c>
      <c r="B9761" t="s">
        <v>221</v>
      </c>
      <c r="C9761">
        <v>0</v>
      </c>
      <c r="D9761">
        <v>0</v>
      </c>
      <c r="E9761">
        <v>0</v>
      </c>
      <c r="F9761">
        <v>0</v>
      </c>
      <c r="G9761">
        <v>0</v>
      </c>
      <c r="H9761">
        <v>1</v>
      </c>
      <c r="I9761">
        <v>1</v>
      </c>
      <c r="J9761">
        <v>62185.7562938755</v>
      </c>
      <c r="K9761">
        <v>57010.535815396703</v>
      </c>
      <c r="L9761">
        <v>14.609</v>
      </c>
      <c r="M9761">
        <v>79.194999999999993</v>
      </c>
      <c r="N9761">
        <v>7.1050000000000004</v>
      </c>
    </row>
    <row r="9762" spans="1:14" x14ac:dyDescent="0.45">
      <c r="A9762">
        <v>2025</v>
      </c>
      <c r="B9762" t="s">
        <v>222</v>
      </c>
      <c r="C9762">
        <v>0</v>
      </c>
      <c r="D9762">
        <v>0</v>
      </c>
      <c r="E9762">
        <v>1</v>
      </c>
      <c r="F9762">
        <v>0</v>
      </c>
      <c r="G9762">
        <v>0</v>
      </c>
      <c r="H9762">
        <v>0</v>
      </c>
      <c r="I9762">
        <v>0</v>
      </c>
      <c r="J9762">
        <v>1605.8903293984799</v>
      </c>
      <c r="K9762">
        <v>1681.57895046928</v>
      </c>
      <c r="L9762">
        <v>62.814999999999998</v>
      </c>
      <c r="M9762">
        <v>66.703999999999994</v>
      </c>
      <c r="N9762">
        <v>52.034999999999997</v>
      </c>
    </row>
    <row r="9763" spans="1:14" x14ac:dyDescent="0.45">
      <c r="A9763">
        <v>2025</v>
      </c>
      <c r="B9763" t="s">
        <v>223</v>
      </c>
      <c r="C9763">
        <v>0</v>
      </c>
      <c r="D9763">
        <v>0</v>
      </c>
      <c r="E9763">
        <v>1</v>
      </c>
      <c r="F9763">
        <v>1</v>
      </c>
      <c r="G9763">
        <v>0</v>
      </c>
      <c r="H9763">
        <v>0</v>
      </c>
      <c r="I9763">
        <v>0</v>
      </c>
      <c r="J9763">
        <v>4647.5456813313003</v>
      </c>
      <c r="K9763">
        <v>3882.7409578628999</v>
      </c>
      <c r="L9763">
        <v>49.411000000000001</v>
      </c>
      <c r="M9763">
        <v>69.156999999999996</v>
      </c>
      <c r="N9763">
        <v>32.853000000000002</v>
      </c>
    </row>
    <row r="9764" spans="1:14" x14ac:dyDescent="0.45">
      <c r="A9764">
        <v>2025</v>
      </c>
      <c r="B9764" t="s">
        <v>224</v>
      </c>
      <c r="C9764">
        <v>0</v>
      </c>
      <c r="D9764">
        <v>0</v>
      </c>
      <c r="E9764">
        <v>0</v>
      </c>
      <c r="F9764">
        <v>0</v>
      </c>
      <c r="G9764">
        <v>0</v>
      </c>
      <c r="H9764">
        <v>1</v>
      </c>
      <c r="I9764">
        <v>1</v>
      </c>
      <c r="J9764">
        <v>135011.830654502</v>
      </c>
      <c r="K9764">
        <v>110984.762516541</v>
      </c>
      <c r="L9764">
        <v>0</v>
      </c>
      <c r="M9764">
        <v>83.998000000000005</v>
      </c>
      <c r="N9764">
        <v>2.1800000000000002</v>
      </c>
    </row>
    <row r="9765" spans="1:14" x14ac:dyDescent="0.45">
      <c r="A9765">
        <v>2025</v>
      </c>
      <c r="B9765" t="s">
        <v>225</v>
      </c>
      <c r="C9765">
        <v>0</v>
      </c>
      <c r="D9765">
        <v>0</v>
      </c>
      <c r="E9765">
        <v>0</v>
      </c>
      <c r="F9765">
        <v>1</v>
      </c>
      <c r="G9765">
        <v>0</v>
      </c>
      <c r="H9765">
        <v>0</v>
      </c>
      <c r="I9765">
        <v>0</v>
      </c>
      <c r="J9765">
        <v>2529.5647120816102</v>
      </c>
      <c r="K9765">
        <v>2288.1758389430702</v>
      </c>
      <c r="L9765">
        <v>73.064999999999998</v>
      </c>
      <c r="M9765">
        <v>70.834000000000003</v>
      </c>
      <c r="N9765">
        <v>16.695</v>
      </c>
    </row>
    <row r="9766" spans="1:14" x14ac:dyDescent="0.45">
      <c r="A9766">
        <v>2025</v>
      </c>
      <c r="B9766" t="s">
        <v>226</v>
      </c>
      <c r="C9766">
        <v>0</v>
      </c>
      <c r="D9766">
        <v>0</v>
      </c>
      <c r="E9766">
        <v>1</v>
      </c>
      <c r="F9766">
        <v>0</v>
      </c>
      <c r="G9766">
        <v>0</v>
      </c>
      <c r="H9766">
        <v>0</v>
      </c>
      <c r="I9766">
        <v>0</v>
      </c>
      <c r="J9766">
        <v>3148.9861400128002</v>
      </c>
      <c r="K9766">
        <v>2858.2420779346098</v>
      </c>
      <c r="L9766">
        <v>54.731999999999999</v>
      </c>
      <c r="M9766">
        <v>62.15</v>
      </c>
      <c r="N9766">
        <v>94.14</v>
      </c>
    </row>
    <row r="9767" spans="1:14" x14ac:dyDescent="0.45">
      <c r="A9767">
        <v>2025</v>
      </c>
      <c r="B9767" t="s">
        <v>227</v>
      </c>
      <c r="C9767">
        <v>0</v>
      </c>
      <c r="D9767">
        <v>1</v>
      </c>
      <c r="E9767">
        <v>0</v>
      </c>
      <c r="F9767">
        <v>0</v>
      </c>
      <c r="G9767">
        <v>1</v>
      </c>
      <c r="H9767">
        <v>0</v>
      </c>
      <c r="I9767">
        <v>0</v>
      </c>
      <c r="J9767">
        <v>11918.513142853501</v>
      </c>
      <c r="K9767">
        <v>10616.4202943687</v>
      </c>
      <c r="L9767">
        <v>23.423999999999999</v>
      </c>
      <c r="M9767">
        <v>72.52</v>
      </c>
      <c r="N9767">
        <v>10.872</v>
      </c>
    </row>
    <row r="9768" spans="1:14" x14ac:dyDescent="0.45">
      <c r="A9768">
        <v>2025</v>
      </c>
      <c r="B9768" t="s">
        <v>228</v>
      </c>
      <c r="C9768">
        <v>1</v>
      </c>
      <c r="D9768">
        <v>0</v>
      </c>
      <c r="E9768">
        <v>0</v>
      </c>
      <c r="F9768">
        <v>0</v>
      </c>
      <c r="G9768">
        <v>0</v>
      </c>
      <c r="H9768">
        <v>1</v>
      </c>
      <c r="I9768">
        <v>1</v>
      </c>
      <c r="J9768">
        <v>76620.794832400905</v>
      </c>
      <c r="K9768">
        <v>67531.601829805295</v>
      </c>
      <c r="L9768">
        <v>1.9790000000000001</v>
      </c>
      <c r="M9768">
        <v>85.924999999999997</v>
      </c>
      <c r="N9768">
        <v>1.357</v>
      </c>
    </row>
    <row r="9769" spans="1:14" x14ac:dyDescent="0.45">
      <c r="A9769">
        <v>2025</v>
      </c>
      <c r="B9769" t="s">
        <v>229</v>
      </c>
      <c r="C9769">
        <v>0</v>
      </c>
      <c r="D9769">
        <v>0</v>
      </c>
      <c r="E9769">
        <v>1</v>
      </c>
      <c r="F9769">
        <v>0</v>
      </c>
      <c r="G9769">
        <v>0</v>
      </c>
      <c r="H9769">
        <v>0</v>
      </c>
      <c r="I9769">
        <v>0</v>
      </c>
      <c r="J9769">
        <v>1414.487227117</v>
      </c>
      <c r="K9769">
        <v>1311.9853964066399</v>
      </c>
      <c r="L9769">
        <v>50.881</v>
      </c>
      <c r="M9769">
        <v>59.107999999999997</v>
      </c>
      <c r="N9769">
        <v>101.127</v>
      </c>
    </row>
    <row r="9770" spans="1:14" x14ac:dyDescent="0.45">
      <c r="A9770">
        <v>2025</v>
      </c>
      <c r="B9770" t="s">
        <v>230</v>
      </c>
      <c r="C9770">
        <v>1</v>
      </c>
      <c r="D9770">
        <v>0</v>
      </c>
      <c r="E9770">
        <v>0</v>
      </c>
      <c r="F9770">
        <v>0</v>
      </c>
      <c r="G9770">
        <v>1</v>
      </c>
      <c r="H9770">
        <v>0</v>
      </c>
      <c r="I9770">
        <v>0</v>
      </c>
      <c r="J9770">
        <v>28086.321551963501</v>
      </c>
      <c r="K9770">
        <v>24696.969934650198</v>
      </c>
      <c r="L9770">
        <v>42.353999999999999</v>
      </c>
      <c r="M9770">
        <v>77.138999999999996</v>
      </c>
      <c r="N9770">
        <v>4.5640000000000001</v>
      </c>
    </row>
    <row r="9771" spans="1:14" x14ac:dyDescent="0.45">
      <c r="A9771">
        <v>2025</v>
      </c>
      <c r="B9771" t="s">
        <v>231</v>
      </c>
      <c r="C9771">
        <v>0</v>
      </c>
      <c r="D9771">
        <v>0</v>
      </c>
      <c r="E9771">
        <v>1</v>
      </c>
      <c r="F9771">
        <v>0</v>
      </c>
      <c r="G9771">
        <v>0</v>
      </c>
      <c r="H9771">
        <v>0</v>
      </c>
      <c r="I9771">
        <v>0</v>
      </c>
      <c r="L9771">
        <v>78.057000000000002</v>
      </c>
      <c r="M9771">
        <v>57.850999999999999</v>
      </c>
      <c r="N9771">
        <v>97.369</v>
      </c>
    </row>
    <row r="9772" spans="1:14" x14ac:dyDescent="0.45">
      <c r="A9772">
        <v>2025</v>
      </c>
      <c r="B9772" t="s">
        <v>232</v>
      </c>
      <c r="C9772">
        <v>0</v>
      </c>
      <c r="D9772">
        <v>0</v>
      </c>
      <c r="E9772">
        <v>1</v>
      </c>
      <c r="F9772">
        <v>1</v>
      </c>
      <c r="G9772">
        <v>0</v>
      </c>
      <c r="H9772">
        <v>0</v>
      </c>
      <c r="I9772">
        <v>0</v>
      </c>
      <c r="J9772">
        <v>5420.2376778719199</v>
      </c>
      <c r="K9772">
        <v>3373.4707336618899</v>
      </c>
      <c r="L9772">
        <v>22.407</v>
      </c>
      <c r="M9772">
        <v>70.081000000000003</v>
      </c>
      <c r="N9772">
        <v>12.728</v>
      </c>
    </row>
    <row r="9773" spans="1:14" x14ac:dyDescent="0.45">
      <c r="A9773">
        <v>2025</v>
      </c>
      <c r="B9773" t="s">
        <v>233</v>
      </c>
      <c r="C9773">
        <v>0</v>
      </c>
      <c r="D9773">
        <v>1</v>
      </c>
      <c r="E9773">
        <v>0</v>
      </c>
      <c r="F9773">
        <v>0</v>
      </c>
      <c r="G9773">
        <v>1</v>
      </c>
      <c r="H9773">
        <v>0</v>
      </c>
      <c r="I9773">
        <v>0</v>
      </c>
      <c r="J9773">
        <v>19782.4435094615</v>
      </c>
      <c r="K9773">
        <v>15746.4219933894</v>
      </c>
      <c r="L9773">
        <v>33.328000000000003</v>
      </c>
      <c r="M9773">
        <v>73.899000000000001</v>
      </c>
      <c r="N9773">
        <v>12.166</v>
      </c>
    </row>
    <row r="9774" spans="1:14" x14ac:dyDescent="0.45">
      <c r="A9774">
        <v>2025</v>
      </c>
      <c r="B9774" t="s">
        <v>234</v>
      </c>
      <c r="C9774">
        <v>1</v>
      </c>
      <c r="D9774">
        <v>0</v>
      </c>
      <c r="E9774">
        <v>0</v>
      </c>
      <c r="F9774">
        <v>0</v>
      </c>
      <c r="G9774">
        <v>0</v>
      </c>
      <c r="H9774">
        <v>1</v>
      </c>
      <c r="I9774">
        <v>1</v>
      </c>
      <c r="J9774">
        <v>41469.135063405804</v>
      </c>
      <c r="K9774">
        <v>35716.654188070999</v>
      </c>
      <c r="L9774">
        <v>45.652999999999999</v>
      </c>
      <c r="M9774">
        <v>78.653999999999996</v>
      </c>
      <c r="N9774">
        <v>4.63</v>
      </c>
    </row>
    <row r="9775" spans="1:14" x14ac:dyDescent="0.45">
      <c r="A9775">
        <v>2025</v>
      </c>
      <c r="B9775" t="s">
        <v>235</v>
      </c>
      <c r="C9775">
        <v>1</v>
      </c>
      <c r="D9775">
        <v>0</v>
      </c>
      <c r="E9775">
        <v>0</v>
      </c>
      <c r="F9775">
        <v>0</v>
      </c>
      <c r="G9775">
        <v>0</v>
      </c>
      <c r="H9775">
        <v>1</v>
      </c>
      <c r="I9775">
        <v>1</v>
      </c>
      <c r="J9775">
        <v>49109.199939416801</v>
      </c>
      <c r="K9775">
        <v>42273.429700492998</v>
      </c>
      <c r="L9775">
        <v>43.198</v>
      </c>
      <c r="M9775">
        <v>81.936000000000007</v>
      </c>
      <c r="N9775">
        <v>1.71</v>
      </c>
    </row>
    <row r="9776" spans="1:14" x14ac:dyDescent="0.45">
      <c r="A9776">
        <v>2025</v>
      </c>
      <c r="B9776" t="s">
        <v>236</v>
      </c>
      <c r="C9776">
        <v>1</v>
      </c>
      <c r="D9776">
        <v>0</v>
      </c>
      <c r="E9776">
        <v>0</v>
      </c>
      <c r="F9776">
        <v>0</v>
      </c>
      <c r="G9776">
        <v>0</v>
      </c>
      <c r="H9776">
        <v>1</v>
      </c>
      <c r="I9776">
        <v>1</v>
      </c>
      <c r="J9776">
        <v>63414.857603636301</v>
      </c>
      <c r="K9776">
        <v>54170.141487010798</v>
      </c>
      <c r="L9776">
        <v>10.792</v>
      </c>
      <c r="M9776">
        <v>83.575999999999993</v>
      </c>
      <c r="N9776">
        <v>2.359</v>
      </c>
    </row>
    <row r="9777" spans="1:14" x14ac:dyDescent="0.45">
      <c r="A9777">
        <v>2025</v>
      </c>
      <c r="B9777" t="s">
        <v>237</v>
      </c>
      <c r="C9777">
        <v>0</v>
      </c>
      <c r="D9777">
        <v>0</v>
      </c>
      <c r="E9777">
        <v>1</v>
      </c>
      <c r="F9777">
        <v>1</v>
      </c>
      <c r="G9777">
        <v>0</v>
      </c>
      <c r="H9777">
        <v>0</v>
      </c>
      <c r="I9777">
        <v>0</v>
      </c>
      <c r="J9777">
        <v>10757.228271535299</v>
      </c>
      <c r="K9777">
        <v>9525.52760515921</v>
      </c>
      <c r="L9777">
        <v>74.754999999999995</v>
      </c>
      <c r="M9777">
        <v>64.403000000000006</v>
      </c>
      <c r="N9777">
        <v>48.162999999999997</v>
      </c>
    </row>
    <row r="9778" spans="1:14" x14ac:dyDescent="0.45">
      <c r="A9778">
        <v>2025</v>
      </c>
      <c r="B9778" t="s">
        <v>238</v>
      </c>
      <c r="C9778">
        <v>0</v>
      </c>
      <c r="D9778">
        <v>1</v>
      </c>
      <c r="E9778">
        <v>0</v>
      </c>
      <c r="F9778">
        <v>0</v>
      </c>
      <c r="G9778">
        <v>0</v>
      </c>
      <c r="H9778">
        <v>1</v>
      </c>
      <c r="I9778">
        <v>1</v>
      </c>
      <c r="L9778">
        <v>0</v>
      </c>
      <c r="M9778">
        <v>76.697000000000003</v>
      </c>
      <c r="N9778">
        <v>14.003</v>
      </c>
    </row>
    <row r="9779" spans="1:14" x14ac:dyDescent="0.45">
      <c r="A9779">
        <v>2025</v>
      </c>
      <c r="B9779" t="s">
        <v>239</v>
      </c>
      <c r="C9779">
        <v>0</v>
      </c>
      <c r="D9779">
        <v>0</v>
      </c>
      <c r="E9779">
        <v>1</v>
      </c>
      <c r="F9779">
        <v>0</v>
      </c>
      <c r="G9779">
        <v>0</v>
      </c>
      <c r="H9779">
        <v>1</v>
      </c>
      <c r="I9779">
        <v>1</v>
      </c>
      <c r="J9779">
        <v>29377.161220735801</v>
      </c>
      <c r="K9779">
        <v>28520.8134448975</v>
      </c>
      <c r="L9779">
        <v>40.337000000000003</v>
      </c>
      <c r="M9779">
        <v>73.14</v>
      </c>
      <c r="N9779">
        <v>12.086</v>
      </c>
    </row>
    <row r="9780" spans="1:14" x14ac:dyDescent="0.45">
      <c r="A9780">
        <v>2025</v>
      </c>
      <c r="B9780" t="s">
        <v>240</v>
      </c>
      <c r="C9780">
        <v>0</v>
      </c>
      <c r="D9780">
        <v>0</v>
      </c>
      <c r="E9780">
        <v>0</v>
      </c>
      <c r="F9780">
        <v>0</v>
      </c>
      <c r="G9780">
        <v>0</v>
      </c>
      <c r="H9780">
        <v>0</v>
      </c>
      <c r="I9780">
        <v>0</v>
      </c>
      <c r="J9780">
        <v>3712.1404781984002</v>
      </c>
      <c r="K9780">
        <v>2434.89475798391</v>
      </c>
      <c r="L9780">
        <v>41.326999999999998</v>
      </c>
      <c r="M9780">
        <v>72.989999999999995</v>
      </c>
      <c r="N9780">
        <v>19.847000000000001</v>
      </c>
    </row>
    <row r="9781" spans="1:14" x14ac:dyDescent="0.45">
      <c r="A9781">
        <v>2025</v>
      </c>
      <c r="B9781" t="s">
        <v>241</v>
      </c>
      <c r="C9781">
        <v>0</v>
      </c>
      <c r="D9781">
        <v>1</v>
      </c>
      <c r="E9781">
        <v>0</v>
      </c>
      <c r="F9781">
        <v>0</v>
      </c>
      <c r="G9781">
        <v>0</v>
      </c>
      <c r="H9781">
        <v>1</v>
      </c>
      <c r="I9781">
        <v>1</v>
      </c>
      <c r="L9781">
        <v>5.3940000000000099</v>
      </c>
      <c r="M9781">
        <v>78.338999999999999</v>
      </c>
      <c r="N9781">
        <v>5.5279999999999996</v>
      </c>
    </row>
    <row r="9782" spans="1:14" x14ac:dyDescent="0.45">
      <c r="A9782">
        <v>2025</v>
      </c>
      <c r="B9782" t="s">
        <v>242</v>
      </c>
      <c r="C9782">
        <v>0</v>
      </c>
      <c r="D9782">
        <v>0</v>
      </c>
      <c r="E9782">
        <v>1</v>
      </c>
      <c r="F9782">
        <v>0</v>
      </c>
      <c r="G9782">
        <v>0</v>
      </c>
      <c r="H9782">
        <v>0</v>
      </c>
      <c r="I9782">
        <v>0</v>
      </c>
      <c r="J9782">
        <v>2571.7211795258099</v>
      </c>
      <c r="K9782">
        <v>2160.3388321278799</v>
      </c>
      <c r="L9782">
        <v>74.962000000000003</v>
      </c>
      <c r="M9782">
        <v>55.429000000000002</v>
      </c>
      <c r="N9782">
        <v>97.066000000000003</v>
      </c>
    </row>
    <row r="9783" spans="1:14" x14ac:dyDescent="0.45">
      <c r="A9783">
        <v>2025</v>
      </c>
      <c r="B9783" t="s">
        <v>243</v>
      </c>
      <c r="C9783">
        <v>0</v>
      </c>
      <c r="D9783">
        <v>0</v>
      </c>
      <c r="E9783">
        <v>1</v>
      </c>
      <c r="F9783">
        <v>0</v>
      </c>
      <c r="G9783">
        <v>0</v>
      </c>
      <c r="H9783">
        <v>0</v>
      </c>
      <c r="I9783">
        <v>0</v>
      </c>
      <c r="J9783">
        <v>2934.1256730349501</v>
      </c>
      <c r="K9783">
        <v>2438.3691772952502</v>
      </c>
      <c r="L9783">
        <v>54.357999999999997</v>
      </c>
      <c r="M9783">
        <v>63.137</v>
      </c>
      <c r="N9783">
        <v>56.365000000000002</v>
      </c>
    </row>
    <row r="9784" spans="1:14" x14ac:dyDescent="0.45">
      <c r="A9784">
        <v>2025</v>
      </c>
      <c r="B9784" t="s">
        <v>244</v>
      </c>
      <c r="C9784">
        <v>0</v>
      </c>
      <c r="D9784">
        <v>0</v>
      </c>
      <c r="E9784">
        <v>0</v>
      </c>
      <c r="F9784">
        <v>0</v>
      </c>
      <c r="G9784">
        <v>1</v>
      </c>
      <c r="H9784">
        <v>0</v>
      </c>
      <c r="I9784">
        <v>0</v>
      </c>
      <c r="J9784">
        <v>22291.3093513557</v>
      </c>
      <c r="K9784">
        <v>19494.3535641075</v>
      </c>
      <c r="L9784">
        <v>44.975999999999999</v>
      </c>
      <c r="M9784">
        <v>76.825000000000003</v>
      </c>
      <c r="N9784">
        <v>9.8339999999999996</v>
      </c>
    </row>
    <row r="9785" spans="1:14" x14ac:dyDescent="0.45">
      <c r="A9785">
        <v>2025</v>
      </c>
      <c r="B9785" t="s">
        <v>245</v>
      </c>
      <c r="C9785">
        <v>1</v>
      </c>
      <c r="D9785">
        <v>0</v>
      </c>
      <c r="E9785">
        <v>0</v>
      </c>
      <c r="F9785">
        <v>1</v>
      </c>
      <c r="G9785">
        <v>0</v>
      </c>
      <c r="H9785">
        <v>0</v>
      </c>
      <c r="I9785">
        <v>0</v>
      </c>
      <c r="J9785">
        <v>5057.5266228705204</v>
      </c>
      <c r="K9785">
        <v>4606.0675331368402</v>
      </c>
      <c r="L9785">
        <v>71.164000000000001</v>
      </c>
      <c r="M9785">
        <v>72.052000000000007</v>
      </c>
      <c r="N9785">
        <v>25.167999999999999</v>
      </c>
    </row>
    <row r="9786" spans="1:14" x14ac:dyDescent="0.45">
      <c r="A9786">
        <v>2025</v>
      </c>
      <c r="B9786" t="s">
        <v>246</v>
      </c>
      <c r="C9786">
        <v>1</v>
      </c>
      <c r="D9786">
        <v>0</v>
      </c>
      <c r="E9786">
        <v>0</v>
      </c>
      <c r="F9786">
        <v>0</v>
      </c>
      <c r="G9786">
        <v>1</v>
      </c>
      <c r="H9786">
        <v>0</v>
      </c>
      <c r="I9786">
        <v>0</v>
      </c>
      <c r="J9786">
        <v>18132.292672346099</v>
      </c>
      <c r="K9786">
        <v>17066.4569726031</v>
      </c>
      <c r="L9786">
        <v>44.942</v>
      </c>
      <c r="M9786">
        <v>70.334000000000003</v>
      </c>
      <c r="N9786">
        <v>34.813000000000002</v>
      </c>
    </row>
    <row r="9787" spans="1:14" x14ac:dyDescent="0.45">
      <c r="A9787">
        <v>2025</v>
      </c>
      <c r="B9787" t="s">
        <v>247</v>
      </c>
      <c r="C9787">
        <v>0</v>
      </c>
      <c r="D9787">
        <v>0</v>
      </c>
      <c r="E9787">
        <v>0</v>
      </c>
      <c r="F9787">
        <v>1</v>
      </c>
      <c r="G9787">
        <v>0</v>
      </c>
      <c r="H9787">
        <v>0</v>
      </c>
      <c r="I9787">
        <v>0</v>
      </c>
      <c r="J9787">
        <v>4306.9732096535299</v>
      </c>
      <c r="K9787">
        <v>3475.1357944597398</v>
      </c>
      <c r="L9787">
        <v>66.77</v>
      </c>
      <c r="M9787">
        <v>68.13</v>
      </c>
      <c r="N9787">
        <v>43.537999999999997</v>
      </c>
    </row>
    <row r="9788" spans="1:14" x14ac:dyDescent="0.45">
      <c r="A9788">
        <v>2025</v>
      </c>
      <c r="B9788" t="s">
        <v>248</v>
      </c>
      <c r="C9788">
        <v>0</v>
      </c>
      <c r="D9788">
        <v>0</v>
      </c>
      <c r="E9788">
        <v>0</v>
      </c>
      <c r="F9788">
        <v>0</v>
      </c>
      <c r="G9788">
        <v>1</v>
      </c>
      <c r="H9788">
        <v>0</v>
      </c>
      <c r="I9788">
        <v>0</v>
      </c>
      <c r="J9788">
        <v>7408.1201462683302</v>
      </c>
      <c r="K9788">
        <v>6706.0620118275501</v>
      </c>
      <c r="L9788">
        <v>76.724999999999994</v>
      </c>
      <c r="M9788">
        <v>73.225999999999999</v>
      </c>
      <c r="N9788">
        <v>9.99</v>
      </c>
    </row>
    <row r="9789" spans="1:14" x14ac:dyDescent="0.45">
      <c r="A9789">
        <v>2025</v>
      </c>
      <c r="B9789" t="s">
        <v>249</v>
      </c>
      <c r="C9789">
        <v>0</v>
      </c>
      <c r="D9789">
        <v>1</v>
      </c>
      <c r="E9789">
        <v>0</v>
      </c>
      <c r="F9789">
        <v>0</v>
      </c>
      <c r="G9789">
        <v>0</v>
      </c>
      <c r="H9789">
        <v>1</v>
      </c>
      <c r="I9789">
        <v>1</v>
      </c>
      <c r="J9789">
        <v>32124.789185305101</v>
      </c>
      <c r="K9789">
        <v>26811.124987082399</v>
      </c>
      <c r="L9789">
        <v>46.290999999999997</v>
      </c>
      <c r="M9789">
        <v>73.747</v>
      </c>
      <c r="N9789">
        <v>15.493</v>
      </c>
    </row>
    <row r="9790" spans="1:14" x14ac:dyDescent="0.45">
      <c r="A9790">
        <v>2025</v>
      </c>
      <c r="B9790" t="s">
        <v>250</v>
      </c>
      <c r="C9790">
        <v>0</v>
      </c>
      <c r="D9790">
        <v>0</v>
      </c>
      <c r="E9790">
        <v>0</v>
      </c>
      <c r="F9790">
        <v>1</v>
      </c>
      <c r="G9790">
        <v>0</v>
      </c>
      <c r="H9790">
        <v>0</v>
      </c>
      <c r="I9790">
        <v>0</v>
      </c>
      <c r="J9790">
        <v>12811.023769540599</v>
      </c>
      <c r="K9790">
        <v>11164.593215343801</v>
      </c>
      <c r="L9790">
        <v>28.78</v>
      </c>
      <c r="M9790">
        <v>76.903000000000006</v>
      </c>
      <c r="N9790">
        <v>11.037000000000001</v>
      </c>
    </row>
    <row r="9791" spans="1:14" x14ac:dyDescent="0.45">
      <c r="A9791">
        <v>2025</v>
      </c>
      <c r="B9791" t="s">
        <v>251</v>
      </c>
      <c r="C9791">
        <v>1</v>
      </c>
      <c r="D9791">
        <v>0</v>
      </c>
      <c r="E9791">
        <v>0</v>
      </c>
      <c r="F9791">
        <v>0</v>
      </c>
      <c r="G9791">
        <v>1</v>
      </c>
      <c r="H9791">
        <v>0</v>
      </c>
      <c r="I9791">
        <v>0</v>
      </c>
      <c r="J9791">
        <v>36339.157354572802</v>
      </c>
      <c r="K9791">
        <v>36436.370432911797</v>
      </c>
      <c r="L9791">
        <v>21.687999999999999</v>
      </c>
      <c r="M9791">
        <v>77.823999999999998</v>
      </c>
      <c r="N9791">
        <v>10.406000000000001</v>
      </c>
    </row>
    <row r="9792" spans="1:14" x14ac:dyDescent="0.45">
      <c r="A9792">
        <v>2025</v>
      </c>
      <c r="B9792" t="s">
        <v>252</v>
      </c>
      <c r="C9792">
        <v>0</v>
      </c>
      <c r="D9792">
        <v>0</v>
      </c>
      <c r="E9792">
        <v>0</v>
      </c>
      <c r="F9792">
        <v>0</v>
      </c>
      <c r="G9792">
        <v>1</v>
      </c>
      <c r="H9792">
        <v>0</v>
      </c>
      <c r="I9792">
        <v>0</v>
      </c>
      <c r="J9792">
        <v>6474.6526659165702</v>
      </c>
      <c r="K9792">
        <v>5857.3231255991705</v>
      </c>
      <c r="L9792">
        <v>32.412999999999997</v>
      </c>
      <c r="M9792">
        <v>67.41</v>
      </c>
      <c r="N9792">
        <v>18.888999999999999</v>
      </c>
    </row>
    <row r="9793" spans="1:14" x14ac:dyDescent="0.45">
      <c r="A9793">
        <v>2025</v>
      </c>
      <c r="B9793" t="s">
        <v>253</v>
      </c>
      <c r="C9793">
        <v>0</v>
      </c>
      <c r="D9793">
        <v>0</v>
      </c>
      <c r="E9793">
        <v>0</v>
      </c>
      <c r="F9793">
        <v>0</v>
      </c>
      <c r="G9793">
        <v>0</v>
      </c>
      <c r="H9793">
        <v>1</v>
      </c>
      <c r="I9793">
        <v>1</v>
      </c>
      <c r="L9793">
        <v>33.518999999999998</v>
      </c>
      <c r="M9793">
        <v>80.941999999999993</v>
      </c>
      <c r="N9793">
        <v>4.2460000000000004</v>
      </c>
    </row>
    <row r="9794" spans="1:14" x14ac:dyDescent="0.45">
      <c r="A9794">
        <v>2025</v>
      </c>
      <c r="B9794" t="s">
        <v>254</v>
      </c>
      <c r="C9794">
        <v>0</v>
      </c>
      <c r="D9794">
        <v>0</v>
      </c>
      <c r="E9794">
        <v>1</v>
      </c>
      <c r="F9794">
        <v>1</v>
      </c>
      <c r="G9794">
        <v>0</v>
      </c>
      <c r="H9794">
        <v>0</v>
      </c>
      <c r="I9794">
        <v>0</v>
      </c>
      <c r="J9794">
        <v>3806.4960429141502</v>
      </c>
      <c r="K9794">
        <v>2835.3322863414301</v>
      </c>
      <c r="L9794">
        <v>61.137999999999998</v>
      </c>
      <c r="M9794">
        <v>67.418999999999997</v>
      </c>
      <c r="N9794">
        <v>37.106999999999999</v>
      </c>
    </row>
    <row r="9795" spans="1:14" x14ac:dyDescent="0.45">
      <c r="A9795">
        <v>2025</v>
      </c>
      <c r="B9795" t="s">
        <v>255</v>
      </c>
      <c r="C9795">
        <v>0</v>
      </c>
      <c r="D9795">
        <v>0</v>
      </c>
      <c r="E9795">
        <v>1</v>
      </c>
      <c r="F9795">
        <v>0</v>
      </c>
      <c r="G9795">
        <v>0</v>
      </c>
      <c r="H9795">
        <v>0</v>
      </c>
      <c r="I9795">
        <v>0</v>
      </c>
      <c r="J9795">
        <v>2974.6088280402901</v>
      </c>
      <c r="K9795">
        <v>2523.3742045086301</v>
      </c>
      <c r="L9795">
        <v>71.988</v>
      </c>
      <c r="M9795">
        <v>68.707999999999998</v>
      </c>
      <c r="N9795">
        <v>36.473999999999997</v>
      </c>
    </row>
    <row r="9796" spans="1:14" x14ac:dyDescent="0.45">
      <c r="A9796">
        <v>2025</v>
      </c>
      <c r="B9796" t="s">
        <v>256</v>
      </c>
      <c r="C9796">
        <v>1</v>
      </c>
      <c r="D9796">
        <v>0</v>
      </c>
      <c r="E9796">
        <v>0</v>
      </c>
      <c r="F9796">
        <v>0</v>
      </c>
      <c r="G9796">
        <v>1</v>
      </c>
      <c r="H9796">
        <v>0</v>
      </c>
      <c r="I9796">
        <v>0</v>
      </c>
      <c r="J9796">
        <v>16736.6182120952</v>
      </c>
      <c r="K9796">
        <v>11837.567935924601</v>
      </c>
      <c r="L9796">
        <v>29.513000000000002</v>
      </c>
      <c r="M9796">
        <v>74.864999999999995</v>
      </c>
      <c r="N9796">
        <v>5.7859999999999996</v>
      </c>
    </row>
    <row r="9797" spans="1:14" x14ac:dyDescent="0.45">
      <c r="A9797">
        <v>2025</v>
      </c>
      <c r="B9797" t="s">
        <v>257</v>
      </c>
      <c r="C9797">
        <v>0</v>
      </c>
      <c r="D9797">
        <v>1</v>
      </c>
      <c r="E9797">
        <v>0</v>
      </c>
      <c r="F9797">
        <v>0</v>
      </c>
      <c r="G9797">
        <v>0</v>
      </c>
      <c r="H9797">
        <v>1</v>
      </c>
      <c r="I9797">
        <v>1</v>
      </c>
      <c r="J9797">
        <v>33046.536786203003</v>
      </c>
      <c r="K9797">
        <v>26211.4746247035</v>
      </c>
      <c r="L9797">
        <v>4.069</v>
      </c>
      <c r="M9797">
        <v>78.453999999999994</v>
      </c>
      <c r="N9797">
        <v>6.843</v>
      </c>
    </row>
    <row r="9798" spans="1:14" x14ac:dyDescent="0.45">
      <c r="A9798">
        <v>2025</v>
      </c>
      <c r="B9798" t="s">
        <v>258</v>
      </c>
      <c r="C9798">
        <v>0</v>
      </c>
      <c r="D9798">
        <v>0</v>
      </c>
      <c r="E9798">
        <v>0</v>
      </c>
      <c r="F9798">
        <v>0</v>
      </c>
      <c r="G9798">
        <v>0</v>
      </c>
      <c r="H9798">
        <v>1</v>
      </c>
      <c r="I9798">
        <v>1</v>
      </c>
      <c r="J9798">
        <v>77167.444763246196</v>
      </c>
      <c r="K9798">
        <v>70042.930122292993</v>
      </c>
      <c r="L9798">
        <v>16.265999999999998</v>
      </c>
      <c r="M9798">
        <v>79.614000000000004</v>
      </c>
      <c r="N9798">
        <v>5.7279999999999998</v>
      </c>
    </row>
    <row r="9799" spans="1:14" x14ac:dyDescent="0.45">
      <c r="A9799">
        <v>2025</v>
      </c>
      <c r="B9799" t="s">
        <v>259</v>
      </c>
      <c r="C9799">
        <v>1</v>
      </c>
      <c r="D9799">
        <v>0</v>
      </c>
      <c r="E9799">
        <v>0</v>
      </c>
      <c r="F9799">
        <v>1</v>
      </c>
      <c r="G9799">
        <v>0</v>
      </c>
      <c r="H9799">
        <v>0</v>
      </c>
      <c r="I9799">
        <v>0</v>
      </c>
      <c r="J9799">
        <v>10912.291882719899</v>
      </c>
      <c r="K9799">
        <v>10601.6953395685</v>
      </c>
      <c r="L9799">
        <v>49.253</v>
      </c>
      <c r="M9799">
        <v>72.656000000000006</v>
      </c>
      <c r="N9799">
        <v>14.381</v>
      </c>
    </row>
    <row r="9800" spans="1:14" x14ac:dyDescent="0.45">
      <c r="A9800">
        <v>2025</v>
      </c>
      <c r="B9800" t="s">
        <v>260</v>
      </c>
      <c r="C9800">
        <v>0</v>
      </c>
      <c r="D9800">
        <v>1</v>
      </c>
      <c r="E9800">
        <v>0</v>
      </c>
      <c r="F9800">
        <v>0</v>
      </c>
      <c r="G9800">
        <v>1</v>
      </c>
      <c r="H9800">
        <v>0</v>
      </c>
      <c r="I9800">
        <v>0</v>
      </c>
      <c r="J9800">
        <v>19693.7547561598</v>
      </c>
      <c r="K9800">
        <v>17211.577114457701</v>
      </c>
      <c r="L9800">
        <v>44.847999999999999</v>
      </c>
      <c r="M9800">
        <v>71.513000000000005</v>
      </c>
      <c r="N9800">
        <v>13.741</v>
      </c>
    </row>
    <row r="9801" spans="1:14" x14ac:dyDescent="0.45">
      <c r="A9801">
        <v>2025</v>
      </c>
      <c r="B9801" t="s">
        <v>261</v>
      </c>
      <c r="C9801">
        <v>0</v>
      </c>
      <c r="D9801">
        <v>1</v>
      </c>
      <c r="E9801">
        <v>0</v>
      </c>
      <c r="F9801">
        <v>0</v>
      </c>
      <c r="G9801">
        <v>1</v>
      </c>
      <c r="H9801">
        <v>0</v>
      </c>
      <c r="I9801">
        <v>0</v>
      </c>
      <c r="L9801">
        <v>11.422000000000001</v>
      </c>
      <c r="M9801">
        <v>72.841999999999999</v>
      </c>
      <c r="N9801">
        <v>17.422999999999998</v>
      </c>
    </row>
    <row r="9802" spans="1:14" x14ac:dyDescent="0.45">
      <c r="A9802">
        <v>2025</v>
      </c>
      <c r="B9802" t="s">
        <v>262</v>
      </c>
      <c r="C9802">
        <v>0</v>
      </c>
      <c r="D9802">
        <v>1</v>
      </c>
      <c r="E9802">
        <v>0</v>
      </c>
      <c r="F9802">
        <v>0</v>
      </c>
      <c r="G9802">
        <v>0</v>
      </c>
      <c r="H9802">
        <v>1</v>
      </c>
      <c r="I9802">
        <v>1</v>
      </c>
      <c r="L9802">
        <v>49.401000000000003</v>
      </c>
      <c r="M9802">
        <v>77.605999999999995</v>
      </c>
      <c r="N9802">
        <v>11.848000000000001</v>
      </c>
    </row>
    <row r="9803" spans="1:14" x14ac:dyDescent="0.45">
      <c r="A9803">
        <v>2025</v>
      </c>
      <c r="B9803" t="s">
        <v>263</v>
      </c>
      <c r="C9803">
        <v>0</v>
      </c>
      <c r="D9803">
        <v>1</v>
      </c>
      <c r="E9803">
        <v>0</v>
      </c>
      <c r="F9803">
        <v>0</v>
      </c>
      <c r="G9803">
        <v>0</v>
      </c>
      <c r="H9803">
        <v>1</v>
      </c>
      <c r="I9803">
        <v>1</v>
      </c>
      <c r="L9803">
        <v>3.60299999999999</v>
      </c>
      <c r="M9803">
        <v>75.924999999999997</v>
      </c>
      <c r="N9803">
        <v>5.4390000000000001</v>
      </c>
    </row>
    <row r="9804" spans="1:14" x14ac:dyDescent="0.45">
      <c r="A9804">
        <v>2025</v>
      </c>
      <c r="B9804" t="s">
        <v>264</v>
      </c>
      <c r="C9804">
        <v>0</v>
      </c>
      <c r="D9804">
        <v>0</v>
      </c>
      <c r="E9804">
        <v>0</v>
      </c>
      <c r="F9804">
        <v>1</v>
      </c>
      <c r="G9804">
        <v>0</v>
      </c>
      <c r="H9804">
        <v>0</v>
      </c>
      <c r="I9804">
        <v>0</v>
      </c>
      <c r="J9804">
        <v>15341.5443614385</v>
      </c>
      <c r="K9804">
        <v>13670.5877027064</v>
      </c>
      <c r="L9804">
        <v>59.091000000000001</v>
      </c>
      <c r="M9804">
        <v>74.881</v>
      </c>
      <c r="N9804">
        <v>19.280999999999999</v>
      </c>
    </row>
    <row r="9805" spans="1:14" x14ac:dyDescent="0.45">
      <c r="A9805">
        <v>2025</v>
      </c>
      <c r="B9805" t="s">
        <v>265</v>
      </c>
      <c r="C9805">
        <v>0</v>
      </c>
      <c r="D9805">
        <v>0</v>
      </c>
      <c r="E9805">
        <v>0</v>
      </c>
      <c r="F9805">
        <v>1</v>
      </c>
      <c r="G9805">
        <v>0</v>
      </c>
      <c r="H9805">
        <v>0</v>
      </c>
      <c r="I9805">
        <v>0</v>
      </c>
      <c r="J9805">
        <v>3125.8741604694201</v>
      </c>
      <c r="K9805">
        <v>2827.6699727126302</v>
      </c>
      <c r="L9805">
        <v>73.671000000000006</v>
      </c>
      <c r="M9805">
        <v>71.843000000000004</v>
      </c>
      <c r="N9805">
        <v>16.366</v>
      </c>
    </row>
    <row r="9806" spans="1:14" x14ac:dyDescent="0.45">
      <c r="A9806">
        <v>2025</v>
      </c>
      <c r="B9806" t="s">
        <v>266</v>
      </c>
      <c r="C9806">
        <v>0</v>
      </c>
      <c r="D9806">
        <v>0</v>
      </c>
      <c r="E9806">
        <v>0</v>
      </c>
      <c r="F9806">
        <v>0</v>
      </c>
      <c r="G9806">
        <v>1</v>
      </c>
      <c r="H9806">
        <v>0</v>
      </c>
      <c r="I9806">
        <v>0</v>
      </c>
      <c r="J9806">
        <v>7496.0950301668399</v>
      </c>
      <c r="K9806">
        <v>6780.9776533742797</v>
      </c>
      <c r="L9806">
        <v>82.647999999999996</v>
      </c>
      <c r="M9806">
        <v>71.947999999999993</v>
      </c>
      <c r="N9806">
        <v>14.888999999999999</v>
      </c>
    </row>
    <row r="9807" spans="1:14" x14ac:dyDescent="0.45">
      <c r="A9807">
        <v>2025</v>
      </c>
      <c r="B9807" t="s">
        <v>267</v>
      </c>
      <c r="C9807">
        <v>1</v>
      </c>
      <c r="D9807">
        <v>0</v>
      </c>
      <c r="E9807">
        <v>0</v>
      </c>
      <c r="F9807">
        <v>0</v>
      </c>
      <c r="G9807">
        <v>1</v>
      </c>
      <c r="H9807">
        <v>0</v>
      </c>
      <c r="I9807">
        <v>0</v>
      </c>
      <c r="J9807">
        <v>17256.332334152801</v>
      </c>
      <c r="K9807">
        <v>15663.1075581603</v>
      </c>
      <c r="L9807">
        <v>42.353999999999999</v>
      </c>
      <c r="M9807">
        <v>78.421999999999997</v>
      </c>
      <c r="N9807">
        <v>9.6280000000000001</v>
      </c>
    </row>
    <row r="9808" spans="1:14" x14ac:dyDescent="0.45">
      <c r="A9808">
        <v>2025</v>
      </c>
      <c r="B9808" t="s">
        <v>268</v>
      </c>
      <c r="C9808">
        <v>0</v>
      </c>
      <c r="D9808">
        <v>0</v>
      </c>
      <c r="E9808">
        <v>0</v>
      </c>
      <c r="F9808">
        <v>0</v>
      </c>
      <c r="G9808">
        <v>0</v>
      </c>
      <c r="H9808">
        <v>0</v>
      </c>
      <c r="I9808">
        <v>0</v>
      </c>
      <c r="L9808">
        <v>58.875</v>
      </c>
      <c r="M9808">
        <v>69.58</v>
      </c>
      <c r="N9808">
        <v>37.854999999999997</v>
      </c>
    </row>
    <row r="9809" spans="1:14" x14ac:dyDescent="0.45">
      <c r="A9809">
        <v>2025</v>
      </c>
      <c r="B9809" t="s">
        <v>269</v>
      </c>
      <c r="C9809">
        <v>0</v>
      </c>
      <c r="D9809">
        <v>0</v>
      </c>
      <c r="E9809">
        <v>1</v>
      </c>
      <c r="F9809">
        <v>0</v>
      </c>
      <c r="G9809">
        <v>1</v>
      </c>
      <c r="H9809">
        <v>0</v>
      </c>
      <c r="I9809">
        <v>0</v>
      </c>
      <c r="J9809">
        <v>13497.0767366163</v>
      </c>
      <c r="K9809">
        <v>12708.052925569</v>
      </c>
      <c r="L9809">
        <v>30.227</v>
      </c>
      <c r="M9809">
        <v>66.486999999999995</v>
      </c>
      <c r="N9809">
        <v>30.523</v>
      </c>
    </row>
    <row r="9810" spans="1:14" x14ac:dyDescent="0.45">
      <c r="A9810">
        <v>2025</v>
      </c>
      <c r="B9810" t="s">
        <v>270</v>
      </c>
      <c r="C9810">
        <v>0</v>
      </c>
      <c r="D9810">
        <v>0</v>
      </c>
      <c r="E9810">
        <v>1</v>
      </c>
      <c r="F9810">
        <v>1</v>
      </c>
      <c r="G9810">
        <v>0</v>
      </c>
      <c r="H9810">
        <v>0</v>
      </c>
      <c r="I9810">
        <v>0</v>
      </c>
      <c r="J9810">
        <v>3757.5243165868701</v>
      </c>
      <c r="K9810">
        <v>3527.7790105303902</v>
      </c>
      <c r="L9810">
        <v>52.502000000000002</v>
      </c>
      <c r="M9810">
        <v>66.7</v>
      </c>
      <c r="N9810">
        <v>49.765000000000001</v>
      </c>
    </row>
    <row r="9811" spans="1:14" x14ac:dyDescent="0.45">
      <c r="A9811">
        <v>2025</v>
      </c>
      <c r="B9811" t="s">
        <v>271</v>
      </c>
      <c r="C9811">
        <v>0</v>
      </c>
      <c r="D9811">
        <v>0</v>
      </c>
      <c r="E9811">
        <v>1</v>
      </c>
      <c r="F9811">
        <v>1</v>
      </c>
      <c r="G9811">
        <v>0</v>
      </c>
      <c r="H9811">
        <v>0</v>
      </c>
      <c r="I9811">
        <v>0</v>
      </c>
      <c r="J9811">
        <v>3457.0293874807298</v>
      </c>
      <c r="K9811">
        <v>2301.8142296989499</v>
      </c>
      <c r="L9811">
        <v>67.147000000000006</v>
      </c>
      <c r="M9811">
        <v>63.345999999999997</v>
      </c>
      <c r="N9811">
        <v>43.207000000000001</v>
      </c>
    </row>
  </sheetData>
  <pageMargins left="0.7" right="0.7" top="0.75" bottom="0.75" header="0.3" footer="0.3"/>
  <pageSetup paperSize="9" orientation="portrait" horizontalDpi="300" verticalDpi="300"/>
  <headerFooter scaleWithDoc="0" alignWithMargins="0">
    <oddFooter>&amp;R_x000D_&amp;1#&amp;"Calibri"&amp;10&amp;K000000 Official Use Only</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E20"/>
  <sheetViews>
    <sheetView workbookViewId="0">
      <selection activeCell="C20" sqref="C20"/>
    </sheetView>
  </sheetViews>
  <sheetFormatPr defaultColWidth="10.6640625" defaultRowHeight="14.25" x14ac:dyDescent="0.45"/>
  <cols>
    <col min="1" max="1" width="26.59765625" customWidth="1"/>
    <col min="2" max="2" width="27.1328125" customWidth="1"/>
    <col min="3" max="3" width="29.1328125" customWidth="1"/>
    <col min="4" max="4" width="27.1328125" customWidth="1"/>
    <col min="5" max="5" width="29.1328125" customWidth="1"/>
  </cols>
  <sheetData>
    <row r="1" spans="1:5" x14ac:dyDescent="0.45">
      <c r="A1" s="1" t="s">
        <v>22</v>
      </c>
      <c r="B1" t="s">
        <v>8</v>
      </c>
      <c r="C1" t="s">
        <v>8</v>
      </c>
      <c r="D1" t="s">
        <v>9</v>
      </c>
      <c r="E1" t="s">
        <v>9</v>
      </c>
    </row>
    <row r="2" spans="1:5" x14ac:dyDescent="0.45">
      <c r="A2" s="1" t="s">
        <v>23</v>
      </c>
      <c r="B2" t="s">
        <v>28</v>
      </c>
      <c r="C2" t="s">
        <v>29</v>
      </c>
      <c r="D2" t="s">
        <v>30</v>
      </c>
      <c r="E2" t="s">
        <v>31</v>
      </c>
    </row>
    <row r="3" spans="1:5" x14ac:dyDescent="0.45">
      <c r="A3" s="1" t="s">
        <v>10</v>
      </c>
    </row>
    <row r="4" spans="1:5" x14ac:dyDescent="0.45">
      <c r="A4" s="20" t="s">
        <v>11</v>
      </c>
      <c r="B4">
        <v>-2.264044572</v>
      </c>
      <c r="C4">
        <v>1.6046460140000001</v>
      </c>
      <c r="D4">
        <v>-2.5147202489999998</v>
      </c>
      <c r="E4">
        <v>1.4188586409999999</v>
      </c>
    </row>
    <row r="5" spans="1:5" x14ac:dyDescent="0.45">
      <c r="A5" s="20" t="s">
        <v>12</v>
      </c>
      <c r="B5">
        <v>0.43163306800000001</v>
      </c>
      <c r="C5">
        <v>0</v>
      </c>
      <c r="D5">
        <v>0.49154652799999998</v>
      </c>
      <c r="E5">
        <v>0</v>
      </c>
    </row>
    <row r="6" spans="1:5" x14ac:dyDescent="0.45">
      <c r="A6" s="20" t="s">
        <v>13</v>
      </c>
      <c r="B6">
        <v>-0.15322289</v>
      </c>
      <c r="C6">
        <v>-0.25656579800000001</v>
      </c>
      <c r="D6">
        <v>-0.164497536</v>
      </c>
      <c r="E6">
        <v>-0.232322377</v>
      </c>
    </row>
    <row r="7" spans="1:5" x14ac:dyDescent="0.45">
      <c r="A7" s="20" t="s">
        <v>14</v>
      </c>
      <c r="B7">
        <v>1.4232587E-2</v>
      </c>
      <c r="C7">
        <v>1.9700353E-2</v>
      </c>
      <c r="D7">
        <v>9.0144809999999995E-3</v>
      </c>
      <c r="E7">
        <v>1.8963891E-2</v>
      </c>
    </row>
    <row r="8" spans="1:5" x14ac:dyDescent="0.45">
      <c r="A8" s="20" t="s">
        <v>15</v>
      </c>
      <c r="B8">
        <v>-2.6974849999999999E-3</v>
      </c>
      <c r="C8">
        <v>-7.7445989999999996E-3</v>
      </c>
      <c r="D8">
        <v>-1.3078950000000001E-3</v>
      </c>
      <c r="E8">
        <v>-7.7616300000000003E-3</v>
      </c>
    </row>
    <row r="9" spans="1:5" x14ac:dyDescent="0.45">
      <c r="A9" s="20" t="s">
        <v>16</v>
      </c>
      <c r="B9">
        <v>0</v>
      </c>
      <c r="C9">
        <v>0</v>
      </c>
      <c r="D9">
        <v>0</v>
      </c>
      <c r="E9">
        <v>0</v>
      </c>
    </row>
    <row r="10" spans="1:5" x14ac:dyDescent="0.45">
      <c r="A10" s="20" t="s">
        <v>4</v>
      </c>
      <c r="B10">
        <v>0</v>
      </c>
      <c r="C10">
        <v>0</v>
      </c>
      <c r="D10">
        <v>0</v>
      </c>
      <c r="E10">
        <v>0</v>
      </c>
    </row>
    <row r="11" spans="1:5" x14ac:dyDescent="0.45">
      <c r="A11" s="20" t="s">
        <v>17</v>
      </c>
      <c r="B11">
        <v>0</v>
      </c>
      <c r="C11">
        <v>0.221920863</v>
      </c>
      <c r="D11">
        <v>0</v>
      </c>
      <c r="E11">
        <v>0.20903476700000001</v>
      </c>
    </row>
    <row r="12" spans="1:5" x14ac:dyDescent="0.45">
      <c r="A12" s="20" t="s">
        <v>18</v>
      </c>
      <c r="B12">
        <v>0</v>
      </c>
      <c r="C12">
        <v>0.44856046900000002</v>
      </c>
      <c r="D12">
        <v>0</v>
      </c>
      <c r="E12">
        <v>0.55203232099999999</v>
      </c>
    </row>
    <row r="13" spans="1:5" x14ac:dyDescent="0.45">
      <c r="A13" s="20" t="s">
        <v>2</v>
      </c>
      <c r="B13">
        <v>0</v>
      </c>
      <c r="C13">
        <v>1.1388756149999999</v>
      </c>
      <c r="D13">
        <v>0</v>
      </c>
      <c r="E13">
        <v>1.2483051489999999</v>
      </c>
    </row>
    <row r="14" spans="1:5" x14ac:dyDescent="0.45">
      <c r="A14" s="20" t="s">
        <v>19</v>
      </c>
      <c r="B14">
        <v>-4.1401950799999998</v>
      </c>
      <c r="C14">
        <v>0</v>
      </c>
      <c r="D14">
        <v>-4.4971337839999999</v>
      </c>
      <c r="E14">
        <v>0</v>
      </c>
    </row>
    <row r="15" spans="1:5" x14ac:dyDescent="0.45">
      <c r="A15" s="20" t="s">
        <v>20</v>
      </c>
      <c r="B15">
        <v>0.432780846</v>
      </c>
      <c r="C15">
        <v>0</v>
      </c>
      <c r="D15">
        <v>0.47075135299999998</v>
      </c>
      <c r="E15">
        <v>0</v>
      </c>
    </row>
    <row r="16" spans="1:5" x14ac:dyDescent="0.45">
      <c r="A16" s="1" t="s">
        <v>21</v>
      </c>
      <c r="B16">
        <v>0</v>
      </c>
      <c r="C16">
        <v>0</v>
      </c>
      <c r="D16">
        <v>0</v>
      </c>
      <c r="E16">
        <v>0</v>
      </c>
    </row>
    <row r="17" spans="1:5" x14ac:dyDescent="0.45">
      <c r="A17" s="20" t="s">
        <v>49</v>
      </c>
      <c r="B17">
        <v>0.34648927299999999</v>
      </c>
      <c r="C17">
        <v>0.34530131800000002</v>
      </c>
      <c r="D17">
        <v>0.37192546100000001</v>
      </c>
      <c r="E17">
        <v>0.31813518800000001</v>
      </c>
    </row>
    <row r="18" spans="1:5" x14ac:dyDescent="0.45">
      <c r="A18" s="20" t="s">
        <v>1</v>
      </c>
      <c r="B18">
        <v>-2.6387236000000001E-2</v>
      </c>
      <c r="C18">
        <v>-2.2889663000000001E-2</v>
      </c>
      <c r="D18">
        <v>-5.7434161999999997E-2</v>
      </c>
      <c r="E18">
        <v>-3.6976209999999999E-3</v>
      </c>
    </row>
    <row r="19" spans="1:5" x14ac:dyDescent="0.45">
      <c r="A19" s="20" t="s">
        <v>3</v>
      </c>
      <c r="B19">
        <v>0.148162564</v>
      </c>
      <c r="C19">
        <v>0.152610468</v>
      </c>
      <c r="D19">
        <v>0.123211811</v>
      </c>
      <c r="E19">
        <v>0.175236909</v>
      </c>
    </row>
    <row r="20" spans="1:5" x14ac:dyDescent="0.45">
      <c r="A20" s="20" t="s">
        <v>7</v>
      </c>
      <c r="B20">
        <v>6.0945452999999997E-2</v>
      </c>
      <c r="C20">
        <v>6.6503355E-2</v>
      </c>
      <c r="D20">
        <v>2.4563341999999998E-2</v>
      </c>
      <c r="E20">
        <v>6.8309194000000004E-2</v>
      </c>
    </row>
  </sheetData>
  <pageMargins left="0.7" right="0.7" top="0.75" bottom="0.75" header="0.3" footer="0.3"/>
  <pageSetup paperSize="9" orientation="portrait" horizontalDpi="300" verticalDpi="300"/>
  <headerFooter scaleWithDoc="0" alignWithMargins="0">
    <oddFooter>&amp;R_x000D_&amp;1#&amp;"Calibri"&amp;10&amp;K000000 Official Use Only</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sheetPr>
  <dimension ref="A1:A32"/>
  <sheetViews>
    <sheetView topLeftCell="A13" workbookViewId="0">
      <selection activeCell="A19" sqref="A19"/>
    </sheetView>
  </sheetViews>
  <sheetFormatPr defaultColWidth="10.6640625" defaultRowHeight="14.25" x14ac:dyDescent="0.45"/>
  <cols>
    <col min="1" max="1" width="34.86328125" customWidth="1"/>
  </cols>
  <sheetData>
    <row r="1" spans="1:1" x14ac:dyDescent="0.45">
      <c r="A1" s="1" t="s">
        <v>27</v>
      </c>
    </row>
    <row r="2" spans="1:1" x14ac:dyDescent="0.45">
      <c r="A2" t="s">
        <v>28</v>
      </c>
    </row>
    <row r="3" spans="1:1" x14ac:dyDescent="0.45">
      <c r="A3" t="s">
        <v>29</v>
      </c>
    </row>
    <row r="4" spans="1:1" x14ac:dyDescent="0.45">
      <c r="A4" t="s">
        <v>30</v>
      </c>
    </row>
    <row r="5" spans="1:1" x14ac:dyDescent="0.45">
      <c r="A5" t="s">
        <v>31</v>
      </c>
    </row>
    <row r="7" spans="1:1" x14ac:dyDescent="0.45">
      <c r="A7" s="1" t="s">
        <v>32</v>
      </c>
    </row>
    <row r="8" spans="1:1" x14ac:dyDescent="0.45">
      <c r="A8" s="21">
        <v>3</v>
      </c>
    </row>
    <row r="9" spans="1:1" x14ac:dyDescent="0.45">
      <c r="A9" s="21">
        <v>4.2</v>
      </c>
    </row>
    <row r="10" spans="1:1" x14ac:dyDescent="0.45">
      <c r="A10" s="21">
        <v>8.3000000000000007</v>
      </c>
    </row>
    <row r="11" spans="1:1" x14ac:dyDescent="0.45">
      <c r="A11" s="21">
        <v>2.15</v>
      </c>
    </row>
    <row r="12" spans="1:1" x14ac:dyDescent="0.45">
      <c r="A12" s="21">
        <v>3.65</v>
      </c>
    </row>
    <row r="13" spans="1:1" x14ac:dyDescent="0.45">
      <c r="A13" s="21">
        <v>6.85</v>
      </c>
    </row>
    <row r="15" spans="1:1" x14ac:dyDescent="0.45">
      <c r="A15" s="1" t="s">
        <v>34</v>
      </c>
    </row>
    <row r="16" spans="1:1" x14ac:dyDescent="0.45">
      <c r="A16" s="19" t="s">
        <v>4</v>
      </c>
    </row>
    <row r="17" spans="1:1" x14ac:dyDescent="0.45">
      <c r="A17" s="19" t="s">
        <v>17</v>
      </c>
    </row>
    <row r="18" spans="1:1" x14ac:dyDescent="0.45">
      <c r="A18" s="19" t="s">
        <v>18</v>
      </c>
    </row>
    <row r="19" spans="1:1" x14ac:dyDescent="0.45">
      <c r="A19" s="19" t="s">
        <v>2</v>
      </c>
    </row>
    <row r="21" spans="1:1" x14ac:dyDescent="0.45">
      <c r="A21" s="22" t="s">
        <v>35</v>
      </c>
    </row>
    <row r="22" spans="1:1" x14ac:dyDescent="0.45">
      <c r="A22" s="19" t="s">
        <v>1</v>
      </c>
    </row>
    <row r="23" spans="1:1" x14ac:dyDescent="0.45">
      <c r="A23" s="19" t="s">
        <v>3</v>
      </c>
    </row>
    <row r="24" spans="1:1" x14ac:dyDescent="0.45">
      <c r="A24" s="19" t="s">
        <v>7</v>
      </c>
    </row>
    <row r="25" spans="1:1" x14ac:dyDescent="0.45">
      <c r="A25" s="19" t="s">
        <v>37</v>
      </c>
    </row>
    <row r="26" spans="1:1" x14ac:dyDescent="0.45">
      <c r="A26" s="19" t="s">
        <v>0</v>
      </c>
    </row>
    <row r="27" spans="1:1" x14ac:dyDescent="0.45">
      <c r="A27" s="19" t="s">
        <v>6</v>
      </c>
    </row>
    <row r="28" spans="1:1" x14ac:dyDescent="0.45">
      <c r="A28" s="19" t="s">
        <v>5</v>
      </c>
    </row>
    <row r="30" spans="1:1" x14ac:dyDescent="0.45">
      <c r="A30" s="22" t="s">
        <v>41</v>
      </c>
    </row>
    <row r="31" spans="1:1" x14ac:dyDescent="0.45">
      <c r="A31" s="19" t="s">
        <v>42</v>
      </c>
    </row>
    <row r="32" spans="1:1" x14ac:dyDescent="0.45">
      <c r="A32" s="19" t="s">
        <v>43</v>
      </c>
    </row>
  </sheetData>
  <pageMargins left="0.7" right="0.7" top="0.75" bottom="0.75" header="0.3" footer="0.3"/>
  <pageSetup paperSize="9" orientation="portrait" horizontalDpi="300" verticalDpi="300"/>
  <headerFooter scaleWithDoc="0" alignWithMargins="0">
    <oddFooter>&amp;R_x000D_&amp;1#&amp;"Calibri"&amp;10&amp;K000000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Read Me</vt:lpstr>
      <vt:lpstr>Dashboard</vt:lpstr>
      <vt:lpstr>Input_Data</vt:lpstr>
      <vt:lpstr>Estimated Coefficients</vt:lpstr>
      <vt:lpstr>Selection List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Jing Xie</dc:creator>
  <cp:lastModifiedBy>Jing Xie</cp:lastModifiedBy>
  <dcterms:created xsi:type="dcterms:W3CDTF">2015-06-05T18:17:20Z</dcterms:created>
  <dcterms:modified xsi:type="dcterms:W3CDTF">2026-01-15T15:18:07Z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2026-01-15T14:51:39Z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a053de55-ee59-433f-bf01-45aa6a45d487</vt:lpwstr>
  </property>
  <property fmtid="{D5CDD505-2E9C-101B-9397-08002B2CF9AE}" pid="8" name="MSIP_Label_f1bf45b6-5649-4236-82a3-f45024cd282e_ContentBits">
    <vt:lpwstr>2</vt:lpwstr>
  </property>
  <property fmtid="{D5CDD505-2E9C-101B-9397-08002B2CF9AE}" pid="9" name="MSIP_Label_f1bf45b6-5649-4236-82a3-f45024cd282e_Tag">
    <vt:lpwstr>10, 3, 0, 1</vt:lpwstr>
  </property>
</Properties>
</file>